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ameli\Documents\1ere année\"/>
    </mc:Choice>
  </mc:AlternateContent>
  <xr:revisionPtr revIDLastSave="0" documentId="8_{0F8853F5-F5EA-4C23-84EC-DBA3A9A8D52B}" xr6:coauthVersionLast="47" xr6:coauthVersionMax="47" xr10:uidLastSave="{00000000-0000-0000-0000-000000000000}"/>
  <bookViews>
    <workbookView xWindow="-108" yWindow="-108" windowWidth="23256" windowHeight="12456" tabRatio="652" activeTab="2" xr2:uid="{00000000-000D-0000-FFFF-FFFF00000000}"/>
  </bookViews>
  <sheets>
    <sheet name="Objectifs Sciences 2022-2023" sheetId="6" r:id="rId1"/>
    <sheet name="Items sous domaines Sciences " sheetId="21" state="hidden" r:id="rId2"/>
    <sheet name="Remédiation A3" sheetId="24" r:id="rId3"/>
    <sheet name="A1 CPI S1" sheetId="17" r:id="rId4"/>
    <sheet name="A1 CPI S2" sheetId="22" r:id="rId5"/>
    <sheet name="A2 CPI Géné  S3 " sheetId="18" r:id="rId6"/>
    <sheet name="A3 CI Géné S5" sheetId="23" r:id="rId7"/>
    <sheet name="A3 CI Géné S6" sheetId="19" r:id="rId8"/>
    <sheet name="A4 CI Géné S7-8" sheetId="20" r:id="rId9"/>
  </sheets>
  <definedNames>
    <definedName name="_xlnm._FilterDatabase" localSheetId="3" hidden="1">'A1 CPI S1'!$A$7:$V$488</definedName>
    <definedName name="_xlnm._FilterDatabase" localSheetId="4" hidden="1">'A1 CPI S2'!$A$7:$W$492</definedName>
    <definedName name="_xlnm._FilterDatabase" localSheetId="5" hidden="1">'A2 CPI Géné  S3 '!$A$7:$F$488</definedName>
    <definedName name="_xlnm._FilterDatabase" localSheetId="6" hidden="1">'A3 CI Géné S5'!$A$7:$H$489</definedName>
    <definedName name="_xlnm._FilterDatabase" localSheetId="7" hidden="1">'A3 CI Géné S6'!$A$7:$H$430</definedName>
    <definedName name="_xlnm._FilterDatabase" localSheetId="8" hidden="1">'A4 CI Géné S7-8'!$A$7:$H$488</definedName>
    <definedName name="_xlnm._FilterDatabase" localSheetId="1" hidden="1">'Items sous domaines Sciences '!$A$4:$G$310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9" i="20" l="1"/>
  <c r="C309" i="20"/>
  <c r="D309" i="20"/>
  <c r="E309" i="20"/>
  <c r="B310" i="20"/>
  <c r="C310" i="20"/>
  <c r="D310" i="20"/>
  <c r="E310" i="20"/>
  <c r="B311" i="20"/>
  <c r="C311" i="20"/>
  <c r="D311" i="20"/>
  <c r="E311" i="20"/>
  <c r="B312" i="20"/>
  <c r="C312" i="20"/>
  <c r="D312" i="20"/>
  <c r="E312" i="20"/>
  <c r="B313" i="20"/>
  <c r="C313" i="20"/>
  <c r="D313" i="20"/>
  <c r="E313" i="20"/>
  <c r="B314" i="20"/>
  <c r="C314" i="20"/>
  <c r="D314" i="20"/>
  <c r="E314" i="20"/>
  <c r="B315" i="20"/>
  <c r="C315" i="20"/>
  <c r="D315" i="20"/>
  <c r="E315" i="20"/>
  <c r="B316" i="20"/>
  <c r="C316" i="20"/>
  <c r="D316" i="20"/>
  <c r="E316" i="20"/>
  <c r="B317" i="20"/>
  <c r="C317" i="20"/>
  <c r="D317" i="20"/>
  <c r="E317" i="20"/>
  <c r="B318" i="20"/>
  <c r="C318" i="20"/>
  <c r="D318" i="20"/>
  <c r="E318" i="20"/>
  <c r="B319" i="20"/>
  <c r="C319" i="20"/>
  <c r="D319" i="20"/>
  <c r="E319" i="20"/>
  <c r="B320" i="20"/>
  <c r="C320" i="20"/>
  <c r="D320" i="20"/>
  <c r="E320" i="20"/>
  <c r="B321" i="20"/>
  <c r="C321" i="20"/>
  <c r="D321" i="20"/>
  <c r="E321" i="20"/>
  <c r="B322" i="20"/>
  <c r="C322" i="20"/>
  <c r="D322" i="20"/>
  <c r="E322" i="20"/>
  <c r="B323" i="20"/>
  <c r="C323" i="20"/>
  <c r="D323" i="20"/>
  <c r="E323" i="20"/>
  <c r="B324" i="20"/>
  <c r="C324" i="20"/>
  <c r="D324" i="20"/>
  <c r="E324" i="20"/>
  <c r="B325" i="20"/>
  <c r="C325" i="20"/>
  <c r="D325" i="20"/>
  <c r="E325" i="20"/>
  <c r="B326" i="20"/>
  <c r="C326" i="20"/>
  <c r="D326" i="20"/>
  <c r="E326" i="20"/>
  <c r="B327" i="20"/>
  <c r="C327" i="20"/>
  <c r="D327" i="20"/>
  <c r="E327" i="20"/>
  <c r="B328" i="20"/>
  <c r="C328" i="20"/>
  <c r="D328" i="20"/>
  <c r="E328" i="20"/>
  <c r="B329" i="20"/>
  <c r="C329" i="20"/>
  <c r="D329" i="20"/>
  <c r="E329" i="20"/>
  <c r="B330" i="20"/>
  <c r="C330" i="20"/>
  <c r="D330" i="20"/>
  <c r="E330" i="20"/>
  <c r="B331" i="20"/>
  <c r="C331" i="20"/>
  <c r="D331" i="20"/>
  <c r="E331" i="20"/>
  <c r="B332" i="20"/>
  <c r="C332" i="20"/>
  <c r="D332" i="20"/>
  <c r="E332" i="20"/>
  <c r="B333" i="20"/>
  <c r="C333" i="20"/>
  <c r="D333" i="20"/>
  <c r="E333" i="20"/>
  <c r="B334" i="20"/>
  <c r="C334" i="20"/>
  <c r="D334" i="20"/>
  <c r="E334" i="20"/>
  <c r="B335" i="20"/>
  <c r="C335" i="20"/>
  <c r="D335" i="20"/>
  <c r="E335" i="20"/>
  <c r="B336" i="20"/>
  <c r="C336" i="20"/>
  <c r="D336" i="20"/>
  <c r="E336" i="20"/>
  <c r="B337" i="20"/>
  <c r="C337" i="20"/>
  <c r="D337" i="20"/>
  <c r="E337" i="20"/>
  <c r="B338" i="20"/>
  <c r="C338" i="20"/>
  <c r="D338" i="20"/>
  <c r="E338" i="20"/>
  <c r="B339" i="20"/>
  <c r="C339" i="20"/>
  <c r="D339" i="20"/>
  <c r="E339" i="20"/>
  <c r="B340" i="20"/>
  <c r="C340" i="20"/>
  <c r="D340" i="20"/>
  <c r="E340" i="20"/>
  <c r="B341" i="20"/>
  <c r="C341" i="20"/>
  <c r="D341" i="20"/>
  <c r="E341" i="20"/>
  <c r="B342" i="20"/>
  <c r="C342" i="20"/>
  <c r="D342" i="20"/>
  <c r="E342" i="20"/>
  <c r="B343" i="20"/>
  <c r="C343" i="20"/>
  <c r="D343" i="20"/>
  <c r="E343" i="20"/>
  <c r="B344" i="20"/>
  <c r="C344" i="20"/>
  <c r="D344" i="20"/>
  <c r="E344" i="20"/>
  <c r="B345" i="20"/>
  <c r="C345" i="20"/>
  <c r="D345" i="20"/>
  <c r="E345" i="20"/>
  <c r="B346" i="20"/>
  <c r="C346" i="20"/>
  <c r="D346" i="20"/>
  <c r="E346" i="20"/>
  <c r="B347" i="20"/>
  <c r="C347" i="20"/>
  <c r="D347" i="20"/>
  <c r="E347" i="20"/>
  <c r="B348" i="20"/>
  <c r="C348" i="20"/>
  <c r="D348" i="20"/>
  <c r="E348" i="20"/>
  <c r="B349" i="20"/>
  <c r="C349" i="20"/>
  <c r="D349" i="20"/>
  <c r="E349" i="20"/>
  <c r="B350" i="20"/>
  <c r="C350" i="20"/>
  <c r="D350" i="20"/>
  <c r="E350" i="20"/>
  <c r="B351" i="20"/>
  <c r="C351" i="20"/>
  <c r="D351" i="20"/>
  <c r="E351" i="20"/>
  <c r="B352" i="20"/>
  <c r="C352" i="20"/>
  <c r="D352" i="20"/>
  <c r="E352" i="20"/>
  <c r="B353" i="20"/>
  <c r="C353" i="20"/>
  <c r="D353" i="20"/>
  <c r="E353" i="20"/>
  <c r="B354" i="20"/>
  <c r="C354" i="20"/>
  <c r="D354" i="20"/>
  <c r="E354" i="20"/>
  <c r="B355" i="20"/>
  <c r="C355" i="20"/>
  <c r="D355" i="20"/>
  <c r="E355" i="20"/>
  <c r="B356" i="20"/>
  <c r="C356" i="20"/>
  <c r="D356" i="20"/>
  <c r="E356" i="20"/>
  <c r="B357" i="20"/>
  <c r="C357" i="20"/>
  <c r="D357" i="20"/>
  <c r="E357" i="20"/>
  <c r="B358" i="20"/>
  <c r="C358" i="20"/>
  <c r="D358" i="20"/>
  <c r="E358" i="20"/>
  <c r="B359" i="20"/>
  <c r="C359" i="20"/>
  <c r="D359" i="20"/>
  <c r="E359" i="20"/>
  <c r="B360" i="20"/>
  <c r="C360" i="20"/>
  <c r="D360" i="20"/>
  <c r="E360" i="20"/>
  <c r="B361" i="20"/>
  <c r="C361" i="20"/>
  <c r="D361" i="20"/>
  <c r="E361" i="20"/>
  <c r="B362" i="20"/>
  <c r="C362" i="20"/>
  <c r="D362" i="20"/>
  <c r="E362" i="20"/>
  <c r="B363" i="20"/>
  <c r="C363" i="20"/>
  <c r="D363" i="20"/>
  <c r="E363" i="20"/>
  <c r="B364" i="20"/>
  <c r="C364" i="20"/>
  <c r="D364" i="20"/>
  <c r="E364" i="20"/>
  <c r="B365" i="20"/>
  <c r="C365" i="20"/>
  <c r="D365" i="20"/>
  <c r="E365" i="20"/>
  <c r="B366" i="20"/>
  <c r="C366" i="20"/>
  <c r="D366" i="20"/>
  <c r="E366" i="20"/>
  <c r="B367" i="20"/>
  <c r="C367" i="20"/>
  <c r="D367" i="20"/>
  <c r="E367" i="20"/>
  <c r="B368" i="20"/>
  <c r="C368" i="20"/>
  <c r="D368" i="20"/>
  <c r="E368" i="20"/>
  <c r="B369" i="20"/>
  <c r="C369" i="20"/>
  <c r="D369" i="20"/>
  <c r="E369" i="20"/>
  <c r="B370" i="20"/>
  <c r="C370" i="20"/>
  <c r="D370" i="20"/>
  <c r="E370" i="20"/>
  <c r="B371" i="20"/>
  <c r="C371" i="20"/>
  <c r="D371" i="20"/>
  <c r="E371" i="20"/>
  <c r="B372" i="20"/>
  <c r="C372" i="20"/>
  <c r="D372" i="20"/>
  <c r="E372" i="20"/>
  <c r="B373" i="20"/>
  <c r="C373" i="20"/>
  <c r="D373" i="20"/>
  <c r="E373" i="20"/>
  <c r="B374" i="20"/>
  <c r="C374" i="20"/>
  <c r="D374" i="20"/>
  <c r="E374" i="20"/>
  <c r="B375" i="20"/>
  <c r="C375" i="20"/>
  <c r="D375" i="20"/>
  <c r="E375" i="20"/>
  <c r="B376" i="20"/>
  <c r="C376" i="20"/>
  <c r="D376" i="20"/>
  <c r="E376" i="20"/>
  <c r="B377" i="20"/>
  <c r="C377" i="20"/>
  <c r="D377" i="20"/>
  <c r="E377" i="20"/>
  <c r="B378" i="20"/>
  <c r="C378" i="20"/>
  <c r="D378" i="20"/>
  <c r="E378" i="20"/>
  <c r="B379" i="20"/>
  <c r="C379" i="20"/>
  <c r="D379" i="20"/>
  <c r="E379" i="20"/>
  <c r="B380" i="20"/>
  <c r="C380" i="20"/>
  <c r="D380" i="20"/>
  <c r="E380" i="20"/>
  <c r="B381" i="20"/>
  <c r="C381" i="20"/>
  <c r="D381" i="20"/>
  <c r="E381" i="20"/>
  <c r="B382" i="20"/>
  <c r="C382" i="20"/>
  <c r="D382" i="20"/>
  <c r="E382" i="20"/>
  <c r="B383" i="20"/>
  <c r="C383" i="20"/>
  <c r="D383" i="20"/>
  <c r="E383" i="20"/>
  <c r="B384" i="20"/>
  <c r="C384" i="20"/>
  <c r="D384" i="20"/>
  <c r="E384" i="20"/>
  <c r="B385" i="20"/>
  <c r="C385" i="20"/>
  <c r="D385" i="20"/>
  <c r="E385" i="20"/>
  <c r="B386" i="20"/>
  <c r="C386" i="20"/>
  <c r="D386" i="20"/>
  <c r="E386" i="20"/>
  <c r="B387" i="20"/>
  <c r="C387" i="20"/>
  <c r="D387" i="20"/>
  <c r="E387" i="20"/>
  <c r="B388" i="20"/>
  <c r="C388" i="20"/>
  <c r="D388" i="20"/>
  <c r="E388" i="20"/>
  <c r="B389" i="20"/>
  <c r="C389" i="20"/>
  <c r="D389" i="20"/>
  <c r="E389" i="20"/>
  <c r="B390" i="20"/>
  <c r="C390" i="20"/>
  <c r="D390" i="20"/>
  <c r="E390" i="20"/>
  <c r="B391" i="20"/>
  <c r="C391" i="20"/>
  <c r="D391" i="20"/>
  <c r="E391" i="20"/>
  <c r="B392" i="20"/>
  <c r="C392" i="20"/>
  <c r="D392" i="20"/>
  <c r="E392" i="20"/>
  <c r="B393" i="20"/>
  <c r="C393" i="20"/>
  <c r="D393" i="20"/>
  <c r="E393" i="20"/>
  <c r="B394" i="20"/>
  <c r="C394" i="20"/>
  <c r="D394" i="20"/>
  <c r="E394" i="20"/>
  <c r="B395" i="20"/>
  <c r="C395" i="20"/>
  <c r="D395" i="20"/>
  <c r="E395" i="20"/>
  <c r="B396" i="20"/>
  <c r="C396" i="20"/>
  <c r="D396" i="20"/>
  <c r="E396" i="20"/>
  <c r="B397" i="20"/>
  <c r="C397" i="20"/>
  <c r="D397" i="20"/>
  <c r="E397" i="20"/>
  <c r="B398" i="20"/>
  <c r="C398" i="20"/>
  <c r="D398" i="20"/>
  <c r="E398" i="20"/>
  <c r="B399" i="20"/>
  <c r="C399" i="20"/>
  <c r="D399" i="20"/>
  <c r="E399" i="20"/>
  <c r="B400" i="20"/>
  <c r="C400" i="20"/>
  <c r="D400" i="20"/>
  <c r="E400" i="20"/>
  <c r="B401" i="20"/>
  <c r="C401" i="20"/>
  <c r="D401" i="20"/>
  <c r="E401" i="20"/>
  <c r="B402" i="20"/>
  <c r="C402" i="20"/>
  <c r="D402" i="20"/>
  <c r="E402" i="20"/>
  <c r="B403" i="20"/>
  <c r="C403" i="20"/>
  <c r="D403" i="20"/>
  <c r="E403" i="20"/>
  <c r="B404" i="20"/>
  <c r="C404" i="20"/>
  <c r="D404" i="20"/>
  <c r="E404" i="20"/>
  <c r="B405" i="20"/>
  <c r="C405" i="20"/>
  <c r="D405" i="20"/>
  <c r="E405" i="20"/>
  <c r="B406" i="20"/>
  <c r="C406" i="20"/>
  <c r="D406" i="20"/>
  <c r="E406" i="20"/>
  <c r="B407" i="20"/>
  <c r="C407" i="20"/>
  <c r="D407" i="20"/>
  <c r="E407" i="20"/>
  <c r="B408" i="20"/>
  <c r="C408" i="20"/>
  <c r="D408" i="20"/>
  <c r="E408" i="20"/>
  <c r="B409" i="20"/>
  <c r="C409" i="20"/>
  <c r="D409" i="20"/>
  <c r="E409" i="20"/>
  <c r="B410" i="20"/>
  <c r="C410" i="20"/>
  <c r="D410" i="20"/>
  <c r="E410" i="20"/>
  <c r="B411" i="20"/>
  <c r="C411" i="20"/>
  <c r="D411" i="20"/>
  <c r="E411" i="20"/>
  <c r="B412" i="20"/>
  <c r="C412" i="20"/>
  <c r="D412" i="20"/>
  <c r="E412" i="20"/>
  <c r="B413" i="20"/>
  <c r="C413" i="20"/>
  <c r="D413" i="20"/>
  <c r="E413" i="20"/>
  <c r="B414" i="20"/>
  <c r="C414" i="20"/>
  <c r="D414" i="20"/>
  <c r="E414" i="20"/>
  <c r="B415" i="20"/>
  <c r="C415" i="20"/>
  <c r="D415" i="20"/>
  <c r="E415" i="20"/>
  <c r="B416" i="20"/>
  <c r="C416" i="20"/>
  <c r="D416" i="20"/>
  <c r="E416" i="20"/>
  <c r="B417" i="20"/>
  <c r="C417" i="20"/>
  <c r="D417" i="20"/>
  <c r="E417" i="20"/>
  <c r="B418" i="20"/>
  <c r="C418" i="20"/>
  <c r="D418" i="20"/>
  <c r="E418" i="20"/>
  <c r="B419" i="20"/>
  <c r="C419" i="20"/>
  <c r="D419" i="20"/>
  <c r="E419" i="20"/>
  <c r="B420" i="20"/>
  <c r="C420" i="20"/>
  <c r="D420" i="20"/>
  <c r="E420" i="20"/>
  <c r="B421" i="20"/>
  <c r="C421" i="20"/>
  <c r="D421" i="20"/>
  <c r="E421" i="20"/>
  <c r="B422" i="20"/>
  <c r="C422" i="20"/>
  <c r="D422" i="20"/>
  <c r="E422" i="20"/>
  <c r="B423" i="20"/>
  <c r="C423" i="20"/>
  <c r="D423" i="20"/>
  <c r="E423" i="20"/>
  <c r="B424" i="20"/>
  <c r="C424" i="20"/>
  <c r="D424" i="20"/>
  <c r="E424" i="20"/>
  <c r="B425" i="20"/>
  <c r="C425" i="20"/>
  <c r="D425" i="20"/>
  <c r="E425" i="20"/>
  <c r="B426" i="20"/>
  <c r="C426" i="20"/>
  <c r="D426" i="20"/>
  <c r="E426" i="20"/>
  <c r="B427" i="20"/>
  <c r="C427" i="20"/>
  <c r="D427" i="20"/>
  <c r="E427" i="20"/>
  <c r="B428" i="20"/>
  <c r="C428" i="20"/>
  <c r="D428" i="20"/>
  <c r="E428" i="20"/>
  <c r="B429" i="20"/>
  <c r="C429" i="20"/>
  <c r="D429" i="20"/>
  <c r="E429" i="20"/>
  <c r="B430" i="20"/>
  <c r="C430" i="20"/>
  <c r="D430" i="20"/>
  <c r="E430" i="20"/>
  <c r="B431" i="20"/>
  <c r="C431" i="20"/>
  <c r="D431" i="20"/>
  <c r="E431" i="20"/>
  <c r="B432" i="20"/>
  <c r="C432" i="20"/>
  <c r="D432" i="20"/>
  <c r="E432" i="20"/>
  <c r="B433" i="20"/>
  <c r="C433" i="20"/>
  <c r="D433" i="20"/>
  <c r="E433" i="20"/>
  <c r="B434" i="20"/>
  <c r="C434" i="20"/>
  <c r="D434" i="20"/>
  <c r="E434" i="20"/>
  <c r="B435" i="20"/>
  <c r="C435" i="20"/>
  <c r="D435" i="20"/>
  <c r="E435" i="20"/>
  <c r="B436" i="20"/>
  <c r="C436" i="20"/>
  <c r="D436" i="20"/>
  <c r="E436" i="20"/>
  <c r="B437" i="20"/>
  <c r="C437" i="20"/>
  <c r="D437" i="20"/>
  <c r="E437" i="20"/>
  <c r="B438" i="20"/>
  <c r="C438" i="20"/>
  <c r="D438" i="20"/>
  <c r="E438" i="20"/>
  <c r="B439" i="20"/>
  <c r="C439" i="20"/>
  <c r="D439" i="20"/>
  <c r="E439" i="20"/>
  <c r="B440" i="20"/>
  <c r="C440" i="20"/>
  <c r="D440" i="20"/>
  <c r="E440" i="20"/>
  <c r="B441" i="20"/>
  <c r="C441" i="20"/>
  <c r="D441" i="20"/>
  <c r="E441" i="20"/>
  <c r="B442" i="20"/>
  <c r="C442" i="20"/>
  <c r="D442" i="20"/>
  <c r="E442" i="20"/>
  <c r="B443" i="20"/>
  <c r="C443" i="20"/>
  <c r="D443" i="20"/>
  <c r="E443" i="20"/>
  <c r="B444" i="20"/>
  <c r="C444" i="20"/>
  <c r="D444" i="20"/>
  <c r="E444" i="20"/>
  <c r="B445" i="20"/>
  <c r="C445" i="20"/>
  <c r="D445" i="20"/>
  <c r="E445" i="20"/>
  <c r="B446" i="20"/>
  <c r="C446" i="20"/>
  <c r="D446" i="20"/>
  <c r="E446" i="20"/>
  <c r="B447" i="20"/>
  <c r="C447" i="20"/>
  <c r="D447" i="20"/>
  <c r="E447" i="20"/>
  <c r="B448" i="20"/>
  <c r="C448" i="20"/>
  <c r="D448" i="20"/>
  <c r="E448" i="20"/>
  <c r="B449" i="20"/>
  <c r="C449" i="20"/>
  <c r="D449" i="20"/>
  <c r="E449" i="20"/>
  <c r="B450" i="20"/>
  <c r="C450" i="20"/>
  <c r="D450" i="20"/>
  <c r="E450" i="20"/>
  <c r="B451" i="20"/>
  <c r="C451" i="20"/>
  <c r="D451" i="20"/>
  <c r="E451" i="20"/>
  <c r="B452" i="20"/>
  <c r="C452" i="20"/>
  <c r="D452" i="20"/>
  <c r="E452" i="20"/>
  <c r="B453" i="20"/>
  <c r="C453" i="20"/>
  <c r="D453" i="20"/>
  <c r="E453" i="20"/>
  <c r="B454" i="20"/>
  <c r="C454" i="20"/>
  <c r="D454" i="20"/>
  <c r="E454" i="20"/>
  <c r="B455" i="20"/>
  <c r="C455" i="20"/>
  <c r="D455" i="20"/>
  <c r="E455" i="20"/>
  <c r="B456" i="20"/>
  <c r="C456" i="20"/>
  <c r="D456" i="20"/>
  <c r="E456" i="20"/>
  <c r="B457" i="20"/>
  <c r="C457" i="20"/>
  <c r="D457" i="20"/>
  <c r="E457" i="20"/>
  <c r="B458" i="20"/>
  <c r="C458" i="20"/>
  <c r="D458" i="20"/>
  <c r="E458" i="20"/>
  <c r="B459" i="20"/>
  <c r="C459" i="20"/>
  <c r="D459" i="20"/>
  <c r="E459" i="20"/>
  <c r="B460" i="20"/>
  <c r="C460" i="20"/>
  <c r="D460" i="20"/>
  <c r="E460" i="20"/>
  <c r="B461" i="20"/>
  <c r="C461" i="20"/>
  <c r="D461" i="20"/>
  <c r="E461" i="20"/>
  <c r="B462" i="20"/>
  <c r="C462" i="20"/>
  <c r="D462" i="20"/>
  <c r="E462" i="20"/>
  <c r="B463" i="20"/>
  <c r="C463" i="20"/>
  <c r="D463" i="20"/>
  <c r="E463" i="20"/>
  <c r="B464" i="20"/>
  <c r="C464" i="20"/>
  <c r="D464" i="20"/>
  <c r="E464" i="20"/>
  <c r="B465" i="20"/>
  <c r="C465" i="20"/>
  <c r="D465" i="20"/>
  <c r="E465" i="20"/>
  <c r="B466" i="20"/>
  <c r="C466" i="20"/>
  <c r="D466" i="20"/>
  <c r="E466" i="20"/>
  <c r="B467" i="20"/>
  <c r="C467" i="20"/>
  <c r="D467" i="20"/>
  <c r="E467" i="20"/>
  <c r="B468" i="20"/>
  <c r="C468" i="20"/>
  <c r="D468" i="20"/>
  <c r="E468" i="20"/>
  <c r="B469" i="20"/>
  <c r="C469" i="20"/>
  <c r="D469" i="20"/>
  <c r="E469" i="20"/>
  <c r="B470" i="20"/>
  <c r="C470" i="20"/>
  <c r="D470" i="20"/>
  <c r="E470" i="20"/>
  <c r="B471" i="20"/>
  <c r="C471" i="20"/>
  <c r="D471" i="20"/>
  <c r="E471" i="20"/>
  <c r="B472" i="20"/>
  <c r="C472" i="20"/>
  <c r="D472" i="20"/>
  <c r="E472" i="20"/>
  <c r="B473" i="20"/>
  <c r="C473" i="20"/>
  <c r="D473" i="20"/>
  <c r="E473" i="20"/>
  <c r="B474" i="20"/>
  <c r="C474" i="20"/>
  <c r="D474" i="20"/>
  <c r="E474" i="20"/>
  <c r="B475" i="20"/>
  <c r="C475" i="20"/>
  <c r="D475" i="20"/>
  <c r="E475" i="20"/>
  <c r="B476" i="20"/>
  <c r="C476" i="20"/>
  <c r="D476" i="20"/>
  <c r="E476" i="20"/>
  <c r="B477" i="20"/>
  <c r="C477" i="20"/>
  <c r="D477" i="20"/>
  <c r="E477" i="20"/>
  <c r="B478" i="20"/>
  <c r="C478" i="20"/>
  <c r="D478" i="20"/>
  <c r="E478" i="20"/>
  <c r="B479" i="20"/>
  <c r="C479" i="20"/>
  <c r="D479" i="20"/>
  <c r="E479" i="20"/>
  <c r="B480" i="20"/>
  <c r="C480" i="20"/>
  <c r="D480" i="20"/>
  <c r="E480" i="20"/>
  <c r="B481" i="20"/>
  <c r="C481" i="20"/>
  <c r="D481" i="20"/>
  <c r="E481" i="20"/>
  <c r="B482" i="20"/>
  <c r="C482" i="20"/>
  <c r="D482" i="20"/>
  <c r="E482" i="20"/>
  <c r="B483" i="20"/>
  <c r="C483" i="20"/>
  <c r="D483" i="20"/>
  <c r="E483" i="20"/>
  <c r="B484" i="20"/>
  <c r="C484" i="20"/>
  <c r="D484" i="20"/>
  <c r="E484" i="20"/>
  <c r="B485" i="20"/>
  <c r="C485" i="20"/>
  <c r="D485" i="20"/>
  <c r="E485" i="20"/>
  <c r="B486" i="20"/>
  <c r="C486" i="20"/>
  <c r="D486" i="20"/>
  <c r="E486" i="20"/>
  <c r="B487" i="20"/>
  <c r="C487" i="20"/>
  <c r="D487" i="20"/>
  <c r="E487" i="20"/>
  <c r="B309" i="19"/>
  <c r="C309" i="19"/>
  <c r="D309" i="19"/>
  <c r="E309" i="19"/>
  <c r="B310" i="19"/>
  <c r="C310" i="19"/>
  <c r="D310" i="19"/>
  <c r="E310" i="19"/>
  <c r="B311" i="19"/>
  <c r="C311" i="19"/>
  <c r="D311" i="19"/>
  <c r="E311" i="19"/>
  <c r="B312" i="19"/>
  <c r="C312" i="19"/>
  <c r="D312" i="19"/>
  <c r="E312" i="19"/>
  <c r="B313" i="19"/>
  <c r="C313" i="19"/>
  <c r="D313" i="19"/>
  <c r="E313" i="19"/>
  <c r="B314" i="19"/>
  <c r="C314" i="19"/>
  <c r="D314" i="19"/>
  <c r="E314" i="19"/>
  <c r="B315" i="19"/>
  <c r="C315" i="19"/>
  <c r="D315" i="19"/>
  <c r="E315" i="19"/>
  <c r="B316" i="19"/>
  <c r="C316" i="19"/>
  <c r="D316" i="19"/>
  <c r="E316" i="19"/>
  <c r="B317" i="19"/>
  <c r="C317" i="19"/>
  <c r="D317" i="19"/>
  <c r="E317" i="19"/>
  <c r="B318" i="19"/>
  <c r="C318" i="19"/>
  <c r="D318" i="19"/>
  <c r="E318" i="19"/>
  <c r="B319" i="19"/>
  <c r="C319" i="19"/>
  <c r="D319" i="19"/>
  <c r="E319" i="19"/>
  <c r="B320" i="19"/>
  <c r="C320" i="19"/>
  <c r="D320" i="19"/>
  <c r="E320" i="19"/>
  <c r="B321" i="19"/>
  <c r="C321" i="19"/>
  <c r="D321" i="19"/>
  <c r="E321" i="19"/>
  <c r="B322" i="19"/>
  <c r="C322" i="19"/>
  <c r="D322" i="19"/>
  <c r="E322" i="19"/>
  <c r="B323" i="19"/>
  <c r="C323" i="19"/>
  <c r="D323" i="19"/>
  <c r="E323" i="19"/>
  <c r="B324" i="19"/>
  <c r="C324" i="19"/>
  <c r="D324" i="19"/>
  <c r="E324" i="19"/>
  <c r="B325" i="19"/>
  <c r="C325" i="19"/>
  <c r="D325" i="19"/>
  <c r="E325" i="19"/>
  <c r="B326" i="19"/>
  <c r="C326" i="19"/>
  <c r="D326" i="19"/>
  <c r="E326" i="19"/>
  <c r="B327" i="19"/>
  <c r="C327" i="19"/>
  <c r="D327" i="19"/>
  <c r="E327" i="19"/>
  <c r="B328" i="19"/>
  <c r="C328" i="19"/>
  <c r="D328" i="19"/>
  <c r="E328" i="19"/>
  <c r="B329" i="19"/>
  <c r="C329" i="19"/>
  <c r="D329" i="19"/>
  <c r="E329" i="19"/>
  <c r="B330" i="19"/>
  <c r="C330" i="19"/>
  <c r="D330" i="19"/>
  <c r="E330" i="19"/>
  <c r="B331" i="19"/>
  <c r="C331" i="19"/>
  <c r="D331" i="19"/>
  <c r="E331" i="19"/>
  <c r="B332" i="19"/>
  <c r="C332" i="19"/>
  <c r="D332" i="19"/>
  <c r="E332" i="19"/>
  <c r="B333" i="19"/>
  <c r="C333" i="19"/>
  <c r="D333" i="19"/>
  <c r="E333" i="19"/>
  <c r="B334" i="19"/>
  <c r="C334" i="19"/>
  <c r="D334" i="19"/>
  <c r="E334" i="19"/>
  <c r="B335" i="19"/>
  <c r="C335" i="19"/>
  <c r="D335" i="19"/>
  <c r="E335" i="19"/>
  <c r="B336" i="19"/>
  <c r="C336" i="19"/>
  <c r="D336" i="19"/>
  <c r="E336" i="19"/>
  <c r="B337" i="19"/>
  <c r="C337" i="19"/>
  <c r="D337" i="19"/>
  <c r="E337" i="19"/>
  <c r="B338" i="19"/>
  <c r="C338" i="19"/>
  <c r="D338" i="19"/>
  <c r="E338" i="19"/>
  <c r="B339" i="19"/>
  <c r="C339" i="19"/>
  <c r="D339" i="19"/>
  <c r="E339" i="19"/>
  <c r="B340" i="19"/>
  <c r="C340" i="19"/>
  <c r="D340" i="19"/>
  <c r="E340" i="19"/>
  <c r="B341" i="19"/>
  <c r="C341" i="19"/>
  <c r="D341" i="19"/>
  <c r="E341" i="19"/>
  <c r="B342" i="19"/>
  <c r="C342" i="19"/>
  <c r="D342" i="19"/>
  <c r="E342" i="19"/>
  <c r="B343" i="19"/>
  <c r="C343" i="19"/>
  <c r="D343" i="19"/>
  <c r="E343" i="19"/>
  <c r="B344" i="19"/>
  <c r="C344" i="19"/>
  <c r="D344" i="19"/>
  <c r="E344" i="19"/>
  <c r="B345" i="19"/>
  <c r="C345" i="19"/>
  <c r="D345" i="19"/>
  <c r="E345" i="19"/>
  <c r="B346" i="19"/>
  <c r="C346" i="19"/>
  <c r="D346" i="19"/>
  <c r="E346" i="19"/>
  <c r="B347" i="19"/>
  <c r="C347" i="19"/>
  <c r="D347" i="19"/>
  <c r="E347" i="19"/>
  <c r="B348" i="19"/>
  <c r="C348" i="19"/>
  <c r="D348" i="19"/>
  <c r="E348" i="19"/>
  <c r="B349" i="19"/>
  <c r="C349" i="19"/>
  <c r="D349" i="19"/>
  <c r="E349" i="19"/>
  <c r="B350" i="19"/>
  <c r="C350" i="19"/>
  <c r="D350" i="19"/>
  <c r="E350" i="19"/>
  <c r="B351" i="19"/>
  <c r="C351" i="19"/>
  <c r="D351" i="19"/>
  <c r="E351" i="19"/>
  <c r="B352" i="19"/>
  <c r="C352" i="19"/>
  <c r="D352" i="19"/>
  <c r="E352" i="19"/>
  <c r="B353" i="19"/>
  <c r="C353" i="19"/>
  <c r="D353" i="19"/>
  <c r="E353" i="19"/>
  <c r="B354" i="19"/>
  <c r="C354" i="19"/>
  <c r="D354" i="19"/>
  <c r="E354" i="19"/>
  <c r="B355" i="19"/>
  <c r="C355" i="19"/>
  <c r="D355" i="19"/>
  <c r="E355" i="19"/>
  <c r="B356" i="19"/>
  <c r="C356" i="19"/>
  <c r="D356" i="19"/>
  <c r="E356" i="19"/>
  <c r="B357" i="19"/>
  <c r="C357" i="19"/>
  <c r="D357" i="19"/>
  <c r="E357" i="19"/>
  <c r="B358" i="19"/>
  <c r="C358" i="19"/>
  <c r="D358" i="19"/>
  <c r="E358" i="19"/>
  <c r="B359" i="19"/>
  <c r="C359" i="19"/>
  <c r="D359" i="19"/>
  <c r="E359" i="19"/>
  <c r="B360" i="19"/>
  <c r="C360" i="19"/>
  <c r="D360" i="19"/>
  <c r="E360" i="19"/>
  <c r="B361" i="19"/>
  <c r="C361" i="19"/>
  <c r="D361" i="19"/>
  <c r="E361" i="19"/>
  <c r="B362" i="19"/>
  <c r="C362" i="19"/>
  <c r="D362" i="19"/>
  <c r="E362" i="19"/>
  <c r="B363" i="19"/>
  <c r="C363" i="19"/>
  <c r="D363" i="19"/>
  <c r="E363" i="19"/>
  <c r="B364" i="19"/>
  <c r="C364" i="19"/>
  <c r="D364" i="19"/>
  <c r="E364" i="19"/>
  <c r="B365" i="19"/>
  <c r="C365" i="19"/>
  <c r="D365" i="19"/>
  <c r="E365" i="19"/>
  <c r="B366" i="19"/>
  <c r="C366" i="19"/>
  <c r="D366" i="19"/>
  <c r="E366" i="19"/>
  <c r="B367" i="19"/>
  <c r="C367" i="19"/>
  <c r="D367" i="19"/>
  <c r="E367" i="19"/>
  <c r="B368" i="19"/>
  <c r="C368" i="19"/>
  <c r="D368" i="19"/>
  <c r="E368" i="19"/>
  <c r="B369" i="19"/>
  <c r="C369" i="19"/>
  <c r="D369" i="19"/>
  <c r="E369" i="19"/>
  <c r="B370" i="19"/>
  <c r="C370" i="19"/>
  <c r="D370" i="19"/>
  <c r="E370" i="19"/>
  <c r="B371" i="19"/>
  <c r="C371" i="19"/>
  <c r="D371" i="19"/>
  <c r="E371" i="19"/>
  <c r="B372" i="19"/>
  <c r="C372" i="19"/>
  <c r="D372" i="19"/>
  <c r="E372" i="19"/>
  <c r="B373" i="19"/>
  <c r="C373" i="19"/>
  <c r="D373" i="19"/>
  <c r="E373" i="19"/>
  <c r="B374" i="19"/>
  <c r="C374" i="19"/>
  <c r="D374" i="19"/>
  <c r="E374" i="19"/>
  <c r="B375" i="19"/>
  <c r="C375" i="19"/>
  <c r="D375" i="19"/>
  <c r="E375" i="19"/>
  <c r="B376" i="19"/>
  <c r="C376" i="19"/>
  <c r="D376" i="19"/>
  <c r="E376" i="19"/>
  <c r="B377" i="19"/>
  <c r="C377" i="19"/>
  <c r="D377" i="19"/>
  <c r="E377" i="19"/>
  <c r="B378" i="19"/>
  <c r="C378" i="19"/>
  <c r="D378" i="19"/>
  <c r="E378" i="19"/>
  <c r="B379" i="19"/>
  <c r="C379" i="19"/>
  <c r="D379" i="19"/>
  <c r="E379" i="19"/>
  <c r="B380" i="19"/>
  <c r="C380" i="19"/>
  <c r="D380" i="19"/>
  <c r="E380" i="19"/>
  <c r="B381" i="19"/>
  <c r="C381" i="19"/>
  <c r="D381" i="19"/>
  <c r="E381" i="19"/>
  <c r="B382" i="19"/>
  <c r="C382" i="19"/>
  <c r="D382" i="19"/>
  <c r="E382" i="19"/>
  <c r="B383" i="19"/>
  <c r="C383" i="19"/>
  <c r="D383" i="19"/>
  <c r="E383" i="19"/>
  <c r="B384" i="19"/>
  <c r="C384" i="19"/>
  <c r="D384" i="19"/>
  <c r="E384" i="19"/>
  <c r="B385" i="19"/>
  <c r="C385" i="19"/>
  <c r="D385" i="19"/>
  <c r="E385" i="19"/>
  <c r="B386" i="19"/>
  <c r="C386" i="19"/>
  <c r="D386" i="19"/>
  <c r="E386" i="19"/>
  <c r="B387" i="19"/>
  <c r="C387" i="19"/>
  <c r="D387" i="19"/>
  <c r="E387" i="19"/>
  <c r="B388" i="19"/>
  <c r="C388" i="19"/>
  <c r="D388" i="19"/>
  <c r="E388" i="19"/>
  <c r="B389" i="19"/>
  <c r="C389" i="19"/>
  <c r="D389" i="19"/>
  <c r="E389" i="19"/>
  <c r="B390" i="19"/>
  <c r="C390" i="19"/>
  <c r="D390" i="19"/>
  <c r="E390" i="19"/>
  <c r="B391" i="19"/>
  <c r="C391" i="19"/>
  <c r="D391" i="19"/>
  <c r="E391" i="19"/>
  <c r="B392" i="19"/>
  <c r="C392" i="19"/>
  <c r="D392" i="19"/>
  <c r="E392" i="19"/>
  <c r="B393" i="19"/>
  <c r="C393" i="19"/>
  <c r="D393" i="19"/>
  <c r="E393" i="19"/>
  <c r="B394" i="19"/>
  <c r="C394" i="19"/>
  <c r="D394" i="19"/>
  <c r="E394" i="19"/>
  <c r="B395" i="19"/>
  <c r="C395" i="19"/>
  <c r="D395" i="19"/>
  <c r="E395" i="19"/>
  <c r="B396" i="19"/>
  <c r="C396" i="19"/>
  <c r="D396" i="19"/>
  <c r="E396" i="19"/>
  <c r="B397" i="19"/>
  <c r="C397" i="19"/>
  <c r="D397" i="19"/>
  <c r="E397" i="19"/>
  <c r="B398" i="19"/>
  <c r="C398" i="19"/>
  <c r="D398" i="19"/>
  <c r="E398" i="19"/>
  <c r="B399" i="19"/>
  <c r="C399" i="19"/>
  <c r="D399" i="19"/>
  <c r="E399" i="19"/>
  <c r="B400" i="19"/>
  <c r="C400" i="19"/>
  <c r="D400" i="19"/>
  <c r="E400" i="19"/>
  <c r="B401" i="19"/>
  <c r="C401" i="19"/>
  <c r="D401" i="19"/>
  <c r="E401" i="19"/>
  <c r="B402" i="19"/>
  <c r="C402" i="19"/>
  <c r="D402" i="19"/>
  <c r="E402" i="19"/>
  <c r="B403" i="19"/>
  <c r="C403" i="19"/>
  <c r="D403" i="19"/>
  <c r="E403" i="19"/>
  <c r="B404" i="19"/>
  <c r="C404" i="19"/>
  <c r="D404" i="19"/>
  <c r="E404" i="19"/>
  <c r="B405" i="19"/>
  <c r="C405" i="19"/>
  <c r="D405" i="19"/>
  <c r="E405" i="19"/>
  <c r="B406" i="19"/>
  <c r="C406" i="19"/>
  <c r="D406" i="19"/>
  <c r="E406" i="19"/>
  <c r="B407" i="19"/>
  <c r="C407" i="19"/>
  <c r="D407" i="19"/>
  <c r="E407" i="19"/>
  <c r="B408" i="19"/>
  <c r="C408" i="19"/>
  <c r="D408" i="19"/>
  <c r="E408" i="19"/>
  <c r="B409" i="19"/>
  <c r="C409" i="19"/>
  <c r="D409" i="19"/>
  <c r="E409" i="19"/>
  <c r="B410" i="19"/>
  <c r="C410" i="19"/>
  <c r="D410" i="19"/>
  <c r="E410" i="19"/>
  <c r="B411" i="19"/>
  <c r="C411" i="19"/>
  <c r="D411" i="19"/>
  <c r="E411" i="19"/>
  <c r="B412" i="19"/>
  <c r="C412" i="19"/>
  <c r="D412" i="19"/>
  <c r="E412" i="19"/>
  <c r="B413" i="19"/>
  <c r="C413" i="19"/>
  <c r="D413" i="19"/>
  <c r="E413" i="19"/>
  <c r="B414" i="19"/>
  <c r="C414" i="19"/>
  <c r="D414" i="19"/>
  <c r="E414" i="19"/>
  <c r="B415" i="19"/>
  <c r="C415" i="19"/>
  <c r="D415" i="19"/>
  <c r="E415" i="19"/>
  <c r="B416" i="19"/>
  <c r="C416" i="19"/>
  <c r="D416" i="19"/>
  <c r="E416" i="19"/>
  <c r="B417" i="19"/>
  <c r="C417" i="19"/>
  <c r="D417" i="19"/>
  <c r="E417" i="19"/>
  <c r="B418" i="19"/>
  <c r="C418" i="19"/>
  <c r="D418" i="19"/>
  <c r="E418" i="19"/>
  <c r="B419" i="19"/>
  <c r="C419" i="19"/>
  <c r="D419" i="19"/>
  <c r="E419" i="19"/>
  <c r="B420" i="19"/>
  <c r="C420" i="19"/>
  <c r="D420" i="19"/>
  <c r="E420" i="19"/>
  <c r="B421" i="19"/>
  <c r="C421" i="19"/>
  <c r="D421" i="19"/>
  <c r="E421" i="19"/>
  <c r="B422" i="19"/>
  <c r="C422" i="19"/>
  <c r="D422" i="19"/>
  <c r="E422" i="19"/>
  <c r="B423" i="19"/>
  <c r="C423" i="19"/>
  <c r="D423" i="19"/>
  <c r="E423" i="19"/>
  <c r="B424" i="19"/>
  <c r="C424" i="19"/>
  <c r="D424" i="19"/>
  <c r="E424" i="19"/>
  <c r="B425" i="19"/>
  <c r="C425" i="19"/>
  <c r="D425" i="19"/>
  <c r="E425" i="19"/>
  <c r="B426" i="19"/>
  <c r="C426" i="19"/>
  <c r="D426" i="19"/>
  <c r="E426" i="19"/>
  <c r="B427" i="19"/>
  <c r="C427" i="19"/>
  <c r="D427" i="19"/>
  <c r="E427" i="19"/>
  <c r="B428" i="19"/>
  <c r="C428" i="19"/>
  <c r="D428" i="19"/>
  <c r="E428" i="19"/>
  <c r="B429" i="19"/>
  <c r="C429" i="19"/>
  <c r="D429" i="19"/>
  <c r="E429" i="19"/>
  <c r="B309" i="23"/>
  <c r="C309" i="23"/>
  <c r="D309" i="23"/>
  <c r="E309" i="23"/>
  <c r="B310" i="23"/>
  <c r="C310" i="23"/>
  <c r="D310" i="23"/>
  <c r="E310" i="23"/>
  <c r="B311" i="23"/>
  <c r="C311" i="23"/>
  <c r="D311" i="23"/>
  <c r="E311" i="23"/>
  <c r="B312" i="23"/>
  <c r="C312" i="23"/>
  <c r="D312" i="23"/>
  <c r="E312" i="23"/>
  <c r="B313" i="23"/>
  <c r="C313" i="23"/>
  <c r="D313" i="23"/>
  <c r="E313" i="23"/>
  <c r="B314" i="23"/>
  <c r="C314" i="23"/>
  <c r="D314" i="23"/>
  <c r="E314" i="23"/>
  <c r="B315" i="23"/>
  <c r="C315" i="23"/>
  <c r="D315" i="23"/>
  <c r="E315" i="23"/>
  <c r="B316" i="23"/>
  <c r="C316" i="23"/>
  <c r="D316" i="23"/>
  <c r="E316" i="23"/>
  <c r="B317" i="23"/>
  <c r="C317" i="23"/>
  <c r="D317" i="23"/>
  <c r="E317" i="23"/>
  <c r="B318" i="23"/>
  <c r="C318" i="23"/>
  <c r="D318" i="23"/>
  <c r="E318" i="23"/>
  <c r="B319" i="23"/>
  <c r="C319" i="23"/>
  <c r="D319" i="23"/>
  <c r="E319" i="23"/>
  <c r="B320" i="23"/>
  <c r="C320" i="23"/>
  <c r="D320" i="23"/>
  <c r="E320" i="23"/>
  <c r="B321" i="23"/>
  <c r="C321" i="23"/>
  <c r="D321" i="23"/>
  <c r="E321" i="23"/>
  <c r="B322" i="23"/>
  <c r="C322" i="23"/>
  <c r="D322" i="23"/>
  <c r="E322" i="23"/>
  <c r="B323" i="23"/>
  <c r="C323" i="23"/>
  <c r="D323" i="23"/>
  <c r="E323" i="23"/>
  <c r="B324" i="23"/>
  <c r="C324" i="23"/>
  <c r="D324" i="23"/>
  <c r="E324" i="23"/>
  <c r="B325" i="23"/>
  <c r="C325" i="23"/>
  <c r="D325" i="23"/>
  <c r="E325" i="23"/>
  <c r="B326" i="23"/>
  <c r="C326" i="23"/>
  <c r="D326" i="23"/>
  <c r="E326" i="23"/>
  <c r="B327" i="23"/>
  <c r="C327" i="23"/>
  <c r="D327" i="23"/>
  <c r="E327" i="23"/>
  <c r="B328" i="23"/>
  <c r="C328" i="23"/>
  <c r="D328" i="23"/>
  <c r="E328" i="23"/>
  <c r="B329" i="23"/>
  <c r="C329" i="23"/>
  <c r="D329" i="23"/>
  <c r="E329" i="23"/>
  <c r="B330" i="23"/>
  <c r="C330" i="23"/>
  <c r="D330" i="23"/>
  <c r="E330" i="23"/>
  <c r="B331" i="23"/>
  <c r="C331" i="23"/>
  <c r="D331" i="23"/>
  <c r="E331" i="23"/>
  <c r="B332" i="23"/>
  <c r="C332" i="23"/>
  <c r="D332" i="23"/>
  <c r="E332" i="23"/>
  <c r="B333" i="23"/>
  <c r="C333" i="23"/>
  <c r="D333" i="23"/>
  <c r="E333" i="23"/>
  <c r="B334" i="23"/>
  <c r="C334" i="23"/>
  <c r="D334" i="23"/>
  <c r="E334" i="23"/>
  <c r="B335" i="23"/>
  <c r="C335" i="23"/>
  <c r="D335" i="23"/>
  <c r="E335" i="23"/>
  <c r="B336" i="23"/>
  <c r="C336" i="23"/>
  <c r="D336" i="23"/>
  <c r="E336" i="23"/>
  <c r="B337" i="23"/>
  <c r="C337" i="23"/>
  <c r="D337" i="23"/>
  <c r="E337" i="23"/>
  <c r="B338" i="23"/>
  <c r="C338" i="23"/>
  <c r="D338" i="23"/>
  <c r="E338" i="23"/>
  <c r="B339" i="23"/>
  <c r="C339" i="23"/>
  <c r="D339" i="23"/>
  <c r="E339" i="23"/>
  <c r="B340" i="23"/>
  <c r="C340" i="23"/>
  <c r="D340" i="23"/>
  <c r="E340" i="23"/>
  <c r="B341" i="23"/>
  <c r="C341" i="23"/>
  <c r="D341" i="23"/>
  <c r="E341" i="23"/>
  <c r="B342" i="23"/>
  <c r="C342" i="23"/>
  <c r="D342" i="23"/>
  <c r="E342" i="23"/>
  <c r="B343" i="23"/>
  <c r="C343" i="23"/>
  <c r="D343" i="23"/>
  <c r="E343" i="23"/>
  <c r="B344" i="23"/>
  <c r="C344" i="23"/>
  <c r="D344" i="23"/>
  <c r="E344" i="23"/>
  <c r="B345" i="23"/>
  <c r="C345" i="23"/>
  <c r="D345" i="23"/>
  <c r="E345" i="23"/>
  <c r="B346" i="23"/>
  <c r="C346" i="23"/>
  <c r="D346" i="23"/>
  <c r="E346" i="23"/>
  <c r="B347" i="23"/>
  <c r="C347" i="23"/>
  <c r="D347" i="23"/>
  <c r="E347" i="23"/>
  <c r="B348" i="23"/>
  <c r="C348" i="23"/>
  <c r="D348" i="23"/>
  <c r="E348" i="23"/>
  <c r="B349" i="23"/>
  <c r="C349" i="23"/>
  <c r="D349" i="23"/>
  <c r="E349" i="23"/>
  <c r="B350" i="23"/>
  <c r="C350" i="23"/>
  <c r="D350" i="23"/>
  <c r="E350" i="23"/>
  <c r="B351" i="23"/>
  <c r="C351" i="23"/>
  <c r="D351" i="23"/>
  <c r="E351" i="23"/>
  <c r="B352" i="23"/>
  <c r="C352" i="23"/>
  <c r="D352" i="23"/>
  <c r="E352" i="23"/>
  <c r="B353" i="23"/>
  <c r="C353" i="23"/>
  <c r="D353" i="23"/>
  <c r="E353" i="23"/>
  <c r="B354" i="23"/>
  <c r="C354" i="23"/>
  <c r="D354" i="23"/>
  <c r="E354" i="23"/>
  <c r="B355" i="23"/>
  <c r="C355" i="23"/>
  <c r="D355" i="23"/>
  <c r="E355" i="23"/>
  <c r="B356" i="23"/>
  <c r="C356" i="23"/>
  <c r="D356" i="23"/>
  <c r="E356" i="23"/>
  <c r="B357" i="23"/>
  <c r="C357" i="23"/>
  <c r="D357" i="23"/>
  <c r="E357" i="23"/>
  <c r="B358" i="23"/>
  <c r="C358" i="23"/>
  <c r="D358" i="23"/>
  <c r="E358" i="23"/>
  <c r="B359" i="23"/>
  <c r="C359" i="23"/>
  <c r="D359" i="23"/>
  <c r="E359" i="23"/>
  <c r="B360" i="23"/>
  <c r="C360" i="23"/>
  <c r="D360" i="23"/>
  <c r="E360" i="23"/>
  <c r="B361" i="23"/>
  <c r="C361" i="23"/>
  <c r="D361" i="23"/>
  <c r="E361" i="23"/>
  <c r="B362" i="23"/>
  <c r="C362" i="23"/>
  <c r="D362" i="23"/>
  <c r="E362" i="23"/>
  <c r="B363" i="23"/>
  <c r="C363" i="23"/>
  <c r="D363" i="23"/>
  <c r="E363" i="23"/>
  <c r="B364" i="23"/>
  <c r="C364" i="23"/>
  <c r="D364" i="23"/>
  <c r="E364" i="23"/>
  <c r="B365" i="23"/>
  <c r="C365" i="23"/>
  <c r="D365" i="23"/>
  <c r="E365" i="23"/>
  <c r="B366" i="23"/>
  <c r="C366" i="23"/>
  <c r="D366" i="23"/>
  <c r="E366" i="23"/>
  <c r="B367" i="23"/>
  <c r="C367" i="23"/>
  <c r="D367" i="23"/>
  <c r="E367" i="23"/>
  <c r="B368" i="23"/>
  <c r="C368" i="23"/>
  <c r="D368" i="23"/>
  <c r="E368" i="23"/>
  <c r="B369" i="23"/>
  <c r="C369" i="23"/>
  <c r="D369" i="23"/>
  <c r="E369" i="23"/>
  <c r="B370" i="23"/>
  <c r="C370" i="23"/>
  <c r="D370" i="23"/>
  <c r="E370" i="23"/>
  <c r="B371" i="23"/>
  <c r="C371" i="23"/>
  <c r="D371" i="23"/>
  <c r="E371" i="23"/>
  <c r="B372" i="23"/>
  <c r="C372" i="23"/>
  <c r="D372" i="23"/>
  <c r="E372" i="23"/>
  <c r="B373" i="23"/>
  <c r="C373" i="23"/>
  <c r="D373" i="23"/>
  <c r="E373" i="23"/>
  <c r="B374" i="23"/>
  <c r="C374" i="23"/>
  <c r="D374" i="23"/>
  <c r="E374" i="23"/>
  <c r="B375" i="23"/>
  <c r="C375" i="23"/>
  <c r="D375" i="23"/>
  <c r="E375" i="23"/>
  <c r="B376" i="23"/>
  <c r="C376" i="23"/>
  <c r="D376" i="23"/>
  <c r="E376" i="23"/>
  <c r="B377" i="23"/>
  <c r="C377" i="23"/>
  <c r="D377" i="23"/>
  <c r="E377" i="23"/>
  <c r="B378" i="23"/>
  <c r="C378" i="23"/>
  <c r="D378" i="23"/>
  <c r="E378" i="23"/>
  <c r="B379" i="23"/>
  <c r="C379" i="23"/>
  <c r="D379" i="23"/>
  <c r="E379" i="23"/>
  <c r="B380" i="23"/>
  <c r="C380" i="23"/>
  <c r="D380" i="23"/>
  <c r="E380" i="23"/>
  <c r="B381" i="23"/>
  <c r="C381" i="23"/>
  <c r="D381" i="23"/>
  <c r="E381" i="23"/>
  <c r="B382" i="23"/>
  <c r="C382" i="23"/>
  <c r="D382" i="23"/>
  <c r="E382" i="23"/>
  <c r="B383" i="23"/>
  <c r="C383" i="23"/>
  <c r="D383" i="23"/>
  <c r="E383" i="23"/>
  <c r="B384" i="23"/>
  <c r="C384" i="23"/>
  <c r="D384" i="23"/>
  <c r="E384" i="23"/>
  <c r="B385" i="23"/>
  <c r="C385" i="23"/>
  <c r="D385" i="23"/>
  <c r="E385" i="23"/>
  <c r="B386" i="23"/>
  <c r="C386" i="23"/>
  <c r="D386" i="23"/>
  <c r="E386" i="23"/>
  <c r="B387" i="23"/>
  <c r="C387" i="23"/>
  <c r="D387" i="23"/>
  <c r="E387" i="23"/>
  <c r="B388" i="23"/>
  <c r="C388" i="23"/>
  <c r="D388" i="23"/>
  <c r="E388" i="23"/>
  <c r="B389" i="23"/>
  <c r="C389" i="23"/>
  <c r="D389" i="23"/>
  <c r="E389" i="23"/>
  <c r="B390" i="23"/>
  <c r="C390" i="23"/>
  <c r="D390" i="23"/>
  <c r="E390" i="23"/>
  <c r="B391" i="23"/>
  <c r="C391" i="23"/>
  <c r="D391" i="23"/>
  <c r="E391" i="23"/>
  <c r="B392" i="23"/>
  <c r="C392" i="23"/>
  <c r="D392" i="23"/>
  <c r="E392" i="23"/>
  <c r="B393" i="23"/>
  <c r="C393" i="23"/>
  <c r="D393" i="23"/>
  <c r="E393" i="23"/>
  <c r="B394" i="23"/>
  <c r="C394" i="23"/>
  <c r="D394" i="23"/>
  <c r="E394" i="23"/>
  <c r="B395" i="23"/>
  <c r="C395" i="23"/>
  <c r="D395" i="23"/>
  <c r="E395" i="23"/>
  <c r="B396" i="23"/>
  <c r="C396" i="23"/>
  <c r="D396" i="23"/>
  <c r="E396" i="23"/>
  <c r="B397" i="23"/>
  <c r="C397" i="23"/>
  <c r="D397" i="23"/>
  <c r="E397" i="23"/>
  <c r="B398" i="23"/>
  <c r="C398" i="23"/>
  <c r="D398" i="23"/>
  <c r="E398" i="23"/>
  <c r="B399" i="23"/>
  <c r="C399" i="23"/>
  <c r="D399" i="23"/>
  <c r="E399" i="23"/>
  <c r="B400" i="23"/>
  <c r="C400" i="23"/>
  <c r="D400" i="23"/>
  <c r="E400" i="23"/>
  <c r="B401" i="23"/>
  <c r="C401" i="23"/>
  <c r="D401" i="23"/>
  <c r="E401" i="23"/>
  <c r="B402" i="23"/>
  <c r="C402" i="23"/>
  <c r="D402" i="23"/>
  <c r="E402" i="23"/>
  <c r="B403" i="23"/>
  <c r="C403" i="23"/>
  <c r="D403" i="23"/>
  <c r="E403" i="23"/>
  <c r="B404" i="23"/>
  <c r="C404" i="23"/>
  <c r="D404" i="23"/>
  <c r="E404" i="23"/>
  <c r="B405" i="23"/>
  <c r="C405" i="23"/>
  <c r="D405" i="23"/>
  <c r="E405" i="23"/>
  <c r="B406" i="23"/>
  <c r="C406" i="23"/>
  <c r="D406" i="23"/>
  <c r="E406" i="23"/>
  <c r="B407" i="23"/>
  <c r="C407" i="23"/>
  <c r="D407" i="23"/>
  <c r="E407" i="23"/>
  <c r="B408" i="23"/>
  <c r="C408" i="23"/>
  <c r="D408" i="23"/>
  <c r="E408" i="23"/>
  <c r="B409" i="23"/>
  <c r="C409" i="23"/>
  <c r="D409" i="23"/>
  <c r="E409" i="23"/>
  <c r="B410" i="23"/>
  <c r="C410" i="23"/>
  <c r="D410" i="23"/>
  <c r="E410" i="23"/>
  <c r="B411" i="23"/>
  <c r="C411" i="23"/>
  <c r="D411" i="23"/>
  <c r="E411" i="23"/>
  <c r="B412" i="23"/>
  <c r="C412" i="23"/>
  <c r="D412" i="23"/>
  <c r="E412" i="23"/>
  <c r="B413" i="23"/>
  <c r="C413" i="23"/>
  <c r="D413" i="23"/>
  <c r="E413" i="23"/>
  <c r="B414" i="23"/>
  <c r="C414" i="23"/>
  <c r="D414" i="23"/>
  <c r="E414" i="23"/>
  <c r="B415" i="23"/>
  <c r="C415" i="23"/>
  <c r="D415" i="23"/>
  <c r="E415" i="23"/>
  <c r="B416" i="23"/>
  <c r="C416" i="23"/>
  <c r="D416" i="23"/>
  <c r="E416" i="23"/>
  <c r="B417" i="23"/>
  <c r="C417" i="23"/>
  <c r="D417" i="23"/>
  <c r="E417" i="23"/>
  <c r="B418" i="23"/>
  <c r="C418" i="23"/>
  <c r="D418" i="23"/>
  <c r="E418" i="23"/>
  <c r="B419" i="23"/>
  <c r="C419" i="23"/>
  <c r="D419" i="23"/>
  <c r="E419" i="23"/>
  <c r="B420" i="23"/>
  <c r="C420" i="23"/>
  <c r="D420" i="23"/>
  <c r="E420" i="23"/>
  <c r="B421" i="23"/>
  <c r="C421" i="23"/>
  <c r="D421" i="23"/>
  <c r="E421" i="23"/>
  <c r="B422" i="23"/>
  <c r="C422" i="23"/>
  <c r="D422" i="23"/>
  <c r="E422" i="23"/>
  <c r="B423" i="23"/>
  <c r="C423" i="23"/>
  <c r="D423" i="23"/>
  <c r="E423" i="23"/>
  <c r="B424" i="23"/>
  <c r="C424" i="23"/>
  <c r="D424" i="23"/>
  <c r="E424" i="23"/>
  <c r="B425" i="23"/>
  <c r="C425" i="23"/>
  <c r="D425" i="23"/>
  <c r="E425" i="23"/>
  <c r="B426" i="23"/>
  <c r="C426" i="23"/>
  <c r="D426" i="23"/>
  <c r="E426" i="23"/>
  <c r="B427" i="23"/>
  <c r="C427" i="23"/>
  <c r="D427" i="23"/>
  <c r="E427" i="23"/>
  <c r="B428" i="23"/>
  <c r="C428" i="23"/>
  <c r="D428" i="23"/>
  <c r="E428" i="23"/>
  <c r="B429" i="23"/>
  <c r="C429" i="23"/>
  <c r="D429" i="23"/>
  <c r="E429" i="23"/>
  <c r="B430" i="23"/>
  <c r="C430" i="23"/>
  <c r="D430" i="23"/>
  <c r="E430" i="23"/>
  <c r="B431" i="23"/>
  <c r="C431" i="23"/>
  <c r="D431" i="23"/>
  <c r="E431" i="23"/>
  <c r="B432" i="23"/>
  <c r="C432" i="23"/>
  <c r="D432" i="23"/>
  <c r="E432" i="23"/>
  <c r="B433" i="23"/>
  <c r="C433" i="23"/>
  <c r="D433" i="23"/>
  <c r="E433" i="23"/>
  <c r="B434" i="23"/>
  <c r="C434" i="23"/>
  <c r="D434" i="23"/>
  <c r="E434" i="23"/>
  <c r="B435" i="23"/>
  <c r="C435" i="23"/>
  <c r="D435" i="23"/>
  <c r="E435" i="23"/>
  <c r="B436" i="23"/>
  <c r="C436" i="23"/>
  <c r="D436" i="23"/>
  <c r="E436" i="23"/>
  <c r="B437" i="23"/>
  <c r="C437" i="23"/>
  <c r="D437" i="23"/>
  <c r="E437" i="23"/>
  <c r="B438" i="23"/>
  <c r="C438" i="23"/>
  <c r="D438" i="23"/>
  <c r="E438" i="23"/>
  <c r="B439" i="23"/>
  <c r="C439" i="23"/>
  <c r="D439" i="23"/>
  <c r="E439" i="23"/>
  <c r="B440" i="23"/>
  <c r="C440" i="23"/>
  <c r="D440" i="23"/>
  <c r="E440" i="23"/>
  <c r="B441" i="23"/>
  <c r="C441" i="23"/>
  <c r="D441" i="23"/>
  <c r="E441" i="23"/>
  <c r="B442" i="23"/>
  <c r="C442" i="23"/>
  <c r="D442" i="23"/>
  <c r="E442" i="23"/>
  <c r="B443" i="23"/>
  <c r="C443" i="23"/>
  <c r="D443" i="23"/>
  <c r="E443" i="23"/>
  <c r="B444" i="23"/>
  <c r="C444" i="23"/>
  <c r="D444" i="23"/>
  <c r="E444" i="23"/>
  <c r="B445" i="23"/>
  <c r="C445" i="23"/>
  <c r="D445" i="23"/>
  <c r="E445" i="23"/>
  <c r="B446" i="23"/>
  <c r="C446" i="23"/>
  <c r="D446" i="23"/>
  <c r="E446" i="23"/>
  <c r="B447" i="23"/>
  <c r="C447" i="23"/>
  <c r="D447" i="23"/>
  <c r="E447" i="23"/>
  <c r="B448" i="23"/>
  <c r="C448" i="23"/>
  <c r="D448" i="23"/>
  <c r="E448" i="23"/>
  <c r="B449" i="23"/>
  <c r="C449" i="23"/>
  <c r="D449" i="23"/>
  <c r="E449" i="23"/>
  <c r="B450" i="23"/>
  <c r="C450" i="23"/>
  <c r="D450" i="23"/>
  <c r="E450" i="23"/>
  <c r="B451" i="23"/>
  <c r="C451" i="23"/>
  <c r="D451" i="23"/>
  <c r="E451" i="23"/>
  <c r="B452" i="23"/>
  <c r="C452" i="23"/>
  <c r="D452" i="23"/>
  <c r="E452" i="23"/>
  <c r="B453" i="23"/>
  <c r="C453" i="23"/>
  <c r="D453" i="23"/>
  <c r="E453" i="23"/>
  <c r="B454" i="23"/>
  <c r="C454" i="23"/>
  <c r="D454" i="23"/>
  <c r="E454" i="23"/>
  <c r="B455" i="23"/>
  <c r="C455" i="23"/>
  <c r="D455" i="23"/>
  <c r="E455" i="23"/>
  <c r="B456" i="23"/>
  <c r="C456" i="23"/>
  <c r="D456" i="23"/>
  <c r="E456" i="23"/>
  <c r="B457" i="23"/>
  <c r="C457" i="23"/>
  <c r="D457" i="23"/>
  <c r="E457" i="23"/>
  <c r="B458" i="23"/>
  <c r="C458" i="23"/>
  <c r="D458" i="23"/>
  <c r="E458" i="23"/>
  <c r="B459" i="23"/>
  <c r="C459" i="23"/>
  <c r="D459" i="23"/>
  <c r="E459" i="23"/>
  <c r="B460" i="23"/>
  <c r="C460" i="23"/>
  <c r="D460" i="23"/>
  <c r="E460" i="23"/>
  <c r="B461" i="23"/>
  <c r="C461" i="23"/>
  <c r="D461" i="23"/>
  <c r="E461" i="23"/>
  <c r="B462" i="23"/>
  <c r="C462" i="23"/>
  <c r="D462" i="23"/>
  <c r="E462" i="23"/>
  <c r="B463" i="23"/>
  <c r="C463" i="23"/>
  <c r="D463" i="23"/>
  <c r="E463" i="23"/>
  <c r="B464" i="23"/>
  <c r="C464" i="23"/>
  <c r="D464" i="23"/>
  <c r="E464" i="23"/>
  <c r="B465" i="23"/>
  <c r="C465" i="23"/>
  <c r="D465" i="23"/>
  <c r="E465" i="23"/>
  <c r="B466" i="23"/>
  <c r="C466" i="23"/>
  <c r="D466" i="23"/>
  <c r="E466" i="23"/>
  <c r="B467" i="23"/>
  <c r="C467" i="23"/>
  <c r="D467" i="23"/>
  <c r="E467" i="23"/>
  <c r="B468" i="23"/>
  <c r="C468" i="23"/>
  <c r="D468" i="23"/>
  <c r="E468" i="23"/>
  <c r="B469" i="23"/>
  <c r="C469" i="23"/>
  <c r="D469" i="23"/>
  <c r="E469" i="23"/>
  <c r="B470" i="23"/>
  <c r="C470" i="23"/>
  <c r="D470" i="23"/>
  <c r="E470" i="23"/>
  <c r="B471" i="23"/>
  <c r="C471" i="23"/>
  <c r="D471" i="23"/>
  <c r="E471" i="23"/>
  <c r="B472" i="23"/>
  <c r="C472" i="23"/>
  <c r="D472" i="23"/>
  <c r="E472" i="23"/>
  <c r="B473" i="23"/>
  <c r="C473" i="23"/>
  <c r="D473" i="23"/>
  <c r="E473" i="23"/>
  <c r="B474" i="23"/>
  <c r="C474" i="23"/>
  <c r="D474" i="23"/>
  <c r="E474" i="23"/>
  <c r="B475" i="23"/>
  <c r="C475" i="23"/>
  <c r="D475" i="23"/>
  <c r="E475" i="23"/>
  <c r="B476" i="23"/>
  <c r="C476" i="23"/>
  <c r="D476" i="23"/>
  <c r="E476" i="23"/>
  <c r="B477" i="23"/>
  <c r="C477" i="23"/>
  <c r="D477" i="23"/>
  <c r="E477" i="23"/>
  <c r="B478" i="23"/>
  <c r="C478" i="23"/>
  <c r="D478" i="23"/>
  <c r="E478" i="23"/>
  <c r="B479" i="23"/>
  <c r="C479" i="23"/>
  <c r="D479" i="23"/>
  <c r="E479" i="23"/>
  <c r="B480" i="23"/>
  <c r="C480" i="23"/>
  <c r="D480" i="23"/>
  <c r="E480" i="23"/>
  <c r="B481" i="23"/>
  <c r="C481" i="23"/>
  <c r="D481" i="23"/>
  <c r="E481" i="23"/>
  <c r="B482" i="23"/>
  <c r="C482" i="23"/>
  <c r="D482" i="23"/>
  <c r="E482" i="23"/>
  <c r="B483" i="23"/>
  <c r="C483" i="23"/>
  <c r="D483" i="23"/>
  <c r="E483" i="23"/>
  <c r="B484" i="23"/>
  <c r="C484" i="23"/>
  <c r="D484" i="23"/>
  <c r="E484" i="23"/>
  <c r="B485" i="23"/>
  <c r="C485" i="23"/>
  <c r="D485" i="23"/>
  <c r="E485" i="23"/>
  <c r="B486" i="23"/>
  <c r="C486" i="23"/>
  <c r="D486" i="23"/>
  <c r="E486" i="23"/>
  <c r="B487" i="23"/>
  <c r="C487" i="23"/>
  <c r="D487" i="23"/>
  <c r="E487" i="23"/>
  <c r="B488" i="23"/>
  <c r="C488" i="23"/>
  <c r="D488" i="23"/>
  <c r="E488" i="23"/>
  <c r="F166" i="18"/>
  <c r="B309" i="18"/>
  <c r="C309" i="18"/>
  <c r="D309" i="18"/>
  <c r="E309" i="18"/>
  <c r="B310" i="18"/>
  <c r="C310" i="18"/>
  <c r="D310" i="18"/>
  <c r="E310" i="18"/>
  <c r="B311" i="18"/>
  <c r="C311" i="18"/>
  <c r="D311" i="18"/>
  <c r="E311" i="18"/>
  <c r="B312" i="18"/>
  <c r="C312" i="18"/>
  <c r="D312" i="18"/>
  <c r="E312" i="18"/>
  <c r="B313" i="18"/>
  <c r="C313" i="18"/>
  <c r="D313" i="18"/>
  <c r="E313" i="18"/>
  <c r="B314" i="18"/>
  <c r="C314" i="18"/>
  <c r="D314" i="18"/>
  <c r="E314" i="18"/>
  <c r="B315" i="18"/>
  <c r="C315" i="18"/>
  <c r="D315" i="18"/>
  <c r="E315" i="18"/>
  <c r="B316" i="18"/>
  <c r="C316" i="18"/>
  <c r="D316" i="18"/>
  <c r="E316" i="18"/>
  <c r="B317" i="18"/>
  <c r="C317" i="18"/>
  <c r="D317" i="18"/>
  <c r="E317" i="18"/>
  <c r="B318" i="18"/>
  <c r="C318" i="18"/>
  <c r="D318" i="18"/>
  <c r="E318" i="18"/>
  <c r="B319" i="18"/>
  <c r="C319" i="18"/>
  <c r="D319" i="18"/>
  <c r="E319" i="18"/>
  <c r="B320" i="18"/>
  <c r="C320" i="18"/>
  <c r="D320" i="18"/>
  <c r="E320" i="18"/>
  <c r="B321" i="18"/>
  <c r="C321" i="18"/>
  <c r="D321" i="18"/>
  <c r="E321" i="18"/>
  <c r="B322" i="18"/>
  <c r="C322" i="18"/>
  <c r="D322" i="18"/>
  <c r="E322" i="18"/>
  <c r="B323" i="18"/>
  <c r="C323" i="18"/>
  <c r="D323" i="18"/>
  <c r="E323" i="18"/>
  <c r="B324" i="18"/>
  <c r="C324" i="18"/>
  <c r="D324" i="18"/>
  <c r="E324" i="18"/>
  <c r="B325" i="18"/>
  <c r="C325" i="18"/>
  <c r="D325" i="18"/>
  <c r="E325" i="18"/>
  <c r="B326" i="18"/>
  <c r="C326" i="18"/>
  <c r="D326" i="18"/>
  <c r="E326" i="18"/>
  <c r="B327" i="18"/>
  <c r="C327" i="18"/>
  <c r="D327" i="18"/>
  <c r="E327" i="18"/>
  <c r="B328" i="18"/>
  <c r="C328" i="18"/>
  <c r="D328" i="18"/>
  <c r="E328" i="18"/>
  <c r="B329" i="18"/>
  <c r="C329" i="18"/>
  <c r="D329" i="18"/>
  <c r="E329" i="18"/>
  <c r="B330" i="18"/>
  <c r="C330" i="18"/>
  <c r="D330" i="18"/>
  <c r="E330" i="18"/>
  <c r="B331" i="18"/>
  <c r="C331" i="18"/>
  <c r="D331" i="18"/>
  <c r="E331" i="18"/>
  <c r="B332" i="18"/>
  <c r="C332" i="18"/>
  <c r="D332" i="18"/>
  <c r="E332" i="18"/>
  <c r="B333" i="18"/>
  <c r="C333" i="18"/>
  <c r="D333" i="18"/>
  <c r="E333" i="18"/>
  <c r="B334" i="18"/>
  <c r="C334" i="18"/>
  <c r="D334" i="18"/>
  <c r="E334" i="18"/>
  <c r="B335" i="18"/>
  <c r="C335" i="18"/>
  <c r="D335" i="18"/>
  <c r="E335" i="18"/>
  <c r="B336" i="18"/>
  <c r="C336" i="18"/>
  <c r="D336" i="18"/>
  <c r="E336" i="18"/>
  <c r="B337" i="18"/>
  <c r="C337" i="18"/>
  <c r="D337" i="18"/>
  <c r="E337" i="18"/>
  <c r="B338" i="18"/>
  <c r="C338" i="18"/>
  <c r="D338" i="18"/>
  <c r="E338" i="18"/>
  <c r="B339" i="18"/>
  <c r="C339" i="18"/>
  <c r="D339" i="18"/>
  <c r="E339" i="18"/>
  <c r="B340" i="18"/>
  <c r="C340" i="18"/>
  <c r="D340" i="18"/>
  <c r="E340" i="18"/>
  <c r="B341" i="18"/>
  <c r="C341" i="18"/>
  <c r="D341" i="18"/>
  <c r="E341" i="18"/>
  <c r="B342" i="18"/>
  <c r="C342" i="18"/>
  <c r="D342" i="18"/>
  <c r="E342" i="18"/>
  <c r="B343" i="18"/>
  <c r="C343" i="18"/>
  <c r="D343" i="18"/>
  <c r="E343" i="18"/>
  <c r="B344" i="18"/>
  <c r="C344" i="18"/>
  <c r="D344" i="18"/>
  <c r="E344" i="18"/>
  <c r="B345" i="18"/>
  <c r="C345" i="18"/>
  <c r="D345" i="18"/>
  <c r="E345" i="18"/>
  <c r="B346" i="18"/>
  <c r="C346" i="18"/>
  <c r="D346" i="18"/>
  <c r="E346" i="18"/>
  <c r="B347" i="18"/>
  <c r="C347" i="18"/>
  <c r="D347" i="18"/>
  <c r="E347" i="18"/>
  <c r="B348" i="18"/>
  <c r="C348" i="18"/>
  <c r="D348" i="18"/>
  <c r="E348" i="18"/>
  <c r="B349" i="18"/>
  <c r="C349" i="18"/>
  <c r="D349" i="18"/>
  <c r="E349" i="18"/>
  <c r="B350" i="18"/>
  <c r="C350" i="18"/>
  <c r="D350" i="18"/>
  <c r="E350" i="18"/>
  <c r="B351" i="18"/>
  <c r="C351" i="18"/>
  <c r="D351" i="18"/>
  <c r="E351" i="18"/>
  <c r="B352" i="18"/>
  <c r="C352" i="18"/>
  <c r="D352" i="18"/>
  <c r="E352" i="18"/>
  <c r="B353" i="18"/>
  <c r="C353" i="18"/>
  <c r="D353" i="18"/>
  <c r="E353" i="18"/>
  <c r="B354" i="18"/>
  <c r="C354" i="18"/>
  <c r="D354" i="18"/>
  <c r="E354" i="18"/>
  <c r="B355" i="18"/>
  <c r="C355" i="18"/>
  <c r="D355" i="18"/>
  <c r="E355" i="18"/>
  <c r="B356" i="18"/>
  <c r="C356" i="18"/>
  <c r="D356" i="18"/>
  <c r="E356" i="18"/>
  <c r="B357" i="18"/>
  <c r="C357" i="18"/>
  <c r="D357" i="18"/>
  <c r="E357" i="18"/>
  <c r="B358" i="18"/>
  <c r="C358" i="18"/>
  <c r="D358" i="18"/>
  <c r="E358" i="18"/>
  <c r="B359" i="18"/>
  <c r="C359" i="18"/>
  <c r="D359" i="18"/>
  <c r="E359" i="18"/>
  <c r="B360" i="18"/>
  <c r="C360" i="18"/>
  <c r="D360" i="18"/>
  <c r="E360" i="18"/>
  <c r="B361" i="18"/>
  <c r="C361" i="18"/>
  <c r="D361" i="18"/>
  <c r="E361" i="18"/>
  <c r="B362" i="18"/>
  <c r="C362" i="18"/>
  <c r="D362" i="18"/>
  <c r="E362" i="18"/>
  <c r="B363" i="18"/>
  <c r="C363" i="18"/>
  <c r="D363" i="18"/>
  <c r="E363" i="18"/>
  <c r="B364" i="18"/>
  <c r="C364" i="18"/>
  <c r="D364" i="18"/>
  <c r="E364" i="18"/>
  <c r="B365" i="18"/>
  <c r="C365" i="18"/>
  <c r="D365" i="18"/>
  <c r="E365" i="18"/>
  <c r="B366" i="18"/>
  <c r="C366" i="18"/>
  <c r="D366" i="18"/>
  <c r="E366" i="18"/>
  <c r="B367" i="18"/>
  <c r="C367" i="18"/>
  <c r="D367" i="18"/>
  <c r="E367" i="18"/>
  <c r="B368" i="18"/>
  <c r="C368" i="18"/>
  <c r="D368" i="18"/>
  <c r="E368" i="18"/>
  <c r="B369" i="18"/>
  <c r="C369" i="18"/>
  <c r="D369" i="18"/>
  <c r="E369" i="18"/>
  <c r="B370" i="18"/>
  <c r="C370" i="18"/>
  <c r="D370" i="18"/>
  <c r="E370" i="18"/>
  <c r="B371" i="18"/>
  <c r="C371" i="18"/>
  <c r="D371" i="18"/>
  <c r="E371" i="18"/>
  <c r="B372" i="18"/>
  <c r="C372" i="18"/>
  <c r="D372" i="18"/>
  <c r="E372" i="18"/>
  <c r="B373" i="18"/>
  <c r="C373" i="18"/>
  <c r="D373" i="18"/>
  <c r="E373" i="18"/>
  <c r="B374" i="18"/>
  <c r="C374" i="18"/>
  <c r="D374" i="18"/>
  <c r="E374" i="18"/>
  <c r="B375" i="18"/>
  <c r="C375" i="18"/>
  <c r="D375" i="18"/>
  <c r="E375" i="18"/>
  <c r="B376" i="18"/>
  <c r="C376" i="18"/>
  <c r="D376" i="18"/>
  <c r="E376" i="18"/>
  <c r="B377" i="18"/>
  <c r="C377" i="18"/>
  <c r="D377" i="18"/>
  <c r="E377" i="18"/>
  <c r="B378" i="18"/>
  <c r="C378" i="18"/>
  <c r="D378" i="18"/>
  <c r="E378" i="18"/>
  <c r="B379" i="18"/>
  <c r="C379" i="18"/>
  <c r="D379" i="18"/>
  <c r="E379" i="18"/>
  <c r="B380" i="18"/>
  <c r="C380" i="18"/>
  <c r="D380" i="18"/>
  <c r="E380" i="18"/>
  <c r="B381" i="18"/>
  <c r="C381" i="18"/>
  <c r="D381" i="18"/>
  <c r="E381" i="18"/>
  <c r="B382" i="18"/>
  <c r="C382" i="18"/>
  <c r="D382" i="18"/>
  <c r="E382" i="18"/>
  <c r="B383" i="18"/>
  <c r="C383" i="18"/>
  <c r="D383" i="18"/>
  <c r="E383" i="18"/>
  <c r="B384" i="18"/>
  <c r="C384" i="18"/>
  <c r="D384" i="18"/>
  <c r="E384" i="18"/>
  <c r="B385" i="18"/>
  <c r="C385" i="18"/>
  <c r="D385" i="18"/>
  <c r="E385" i="18"/>
  <c r="B386" i="18"/>
  <c r="C386" i="18"/>
  <c r="D386" i="18"/>
  <c r="E386" i="18"/>
  <c r="B387" i="18"/>
  <c r="C387" i="18"/>
  <c r="D387" i="18"/>
  <c r="E387" i="18"/>
  <c r="B388" i="18"/>
  <c r="C388" i="18"/>
  <c r="D388" i="18"/>
  <c r="E388" i="18"/>
  <c r="B389" i="18"/>
  <c r="C389" i="18"/>
  <c r="D389" i="18"/>
  <c r="E389" i="18"/>
  <c r="B390" i="18"/>
  <c r="C390" i="18"/>
  <c r="D390" i="18"/>
  <c r="E390" i="18"/>
  <c r="B391" i="18"/>
  <c r="C391" i="18"/>
  <c r="D391" i="18"/>
  <c r="E391" i="18"/>
  <c r="B392" i="18"/>
  <c r="C392" i="18"/>
  <c r="D392" i="18"/>
  <c r="E392" i="18"/>
  <c r="B393" i="18"/>
  <c r="C393" i="18"/>
  <c r="D393" i="18"/>
  <c r="E393" i="18"/>
  <c r="B394" i="18"/>
  <c r="C394" i="18"/>
  <c r="D394" i="18"/>
  <c r="E394" i="18"/>
  <c r="B395" i="18"/>
  <c r="C395" i="18"/>
  <c r="D395" i="18"/>
  <c r="E395" i="18"/>
  <c r="B396" i="18"/>
  <c r="C396" i="18"/>
  <c r="D396" i="18"/>
  <c r="E396" i="18"/>
  <c r="B397" i="18"/>
  <c r="C397" i="18"/>
  <c r="D397" i="18"/>
  <c r="E397" i="18"/>
  <c r="B398" i="18"/>
  <c r="C398" i="18"/>
  <c r="D398" i="18"/>
  <c r="E398" i="18"/>
  <c r="B399" i="18"/>
  <c r="C399" i="18"/>
  <c r="D399" i="18"/>
  <c r="E399" i="18"/>
  <c r="B400" i="18"/>
  <c r="C400" i="18"/>
  <c r="D400" i="18"/>
  <c r="E400" i="18"/>
  <c r="B401" i="18"/>
  <c r="C401" i="18"/>
  <c r="D401" i="18"/>
  <c r="E401" i="18"/>
  <c r="B402" i="18"/>
  <c r="C402" i="18"/>
  <c r="D402" i="18"/>
  <c r="E402" i="18"/>
  <c r="B403" i="18"/>
  <c r="C403" i="18"/>
  <c r="D403" i="18"/>
  <c r="E403" i="18"/>
  <c r="B404" i="18"/>
  <c r="C404" i="18"/>
  <c r="D404" i="18"/>
  <c r="E404" i="18"/>
  <c r="B405" i="18"/>
  <c r="C405" i="18"/>
  <c r="D405" i="18"/>
  <c r="E405" i="18"/>
  <c r="B406" i="18"/>
  <c r="C406" i="18"/>
  <c r="D406" i="18"/>
  <c r="E406" i="18"/>
  <c r="B407" i="18"/>
  <c r="C407" i="18"/>
  <c r="D407" i="18"/>
  <c r="E407" i="18"/>
  <c r="B408" i="18"/>
  <c r="C408" i="18"/>
  <c r="D408" i="18"/>
  <c r="E408" i="18"/>
  <c r="B409" i="18"/>
  <c r="C409" i="18"/>
  <c r="D409" i="18"/>
  <c r="E409" i="18"/>
  <c r="B410" i="18"/>
  <c r="C410" i="18"/>
  <c r="D410" i="18"/>
  <c r="E410" i="18"/>
  <c r="B411" i="18"/>
  <c r="C411" i="18"/>
  <c r="D411" i="18"/>
  <c r="E411" i="18"/>
  <c r="B412" i="18"/>
  <c r="C412" i="18"/>
  <c r="D412" i="18"/>
  <c r="E412" i="18"/>
  <c r="B413" i="18"/>
  <c r="C413" i="18"/>
  <c r="D413" i="18"/>
  <c r="E413" i="18"/>
  <c r="B414" i="18"/>
  <c r="C414" i="18"/>
  <c r="D414" i="18"/>
  <c r="E414" i="18"/>
  <c r="B415" i="18"/>
  <c r="C415" i="18"/>
  <c r="D415" i="18"/>
  <c r="E415" i="18"/>
  <c r="B416" i="18"/>
  <c r="C416" i="18"/>
  <c r="D416" i="18"/>
  <c r="E416" i="18"/>
  <c r="B417" i="18"/>
  <c r="C417" i="18"/>
  <c r="D417" i="18"/>
  <c r="E417" i="18"/>
  <c r="B418" i="18"/>
  <c r="C418" i="18"/>
  <c r="D418" i="18"/>
  <c r="E418" i="18"/>
  <c r="B419" i="18"/>
  <c r="C419" i="18"/>
  <c r="D419" i="18"/>
  <c r="E419" i="18"/>
  <c r="B420" i="18"/>
  <c r="C420" i="18"/>
  <c r="D420" i="18"/>
  <c r="E420" i="18"/>
  <c r="B421" i="18"/>
  <c r="C421" i="18"/>
  <c r="D421" i="18"/>
  <c r="E421" i="18"/>
  <c r="B422" i="18"/>
  <c r="C422" i="18"/>
  <c r="D422" i="18"/>
  <c r="E422" i="18"/>
  <c r="B423" i="18"/>
  <c r="C423" i="18"/>
  <c r="D423" i="18"/>
  <c r="E423" i="18"/>
  <c r="B424" i="18"/>
  <c r="C424" i="18"/>
  <c r="D424" i="18"/>
  <c r="E424" i="18"/>
  <c r="B425" i="18"/>
  <c r="C425" i="18"/>
  <c r="D425" i="18"/>
  <c r="E425" i="18"/>
  <c r="B426" i="18"/>
  <c r="C426" i="18"/>
  <c r="D426" i="18"/>
  <c r="E426" i="18"/>
  <c r="B427" i="18"/>
  <c r="C427" i="18"/>
  <c r="D427" i="18"/>
  <c r="E427" i="18"/>
  <c r="B428" i="18"/>
  <c r="C428" i="18"/>
  <c r="D428" i="18"/>
  <c r="E428" i="18"/>
  <c r="B429" i="18"/>
  <c r="C429" i="18"/>
  <c r="D429" i="18"/>
  <c r="E429" i="18"/>
  <c r="B430" i="18"/>
  <c r="C430" i="18"/>
  <c r="D430" i="18"/>
  <c r="E430" i="18"/>
  <c r="B431" i="18"/>
  <c r="C431" i="18"/>
  <c r="D431" i="18"/>
  <c r="E431" i="18"/>
  <c r="B432" i="18"/>
  <c r="C432" i="18"/>
  <c r="D432" i="18"/>
  <c r="E432" i="18"/>
  <c r="B433" i="18"/>
  <c r="C433" i="18"/>
  <c r="D433" i="18"/>
  <c r="E433" i="18"/>
  <c r="B434" i="18"/>
  <c r="C434" i="18"/>
  <c r="D434" i="18"/>
  <c r="E434" i="18"/>
  <c r="B435" i="18"/>
  <c r="C435" i="18"/>
  <c r="D435" i="18"/>
  <c r="E435" i="18"/>
  <c r="B436" i="18"/>
  <c r="C436" i="18"/>
  <c r="D436" i="18"/>
  <c r="E436" i="18"/>
  <c r="B437" i="18"/>
  <c r="C437" i="18"/>
  <c r="D437" i="18"/>
  <c r="E437" i="18"/>
  <c r="B438" i="18"/>
  <c r="C438" i="18"/>
  <c r="D438" i="18"/>
  <c r="E438" i="18"/>
  <c r="B439" i="18"/>
  <c r="C439" i="18"/>
  <c r="D439" i="18"/>
  <c r="E439" i="18"/>
  <c r="B440" i="18"/>
  <c r="C440" i="18"/>
  <c r="D440" i="18"/>
  <c r="E440" i="18"/>
  <c r="B441" i="18"/>
  <c r="C441" i="18"/>
  <c r="D441" i="18"/>
  <c r="E441" i="18"/>
  <c r="B442" i="18"/>
  <c r="C442" i="18"/>
  <c r="D442" i="18"/>
  <c r="E442" i="18"/>
  <c r="B443" i="18"/>
  <c r="C443" i="18"/>
  <c r="D443" i="18"/>
  <c r="E443" i="18"/>
  <c r="B444" i="18"/>
  <c r="C444" i="18"/>
  <c r="D444" i="18"/>
  <c r="E444" i="18"/>
  <c r="B445" i="18"/>
  <c r="C445" i="18"/>
  <c r="D445" i="18"/>
  <c r="E445" i="18"/>
  <c r="B446" i="18"/>
  <c r="C446" i="18"/>
  <c r="D446" i="18"/>
  <c r="E446" i="18"/>
  <c r="B447" i="18"/>
  <c r="C447" i="18"/>
  <c r="D447" i="18"/>
  <c r="E447" i="18"/>
  <c r="B448" i="18"/>
  <c r="C448" i="18"/>
  <c r="D448" i="18"/>
  <c r="E448" i="18"/>
  <c r="B449" i="18"/>
  <c r="C449" i="18"/>
  <c r="D449" i="18"/>
  <c r="E449" i="18"/>
  <c r="B450" i="18"/>
  <c r="C450" i="18"/>
  <c r="D450" i="18"/>
  <c r="E450" i="18"/>
  <c r="B451" i="18"/>
  <c r="C451" i="18"/>
  <c r="D451" i="18"/>
  <c r="E451" i="18"/>
  <c r="B452" i="18"/>
  <c r="C452" i="18"/>
  <c r="D452" i="18"/>
  <c r="E452" i="18"/>
  <c r="B453" i="18"/>
  <c r="C453" i="18"/>
  <c r="D453" i="18"/>
  <c r="E453" i="18"/>
  <c r="B454" i="18"/>
  <c r="C454" i="18"/>
  <c r="D454" i="18"/>
  <c r="E454" i="18"/>
  <c r="B455" i="18"/>
  <c r="C455" i="18"/>
  <c r="D455" i="18"/>
  <c r="E455" i="18"/>
  <c r="B456" i="18"/>
  <c r="C456" i="18"/>
  <c r="D456" i="18"/>
  <c r="E456" i="18"/>
  <c r="B457" i="18"/>
  <c r="C457" i="18"/>
  <c r="D457" i="18"/>
  <c r="E457" i="18"/>
  <c r="B458" i="18"/>
  <c r="C458" i="18"/>
  <c r="D458" i="18"/>
  <c r="E458" i="18"/>
  <c r="B459" i="18"/>
  <c r="C459" i="18"/>
  <c r="D459" i="18"/>
  <c r="E459" i="18"/>
  <c r="B460" i="18"/>
  <c r="C460" i="18"/>
  <c r="D460" i="18"/>
  <c r="E460" i="18"/>
  <c r="B461" i="18"/>
  <c r="C461" i="18"/>
  <c r="D461" i="18"/>
  <c r="E461" i="18"/>
  <c r="B462" i="18"/>
  <c r="C462" i="18"/>
  <c r="D462" i="18"/>
  <c r="E462" i="18"/>
  <c r="B463" i="18"/>
  <c r="C463" i="18"/>
  <c r="D463" i="18"/>
  <c r="E463" i="18"/>
  <c r="B464" i="18"/>
  <c r="C464" i="18"/>
  <c r="D464" i="18"/>
  <c r="E464" i="18"/>
  <c r="B465" i="18"/>
  <c r="C465" i="18"/>
  <c r="D465" i="18"/>
  <c r="E465" i="18"/>
  <c r="B466" i="18"/>
  <c r="C466" i="18"/>
  <c r="D466" i="18"/>
  <c r="E466" i="18"/>
  <c r="B467" i="18"/>
  <c r="C467" i="18"/>
  <c r="D467" i="18"/>
  <c r="E467" i="18"/>
  <c r="B468" i="18"/>
  <c r="C468" i="18"/>
  <c r="D468" i="18"/>
  <c r="E468" i="18"/>
  <c r="B469" i="18"/>
  <c r="C469" i="18"/>
  <c r="D469" i="18"/>
  <c r="E469" i="18"/>
  <c r="B470" i="18"/>
  <c r="C470" i="18"/>
  <c r="D470" i="18"/>
  <c r="E470" i="18"/>
  <c r="B471" i="18"/>
  <c r="C471" i="18"/>
  <c r="D471" i="18"/>
  <c r="E471" i="18"/>
  <c r="B472" i="18"/>
  <c r="C472" i="18"/>
  <c r="D472" i="18"/>
  <c r="E472" i="18"/>
  <c r="B473" i="18"/>
  <c r="C473" i="18"/>
  <c r="D473" i="18"/>
  <c r="E473" i="18"/>
  <c r="B474" i="18"/>
  <c r="C474" i="18"/>
  <c r="D474" i="18"/>
  <c r="E474" i="18"/>
  <c r="B475" i="18"/>
  <c r="C475" i="18"/>
  <c r="D475" i="18"/>
  <c r="E475" i="18"/>
  <c r="B476" i="18"/>
  <c r="C476" i="18"/>
  <c r="D476" i="18"/>
  <c r="E476" i="18"/>
  <c r="B477" i="18"/>
  <c r="C477" i="18"/>
  <c r="D477" i="18"/>
  <c r="E477" i="18"/>
  <c r="B478" i="18"/>
  <c r="C478" i="18"/>
  <c r="D478" i="18"/>
  <c r="E478" i="18"/>
  <c r="B479" i="18"/>
  <c r="C479" i="18"/>
  <c r="D479" i="18"/>
  <c r="E479" i="18"/>
  <c r="B480" i="18"/>
  <c r="C480" i="18"/>
  <c r="D480" i="18"/>
  <c r="E480" i="18"/>
  <c r="B481" i="18"/>
  <c r="C481" i="18"/>
  <c r="D481" i="18"/>
  <c r="E481" i="18"/>
  <c r="B482" i="18"/>
  <c r="C482" i="18"/>
  <c r="D482" i="18"/>
  <c r="E482" i="18"/>
  <c r="B483" i="18"/>
  <c r="C483" i="18"/>
  <c r="D483" i="18"/>
  <c r="E483" i="18"/>
  <c r="B484" i="18"/>
  <c r="C484" i="18"/>
  <c r="D484" i="18"/>
  <c r="E484" i="18"/>
  <c r="B485" i="18"/>
  <c r="C485" i="18"/>
  <c r="D485" i="18"/>
  <c r="E485" i="18"/>
  <c r="B486" i="18"/>
  <c r="C486" i="18"/>
  <c r="D486" i="18"/>
  <c r="E486" i="18"/>
  <c r="B487" i="18"/>
  <c r="C487" i="18"/>
  <c r="D487" i="18"/>
  <c r="E487" i="18"/>
  <c r="B488" i="18"/>
  <c r="C488" i="18"/>
  <c r="D488" i="18"/>
  <c r="E488" i="18"/>
  <c r="B309" i="22"/>
  <c r="C309" i="22"/>
  <c r="D309" i="22"/>
  <c r="E309" i="22"/>
  <c r="B310" i="22"/>
  <c r="C310" i="22"/>
  <c r="D310" i="22"/>
  <c r="E310" i="22"/>
  <c r="B311" i="22"/>
  <c r="C311" i="22"/>
  <c r="D311" i="22"/>
  <c r="E311" i="22"/>
  <c r="B312" i="22"/>
  <c r="C312" i="22"/>
  <c r="D312" i="22"/>
  <c r="E312" i="22"/>
  <c r="B313" i="22"/>
  <c r="C313" i="22"/>
  <c r="D313" i="22"/>
  <c r="E313" i="22"/>
  <c r="B314" i="22"/>
  <c r="C314" i="22"/>
  <c r="D314" i="22"/>
  <c r="E314" i="22"/>
  <c r="B315" i="22"/>
  <c r="C315" i="22"/>
  <c r="D315" i="22"/>
  <c r="E315" i="22"/>
  <c r="B316" i="22"/>
  <c r="C316" i="22"/>
  <c r="D316" i="22"/>
  <c r="E316" i="22"/>
  <c r="B317" i="22"/>
  <c r="C317" i="22"/>
  <c r="D317" i="22"/>
  <c r="E317" i="22"/>
  <c r="B318" i="22"/>
  <c r="C318" i="22"/>
  <c r="D318" i="22"/>
  <c r="E318" i="22"/>
  <c r="B319" i="22"/>
  <c r="C319" i="22"/>
  <c r="D319" i="22"/>
  <c r="E319" i="22"/>
  <c r="B320" i="22"/>
  <c r="C320" i="22"/>
  <c r="D320" i="22"/>
  <c r="E320" i="22"/>
  <c r="B321" i="22"/>
  <c r="C321" i="22"/>
  <c r="D321" i="22"/>
  <c r="E321" i="22"/>
  <c r="B322" i="22"/>
  <c r="C322" i="22"/>
  <c r="D322" i="22"/>
  <c r="E322" i="22"/>
  <c r="B323" i="22"/>
  <c r="C323" i="22"/>
  <c r="D323" i="22"/>
  <c r="E323" i="22"/>
  <c r="B324" i="22"/>
  <c r="C324" i="22"/>
  <c r="D324" i="22"/>
  <c r="E324" i="22"/>
  <c r="B325" i="22"/>
  <c r="C325" i="22"/>
  <c r="D325" i="22"/>
  <c r="E325" i="22"/>
  <c r="B326" i="22"/>
  <c r="C326" i="22"/>
  <c r="D326" i="22"/>
  <c r="E326" i="22"/>
  <c r="B327" i="22"/>
  <c r="C327" i="22"/>
  <c r="D327" i="22"/>
  <c r="E327" i="22"/>
  <c r="B328" i="22"/>
  <c r="C328" i="22"/>
  <c r="D328" i="22"/>
  <c r="E328" i="22"/>
  <c r="B329" i="22"/>
  <c r="C329" i="22"/>
  <c r="D329" i="22"/>
  <c r="E329" i="22"/>
  <c r="B330" i="22"/>
  <c r="C330" i="22"/>
  <c r="D330" i="22"/>
  <c r="E330" i="22"/>
  <c r="B331" i="22"/>
  <c r="C331" i="22"/>
  <c r="D331" i="22"/>
  <c r="E331" i="22"/>
  <c r="B332" i="22"/>
  <c r="C332" i="22"/>
  <c r="D332" i="22"/>
  <c r="E332" i="22"/>
  <c r="B333" i="22"/>
  <c r="C333" i="22"/>
  <c r="D333" i="22"/>
  <c r="E333" i="22"/>
  <c r="B334" i="22"/>
  <c r="C334" i="22"/>
  <c r="D334" i="22"/>
  <c r="E334" i="22"/>
  <c r="B335" i="22"/>
  <c r="C335" i="22"/>
  <c r="D335" i="22"/>
  <c r="E335" i="22"/>
  <c r="B336" i="22"/>
  <c r="C336" i="22"/>
  <c r="D336" i="22"/>
  <c r="E336" i="22"/>
  <c r="B337" i="22"/>
  <c r="C337" i="22"/>
  <c r="D337" i="22"/>
  <c r="E337" i="22"/>
  <c r="B338" i="22"/>
  <c r="C338" i="22"/>
  <c r="D338" i="22"/>
  <c r="E338" i="22"/>
  <c r="B339" i="22"/>
  <c r="C339" i="22"/>
  <c r="D339" i="22"/>
  <c r="E339" i="22"/>
  <c r="B340" i="22"/>
  <c r="C340" i="22"/>
  <c r="D340" i="22"/>
  <c r="E340" i="22"/>
  <c r="B341" i="22"/>
  <c r="C341" i="22"/>
  <c r="D341" i="22"/>
  <c r="E341" i="22"/>
  <c r="B342" i="22"/>
  <c r="C342" i="22"/>
  <c r="D342" i="22"/>
  <c r="E342" i="22"/>
  <c r="B343" i="22"/>
  <c r="C343" i="22"/>
  <c r="D343" i="22"/>
  <c r="E343" i="22"/>
  <c r="B344" i="22"/>
  <c r="C344" i="22"/>
  <c r="D344" i="22"/>
  <c r="E344" i="22"/>
  <c r="B345" i="22"/>
  <c r="C345" i="22"/>
  <c r="D345" i="22"/>
  <c r="E345" i="22"/>
  <c r="B346" i="22"/>
  <c r="C346" i="22"/>
  <c r="D346" i="22"/>
  <c r="E346" i="22"/>
  <c r="B347" i="22"/>
  <c r="C347" i="22"/>
  <c r="D347" i="22"/>
  <c r="E347" i="22"/>
  <c r="B348" i="22"/>
  <c r="C348" i="22"/>
  <c r="D348" i="22"/>
  <c r="E348" i="22"/>
  <c r="B349" i="22"/>
  <c r="C349" i="22"/>
  <c r="D349" i="22"/>
  <c r="E349" i="22"/>
  <c r="B350" i="22"/>
  <c r="C350" i="22"/>
  <c r="D350" i="22"/>
  <c r="E350" i="22"/>
  <c r="B351" i="22"/>
  <c r="C351" i="22"/>
  <c r="D351" i="22"/>
  <c r="E351" i="22"/>
  <c r="B352" i="22"/>
  <c r="C352" i="22"/>
  <c r="D352" i="22"/>
  <c r="E352" i="22"/>
  <c r="B353" i="22"/>
  <c r="C353" i="22"/>
  <c r="D353" i="22"/>
  <c r="E353" i="22"/>
  <c r="B354" i="22"/>
  <c r="C354" i="22"/>
  <c r="D354" i="22"/>
  <c r="E354" i="22"/>
  <c r="B355" i="22"/>
  <c r="C355" i="22"/>
  <c r="D355" i="22"/>
  <c r="E355" i="22"/>
  <c r="B356" i="22"/>
  <c r="C356" i="22"/>
  <c r="D356" i="22"/>
  <c r="E356" i="22"/>
  <c r="B357" i="22"/>
  <c r="C357" i="22"/>
  <c r="D357" i="22"/>
  <c r="E357" i="22"/>
  <c r="B358" i="22"/>
  <c r="C358" i="22"/>
  <c r="D358" i="22"/>
  <c r="E358" i="22"/>
  <c r="B359" i="22"/>
  <c r="C359" i="22"/>
  <c r="D359" i="22"/>
  <c r="E359" i="22"/>
  <c r="B360" i="22"/>
  <c r="C360" i="22"/>
  <c r="D360" i="22"/>
  <c r="E360" i="22"/>
  <c r="B361" i="22"/>
  <c r="C361" i="22"/>
  <c r="D361" i="22"/>
  <c r="E361" i="22"/>
  <c r="B362" i="22"/>
  <c r="C362" i="22"/>
  <c r="D362" i="22"/>
  <c r="E362" i="22"/>
  <c r="B363" i="22"/>
  <c r="C363" i="22"/>
  <c r="D363" i="22"/>
  <c r="E363" i="22"/>
  <c r="B364" i="22"/>
  <c r="C364" i="22"/>
  <c r="D364" i="22"/>
  <c r="E364" i="22"/>
  <c r="B365" i="22"/>
  <c r="C365" i="22"/>
  <c r="D365" i="22"/>
  <c r="E365" i="22"/>
  <c r="B366" i="22"/>
  <c r="C366" i="22"/>
  <c r="D366" i="22"/>
  <c r="E366" i="22"/>
  <c r="B367" i="22"/>
  <c r="C367" i="22"/>
  <c r="D367" i="22"/>
  <c r="E367" i="22"/>
  <c r="B368" i="22"/>
  <c r="C368" i="22"/>
  <c r="D368" i="22"/>
  <c r="E368" i="22"/>
  <c r="B369" i="22"/>
  <c r="C369" i="22"/>
  <c r="D369" i="22"/>
  <c r="E369" i="22"/>
  <c r="B370" i="22"/>
  <c r="C370" i="22"/>
  <c r="D370" i="22"/>
  <c r="E370" i="22"/>
  <c r="B371" i="22"/>
  <c r="C371" i="22"/>
  <c r="D371" i="22"/>
  <c r="E371" i="22"/>
  <c r="B372" i="22"/>
  <c r="C372" i="22"/>
  <c r="D372" i="22"/>
  <c r="E372" i="22"/>
  <c r="B373" i="22"/>
  <c r="C373" i="22"/>
  <c r="D373" i="22"/>
  <c r="E373" i="22"/>
  <c r="B374" i="22"/>
  <c r="C374" i="22"/>
  <c r="D374" i="22"/>
  <c r="E374" i="22"/>
  <c r="B375" i="22"/>
  <c r="C375" i="22"/>
  <c r="D375" i="22"/>
  <c r="E375" i="22"/>
  <c r="B376" i="22"/>
  <c r="C376" i="22"/>
  <c r="D376" i="22"/>
  <c r="E376" i="22"/>
  <c r="B377" i="22"/>
  <c r="C377" i="22"/>
  <c r="D377" i="22"/>
  <c r="E377" i="22"/>
  <c r="B378" i="22"/>
  <c r="C378" i="22"/>
  <c r="D378" i="22"/>
  <c r="E378" i="22"/>
  <c r="B379" i="22"/>
  <c r="C379" i="22"/>
  <c r="D379" i="22"/>
  <c r="E379" i="22"/>
  <c r="B380" i="22"/>
  <c r="C380" i="22"/>
  <c r="D380" i="22"/>
  <c r="E380" i="22"/>
  <c r="B381" i="22"/>
  <c r="C381" i="22"/>
  <c r="D381" i="22"/>
  <c r="E381" i="22"/>
  <c r="B382" i="22"/>
  <c r="C382" i="22"/>
  <c r="D382" i="22"/>
  <c r="E382" i="22"/>
  <c r="B383" i="22"/>
  <c r="C383" i="22"/>
  <c r="D383" i="22"/>
  <c r="E383" i="22"/>
  <c r="B384" i="22"/>
  <c r="C384" i="22"/>
  <c r="D384" i="22"/>
  <c r="E384" i="22"/>
  <c r="B385" i="22"/>
  <c r="C385" i="22"/>
  <c r="D385" i="22"/>
  <c r="E385" i="22"/>
  <c r="B386" i="22"/>
  <c r="C386" i="22"/>
  <c r="D386" i="22"/>
  <c r="E386" i="22"/>
  <c r="B387" i="22"/>
  <c r="C387" i="22"/>
  <c r="D387" i="22"/>
  <c r="E387" i="22"/>
  <c r="B388" i="22"/>
  <c r="C388" i="22"/>
  <c r="D388" i="22"/>
  <c r="E388" i="22"/>
  <c r="B389" i="22"/>
  <c r="C389" i="22"/>
  <c r="D389" i="22"/>
  <c r="E389" i="22"/>
  <c r="B390" i="22"/>
  <c r="C390" i="22"/>
  <c r="D390" i="22"/>
  <c r="E390" i="22"/>
  <c r="B391" i="22"/>
  <c r="C391" i="22"/>
  <c r="D391" i="22"/>
  <c r="E391" i="22"/>
  <c r="B392" i="22"/>
  <c r="C392" i="22"/>
  <c r="D392" i="22"/>
  <c r="E392" i="22"/>
  <c r="B393" i="22"/>
  <c r="C393" i="22"/>
  <c r="D393" i="22"/>
  <c r="E393" i="22"/>
  <c r="B394" i="22"/>
  <c r="C394" i="22"/>
  <c r="D394" i="22"/>
  <c r="E394" i="22"/>
  <c r="B395" i="22"/>
  <c r="C395" i="22"/>
  <c r="D395" i="22"/>
  <c r="E395" i="22"/>
  <c r="B396" i="22"/>
  <c r="C396" i="22"/>
  <c r="D396" i="22"/>
  <c r="E396" i="22"/>
  <c r="B397" i="22"/>
  <c r="C397" i="22"/>
  <c r="D397" i="22"/>
  <c r="E397" i="22"/>
  <c r="B398" i="22"/>
  <c r="C398" i="22"/>
  <c r="D398" i="22"/>
  <c r="E398" i="22"/>
  <c r="B399" i="22"/>
  <c r="C399" i="22"/>
  <c r="D399" i="22"/>
  <c r="E399" i="22"/>
  <c r="B400" i="22"/>
  <c r="C400" i="22"/>
  <c r="D400" i="22"/>
  <c r="E400" i="22"/>
  <c r="B401" i="22"/>
  <c r="C401" i="22"/>
  <c r="D401" i="22"/>
  <c r="E401" i="22"/>
  <c r="B402" i="22"/>
  <c r="C402" i="22"/>
  <c r="D402" i="22"/>
  <c r="E402" i="22"/>
  <c r="B403" i="22"/>
  <c r="C403" i="22"/>
  <c r="D403" i="22"/>
  <c r="E403" i="22"/>
  <c r="B404" i="22"/>
  <c r="C404" i="22"/>
  <c r="D404" i="22"/>
  <c r="E404" i="22"/>
  <c r="B405" i="22"/>
  <c r="C405" i="22"/>
  <c r="D405" i="22"/>
  <c r="E405" i="22"/>
  <c r="B406" i="22"/>
  <c r="C406" i="22"/>
  <c r="D406" i="22"/>
  <c r="E406" i="22"/>
  <c r="B407" i="22"/>
  <c r="C407" i="22"/>
  <c r="D407" i="22"/>
  <c r="E407" i="22"/>
  <c r="B408" i="22"/>
  <c r="C408" i="22"/>
  <c r="D408" i="22"/>
  <c r="E408" i="22"/>
  <c r="B409" i="22"/>
  <c r="C409" i="22"/>
  <c r="D409" i="22"/>
  <c r="E409" i="22"/>
  <c r="B410" i="22"/>
  <c r="C410" i="22"/>
  <c r="D410" i="22"/>
  <c r="E410" i="22"/>
  <c r="B411" i="22"/>
  <c r="C411" i="22"/>
  <c r="D411" i="22"/>
  <c r="E411" i="22"/>
  <c r="B412" i="22"/>
  <c r="C412" i="22"/>
  <c r="D412" i="22"/>
  <c r="E412" i="22"/>
  <c r="B413" i="22"/>
  <c r="C413" i="22"/>
  <c r="D413" i="22"/>
  <c r="E413" i="22"/>
  <c r="B414" i="22"/>
  <c r="C414" i="22"/>
  <c r="D414" i="22"/>
  <c r="E414" i="22"/>
  <c r="B415" i="22"/>
  <c r="C415" i="22"/>
  <c r="D415" i="22"/>
  <c r="E415" i="22"/>
  <c r="B416" i="22"/>
  <c r="C416" i="22"/>
  <c r="D416" i="22"/>
  <c r="E416" i="22"/>
  <c r="B417" i="22"/>
  <c r="C417" i="22"/>
  <c r="D417" i="22"/>
  <c r="E417" i="22"/>
  <c r="B418" i="22"/>
  <c r="C418" i="22"/>
  <c r="D418" i="22"/>
  <c r="E418" i="22"/>
  <c r="B419" i="22"/>
  <c r="C419" i="22"/>
  <c r="D419" i="22"/>
  <c r="E419" i="22"/>
  <c r="B420" i="22"/>
  <c r="C420" i="22"/>
  <c r="D420" i="22"/>
  <c r="E420" i="22"/>
  <c r="B421" i="22"/>
  <c r="C421" i="22"/>
  <c r="D421" i="22"/>
  <c r="E421" i="22"/>
  <c r="B422" i="22"/>
  <c r="C422" i="22"/>
  <c r="D422" i="22"/>
  <c r="E422" i="22"/>
  <c r="B423" i="22"/>
  <c r="C423" i="22"/>
  <c r="D423" i="22"/>
  <c r="E423" i="22"/>
  <c r="B424" i="22"/>
  <c r="C424" i="22"/>
  <c r="D424" i="22"/>
  <c r="E424" i="22"/>
  <c r="B425" i="22"/>
  <c r="C425" i="22"/>
  <c r="D425" i="22"/>
  <c r="E425" i="22"/>
  <c r="B426" i="22"/>
  <c r="C426" i="22"/>
  <c r="D426" i="22"/>
  <c r="E426" i="22"/>
  <c r="B427" i="22"/>
  <c r="C427" i="22"/>
  <c r="D427" i="22"/>
  <c r="E427" i="22"/>
  <c r="B428" i="22"/>
  <c r="C428" i="22"/>
  <c r="D428" i="22"/>
  <c r="E428" i="22"/>
  <c r="B429" i="22"/>
  <c r="C429" i="22"/>
  <c r="D429" i="22"/>
  <c r="E429" i="22"/>
  <c r="B430" i="22"/>
  <c r="C430" i="22"/>
  <c r="D430" i="22"/>
  <c r="E430" i="22"/>
  <c r="B431" i="22"/>
  <c r="C431" i="22"/>
  <c r="D431" i="22"/>
  <c r="E431" i="22"/>
  <c r="B432" i="22"/>
  <c r="C432" i="22"/>
  <c r="D432" i="22"/>
  <c r="E432" i="22"/>
  <c r="B433" i="22"/>
  <c r="C433" i="22"/>
  <c r="D433" i="22"/>
  <c r="E433" i="22"/>
  <c r="B434" i="22"/>
  <c r="C434" i="22"/>
  <c r="D434" i="22"/>
  <c r="E434" i="22"/>
  <c r="B435" i="22"/>
  <c r="C435" i="22"/>
  <c r="D435" i="22"/>
  <c r="E435" i="22"/>
  <c r="B436" i="22"/>
  <c r="C436" i="22"/>
  <c r="D436" i="22"/>
  <c r="E436" i="22"/>
  <c r="B437" i="22"/>
  <c r="C437" i="22"/>
  <c r="D437" i="22"/>
  <c r="E437" i="22"/>
  <c r="B438" i="22"/>
  <c r="C438" i="22"/>
  <c r="D438" i="22"/>
  <c r="E438" i="22"/>
  <c r="B439" i="22"/>
  <c r="C439" i="22"/>
  <c r="D439" i="22"/>
  <c r="E439" i="22"/>
  <c r="B440" i="22"/>
  <c r="C440" i="22"/>
  <c r="D440" i="22"/>
  <c r="E440" i="22"/>
  <c r="B441" i="22"/>
  <c r="C441" i="22"/>
  <c r="D441" i="22"/>
  <c r="E441" i="22"/>
  <c r="B442" i="22"/>
  <c r="C442" i="22"/>
  <c r="D442" i="22"/>
  <c r="E442" i="22"/>
  <c r="B443" i="22"/>
  <c r="C443" i="22"/>
  <c r="D443" i="22"/>
  <c r="E443" i="22"/>
  <c r="B444" i="22"/>
  <c r="C444" i="22"/>
  <c r="D444" i="22"/>
  <c r="E444" i="22"/>
  <c r="B445" i="22"/>
  <c r="C445" i="22"/>
  <c r="D445" i="22"/>
  <c r="E445" i="22"/>
  <c r="B446" i="22"/>
  <c r="C446" i="22"/>
  <c r="D446" i="22"/>
  <c r="E446" i="22"/>
  <c r="B447" i="22"/>
  <c r="C447" i="22"/>
  <c r="D447" i="22"/>
  <c r="E447" i="22"/>
  <c r="B448" i="22"/>
  <c r="C448" i="22"/>
  <c r="D448" i="22"/>
  <c r="E448" i="22"/>
  <c r="B449" i="22"/>
  <c r="C449" i="22"/>
  <c r="D449" i="22"/>
  <c r="E449" i="22"/>
  <c r="B450" i="22"/>
  <c r="C450" i="22"/>
  <c r="D450" i="22"/>
  <c r="E450" i="22"/>
  <c r="B451" i="22"/>
  <c r="C451" i="22"/>
  <c r="D451" i="22"/>
  <c r="E451" i="22"/>
  <c r="B452" i="22"/>
  <c r="C452" i="22"/>
  <c r="D452" i="22"/>
  <c r="E452" i="22"/>
  <c r="B453" i="22"/>
  <c r="C453" i="22"/>
  <c r="D453" i="22"/>
  <c r="E453" i="22"/>
  <c r="B454" i="22"/>
  <c r="C454" i="22"/>
  <c r="D454" i="22"/>
  <c r="E454" i="22"/>
  <c r="B455" i="22"/>
  <c r="C455" i="22"/>
  <c r="D455" i="22"/>
  <c r="E455" i="22"/>
  <c r="B456" i="22"/>
  <c r="C456" i="22"/>
  <c r="D456" i="22"/>
  <c r="E456" i="22"/>
  <c r="B457" i="22"/>
  <c r="C457" i="22"/>
  <c r="D457" i="22"/>
  <c r="E457" i="22"/>
  <c r="B458" i="22"/>
  <c r="C458" i="22"/>
  <c r="D458" i="22"/>
  <c r="E458" i="22"/>
  <c r="B459" i="22"/>
  <c r="C459" i="22"/>
  <c r="D459" i="22"/>
  <c r="E459" i="22"/>
  <c r="B460" i="22"/>
  <c r="C460" i="22"/>
  <c r="D460" i="22"/>
  <c r="E460" i="22"/>
  <c r="B461" i="22"/>
  <c r="C461" i="22"/>
  <c r="D461" i="22"/>
  <c r="E461" i="22"/>
  <c r="B462" i="22"/>
  <c r="C462" i="22"/>
  <c r="D462" i="22"/>
  <c r="E462" i="22"/>
  <c r="B463" i="22"/>
  <c r="C463" i="22"/>
  <c r="D463" i="22"/>
  <c r="E463" i="22"/>
  <c r="B464" i="22"/>
  <c r="C464" i="22"/>
  <c r="D464" i="22"/>
  <c r="E464" i="22"/>
  <c r="B465" i="22"/>
  <c r="C465" i="22"/>
  <c r="D465" i="22"/>
  <c r="E465" i="22"/>
  <c r="B466" i="22"/>
  <c r="C466" i="22"/>
  <c r="D466" i="22"/>
  <c r="E466" i="22"/>
  <c r="B467" i="22"/>
  <c r="C467" i="22"/>
  <c r="D467" i="22"/>
  <c r="E467" i="22"/>
  <c r="B468" i="22"/>
  <c r="C468" i="22"/>
  <c r="D468" i="22"/>
  <c r="E468" i="22"/>
  <c r="B469" i="22"/>
  <c r="C469" i="22"/>
  <c r="D469" i="22"/>
  <c r="E469" i="22"/>
  <c r="B470" i="22"/>
  <c r="C470" i="22"/>
  <c r="D470" i="22"/>
  <c r="E470" i="22"/>
  <c r="B471" i="22"/>
  <c r="C471" i="22"/>
  <c r="D471" i="22"/>
  <c r="E471" i="22"/>
  <c r="B472" i="22"/>
  <c r="C472" i="22"/>
  <c r="D472" i="22"/>
  <c r="E472" i="22"/>
  <c r="B473" i="22"/>
  <c r="C473" i="22"/>
  <c r="D473" i="22"/>
  <c r="E473" i="22"/>
  <c r="B474" i="22"/>
  <c r="C474" i="22"/>
  <c r="D474" i="22"/>
  <c r="E474" i="22"/>
  <c r="B475" i="22"/>
  <c r="C475" i="22"/>
  <c r="D475" i="22"/>
  <c r="E475" i="22"/>
  <c r="B476" i="22"/>
  <c r="C476" i="22"/>
  <c r="D476" i="22"/>
  <c r="E476" i="22"/>
  <c r="B477" i="22"/>
  <c r="C477" i="22"/>
  <c r="D477" i="22"/>
  <c r="E477" i="22"/>
  <c r="B478" i="22"/>
  <c r="C478" i="22"/>
  <c r="D478" i="22"/>
  <c r="E478" i="22"/>
  <c r="B479" i="22"/>
  <c r="C479" i="22"/>
  <c r="D479" i="22"/>
  <c r="E479" i="22"/>
  <c r="B480" i="22"/>
  <c r="C480" i="22"/>
  <c r="D480" i="22"/>
  <c r="E480" i="22"/>
  <c r="B481" i="22"/>
  <c r="C481" i="22"/>
  <c r="D481" i="22"/>
  <c r="E481" i="22"/>
  <c r="B482" i="22"/>
  <c r="C482" i="22"/>
  <c r="D482" i="22"/>
  <c r="E482" i="22"/>
  <c r="B483" i="22"/>
  <c r="C483" i="22"/>
  <c r="D483" i="22"/>
  <c r="E483" i="22"/>
  <c r="B484" i="22"/>
  <c r="C484" i="22"/>
  <c r="D484" i="22"/>
  <c r="E484" i="22"/>
  <c r="B485" i="22"/>
  <c r="C485" i="22"/>
  <c r="D485" i="22"/>
  <c r="E485" i="22"/>
  <c r="B486" i="22"/>
  <c r="C486" i="22"/>
  <c r="D486" i="22"/>
  <c r="E486" i="22"/>
  <c r="B309" i="17"/>
  <c r="C309" i="17"/>
  <c r="D309" i="17"/>
  <c r="E309" i="17"/>
  <c r="B310" i="17"/>
  <c r="C310" i="17"/>
  <c r="D310" i="17"/>
  <c r="E310" i="17"/>
  <c r="B311" i="17"/>
  <c r="C311" i="17"/>
  <c r="D311" i="17"/>
  <c r="E311" i="17"/>
  <c r="B312" i="17"/>
  <c r="C312" i="17"/>
  <c r="D312" i="17"/>
  <c r="E312" i="17"/>
  <c r="B313" i="17"/>
  <c r="C313" i="17"/>
  <c r="D313" i="17"/>
  <c r="E313" i="17"/>
  <c r="B314" i="17"/>
  <c r="C314" i="17"/>
  <c r="D314" i="17"/>
  <c r="E314" i="17"/>
  <c r="B315" i="17"/>
  <c r="C315" i="17"/>
  <c r="D315" i="17"/>
  <c r="E315" i="17"/>
  <c r="B316" i="17"/>
  <c r="C316" i="17"/>
  <c r="D316" i="17"/>
  <c r="E316" i="17"/>
  <c r="B317" i="17"/>
  <c r="C317" i="17"/>
  <c r="D317" i="17"/>
  <c r="E317" i="17"/>
  <c r="B318" i="17"/>
  <c r="C318" i="17"/>
  <c r="D318" i="17"/>
  <c r="E318" i="17"/>
  <c r="B319" i="17"/>
  <c r="C319" i="17"/>
  <c r="D319" i="17"/>
  <c r="E319" i="17"/>
  <c r="B320" i="17"/>
  <c r="C320" i="17"/>
  <c r="D320" i="17"/>
  <c r="E320" i="17"/>
  <c r="B321" i="17"/>
  <c r="C321" i="17"/>
  <c r="D321" i="17"/>
  <c r="E321" i="17"/>
  <c r="B322" i="17"/>
  <c r="C322" i="17"/>
  <c r="D322" i="17"/>
  <c r="E322" i="17"/>
  <c r="B323" i="17"/>
  <c r="C323" i="17"/>
  <c r="D323" i="17"/>
  <c r="E323" i="17"/>
  <c r="B324" i="17"/>
  <c r="C324" i="17"/>
  <c r="D324" i="17"/>
  <c r="E324" i="17"/>
  <c r="B325" i="17"/>
  <c r="C325" i="17"/>
  <c r="D325" i="17"/>
  <c r="E325" i="17"/>
  <c r="B326" i="17"/>
  <c r="C326" i="17"/>
  <c r="D326" i="17"/>
  <c r="E326" i="17"/>
  <c r="B327" i="17"/>
  <c r="C327" i="17"/>
  <c r="D327" i="17"/>
  <c r="E327" i="17"/>
  <c r="B328" i="17"/>
  <c r="C328" i="17"/>
  <c r="D328" i="17"/>
  <c r="E328" i="17"/>
  <c r="B329" i="17"/>
  <c r="C329" i="17"/>
  <c r="D329" i="17"/>
  <c r="E329" i="17"/>
  <c r="B330" i="17"/>
  <c r="C330" i="17"/>
  <c r="D330" i="17"/>
  <c r="E330" i="17"/>
  <c r="B331" i="17"/>
  <c r="C331" i="17"/>
  <c r="D331" i="17"/>
  <c r="E331" i="17"/>
  <c r="B332" i="17"/>
  <c r="C332" i="17"/>
  <c r="D332" i="17"/>
  <c r="E332" i="17"/>
  <c r="B333" i="17"/>
  <c r="C333" i="17"/>
  <c r="D333" i="17"/>
  <c r="E333" i="17"/>
  <c r="B334" i="17"/>
  <c r="C334" i="17"/>
  <c r="D334" i="17"/>
  <c r="E334" i="17"/>
  <c r="B335" i="17"/>
  <c r="C335" i="17"/>
  <c r="D335" i="17"/>
  <c r="E335" i="17"/>
  <c r="B336" i="17"/>
  <c r="C336" i="17"/>
  <c r="D336" i="17"/>
  <c r="E336" i="17"/>
  <c r="B337" i="17"/>
  <c r="C337" i="17"/>
  <c r="D337" i="17"/>
  <c r="E337" i="17"/>
  <c r="B338" i="17"/>
  <c r="C338" i="17"/>
  <c r="D338" i="17"/>
  <c r="E338" i="17"/>
  <c r="B339" i="17"/>
  <c r="C339" i="17"/>
  <c r="D339" i="17"/>
  <c r="E339" i="17"/>
  <c r="B340" i="17"/>
  <c r="C340" i="17"/>
  <c r="D340" i="17"/>
  <c r="E340" i="17"/>
  <c r="B341" i="17"/>
  <c r="C341" i="17"/>
  <c r="D341" i="17"/>
  <c r="E341" i="17"/>
  <c r="B342" i="17"/>
  <c r="C342" i="17"/>
  <c r="D342" i="17"/>
  <c r="E342" i="17"/>
  <c r="B343" i="17"/>
  <c r="C343" i="17"/>
  <c r="D343" i="17"/>
  <c r="E343" i="17"/>
  <c r="B344" i="17"/>
  <c r="C344" i="17"/>
  <c r="D344" i="17"/>
  <c r="E344" i="17"/>
  <c r="B345" i="17"/>
  <c r="C345" i="17"/>
  <c r="D345" i="17"/>
  <c r="E345" i="17"/>
  <c r="B346" i="17"/>
  <c r="C346" i="17"/>
  <c r="D346" i="17"/>
  <c r="E346" i="17"/>
  <c r="B347" i="17"/>
  <c r="C347" i="17"/>
  <c r="D347" i="17"/>
  <c r="E347" i="17"/>
  <c r="B348" i="17"/>
  <c r="C348" i="17"/>
  <c r="D348" i="17"/>
  <c r="E348" i="17"/>
  <c r="B349" i="17"/>
  <c r="C349" i="17"/>
  <c r="D349" i="17"/>
  <c r="E349" i="17"/>
  <c r="B350" i="17"/>
  <c r="C350" i="17"/>
  <c r="D350" i="17"/>
  <c r="E350" i="17"/>
  <c r="B351" i="17"/>
  <c r="C351" i="17"/>
  <c r="D351" i="17"/>
  <c r="E351" i="17"/>
  <c r="B352" i="17"/>
  <c r="C352" i="17"/>
  <c r="D352" i="17"/>
  <c r="E352" i="17"/>
  <c r="B353" i="17"/>
  <c r="C353" i="17"/>
  <c r="D353" i="17"/>
  <c r="E353" i="17"/>
  <c r="B354" i="17"/>
  <c r="C354" i="17"/>
  <c r="D354" i="17"/>
  <c r="E354" i="17"/>
  <c r="B355" i="17"/>
  <c r="C355" i="17"/>
  <c r="D355" i="17"/>
  <c r="E355" i="17"/>
  <c r="B356" i="17"/>
  <c r="C356" i="17"/>
  <c r="D356" i="17"/>
  <c r="E356" i="17"/>
  <c r="B357" i="17"/>
  <c r="C357" i="17"/>
  <c r="D357" i="17"/>
  <c r="E357" i="17"/>
  <c r="B358" i="17"/>
  <c r="C358" i="17"/>
  <c r="D358" i="17"/>
  <c r="E358" i="17"/>
  <c r="B359" i="17"/>
  <c r="C359" i="17"/>
  <c r="D359" i="17"/>
  <c r="E359" i="17"/>
  <c r="B360" i="17"/>
  <c r="C360" i="17"/>
  <c r="D360" i="17"/>
  <c r="E360" i="17"/>
  <c r="B361" i="17"/>
  <c r="C361" i="17"/>
  <c r="D361" i="17"/>
  <c r="E361" i="17"/>
  <c r="B362" i="17"/>
  <c r="C362" i="17"/>
  <c r="D362" i="17"/>
  <c r="E362" i="17"/>
  <c r="B363" i="17"/>
  <c r="C363" i="17"/>
  <c r="D363" i="17"/>
  <c r="E363" i="17"/>
  <c r="B364" i="17"/>
  <c r="C364" i="17"/>
  <c r="D364" i="17"/>
  <c r="E364" i="17"/>
  <c r="B365" i="17"/>
  <c r="C365" i="17"/>
  <c r="D365" i="17"/>
  <c r="E365" i="17"/>
  <c r="B366" i="17"/>
  <c r="C366" i="17"/>
  <c r="D366" i="17"/>
  <c r="E366" i="17"/>
  <c r="B367" i="17"/>
  <c r="C367" i="17"/>
  <c r="D367" i="17"/>
  <c r="E367" i="17"/>
  <c r="B368" i="17"/>
  <c r="C368" i="17"/>
  <c r="D368" i="17"/>
  <c r="E368" i="17"/>
  <c r="B369" i="17"/>
  <c r="C369" i="17"/>
  <c r="D369" i="17"/>
  <c r="E369" i="17"/>
  <c r="B370" i="17"/>
  <c r="C370" i="17"/>
  <c r="D370" i="17"/>
  <c r="E370" i="17"/>
  <c r="B371" i="17"/>
  <c r="C371" i="17"/>
  <c r="D371" i="17"/>
  <c r="E371" i="17"/>
  <c r="B372" i="17"/>
  <c r="C372" i="17"/>
  <c r="D372" i="17"/>
  <c r="E372" i="17"/>
  <c r="B373" i="17"/>
  <c r="C373" i="17"/>
  <c r="D373" i="17"/>
  <c r="E373" i="17"/>
  <c r="B374" i="17"/>
  <c r="C374" i="17"/>
  <c r="D374" i="17"/>
  <c r="E374" i="17"/>
  <c r="B375" i="17"/>
  <c r="C375" i="17"/>
  <c r="D375" i="17"/>
  <c r="E375" i="17"/>
  <c r="B376" i="17"/>
  <c r="C376" i="17"/>
  <c r="D376" i="17"/>
  <c r="E376" i="17"/>
  <c r="B377" i="17"/>
  <c r="C377" i="17"/>
  <c r="D377" i="17"/>
  <c r="E377" i="17"/>
  <c r="B378" i="17"/>
  <c r="C378" i="17"/>
  <c r="D378" i="17"/>
  <c r="E378" i="17"/>
  <c r="B379" i="17"/>
  <c r="C379" i="17"/>
  <c r="D379" i="17"/>
  <c r="E379" i="17"/>
  <c r="B380" i="17"/>
  <c r="C380" i="17"/>
  <c r="D380" i="17"/>
  <c r="E380" i="17"/>
  <c r="B381" i="17"/>
  <c r="C381" i="17"/>
  <c r="D381" i="17"/>
  <c r="E381" i="17"/>
  <c r="B382" i="17"/>
  <c r="C382" i="17"/>
  <c r="D382" i="17"/>
  <c r="E382" i="17"/>
  <c r="B383" i="17"/>
  <c r="C383" i="17"/>
  <c r="D383" i="17"/>
  <c r="E383" i="17"/>
  <c r="B384" i="17"/>
  <c r="C384" i="17"/>
  <c r="D384" i="17"/>
  <c r="E384" i="17"/>
  <c r="B385" i="17"/>
  <c r="C385" i="17"/>
  <c r="D385" i="17"/>
  <c r="E385" i="17"/>
  <c r="B386" i="17"/>
  <c r="C386" i="17"/>
  <c r="D386" i="17"/>
  <c r="E386" i="17"/>
  <c r="B387" i="17"/>
  <c r="C387" i="17"/>
  <c r="D387" i="17"/>
  <c r="E387" i="17"/>
  <c r="B388" i="17"/>
  <c r="C388" i="17"/>
  <c r="D388" i="17"/>
  <c r="E388" i="17"/>
  <c r="B389" i="17"/>
  <c r="C389" i="17"/>
  <c r="D389" i="17"/>
  <c r="E389" i="17"/>
  <c r="B390" i="17"/>
  <c r="C390" i="17"/>
  <c r="D390" i="17"/>
  <c r="E390" i="17"/>
  <c r="B391" i="17"/>
  <c r="C391" i="17"/>
  <c r="D391" i="17"/>
  <c r="E391" i="17"/>
  <c r="B392" i="17"/>
  <c r="C392" i="17"/>
  <c r="D392" i="17"/>
  <c r="E392" i="17"/>
  <c r="B393" i="17"/>
  <c r="C393" i="17"/>
  <c r="D393" i="17"/>
  <c r="E393" i="17"/>
  <c r="B394" i="17"/>
  <c r="C394" i="17"/>
  <c r="D394" i="17"/>
  <c r="E394" i="17"/>
  <c r="B395" i="17"/>
  <c r="C395" i="17"/>
  <c r="D395" i="17"/>
  <c r="E395" i="17"/>
  <c r="B396" i="17"/>
  <c r="C396" i="17"/>
  <c r="D396" i="17"/>
  <c r="E396" i="17"/>
  <c r="B397" i="17"/>
  <c r="C397" i="17"/>
  <c r="D397" i="17"/>
  <c r="E397" i="17"/>
  <c r="B398" i="17"/>
  <c r="C398" i="17"/>
  <c r="D398" i="17"/>
  <c r="E398" i="17"/>
  <c r="B399" i="17"/>
  <c r="C399" i="17"/>
  <c r="D399" i="17"/>
  <c r="E399" i="17"/>
  <c r="B400" i="17"/>
  <c r="C400" i="17"/>
  <c r="D400" i="17"/>
  <c r="E400" i="17"/>
  <c r="B401" i="17"/>
  <c r="C401" i="17"/>
  <c r="D401" i="17"/>
  <c r="E401" i="17"/>
  <c r="B402" i="17"/>
  <c r="C402" i="17"/>
  <c r="D402" i="17"/>
  <c r="E402" i="17"/>
  <c r="B403" i="17"/>
  <c r="C403" i="17"/>
  <c r="D403" i="17"/>
  <c r="E403" i="17"/>
  <c r="B404" i="17"/>
  <c r="C404" i="17"/>
  <c r="D404" i="17"/>
  <c r="E404" i="17"/>
  <c r="B405" i="17"/>
  <c r="C405" i="17"/>
  <c r="D405" i="17"/>
  <c r="E405" i="17"/>
  <c r="B406" i="17"/>
  <c r="C406" i="17"/>
  <c r="D406" i="17"/>
  <c r="E406" i="17"/>
  <c r="B407" i="17"/>
  <c r="C407" i="17"/>
  <c r="D407" i="17"/>
  <c r="E407" i="17"/>
  <c r="B408" i="17"/>
  <c r="C408" i="17"/>
  <c r="D408" i="17"/>
  <c r="E408" i="17"/>
  <c r="B409" i="17"/>
  <c r="C409" i="17"/>
  <c r="D409" i="17"/>
  <c r="E409" i="17"/>
  <c r="B410" i="17"/>
  <c r="C410" i="17"/>
  <c r="D410" i="17"/>
  <c r="E410" i="17"/>
  <c r="B411" i="17"/>
  <c r="C411" i="17"/>
  <c r="D411" i="17"/>
  <c r="E411" i="17"/>
  <c r="B412" i="17"/>
  <c r="C412" i="17"/>
  <c r="D412" i="17"/>
  <c r="E412" i="17"/>
  <c r="B413" i="17"/>
  <c r="C413" i="17"/>
  <c r="D413" i="17"/>
  <c r="E413" i="17"/>
  <c r="B414" i="17"/>
  <c r="C414" i="17"/>
  <c r="D414" i="17"/>
  <c r="E414" i="17"/>
  <c r="B415" i="17"/>
  <c r="C415" i="17"/>
  <c r="D415" i="17"/>
  <c r="E415" i="17"/>
  <c r="B416" i="17"/>
  <c r="C416" i="17"/>
  <c r="D416" i="17"/>
  <c r="E416" i="17"/>
  <c r="B417" i="17"/>
  <c r="C417" i="17"/>
  <c r="D417" i="17"/>
  <c r="E417" i="17"/>
  <c r="B418" i="17"/>
  <c r="C418" i="17"/>
  <c r="D418" i="17"/>
  <c r="E418" i="17"/>
  <c r="B419" i="17"/>
  <c r="C419" i="17"/>
  <c r="D419" i="17"/>
  <c r="E419" i="17"/>
  <c r="B420" i="17"/>
  <c r="C420" i="17"/>
  <c r="D420" i="17"/>
  <c r="E420" i="17"/>
  <c r="B421" i="17"/>
  <c r="C421" i="17"/>
  <c r="D421" i="17"/>
  <c r="E421" i="17"/>
  <c r="B422" i="17"/>
  <c r="C422" i="17"/>
  <c r="D422" i="17"/>
  <c r="E422" i="17"/>
  <c r="B423" i="17"/>
  <c r="C423" i="17"/>
  <c r="D423" i="17"/>
  <c r="E423" i="17"/>
  <c r="B424" i="17"/>
  <c r="C424" i="17"/>
  <c r="D424" i="17"/>
  <c r="E424" i="17"/>
  <c r="B425" i="17"/>
  <c r="C425" i="17"/>
  <c r="D425" i="17"/>
  <c r="E425" i="17"/>
  <c r="B426" i="17"/>
  <c r="C426" i="17"/>
  <c r="D426" i="17"/>
  <c r="E426" i="17"/>
  <c r="B427" i="17"/>
  <c r="C427" i="17"/>
  <c r="D427" i="17"/>
  <c r="E427" i="17"/>
  <c r="B428" i="17"/>
  <c r="C428" i="17"/>
  <c r="D428" i="17"/>
  <c r="E428" i="17"/>
  <c r="B429" i="17"/>
  <c r="C429" i="17"/>
  <c r="D429" i="17"/>
  <c r="E429" i="17"/>
  <c r="B430" i="17"/>
  <c r="C430" i="17"/>
  <c r="D430" i="17"/>
  <c r="E430" i="17"/>
  <c r="B431" i="17"/>
  <c r="C431" i="17"/>
  <c r="D431" i="17"/>
  <c r="E431" i="17"/>
  <c r="B432" i="17"/>
  <c r="C432" i="17"/>
  <c r="D432" i="17"/>
  <c r="E432" i="17"/>
  <c r="B433" i="17"/>
  <c r="C433" i="17"/>
  <c r="D433" i="17"/>
  <c r="E433" i="17"/>
  <c r="B434" i="17"/>
  <c r="C434" i="17"/>
  <c r="D434" i="17"/>
  <c r="E434" i="17"/>
  <c r="B435" i="17"/>
  <c r="C435" i="17"/>
  <c r="D435" i="17"/>
  <c r="E435" i="17"/>
  <c r="B436" i="17"/>
  <c r="C436" i="17"/>
  <c r="D436" i="17"/>
  <c r="E436" i="17"/>
  <c r="B437" i="17"/>
  <c r="C437" i="17"/>
  <c r="D437" i="17"/>
  <c r="E437" i="17"/>
  <c r="B438" i="17"/>
  <c r="C438" i="17"/>
  <c r="D438" i="17"/>
  <c r="E438" i="17"/>
  <c r="B439" i="17"/>
  <c r="C439" i="17"/>
  <c r="D439" i="17"/>
  <c r="E439" i="17"/>
  <c r="B440" i="17"/>
  <c r="C440" i="17"/>
  <c r="D440" i="17"/>
  <c r="E440" i="17"/>
  <c r="B441" i="17"/>
  <c r="C441" i="17"/>
  <c r="D441" i="17"/>
  <c r="E441" i="17"/>
  <c r="B442" i="17"/>
  <c r="C442" i="17"/>
  <c r="D442" i="17"/>
  <c r="E442" i="17"/>
  <c r="B443" i="17"/>
  <c r="C443" i="17"/>
  <c r="D443" i="17"/>
  <c r="E443" i="17"/>
  <c r="B444" i="17"/>
  <c r="C444" i="17"/>
  <c r="D444" i="17"/>
  <c r="E444" i="17"/>
  <c r="B445" i="17"/>
  <c r="C445" i="17"/>
  <c r="D445" i="17"/>
  <c r="E445" i="17"/>
  <c r="B446" i="17"/>
  <c r="C446" i="17"/>
  <c r="D446" i="17"/>
  <c r="E446" i="17"/>
  <c r="B447" i="17"/>
  <c r="C447" i="17"/>
  <c r="D447" i="17"/>
  <c r="E447" i="17"/>
  <c r="B448" i="17"/>
  <c r="C448" i="17"/>
  <c r="D448" i="17"/>
  <c r="E448" i="17"/>
  <c r="B449" i="17"/>
  <c r="C449" i="17"/>
  <c r="D449" i="17"/>
  <c r="E449" i="17"/>
  <c r="B450" i="17"/>
  <c r="C450" i="17"/>
  <c r="D450" i="17"/>
  <c r="E450" i="17"/>
  <c r="B451" i="17"/>
  <c r="C451" i="17"/>
  <c r="D451" i="17"/>
  <c r="E451" i="17"/>
  <c r="B452" i="17"/>
  <c r="C452" i="17"/>
  <c r="D452" i="17"/>
  <c r="E452" i="17"/>
  <c r="B453" i="17"/>
  <c r="C453" i="17"/>
  <c r="D453" i="17"/>
  <c r="E453" i="17"/>
  <c r="B454" i="17"/>
  <c r="C454" i="17"/>
  <c r="D454" i="17"/>
  <c r="E454" i="17"/>
  <c r="B455" i="17"/>
  <c r="C455" i="17"/>
  <c r="D455" i="17"/>
  <c r="E455" i="17"/>
  <c r="B456" i="17"/>
  <c r="C456" i="17"/>
  <c r="D456" i="17"/>
  <c r="E456" i="17"/>
  <c r="B457" i="17"/>
  <c r="C457" i="17"/>
  <c r="D457" i="17"/>
  <c r="E457" i="17"/>
  <c r="B458" i="17"/>
  <c r="C458" i="17"/>
  <c r="D458" i="17"/>
  <c r="E458" i="17"/>
  <c r="B459" i="17"/>
  <c r="C459" i="17"/>
  <c r="D459" i="17"/>
  <c r="E459" i="17"/>
  <c r="B460" i="17"/>
  <c r="C460" i="17"/>
  <c r="D460" i="17"/>
  <c r="E460" i="17"/>
  <c r="B461" i="17"/>
  <c r="C461" i="17"/>
  <c r="D461" i="17"/>
  <c r="E461" i="17"/>
  <c r="B462" i="17"/>
  <c r="C462" i="17"/>
  <c r="D462" i="17"/>
  <c r="E462" i="17"/>
  <c r="G11" i="21" l="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217" i="21"/>
  <c r="G218" i="21"/>
  <c r="G219" i="21"/>
  <c r="G220" i="21"/>
  <c r="G221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G245" i="21"/>
  <c r="G246" i="21"/>
  <c r="G247" i="21"/>
  <c r="G248" i="21"/>
  <c r="G249" i="21"/>
  <c r="G250" i="21"/>
  <c r="G251" i="21"/>
  <c r="G252" i="21"/>
  <c r="G253" i="21"/>
  <c r="G254" i="21"/>
  <c r="G255" i="21"/>
  <c r="G256" i="21"/>
  <c r="G257" i="21"/>
  <c r="G258" i="21"/>
  <c r="G259" i="21"/>
  <c r="G260" i="21"/>
  <c r="G261" i="21"/>
  <c r="G262" i="21"/>
  <c r="G263" i="21"/>
  <c r="G264" i="21"/>
  <c r="G265" i="21"/>
  <c r="G266" i="21"/>
  <c r="G267" i="21"/>
  <c r="G268" i="21"/>
  <c r="G269" i="21"/>
  <c r="G270" i="21"/>
  <c r="G271" i="21"/>
  <c r="G272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G288" i="21"/>
  <c r="G289" i="21"/>
  <c r="G290" i="21"/>
  <c r="G291" i="21"/>
  <c r="G292" i="21"/>
  <c r="G293" i="21"/>
  <c r="G294" i="21"/>
  <c r="G295" i="21"/>
  <c r="G296" i="21"/>
  <c r="G297" i="21"/>
  <c r="G298" i="21"/>
  <c r="G299" i="21"/>
  <c r="G300" i="21"/>
  <c r="G301" i="21"/>
  <c r="G302" i="21"/>
  <c r="G303" i="21"/>
  <c r="G304" i="21"/>
  <c r="G305" i="21"/>
  <c r="G306" i="21"/>
  <c r="G307" i="21"/>
  <c r="G308" i="21"/>
  <c r="G309" i="21"/>
  <c r="G310" i="21"/>
  <c r="G10" i="21"/>
  <c r="E8" i="20" l="1"/>
  <c r="D8" i="20"/>
  <c r="C8" i="20"/>
  <c r="B8" i="20"/>
  <c r="E8" i="19"/>
  <c r="D8" i="19"/>
  <c r="C8" i="19"/>
  <c r="B8" i="19"/>
  <c r="E8" i="23"/>
  <c r="D8" i="23"/>
  <c r="C8" i="23"/>
  <c r="B8" i="23"/>
  <c r="B8" i="18"/>
  <c r="E8" i="18"/>
  <c r="D8" i="18"/>
  <c r="C8" i="18"/>
  <c r="E8" i="22"/>
  <c r="D8" i="22"/>
  <c r="C8" i="22"/>
  <c r="B8" i="22"/>
  <c r="E8" i="17"/>
  <c r="D8" i="17"/>
  <c r="C8" i="17"/>
  <c r="B8" i="17"/>
  <c r="B308" i="20"/>
  <c r="C308" i="20"/>
  <c r="D308" i="20"/>
  <c r="E308" i="20"/>
  <c r="B308" i="19"/>
  <c r="C308" i="19"/>
  <c r="D308" i="19"/>
  <c r="E308" i="19"/>
  <c r="B308" i="23"/>
  <c r="C308" i="23"/>
  <c r="D308" i="23"/>
  <c r="E308" i="23"/>
  <c r="B308" i="18"/>
  <c r="C308" i="18"/>
  <c r="D308" i="18"/>
  <c r="E308" i="18"/>
  <c r="B308" i="22"/>
  <c r="C308" i="22"/>
  <c r="D308" i="22"/>
  <c r="E308" i="22"/>
  <c r="B308" i="17"/>
  <c r="C308" i="17"/>
  <c r="D308" i="17"/>
  <c r="E308" i="17"/>
  <c r="B307" i="20"/>
  <c r="C307" i="20"/>
  <c r="D307" i="20"/>
  <c r="E307" i="20"/>
  <c r="B307" i="19"/>
  <c r="C307" i="19"/>
  <c r="D307" i="19"/>
  <c r="E307" i="19"/>
  <c r="B307" i="23"/>
  <c r="C307" i="23"/>
  <c r="D307" i="23"/>
  <c r="E307" i="23"/>
  <c r="B307" i="18"/>
  <c r="C307" i="18"/>
  <c r="D307" i="18"/>
  <c r="E307" i="18"/>
  <c r="B307" i="22"/>
  <c r="C307" i="22"/>
  <c r="D307" i="22"/>
  <c r="E307" i="22"/>
  <c r="B307" i="17"/>
  <c r="C307" i="17"/>
  <c r="D307" i="17"/>
  <c r="E307" i="17"/>
  <c r="B306" i="20"/>
  <c r="C306" i="20"/>
  <c r="D306" i="20"/>
  <c r="E306" i="20"/>
  <c r="B306" i="19"/>
  <c r="C306" i="19"/>
  <c r="D306" i="19"/>
  <c r="E306" i="19"/>
  <c r="B306" i="23"/>
  <c r="C306" i="23"/>
  <c r="D306" i="23"/>
  <c r="E306" i="23"/>
  <c r="B306" i="18"/>
  <c r="C306" i="18"/>
  <c r="D306" i="18"/>
  <c r="E306" i="18"/>
  <c r="B306" i="22"/>
  <c r="C306" i="22"/>
  <c r="D306" i="22"/>
  <c r="E306" i="22"/>
  <c r="B306" i="17"/>
  <c r="C306" i="17"/>
  <c r="D306" i="17"/>
  <c r="E306" i="17"/>
  <c r="B305" i="20"/>
  <c r="C305" i="20"/>
  <c r="D305" i="20"/>
  <c r="E305" i="20"/>
  <c r="B305" i="19"/>
  <c r="C305" i="19"/>
  <c r="D305" i="19"/>
  <c r="E305" i="19"/>
  <c r="B305" i="23"/>
  <c r="C305" i="23"/>
  <c r="D305" i="23"/>
  <c r="E305" i="23"/>
  <c r="B305" i="18"/>
  <c r="C305" i="18"/>
  <c r="D305" i="18"/>
  <c r="E305" i="18"/>
  <c r="B305" i="22"/>
  <c r="C305" i="22"/>
  <c r="D305" i="22"/>
  <c r="E305" i="22"/>
  <c r="B305" i="17"/>
  <c r="C305" i="17"/>
  <c r="D305" i="17"/>
  <c r="E305" i="17"/>
  <c r="B304" i="20"/>
  <c r="C304" i="20"/>
  <c r="D304" i="20"/>
  <c r="E304" i="20"/>
  <c r="B304" i="19"/>
  <c r="C304" i="19"/>
  <c r="D304" i="19"/>
  <c r="E304" i="19"/>
  <c r="B304" i="23"/>
  <c r="C304" i="23"/>
  <c r="D304" i="23"/>
  <c r="E304" i="23"/>
  <c r="B304" i="18"/>
  <c r="C304" i="18"/>
  <c r="D304" i="18"/>
  <c r="E304" i="18"/>
  <c r="B304" i="22"/>
  <c r="C304" i="22"/>
  <c r="D304" i="22"/>
  <c r="E304" i="22"/>
  <c r="B304" i="17"/>
  <c r="C304" i="17"/>
  <c r="D304" i="17"/>
  <c r="E304" i="17"/>
  <c r="B303" i="20"/>
  <c r="C303" i="20"/>
  <c r="D303" i="20"/>
  <c r="E303" i="20"/>
  <c r="B303" i="19"/>
  <c r="C303" i="19"/>
  <c r="D303" i="19"/>
  <c r="E303" i="19"/>
  <c r="B303" i="23"/>
  <c r="C303" i="23"/>
  <c r="D303" i="23"/>
  <c r="E303" i="23"/>
  <c r="B303" i="18"/>
  <c r="C303" i="18"/>
  <c r="D303" i="18"/>
  <c r="E303" i="18"/>
  <c r="B303" i="22"/>
  <c r="C303" i="22"/>
  <c r="D303" i="22"/>
  <c r="E303" i="22"/>
  <c r="B303" i="17"/>
  <c r="C303" i="17"/>
  <c r="D303" i="17"/>
  <c r="E303" i="17"/>
  <c r="B302" i="20"/>
  <c r="C302" i="20"/>
  <c r="D302" i="20"/>
  <c r="E302" i="20"/>
  <c r="B302" i="19"/>
  <c r="C302" i="19"/>
  <c r="D302" i="19"/>
  <c r="E302" i="19"/>
  <c r="B302" i="23"/>
  <c r="C302" i="23"/>
  <c r="D302" i="23"/>
  <c r="E302" i="23"/>
  <c r="B302" i="18"/>
  <c r="C302" i="18"/>
  <c r="D302" i="18"/>
  <c r="E302" i="18"/>
  <c r="B302" i="22"/>
  <c r="C302" i="22"/>
  <c r="D302" i="22"/>
  <c r="E302" i="22"/>
  <c r="B302" i="17"/>
  <c r="C302" i="17"/>
  <c r="D302" i="17"/>
  <c r="E302" i="17"/>
  <c r="B301" i="20"/>
  <c r="C301" i="20"/>
  <c r="D301" i="20"/>
  <c r="E301" i="20"/>
  <c r="B301" i="19"/>
  <c r="C301" i="19"/>
  <c r="D301" i="19"/>
  <c r="E301" i="19"/>
  <c r="B301" i="23"/>
  <c r="C301" i="23"/>
  <c r="D301" i="23"/>
  <c r="E301" i="23"/>
  <c r="B301" i="18"/>
  <c r="C301" i="18"/>
  <c r="D301" i="18"/>
  <c r="E301" i="18"/>
  <c r="B301" i="22"/>
  <c r="C301" i="22"/>
  <c r="D301" i="22"/>
  <c r="E301" i="22"/>
  <c r="B301" i="17"/>
  <c r="C301" i="17"/>
  <c r="D301" i="17"/>
  <c r="E301" i="17"/>
  <c r="B300" i="20"/>
  <c r="C300" i="20"/>
  <c r="D300" i="20"/>
  <c r="E300" i="20"/>
  <c r="B300" i="19"/>
  <c r="C300" i="19"/>
  <c r="D300" i="19"/>
  <c r="E300" i="19"/>
  <c r="B300" i="23"/>
  <c r="C300" i="23"/>
  <c r="D300" i="23"/>
  <c r="E300" i="23"/>
  <c r="B300" i="18"/>
  <c r="C300" i="18"/>
  <c r="D300" i="18"/>
  <c r="E300" i="18"/>
  <c r="B300" i="22"/>
  <c r="C300" i="22"/>
  <c r="D300" i="22"/>
  <c r="E300" i="22"/>
  <c r="B300" i="17"/>
  <c r="C300" i="17"/>
  <c r="D300" i="17"/>
  <c r="E300" i="17"/>
  <c r="B299" i="20"/>
  <c r="C299" i="20"/>
  <c r="D299" i="20"/>
  <c r="E299" i="20"/>
  <c r="B299" i="19"/>
  <c r="C299" i="19"/>
  <c r="D299" i="19"/>
  <c r="E299" i="19"/>
  <c r="B299" i="23"/>
  <c r="C299" i="23"/>
  <c r="D299" i="23"/>
  <c r="E299" i="23"/>
  <c r="B299" i="18"/>
  <c r="C299" i="18"/>
  <c r="D299" i="18"/>
  <c r="E299" i="18"/>
  <c r="B299" i="22"/>
  <c r="C299" i="22"/>
  <c r="D299" i="22"/>
  <c r="E299" i="22"/>
  <c r="B299" i="17"/>
  <c r="C299" i="17"/>
  <c r="D299" i="17"/>
  <c r="E299" i="17"/>
  <c r="B298" i="20"/>
  <c r="C298" i="20"/>
  <c r="D298" i="20"/>
  <c r="E298" i="20"/>
  <c r="B298" i="19"/>
  <c r="C298" i="19"/>
  <c r="D298" i="19"/>
  <c r="E298" i="19"/>
  <c r="B298" i="23"/>
  <c r="C298" i="23"/>
  <c r="D298" i="23"/>
  <c r="E298" i="23"/>
  <c r="B298" i="18"/>
  <c r="C298" i="18"/>
  <c r="D298" i="18"/>
  <c r="E298" i="18"/>
  <c r="B298" i="22"/>
  <c r="C298" i="22"/>
  <c r="D298" i="22"/>
  <c r="E298" i="22"/>
  <c r="B298" i="17"/>
  <c r="C298" i="17"/>
  <c r="D298" i="17"/>
  <c r="E298" i="17"/>
  <c r="B297" i="20"/>
  <c r="C297" i="20"/>
  <c r="D297" i="20"/>
  <c r="E297" i="20"/>
  <c r="B297" i="19"/>
  <c r="C297" i="19"/>
  <c r="D297" i="19"/>
  <c r="E297" i="19"/>
  <c r="B297" i="23"/>
  <c r="C297" i="23"/>
  <c r="D297" i="23"/>
  <c r="E297" i="23"/>
  <c r="B297" i="18"/>
  <c r="C297" i="18"/>
  <c r="D297" i="18"/>
  <c r="E297" i="18"/>
  <c r="B297" i="22"/>
  <c r="C297" i="22"/>
  <c r="D297" i="22"/>
  <c r="E297" i="22"/>
  <c r="B297" i="17"/>
  <c r="C297" i="17"/>
  <c r="D297" i="17"/>
  <c r="E297" i="17"/>
  <c r="B296" i="20"/>
  <c r="C296" i="20"/>
  <c r="D296" i="20"/>
  <c r="E296" i="20"/>
  <c r="B296" i="19"/>
  <c r="C296" i="19"/>
  <c r="D296" i="19"/>
  <c r="E296" i="19"/>
  <c r="B296" i="23"/>
  <c r="C296" i="23"/>
  <c r="D296" i="23"/>
  <c r="E296" i="23"/>
  <c r="B296" i="18"/>
  <c r="C296" i="18"/>
  <c r="D296" i="18"/>
  <c r="E296" i="18"/>
  <c r="B296" i="22"/>
  <c r="C296" i="22"/>
  <c r="D296" i="22"/>
  <c r="E296" i="22"/>
  <c r="B296" i="17"/>
  <c r="C296" i="17"/>
  <c r="D296" i="17"/>
  <c r="E296" i="17"/>
  <c r="B295" i="20"/>
  <c r="C295" i="20"/>
  <c r="D295" i="20"/>
  <c r="E295" i="20"/>
  <c r="B295" i="19"/>
  <c r="C295" i="19"/>
  <c r="D295" i="19"/>
  <c r="E295" i="19"/>
  <c r="B295" i="23"/>
  <c r="C295" i="23"/>
  <c r="D295" i="23"/>
  <c r="E295" i="23"/>
  <c r="B295" i="18"/>
  <c r="C295" i="18"/>
  <c r="D295" i="18"/>
  <c r="E295" i="18"/>
  <c r="B295" i="22"/>
  <c r="C295" i="22"/>
  <c r="D295" i="22"/>
  <c r="E295" i="22"/>
  <c r="B295" i="17"/>
  <c r="C295" i="17"/>
  <c r="D295" i="17"/>
  <c r="E295" i="17"/>
  <c r="B294" i="20"/>
  <c r="C294" i="20"/>
  <c r="D294" i="20"/>
  <c r="E294" i="20"/>
  <c r="B294" i="19"/>
  <c r="C294" i="19"/>
  <c r="D294" i="19"/>
  <c r="E294" i="19"/>
  <c r="B294" i="23"/>
  <c r="C294" i="23"/>
  <c r="D294" i="23"/>
  <c r="E294" i="23"/>
  <c r="B294" i="18"/>
  <c r="C294" i="18"/>
  <c r="D294" i="18"/>
  <c r="E294" i="18"/>
  <c r="B294" i="22"/>
  <c r="C294" i="22"/>
  <c r="D294" i="22"/>
  <c r="E294" i="22"/>
  <c r="B294" i="17"/>
  <c r="C294" i="17"/>
  <c r="D294" i="17"/>
  <c r="E294" i="17"/>
  <c r="B293" i="20"/>
  <c r="C293" i="20"/>
  <c r="D293" i="20"/>
  <c r="E293" i="20"/>
  <c r="B293" i="19"/>
  <c r="C293" i="19"/>
  <c r="D293" i="19"/>
  <c r="E293" i="19"/>
  <c r="B293" i="23"/>
  <c r="C293" i="23"/>
  <c r="D293" i="23"/>
  <c r="E293" i="23"/>
  <c r="B293" i="18"/>
  <c r="C293" i="18"/>
  <c r="D293" i="18"/>
  <c r="E293" i="18"/>
  <c r="B293" i="22"/>
  <c r="C293" i="22"/>
  <c r="D293" i="22"/>
  <c r="E293" i="22"/>
  <c r="B293" i="17"/>
  <c r="C293" i="17"/>
  <c r="D293" i="17"/>
  <c r="E293" i="17"/>
  <c r="B292" i="20"/>
  <c r="C292" i="20"/>
  <c r="D292" i="20"/>
  <c r="E292" i="20"/>
  <c r="B292" i="19"/>
  <c r="C292" i="19"/>
  <c r="D292" i="19"/>
  <c r="E292" i="19"/>
  <c r="B292" i="23"/>
  <c r="C292" i="23"/>
  <c r="D292" i="23"/>
  <c r="E292" i="23"/>
  <c r="B292" i="18"/>
  <c r="C292" i="18"/>
  <c r="D292" i="18"/>
  <c r="E292" i="18"/>
  <c r="B292" i="22"/>
  <c r="C292" i="22"/>
  <c r="D292" i="22"/>
  <c r="E292" i="22"/>
  <c r="B292" i="17"/>
  <c r="C292" i="17"/>
  <c r="D292" i="17"/>
  <c r="E292" i="17"/>
  <c r="B291" i="20"/>
  <c r="C291" i="20"/>
  <c r="D291" i="20"/>
  <c r="E291" i="20"/>
  <c r="B291" i="19"/>
  <c r="C291" i="19"/>
  <c r="D291" i="19"/>
  <c r="E291" i="19"/>
  <c r="B291" i="23"/>
  <c r="C291" i="23"/>
  <c r="D291" i="23"/>
  <c r="E291" i="23"/>
  <c r="B291" i="18"/>
  <c r="C291" i="18"/>
  <c r="D291" i="18"/>
  <c r="E291" i="18"/>
  <c r="B291" i="22"/>
  <c r="C291" i="22"/>
  <c r="D291" i="22"/>
  <c r="E291" i="22"/>
  <c r="B291" i="17"/>
  <c r="C291" i="17"/>
  <c r="D291" i="17"/>
  <c r="E291" i="17"/>
  <c r="B290" i="20"/>
  <c r="C290" i="20"/>
  <c r="D290" i="20"/>
  <c r="E290" i="20"/>
  <c r="B290" i="19"/>
  <c r="C290" i="19"/>
  <c r="D290" i="19"/>
  <c r="E290" i="19"/>
  <c r="B290" i="23"/>
  <c r="C290" i="23"/>
  <c r="D290" i="23"/>
  <c r="E290" i="23"/>
  <c r="B290" i="18"/>
  <c r="C290" i="18"/>
  <c r="D290" i="18"/>
  <c r="E290" i="18"/>
  <c r="B290" i="22"/>
  <c r="C290" i="22"/>
  <c r="D290" i="22"/>
  <c r="E290" i="22"/>
  <c r="B290" i="17"/>
  <c r="C290" i="17"/>
  <c r="D290" i="17"/>
  <c r="E290" i="17"/>
  <c r="B289" i="20"/>
  <c r="C289" i="20"/>
  <c r="D289" i="20"/>
  <c r="E289" i="20"/>
  <c r="B289" i="19"/>
  <c r="C289" i="19"/>
  <c r="D289" i="19"/>
  <c r="E289" i="19"/>
  <c r="B289" i="23"/>
  <c r="C289" i="23"/>
  <c r="D289" i="23"/>
  <c r="E289" i="23"/>
  <c r="B289" i="18"/>
  <c r="C289" i="18"/>
  <c r="D289" i="18"/>
  <c r="E289" i="18"/>
  <c r="B289" i="22"/>
  <c r="C289" i="22"/>
  <c r="D289" i="22"/>
  <c r="E289" i="22"/>
  <c r="B289" i="17"/>
  <c r="C289" i="17"/>
  <c r="D289" i="17"/>
  <c r="E289" i="17"/>
  <c r="B288" i="20"/>
  <c r="C288" i="20"/>
  <c r="D288" i="20"/>
  <c r="E288" i="20"/>
  <c r="B288" i="19"/>
  <c r="C288" i="19"/>
  <c r="D288" i="19"/>
  <c r="E288" i="19"/>
  <c r="B288" i="23"/>
  <c r="C288" i="23"/>
  <c r="D288" i="23"/>
  <c r="E288" i="23"/>
  <c r="B288" i="18"/>
  <c r="C288" i="18"/>
  <c r="D288" i="18"/>
  <c r="E288" i="18"/>
  <c r="B288" i="22"/>
  <c r="C288" i="22"/>
  <c r="D288" i="22"/>
  <c r="E288" i="22"/>
  <c r="B288" i="17"/>
  <c r="C288" i="17"/>
  <c r="D288" i="17"/>
  <c r="E288" i="17"/>
  <c r="B287" i="20"/>
  <c r="C287" i="20"/>
  <c r="D287" i="20"/>
  <c r="E287" i="20"/>
  <c r="B287" i="19"/>
  <c r="C287" i="19"/>
  <c r="D287" i="19"/>
  <c r="E287" i="19"/>
  <c r="B287" i="23"/>
  <c r="C287" i="23"/>
  <c r="D287" i="23"/>
  <c r="E287" i="23"/>
  <c r="B287" i="18"/>
  <c r="C287" i="18"/>
  <c r="D287" i="18"/>
  <c r="E287" i="18"/>
  <c r="B287" i="22"/>
  <c r="C287" i="22"/>
  <c r="D287" i="22"/>
  <c r="E287" i="22"/>
  <c r="B287" i="17"/>
  <c r="C287" i="17"/>
  <c r="D287" i="17"/>
  <c r="E287" i="17"/>
  <c r="B286" i="20"/>
  <c r="C286" i="20"/>
  <c r="D286" i="20"/>
  <c r="E286" i="20"/>
  <c r="B286" i="19"/>
  <c r="C286" i="19"/>
  <c r="D286" i="19"/>
  <c r="E286" i="19"/>
  <c r="B286" i="23"/>
  <c r="C286" i="23"/>
  <c r="D286" i="23"/>
  <c r="E286" i="23"/>
  <c r="B286" i="18"/>
  <c r="C286" i="18"/>
  <c r="D286" i="18"/>
  <c r="E286" i="18"/>
  <c r="B286" i="22"/>
  <c r="C286" i="22"/>
  <c r="D286" i="22"/>
  <c r="E286" i="22"/>
  <c r="B286" i="17"/>
  <c r="C286" i="17"/>
  <c r="D286" i="17"/>
  <c r="E286" i="17"/>
  <c r="B285" i="20"/>
  <c r="C285" i="20"/>
  <c r="D285" i="20"/>
  <c r="E285" i="20"/>
  <c r="B285" i="19"/>
  <c r="C285" i="19"/>
  <c r="D285" i="19"/>
  <c r="E285" i="19"/>
  <c r="B285" i="23"/>
  <c r="C285" i="23"/>
  <c r="D285" i="23"/>
  <c r="E285" i="23"/>
  <c r="B285" i="18"/>
  <c r="C285" i="18"/>
  <c r="D285" i="18"/>
  <c r="E285" i="18"/>
  <c r="B285" i="22"/>
  <c r="C285" i="22"/>
  <c r="D285" i="22"/>
  <c r="E285" i="22"/>
  <c r="B285" i="17"/>
  <c r="C285" i="17"/>
  <c r="D285" i="17"/>
  <c r="E285" i="17"/>
  <c r="B284" i="20"/>
  <c r="C284" i="20"/>
  <c r="D284" i="20"/>
  <c r="E284" i="20"/>
  <c r="B284" i="19"/>
  <c r="C284" i="19"/>
  <c r="D284" i="19"/>
  <c r="E284" i="19"/>
  <c r="B284" i="23"/>
  <c r="C284" i="23"/>
  <c r="D284" i="23"/>
  <c r="E284" i="23"/>
  <c r="B284" i="18"/>
  <c r="C284" i="18"/>
  <c r="D284" i="18"/>
  <c r="E284" i="18"/>
  <c r="B284" i="22"/>
  <c r="C284" i="22"/>
  <c r="D284" i="22"/>
  <c r="E284" i="22"/>
  <c r="B284" i="17"/>
  <c r="C284" i="17"/>
  <c r="D284" i="17"/>
  <c r="E284" i="17"/>
  <c r="B283" i="20"/>
  <c r="C283" i="20"/>
  <c r="D283" i="20"/>
  <c r="E283" i="20"/>
  <c r="B283" i="19"/>
  <c r="C283" i="19"/>
  <c r="D283" i="19"/>
  <c r="E283" i="19"/>
  <c r="B283" i="23"/>
  <c r="C283" i="23"/>
  <c r="D283" i="23"/>
  <c r="E283" i="23"/>
  <c r="B283" i="18"/>
  <c r="C283" i="18"/>
  <c r="D283" i="18"/>
  <c r="E283" i="18"/>
  <c r="B283" i="22"/>
  <c r="C283" i="22"/>
  <c r="D283" i="22"/>
  <c r="E283" i="22"/>
  <c r="B283" i="17"/>
  <c r="C283" i="17"/>
  <c r="D283" i="17"/>
  <c r="E283" i="17"/>
  <c r="B282" i="20"/>
  <c r="C282" i="20"/>
  <c r="D282" i="20"/>
  <c r="E282" i="20"/>
  <c r="B282" i="19"/>
  <c r="C282" i="19"/>
  <c r="D282" i="19"/>
  <c r="E282" i="19"/>
  <c r="B282" i="23"/>
  <c r="C282" i="23"/>
  <c r="D282" i="23"/>
  <c r="E282" i="23"/>
  <c r="B282" i="18"/>
  <c r="C282" i="18"/>
  <c r="D282" i="18"/>
  <c r="E282" i="18"/>
  <c r="B282" i="22"/>
  <c r="C282" i="22"/>
  <c r="D282" i="22"/>
  <c r="E282" i="22"/>
  <c r="B282" i="17"/>
  <c r="C282" i="17"/>
  <c r="D282" i="17"/>
  <c r="E282" i="17"/>
  <c r="B281" i="20"/>
  <c r="C281" i="20"/>
  <c r="D281" i="20"/>
  <c r="E281" i="20"/>
  <c r="B281" i="19"/>
  <c r="C281" i="19"/>
  <c r="D281" i="19"/>
  <c r="E281" i="19"/>
  <c r="B281" i="23"/>
  <c r="C281" i="23"/>
  <c r="D281" i="23"/>
  <c r="E281" i="23"/>
  <c r="B281" i="18"/>
  <c r="C281" i="18"/>
  <c r="D281" i="18"/>
  <c r="E281" i="18"/>
  <c r="B281" i="22"/>
  <c r="C281" i="22"/>
  <c r="D281" i="22"/>
  <c r="E281" i="22"/>
  <c r="B281" i="17"/>
  <c r="C281" i="17"/>
  <c r="D281" i="17"/>
  <c r="E281" i="17"/>
  <c r="B280" i="20"/>
  <c r="C280" i="20"/>
  <c r="D280" i="20"/>
  <c r="E280" i="20"/>
  <c r="B280" i="19"/>
  <c r="C280" i="19"/>
  <c r="D280" i="19"/>
  <c r="E280" i="19"/>
  <c r="B280" i="23"/>
  <c r="C280" i="23"/>
  <c r="D280" i="23"/>
  <c r="E280" i="23"/>
  <c r="B280" i="18"/>
  <c r="C280" i="18"/>
  <c r="D280" i="18"/>
  <c r="E280" i="18"/>
  <c r="B280" i="22"/>
  <c r="C280" i="22"/>
  <c r="D280" i="22"/>
  <c r="E280" i="22"/>
  <c r="B280" i="17"/>
  <c r="C280" i="17"/>
  <c r="D280" i="17"/>
  <c r="E280" i="17"/>
  <c r="B279" i="20"/>
  <c r="C279" i="20"/>
  <c r="D279" i="20"/>
  <c r="E279" i="20"/>
  <c r="B279" i="19"/>
  <c r="C279" i="19"/>
  <c r="D279" i="19"/>
  <c r="E279" i="19"/>
  <c r="B279" i="23"/>
  <c r="C279" i="23"/>
  <c r="D279" i="23"/>
  <c r="E279" i="23"/>
  <c r="B279" i="18"/>
  <c r="C279" i="18"/>
  <c r="D279" i="18"/>
  <c r="E279" i="18"/>
  <c r="B279" i="22"/>
  <c r="C279" i="22"/>
  <c r="D279" i="22"/>
  <c r="E279" i="22"/>
  <c r="B279" i="17"/>
  <c r="C279" i="17"/>
  <c r="D279" i="17"/>
  <c r="E279" i="17"/>
  <c r="B278" i="20"/>
  <c r="C278" i="20"/>
  <c r="D278" i="20"/>
  <c r="E278" i="20"/>
  <c r="B278" i="19"/>
  <c r="C278" i="19"/>
  <c r="D278" i="19"/>
  <c r="E278" i="19"/>
  <c r="B278" i="23"/>
  <c r="C278" i="23"/>
  <c r="D278" i="23"/>
  <c r="E278" i="23"/>
  <c r="B278" i="18"/>
  <c r="C278" i="18"/>
  <c r="D278" i="18"/>
  <c r="E278" i="18"/>
  <c r="B278" i="22"/>
  <c r="C278" i="22"/>
  <c r="D278" i="22"/>
  <c r="E278" i="22"/>
  <c r="B278" i="17"/>
  <c r="C278" i="17"/>
  <c r="D278" i="17"/>
  <c r="E278" i="17"/>
  <c r="B277" i="20"/>
  <c r="C277" i="20"/>
  <c r="D277" i="20"/>
  <c r="E277" i="20"/>
  <c r="B277" i="19"/>
  <c r="C277" i="19"/>
  <c r="D277" i="19"/>
  <c r="E277" i="19"/>
  <c r="B277" i="23"/>
  <c r="C277" i="23"/>
  <c r="D277" i="23"/>
  <c r="E277" i="23"/>
  <c r="B277" i="18"/>
  <c r="C277" i="18"/>
  <c r="D277" i="18"/>
  <c r="E277" i="18"/>
  <c r="B277" i="22"/>
  <c r="C277" i="22"/>
  <c r="D277" i="22"/>
  <c r="E277" i="22"/>
  <c r="B277" i="17"/>
  <c r="C277" i="17"/>
  <c r="D277" i="17"/>
  <c r="E277" i="17"/>
  <c r="B276" i="20"/>
  <c r="C276" i="20"/>
  <c r="D276" i="20"/>
  <c r="E276" i="20"/>
  <c r="B276" i="19"/>
  <c r="C276" i="19"/>
  <c r="D276" i="19"/>
  <c r="E276" i="19"/>
  <c r="B276" i="23"/>
  <c r="C276" i="23"/>
  <c r="D276" i="23"/>
  <c r="E276" i="23"/>
  <c r="B276" i="18"/>
  <c r="C276" i="18"/>
  <c r="D276" i="18"/>
  <c r="E276" i="18"/>
  <c r="B276" i="22"/>
  <c r="C276" i="22"/>
  <c r="D276" i="22"/>
  <c r="E276" i="22"/>
  <c r="B276" i="17"/>
  <c r="C276" i="17"/>
  <c r="D276" i="17"/>
  <c r="E276" i="17"/>
  <c r="B275" i="20"/>
  <c r="C275" i="20"/>
  <c r="D275" i="20"/>
  <c r="E275" i="20"/>
  <c r="B275" i="19"/>
  <c r="C275" i="19"/>
  <c r="D275" i="19"/>
  <c r="E275" i="19"/>
  <c r="B275" i="23"/>
  <c r="C275" i="23"/>
  <c r="D275" i="23"/>
  <c r="E275" i="23"/>
  <c r="B275" i="18"/>
  <c r="C275" i="18"/>
  <c r="D275" i="18"/>
  <c r="E275" i="18"/>
  <c r="B275" i="22"/>
  <c r="C275" i="22"/>
  <c r="D275" i="22"/>
  <c r="E275" i="22"/>
  <c r="B275" i="17"/>
  <c r="C275" i="17"/>
  <c r="D275" i="17"/>
  <c r="E275" i="17"/>
  <c r="B274" i="20"/>
  <c r="C274" i="20"/>
  <c r="D274" i="20"/>
  <c r="E274" i="20"/>
  <c r="B274" i="19"/>
  <c r="C274" i="19"/>
  <c r="D274" i="19"/>
  <c r="E274" i="19"/>
  <c r="B274" i="23"/>
  <c r="C274" i="23"/>
  <c r="D274" i="23"/>
  <c r="E274" i="23"/>
  <c r="B274" i="18"/>
  <c r="C274" i="18"/>
  <c r="D274" i="18"/>
  <c r="E274" i="18"/>
  <c r="B274" i="22"/>
  <c r="C274" i="22"/>
  <c r="D274" i="22"/>
  <c r="E274" i="22"/>
  <c r="B274" i="17"/>
  <c r="C274" i="17"/>
  <c r="D274" i="17"/>
  <c r="E274" i="17"/>
  <c r="B273" i="20"/>
  <c r="C273" i="20"/>
  <c r="D273" i="20"/>
  <c r="E273" i="20"/>
  <c r="B273" i="19"/>
  <c r="C273" i="19"/>
  <c r="D273" i="19"/>
  <c r="E273" i="19"/>
  <c r="B273" i="23"/>
  <c r="C273" i="23"/>
  <c r="D273" i="23"/>
  <c r="E273" i="23"/>
  <c r="B273" i="18"/>
  <c r="C273" i="18"/>
  <c r="D273" i="18"/>
  <c r="E273" i="18"/>
  <c r="B273" i="22"/>
  <c r="C273" i="22"/>
  <c r="D273" i="22"/>
  <c r="E273" i="22"/>
  <c r="B273" i="17"/>
  <c r="C273" i="17"/>
  <c r="D273" i="17"/>
  <c r="E273" i="17"/>
  <c r="B272" i="20"/>
  <c r="C272" i="20"/>
  <c r="D272" i="20"/>
  <c r="E272" i="20"/>
  <c r="B272" i="19"/>
  <c r="C272" i="19"/>
  <c r="D272" i="19"/>
  <c r="E272" i="19"/>
  <c r="B272" i="23"/>
  <c r="C272" i="23"/>
  <c r="D272" i="23"/>
  <c r="E272" i="23"/>
  <c r="B272" i="18"/>
  <c r="C272" i="18"/>
  <c r="D272" i="18"/>
  <c r="E272" i="18"/>
  <c r="B272" i="22"/>
  <c r="C272" i="22"/>
  <c r="D272" i="22"/>
  <c r="E272" i="22"/>
  <c r="B272" i="17"/>
  <c r="C272" i="17"/>
  <c r="D272" i="17"/>
  <c r="E272" i="17"/>
  <c r="B271" i="20"/>
  <c r="C271" i="20"/>
  <c r="D271" i="20"/>
  <c r="E271" i="20"/>
  <c r="B271" i="19"/>
  <c r="C271" i="19"/>
  <c r="D271" i="19"/>
  <c r="E271" i="19"/>
  <c r="B271" i="23"/>
  <c r="C271" i="23"/>
  <c r="D271" i="23"/>
  <c r="E271" i="23"/>
  <c r="B271" i="18"/>
  <c r="C271" i="18"/>
  <c r="D271" i="18"/>
  <c r="E271" i="18"/>
  <c r="B271" i="22"/>
  <c r="C271" i="22"/>
  <c r="D271" i="22"/>
  <c r="E271" i="22"/>
  <c r="B271" i="17"/>
  <c r="C271" i="17"/>
  <c r="D271" i="17"/>
  <c r="E271" i="17"/>
  <c r="B270" i="20"/>
  <c r="C270" i="20"/>
  <c r="D270" i="20"/>
  <c r="E270" i="20"/>
  <c r="B270" i="19"/>
  <c r="C270" i="19"/>
  <c r="D270" i="19"/>
  <c r="E270" i="19"/>
  <c r="B270" i="23"/>
  <c r="C270" i="23"/>
  <c r="D270" i="23"/>
  <c r="E270" i="23"/>
  <c r="B270" i="18"/>
  <c r="C270" i="18"/>
  <c r="D270" i="18"/>
  <c r="E270" i="18"/>
  <c r="B270" i="22"/>
  <c r="C270" i="22"/>
  <c r="D270" i="22"/>
  <c r="E270" i="22"/>
  <c r="B270" i="17"/>
  <c r="C270" i="17"/>
  <c r="D270" i="17"/>
  <c r="E270" i="17"/>
  <c r="B269" i="20"/>
  <c r="C269" i="20"/>
  <c r="D269" i="20"/>
  <c r="E269" i="20"/>
  <c r="B269" i="19"/>
  <c r="C269" i="19"/>
  <c r="D269" i="19"/>
  <c r="E269" i="19"/>
  <c r="B269" i="23"/>
  <c r="C269" i="23"/>
  <c r="D269" i="23"/>
  <c r="E269" i="23"/>
  <c r="B269" i="18"/>
  <c r="C269" i="18"/>
  <c r="D269" i="18"/>
  <c r="E269" i="18"/>
  <c r="B269" i="22"/>
  <c r="C269" i="22"/>
  <c r="D269" i="22"/>
  <c r="E269" i="22"/>
  <c r="B269" i="17"/>
  <c r="C269" i="17"/>
  <c r="D269" i="17"/>
  <c r="E269" i="17"/>
  <c r="B268" i="20"/>
  <c r="C268" i="20"/>
  <c r="D268" i="20"/>
  <c r="E268" i="20"/>
  <c r="B268" i="19"/>
  <c r="C268" i="19"/>
  <c r="D268" i="19"/>
  <c r="E268" i="19"/>
  <c r="B268" i="23"/>
  <c r="C268" i="23"/>
  <c r="D268" i="23"/>
  <c r="E268" i="23"/>
  <c r="B268" i="18"/>
  <c r="C268" i="18"/>
  <c r="D268" i="18"/>
  <c r="E268" i="18"/>
  <c r="B268" i="22"/>
  <c r="C268" i="22"/>
  <c r="D268" i="22"/>
  <c r="E268" i="22"/>
  <c r="B268" i="17"/>
  <c r="C268" i="17"/>
  <c r="D268" i="17"/>
  <c r="E268" i="17"/>
  <c r="B267" i="20"/>
  <c r="C267" i="20"/>
  <c r="D267" i="20"/>
  <c r="E267" i="20"/>
  <c r="B267" i="19"/>
  <c r="C267" i="19"/>
  <c r="D267" i="19"/>
  <c r="E267" i="19"/>
  <c r="B267" i="23"/>
  <c r="C267" i="23"/>
  <c r="D267" i="23"/>
  <c r="E267" i="23"/>
  <c r="B267" i="18"/>
  <c r="C267" i="18"/>
  <c r="D267" i="18"/>
  <c r="E267" i="18"/>
  <c r="B267" i="22"/>
  <c r="C267" i="22"/>
  <c r="D267" i="22"/>
  <c r="E267" i="22"/>
  <c r="B267" i="17"/>
  <c r="C267" i="17"/>
  <c r="D267" i="17"/>
  <c r="E267" i="17"/>
  <c r="B266" i="20"/>
  <c r="C266" i="20"/>
  <c r="D266" i="20"/>
  <c r="E266" i="20"/>
  <c r="B266" i="19"/>
  <c r="C266" i="19"/>
  <c r="D266" i="19"/>
  <c r="E266" i="19"/>
  <c r="B266" i="23"/>
  <c r="C266" i="23"/>
  <c r="D266" i="23"/>
  <c r="E266" i="23"/>
  <c r="B266" i="18"/>
  <c r="C266" i="18"/>
  <c r="D266" i="18"/>
  <c r="E266" i="18"/>
  <c r="B266" i="22"/>
  <c r="C266" i="22"/>
  <c r="D266" i="22"/>
  <c r="E266" i="22"/>
  <c r="B266" i="17"/>
  <c r="C266" i="17"/>
  <c r="D266" i="17"/>
  <c r="E266" i="17"/>
  <c r="B265" i="20"/>
  <c r="C265" i="20"/>
  <c r="D265" i="20"/>
  <c r="E265" i="20"/>
  <c r="B265" i="19"/>
  <c r="C265" i="19"/>
  <c r="D265" i="19"/>
  <c r="E265" i="19"/>
  <c r="B265" i="23"/>
  <c r="C265" i="23"/>
  <c r="D265" i="23"/>
  <c r="E265" i="23"/>
  <c r="B265" i="18"/>
  <c r="C265" i="18"/>
  <c r="D265" i="18"/>
  <c r="E265" i="18"/>
  <c r="B265" i="22"/>
  <c r="C265" i="22"/>
  <c r="D265" i="22"/>
  <c r="E265" i="22"/>
  <c r="B265" i="17"/>
  <c r="C265" i="17"/>
  <c r="D265" i="17"/>
  <c r="E265" i="17"/>
  <c r="B264" i="20"/>
  <c r="C264" i="20"/>
  <c r="D264" i="20"/>
  <c r="E264" i="20"/>
  <c r="B264" i="19"/>
  <c r="C264" i="19"/>
  <c r="D264" i="19"/>
  <c r="E264" i="19"/>
  <c r="B264" i="23"/>
  <c r="C264" i="23"/>
  <c r="D264" i="23"/>
  <c r="E264" i="23"/>
  <c r="B264" i="18"/>
  <c r="C264" i="18"/>
  <c r="D264" i="18"/>
  <c r="E264" i="18"/>
  <c r="B264" i="22"/>
  <c r="C264" i="22"/>
  <c r="D264" i="22"/>
  <c r="E264" i="22"/>
  <c r="B264" i="17"/>
  <c r="C264" i="17"/>
  <c r="D264" i="17"/>
  <c r="E264" i="17"/>
  <c r="B263" i="20"/>
  <c r="C263" i="20"/>
  <c r="D263" i="20"/>
  <c r="E263" i="20"/>
  <c r="B263" i="19"/>
  <c r="C263" i="19"/>
  <c r="D263" i="19"/>
  <c r="E263" i="19"/>
  <c r="B263" i="23"/>
  <c r="C263" i="23"/>
  <c r="D263" i="23"/>
  <c r="E263" i="23"/>
  <c r="B263" i="18"/>
  <c r="C263" i="18"/>
  <c r="D263" i="18"/>
  <c r="E263" i="18"/>
  <c r="B263" i="22"/>
  <c r="C263" i="22"/>
  <c r="D263" i="22"/>
  <c r="E263" i="22"/>
  <c r="B263" i="17"/>
  <c r="C263" i="17"/>
  <c r="D263" i="17"/>
  <c r="E263" i="17"/>
  <c r="B262" i="20"/>
  <c r="C262" i="20"/>
  <c r="D262" i="20"/>
  <c r="E262" i="20"/>
  <c r="B262" i="19"/>
  <c r="C262" i="19"/>
  <c r="D262" i="19"/>
  <c r="E262" i="19"/>
  <c r="B262" i="23"/>
  <c r="C262" i="23"/>
  <c r="D262" i="23"/>
  <c r="E262" i="23"/>
  <c r="B262" i="18"/>
  <c r="C262" i="18"/>
  <c r="D262" i="18"/>
  <c r="E262" i="18"/>
  <c r="B262" i="22"/>
  <c r="C262" i="22"/>
  <c r="D262" i="22"/>
  <c r="E262" i="22"/>
  <c r="B262" i="17"/>
  <c r="C262" i="17"/>
  <c r="D262" i="17"/>
  <c r="E262" i="17"/>
  <c r="B261" i="20"/>
  <c r="C261" i="20"/>
  <c r="D261" i="20"/>
  <c r="E261" i="20"/>
  <c r="B261" i="19"/>
  <c r="C261" i="19"/>
  <c r="D261" i="19"/>
  <c r="E261" i="19"/>
  <c r="B261" i="23"/>
  <c r="C261" i="23"/>
  <c r="D261" i="23"/>
  <c r="E261" i="23"/>
  <c r="B261" i="18"/>
  <c r="C261" i="18"/>
  <c r="D261" i="18"/>
  <c r="E261" i="18"/>
  <c r="B261" i="22"/>
  <c r="C261" i="22"/>
  <c r="D261" i="22"/>
  <c r="E261" i="22"/>
  <c r="B261" i="17"/>
  <c r="C261" i="17"/>
  <c r="D261" i="17"/>
  <c r="E261" i="17"/>
  <c r="B260" i="20"/>
  <c r="C260" i="20"/>
  <c r="D260" i="20"/>
  <c r="E260" i="20"/>
  <c r="B260" i="19"/>
  <c r="C260" i="19"/>
  <c r="D260" i="19"/>
  <c r="E260" i="19"/>
  <c r="B260" i="23"/>
  <c r="C260" i="23"/>
  <c r="D260" i="23"/>
  <c r="E260" i="23"/>
  <c r="B260" i="18"/>
  <c r="C260" i="18"/>
  <c r="D260" i="18"/>
  <c r="E260" i="18"/>
  <c r="B260" i="22"/>
  <c r="C260" i="22"/>
  <c r="D260" i="22"/>
  <c r="E260" i="22"/>
  <c r="B260" i="17"/>
  <c r="C260" i="17"/>
  <c r="D260" i="17"/>
  <c r="E260" i="17"/>
  <c r="B259" i="20"/>
  <c r="C259" i="20"/>
  <c r="D259" i="20"/>
  <c r="E259" i="20"/>
  <c r="B259" i="19"/>
  <c r="C259" i="19"/>
  <c r="D259" i="19"/>
  <c r="E259" i="19"/>
  <c r="B259" i="23"/>
  <c r="C259" i="23"/>
  <c r="D259" i="23"/>
  <c r="E259" i="23"/>
  <c r="B259" i="18"/>
  <c r="C259" i="18"/>
  <c r="D259" i="18"/>
  <c r="E259" i="18"/>
  <c r="B259" i="22"/>
  <c r="C259" i="22"/>
  <c r="D259" i="22"/>
  <c r="E259" i="22"/>
  <c r="B259" i="17"/>
  <c r="C259" i="17"/>
  <c r="D259" i="17"/>
  <c r="E259" i="17"/>
  <c r="B258" i="20"/>
  <c r="C258" i="20"/>
  <c r="D258" i="20"/>
  <c r="E258" i="20"/>
  <c r="B258" i="19"/>
  <c r="C258" i="19"/>
  <c r="D258" i="19"/>
  <c r="E258" i="19"/>
  <c r="B258" i="23"/>
  <c r="C258" i="23"/>
  <c r="D258" i="23"/>
  <c r="E258" i="23"/>
  <c r="B258" i="18"/>
  <c r="C258" i="18"/>
  <c r="D258" i="18"/>
  <c r="E258" i="18"/>
  <c r="B258" i="22"/>
  <c r="C258" i="22"/>
  <c r="D258" i="22"/>
  <c r="E258" i="22"/>
  <c r="B258" i="17"/>
  <c r="C258" i="17"/>
  <c r="D258" i="17"/>
  <c r="E258" i="17"/>
  <c r="B257" i="20"/>
  <c r="C257" i="20"/>
  <c r="D257" i="20"/>
  <c r="E257" i="20"/>
  <c r="B257" i="19"/>
  <c r="C257" i="19"/>
  <c r="D257" i="19"/>
  <c r="E257" i="19"/>
  <c r="B257" i="23"/>
  <c r="C257" i="23"/>
  <c r="D257" i="23"/>
  <c r="E257" i="23"/>
  <c r="B257" i="18"/>
  <c r="C257" i="18"/>
  <c r="D257" i="18"/>
  <c r="E257" i="18"/>
  <c r="B257" i="22"/>
  <c r="C257" i="22"/>
  <c r="D257" i="22"/>
  <c r="E257" i="22"/>
  <c r="B257" i="17"/>
  <c r="C257" i="17"/>
  <c r="D257" i="17"/>
  <c r="E257" i="17"/>
  <c r="B256" i="20"/>
  <c r="C256" i="20"/>
  <c r="D256" i="20"/>
  <c r="E256" i="20"/>
  <c r="B256" i="19"/>
  <c r="C256" i="19"/>
  <c r="D256" i="19"/>
  <c r="E256" i="19"/>
  <c r="B256" i="23"/>
  <c r="C256" i="23"/>
  <c r="D256" i="23"/>
  <c r="E256" i="23"/>
  <c r="B256" i="18"/>
  <c r="C256" i="18"/>
  <c r="D256" i="18"/>
  <c r="E256" i="18"/>
  <c r="B256" i="22"/>
  <c r="C256" i="22"/>
  <c r="D256" i="22"/>
  <c r="E256" i="22"/>
  <c r="B256" i="17"/>
  <c r="C256" i="17"/>
  <c r="D256" i="17"/>
  <c r="E256" i="17"/>
  <c r="B255" i="20"/>
  <c r="C255" i="20"/>
  <c r="D255" i="20"/>
  <c r="E255" i="20"/>
  <c r="B255" i="19"/>
  <c r="C255" i="19"/>
  <c r="D255" i="19"/>
  <c r="E255" i="19"/>
  <c r="B255" i="23"/>
  <c r="C255" i="23"/>
  <c r="D255" i="23"/>
  <c r="E255" i="23"/>
  <c r="B255" i="18"/>
  <c r="C255" i="18"/>
  <c r="D255" i="18"/>
  <c r="E255" i="18"/>
  <c r="B255" i="22"/>
  <c r="C255" i="22"/>
  <c r="D255" i="22"/>
  <c r="E255" i="22"/>
  <c r="B255" i="17"/>
  <c r="C255" i="17"/>
  <c r="D255" i="17"/>
  <c r="E255" i="17"/>
  <c r="B254" i="20"/>
  <c r="C254" i="20"/>
  <c r="D254" i="20"/>
  <c r="E254" i="20"/>
  <c r="B254" i="19"/>
  <c r="C254" i="19"/>
  <c r="D254" i="19"/>
  <c r="E254" i="19"/>
  <c r="B254" i="23"/>
  <c r="C254" i="23"/>
  <c r="D254" i="23"/>
  <c r="E254" i="23"/>
  <c r="B254" i="18"/>
  <c r="C254" i="18"/>
  <c r="D254" i="18"/>
  <c r="E254" i="18"/>
  <c r="B254" i="22"/>
  <c r="C254" i="22"/>
  <c r="D254" i="22"/>
  <c r="E254" i="22"/>
  <c r="B254" i="17"/>
  <c r="C254" i="17"/>
  <c r="D254" i="17"/>
  <c r="E254" i="17"/>
  <c r="B253" i="20"/>
  <c r="C253" i="20"/>
  <c r="D253" i="20"/>
  <c r="E253" i="20"/>
  <c r="B253" i="19"/>
  <c r="C253" i="19"/>
  <c r="D253" i="19"/>
  <c r="E253" i="19"/>
  <c r="B253" i="23"/>
  <c r="C253" i="23"/>
  <c r="D253" i="23"/>
  <c r="E253" i="23"/>
  <c r="B253" i="18"/>
  <c r="C253" i="18"/>
  <c r="D253" i="18"/>
  <c r="E253" i="18"/>
  <c r="B253" i="22"/>
  <c r="C253" i="22"/>
  <c r="D253" i="22"/>
  <c r="E253" i="22"/>
  <c r="B253" i="17"/>
  <c r="C253" i="17"/>
  <c r="D253" i="17"/>
  <c r="E253" i="17"/>
  <c r="B252" i="20"/>
  <c r="C252" i="20"/>
  <c r="D252" i="20"/>
  <c r="E252" i="20"/>
  <c r="B252" i="19"/>
  <c r="C252" i="19"/>
  <c r="D252" i="19"/>
  <c r="E252" i="19"/>
  <c r="B252" i="23"/>
  <c r="C252" i="23"/>
  <c r="D252" i="23"/>
  <c r="E252" i="23"/>
  <c r="B252" i="18"/>
  <c r="C252" i="18"/>
  <c r="D252" i="18"/>
  <c r="E252" i="18"/>
  <c r="B252" i="22"/>
  <c r="C252" i="22"/>
  <c r="D252" i="22"/>
  <c r="E252" i="22"/>
  <c r="B252" i="17"/>
  <c r="C252" i="17"/>
  <c r="D252" i="17"/>
  <c r="E252" i="17"/>
  <c r="B251" i="20"/>
  <c r="C251" i="20"/>
  <c r="D251" i="20"/>
  <c r="E251" i="20"/>
  <c r="B251" i="19"/>
  <c r="C251" i="19"/>
  <c r="D251" i="19"/>
  <c r="E251" i="19"/>
  <c r="B251" i="23"/>
  <c r="C251" i="23"/>
  <c r="D251" i="23"/>
  <c r="E251" i="23"/>
  <c r="B251" i="18"/>
  <c r="C251" i="18"/>
  <c r="D251" i="18"/>
  <c r="E251" i="18"/>
  <c r="B251" i="22"/>
  <c r="C251" i="22"/>
  <c r="D251" i="22"/>
  <c r="E251" i="22"/>
  <c r="B251" i="17"/>
  <c r="C251" i="17"/>
  <c r="D251" i="17"/>
  <c r="E251" i="17"/>
  <c r="B250" i="20"/>
  <c r="C250" i="20"/>
  <c r="D250" i="20"/>
  <c r="E250" i="20"/>
  <c r="B250" i="19"/>
  <c r="C250" i="19"/>
  <c r="D250" i="19"/>
  <c r="E250" i="19"/>
  <c r="B250" i="23"/>
  <c r="C250" i="23"/>
  <c r="D250" i="23"/>
  <c r="E250" i="23"/>
  <c r="B250" i="18"/>
  <c r="C250" i="18"/>
  <c r="D250" i="18"/>
  <c r="E250" i="18"/>
  <c r="B250" i="22"/>
  <c r="C250" i="22"/>
  <c r="D250" i="22"/>
  <c r="E250" i="22"/>
  <c r="B250" i="17"/>
  <c r="C250" i="17"/>
  <c r="D250" i="17"/>
  <c r="E250" i="17"/>
  <c r="B249" i="20"/>
  <c r="C249" i="20"/>
  <c r="D249" i="20"/>
  <c r="E249" i="20"/>
  <c r="B249" i="19"/>
  <c r="C249" i="19"/>
  <c r="D249" i="19"/>
  <c r="E249" i="19"/>
  <c r="B249" i="23"/>
  <c r="C249" i="23"/>
  <c r="D249" i="23"/>
  <c r="E249" i="23"/>
  <c r="B249" i="18"/>
  <c r="C249" i="18"/>
  <c r="D249" i="18"/>
  <c r="E249" i="18"/>
  <c r="B249" i="22"/>
  <c r="C249" i="22"/>
  <c r="D249" i="22"/>
  <c r="E249" i="22"/>
  <c r="B249" i="17"/>
  <c r="C249" i="17"/>
  <c r="D249" i="17"/>
  <c r="E249" i="17"/>
  <c r="B248" i="20"/>
  <c r="C248" i="20"/>
  <c r="D248" i="20"/>
  <c r="E248" i="20"/>
  <c r="B248" i="19"/>
  <c r="C248" i="19"/>
  <c r="D248" i="19"/>
  <c r="E248" i="19"/>
  <c r="B248" i="23"/>
  <c r="C248" i="23"/>
  <c r="D248" i="23"/>
  <c r="E248" i="23"/>
  <c r="B248" i="18"/>
  <c r="C248" i="18"/>
  <c r="D248" i="18"/>
  <c r="E248" i="18"/>
  <c r="B248" i="22"/>
  <c r="C248" i="22"/>
  <c r="D248" i="22"/>
  <c r="E248" i="22"/>
  <c r="B248" i="17"/>
  <c r="C248" i="17"/>
  <c r="D248" i="17"/>
  <c r="E248" i="17"/>
  <c r="B247" i="20"/>
  <c r="C247" i="20"/>
  <c r="D247" i="20"/>
  <c r="E247" i="20"/>
  <c r="B247" i="19"/>
  <c r="C247" i="19"/>
  <c r="D247" i="19"/>
  <c r="E247" i="19"/>
  <c r="B247" i="23"/>
  <c r="C247" i="23"/>
  <c r="D247" i="23"/>
  <c r="E247" i="23"/>
  <c r="B247" i="18"/>
  <c r="C247" i="18"/>
  <c r="D247" i="18"/>
  <c r="E247" i="18"/>
  <c r="B247" i="22"/>
  <c r="C247" i="22"/>
  <c r="D247" i="22"/>
  <c r="E247" i="22"/>
  <c r="B247" i="17"/>
  <c r="C247" i="17"/>
  <c r="D247" i="17"/>
  <c r="E247" i="17"/>
  <c r="B246" i="20"/>
  <c r="C246" i="20"/>
  <c r="D246" i="20"/>
  <c r="E246" i="20"/>
  <c r="B246" i="19"/>
  <c r="C246" i="19"/>
  <c r="D246" i="19"/>
  <c r="E246" i="19"/>
  <c r="B246" i="23"/>
  <c r="C246" i="23"/>
  <c r="D246" i="23"/>
  <c r="E246" i="23"/>
  <c r="B246" i="18"/>
  <c r="C246" i="18"/>
  <c r="D246" i="18"/>
  <c r="E246" i="18"/>
  <c r="B246" i="22"/>
  <c r="C246" i="22"/>
  <c r="D246" i="22"/>
  <c r="E246" i="22"/>
  <c r="B246" i="17"/>
  <c r="C246" i="17"/>
  <c r="D246" i="17"/>
  <c r="E246" i="17"/>
  <c r="B245" i="20"/>
  <c r="C245" i="20"/>
  <c r="D245" i="20"/>
  <c r="E245" i="20"/>
  <c r="B245" i="19"/>
  <c r="C245" i="19"/>
  <c r="D245" i="19"/>
  <c r="E245" i="19"/>
  <c r="B245" i="23"/>
  <c r="C245" i="23"/>
  <c r="D245" i="23"/>
  <c r="E245" i="23"/>
  <c r="B245" i="18"/>
  <c r="C245" i="18"/>
  <c r="D245" i="18"/>
  <c r="E245" i="18"/>
  <c r="B245" i="22"/>
  <c r="C245" i="22"/>
  <c r="D245" i="22"/>
  <c r="E245" i="22"/>
  <c r="B245" i="17"/>
  <c r="C245" i="17"/>
  <c r="D245" i="17"/>
  <c r="E245" i="17"/>
  <c r="B244" i="20"/>
  <c r="C244" i="20"/>
  <c r="D244" i="20"/>
  <c r="E244" i="20"/>
  <c r="B244" i="19"/>
  <c r="C244" i="19"/>
  <c r="D244" i="19"/>
  <c r="E244" i="19"/>
  <c r="B244" i="23"/>
  <c r="C244" i="23"/>
  <c r="D244" i="23"/>
  <c r="E244" i="23"/>
  <c r="B244" i="18"/>
  <c r="C244" i="18"/>
  <c r="D244" i="18"/>
  <c r="E244" i="18"/>
  <c r="B244" i="22"/>
  <c r="C244" i="22"/>
  <c r="D244" i="22"/>
  <c r="E244" i="22"/>
  <c r="B244" i="17"/>
  <c r="C244" i="17"/>
  <c r="D244" i="17"/>
  <c r="E244" i="17"/>
  <c r="B243" i="20"/>
  <c r="C243" i="20"/>
  <c r="D243" i="20"/>
  <c r="E243" i="20"/>
  <c r="B243" i="19"/>
  <c r="C243" i="19"/>
  <c r="D243" i="19"/>
  <c r="E243" i="19"/>
  <c r="B243" i="23"/>
  <c r="C243" i="23"/>
  <c r="D243" i="23"/>
  <c r="E243" i="23"/>
  <c r="B243" i="18"/>
  <c r="C243" i="18"/>
  <c r="D243" i="18"/>
  <c r="E243" i="18"/>
  <c r="B243" i="22"/>
  <c r="C243" i="22"/>
  <c r="D243" i="22"/>
  <c r="E243" i="22"/>
  <c r="B243" i="17"/>
  <c r="C243" i="17"/>
  <c r="D243" i="17"/>
  <c r="E243" i="17"/>
  <c r="B242" i="20"/>
  <c r="C242" i="20"/>
  <c r="D242" i="20"/>
  <c r="E242" i="20"/>
  <c r="B242" i="19"/>
  <c r="C242" i="19"/>
  <c r="D242" i="19"/>
  <c r="E242" i="19"/>
  <c r="B242" i="23"/>
  <c r="C242" i="23"/>
  <c r="D242" i="23"/>
  <c r="E242" i="23"/>
  <c r="B242" i="18"/>
  <c r="C242" i="18"/>
  <c r="D242" i="18"/>
  <c r="E242" i="18"/>
  <c r="B242" i="22"/>
  <c r="C242" i="22"/>
  <c r="D242" i="22"/>
  <c r="E242" i="22"/>
  <c r="B242" i="17"/>
  <c r="C242" i="17"/>
  <c r="D242" i="17"/>
  <c r="E242" i="17"/>
  <c r="B241" i="20"/>
  <c r="C241" i="20"/>
  <c r="D241" i="20"/>
  <c r="E241" i="20"/>
  <c r="B241" i="19"/>
  <c r="C241" i="19"/>
  <c r="D241" i="19"/>
  <c r="E241" i="19"/>
  <c r="B241" i="23"/>
  <c r="C241" i="23"/>
  <c r="D241" i="23"/>
  <c r="E241" i="23"/>
  <c r="B241" i="18"/>
  <c r="C241" i="18"/>
  <c r="D241" i="18"/>
  <c r="E241" i="18"/>
  <c r="B241" i="22"/>
  <c r="C241" i="22"/>
  <c r="D241" i="22"/>
  <c r="E241" i="22"/>
  <c r="B241" i="17"/>
  <c r="C241" i="17"/>
  <c r="D241" i="17"/>
  <c r="E241" i="17"/>
  <c r="B240" i="20"/>
  <c r="C240" i="20"/>
  <c r="D240" i="20"/>
  <c r="E240" i="20"/>
  <c r="B240" i="19"/>
  <c r="C240" i="19"/>
  <c r="D240" i="19"/>
  <c r="E240" i="19"/>
  <c r="B240" i="23"/>
  <c r="C240" i="23"/>
  <c r="D240" i="23"/>
  <c r="E240" i="23"/>
  <c r="B240" i="18"/>
  <c r="C240" i="18"/>
  <c r="D240" i="18"/>
  <c r="E240" i="18"/>
  <c r="B240" i="22"/>
  <c r="C240" i="22"/>
  <c r="D240" i="22"/>
  <c r="E240" i="22"/>
  <c r="B240" i="17"/>
  <c r="C240" i="17"/>
  <c r="D240" i="17"/>
  <c r="E240" i="17"/>
  <c r="B239" i="20"/>
  <c r="C239" i="20"/>
  <c r="D239" i="20"/>
  <c r="E239" i="20"/>
  <c r="B239" i="19"/>
  <c r="C239" i="19"/>
  <c r="D239" i="19"/>
  <c r="E239" i="19"/>
  <c r="B239" i="23"/>
  <c r="C239" i="23"/>
  <c r="D239" i="23"/>
  <c r="E239" i="23"/>
  <c r="B239" i="18"/>
  <c r="C239" i="18"/>
  <c r="D239" i="18"/>
  <c r="E239" i="18"/>
  <c r="B239" i="22"/>
  <c r="C239" i="22"/>
  <c r="D239" i="22"/>
  <c r="E239" i="22"/>
  <c r="B239" i="17"/>
  <c r="C239" i="17"/>
  <c r="D239" i="17"/>
  <c r="E239" i="17"/>
  <c r="B238" i="20"/>
  <c r="C238" i="20"/>
  <c r="D238" i="20"/>
  <c r="E238" i="20"/>
  <c r="B238" i="19"/>
  <c r="C238" i="19"/>
  <c r="D238" i="19"/>
  <c r="E238" i="19"/>
  <c r="B238" i="23"/>
  <c r="C238" i="23"/>
  <c r="D238" i="23"/>
  <c r="E238" i="23"/>
  <c r="B238" i="18"/>
  <c r="C238" i="18"/>
  <c r="D238" i="18"/>
  <c r="E238" i="18"/>
  <c r="B238" i="22"/>
  <c r="C238" i="22"/>
  <c r="D238" i="22"/>
  <c r="E238" i="22"/>
  <c r="B238" i="17"/>
  <c r="C238" i="17"/>
  <c r="D238" i="17"/>
  <c r="E238" i="17"/>
  <c r="B237" i="20"/>
  <c r="C237" i="20"/>
  <c r="D237" i="20"/>
  <c r="E237" i="20"/>
  <c r="B237" i="19"/>
  <c r="C237" i="19"/>
  <c r="D237" i="19"/>
  <c r="E237" i="19"/>
  <c r="B237" i="23"/>
  <c r="C237" i="23"/>
  <c r="D237" i="23"/>
  <c r="E237" i="23"/>
  <c r="B237" i="18"/>
  <c r="C237" i="18"/>
  <c r="D237" i="18"/>
  <c r="E237" i="18"/>
  <c r="B237" i="22"/>
  <c r="C237" i="22"/>
  <c r="D237" i="22"/>
  <c r="E237" i="22"/>
  <c r="B237" i="17"/>
  <c r="C237" i="17"/>
  <c r="D237" i="17"/>
  <c r="E237" i="17"/>
  <c r="B236" i="20"/>
  <c r="C236" i="20"/>
  <c r="D236" i="20"/>
  <c r="E236" i="20"/>
  <c r="B236" i="19"/>
  <c r="C236" i="19"/>
  <c r="D236" i="19"/>
  <c r="E236" i="19"/>
  <c r="B236" i="23"/>
  <c r="C236" i="23"/>
  <c r="D236" i="23"/>
  <c r="E236" i="23"/>
  <c r="B236" i="18"/>
  <c r="C236" i="18"/>
  <c r="D236" i="18"/>
  <c r="E236" i="18"/>
  <c r="B236" i="22"/>
  <c r="C236" i="22"/>
  <c r="D236" i="22"/>
  <c r="E236" i="22"/>
  <c r="B236" i="17"/>
  <c r="C236" i="17"/>
  <c r="D236" i="17"/>
  <c r="E236" i="17"/>
  <c r="B235" i="20"/>
  <c r="C235" i="20"/>
  <c r="D235" i="20"/>
  <c r="E235" i="20"/>
  <c r="B235" i="19"/>
  <c r="C235" i="19"/>
  <c r="D235" i="19"/>
  <c r="E235" i="19"/>
  <c r="B235" i="23"/>
  <c r="C235" i="23"/>
  <c r="D235" i="23"/>
  <c r="E235" i="23"/>
  <c r="B235" i="18"/>
  <c r="C235" i="18"/>
  <c r="D235" i="18"/>
  <c r="E235" i="18"/>
  <c r="B235" i="22"/>
  <c r="C235" i="22"/>
  <c r="D235" i="22"/>
  <c r="E235" i="22"/>
  <c r="B235" i="17"/>
  <c r="C235" i="17"/>
  <c r="D235" i="17"/>
  <c r="E235" i="17"/>
  <c r="B234" i="20"/>
  <c r="C234" i="20"/>
  <c r="D234" i="20"/>
  <c r="E234" i="20"/>
  <c r="B234" i="19"/>
  <c r="C234" i="19"/>
  <c r="D234" i="19"/>
  <c r="E234" i="19"/>
  <c r="B234" i="23"/>
  <c r="C234" i="23"/>
  <c r="D234" i="23"/>
  <c r="E234" i="23"/>
  <c r="B234" i="18"/>
  <c r="C234" i="18"/>
  <c r="D234" i="18"/>
  <c r="E234" i="18"/>
  <c r="B234" i="22"/>
  <c r="C234" i="22"/>
  <c r="D234" i="22"/>
  <c r="E234" i="22"/>
  <c r="B234" i="17"/>
  <c r="C234" i="17"/>
  <c r="D234" i="17"/>
  <c r="E234" i="17"/>
  <c r="B233" i="20"/>
  <c r="C233" i="20"/>
  <c r="D233" i="20"/>
  <c r="E233" i="20"/>
  <c r="B233" i="19"/>
  <c r="C233" i="19"/>
  <c r="D233" i="19"/>
  <c r="E233" i="19"/>
  <c r="B233" i="23"/>
  <c r="C233" i="23"/>
  <c r="D233" i="23"/>
  <c r="E233" i="23"/>
  <c r="B233" i="18"/>
  <c r="C233" i="18"/>
  <c r="D233" i="18"/>
  <c r="E233" i="18"/>
  <c r="B233" i="22"/>
  <c r="C233" i="22"/>
  <c r="D233" i="22"/>
  <c r="E233" i="22"/>
  <c r="B233" i="17"/>
  <c r="C233" i="17"/>
  <c r="D233" i="17"/>
  <c r="E233" i="17"/>
  <c r="B232" i="20"/>
  <c r="C232" i="20"/>
  <c r="D232" i="20"/>
  <c r="E232" i="20"/>
  <c r="B232" i="19"/>
  <c r="C232" i="19"/>
  <c r="D232" i="19"/>
  <c r="E232" i="19"/>
  <c r="B232" i="23"/>
  <c r="C232" i="23"/>
  <c r="D232" i="23"/>
  <c r="E232" i="23"/>
  <c r="B232" i="18"/>
  <c r="C232" i="18"/>
  <c r="D232" i="18"/>
  <c r="E232" i="18"/>
  <c r="B232" i="22"/>
  <c r="C232" i="22"/>
  <c r="D232" i="22"/>
  <c r="E232" i="22"/>
  <c r="B232" i="17"/>
  <c r="C232" i="17"/>
  <c r="D232" i="17"/>
  <c r="E232" i="17"/>
  <c r="B231" i="20"/>
  <c r="C231" i="20"/>
  <c r="D231" i="20"/>
  <c r="E231" i="20"/>
  <c r="B231" i="19"/>
  <c r="C231" i="19"/>
  <c r="D231" i="19"/>
  <c r="E231" i="19"/>
  <c r="B231" i="23"/>
  <c r="C231" i="23"/>
  <c r="D231" i="23"/>
  <c r="E231" i="23"/>
  <c r="B231" i="18"/>
  <c r="C231" i="18"/>
  <c r="D231" i="18"/>
  <c r="E231" i="18"/>
  <c r="B231" i="22"/>
  <c r="C231" i="22"/>
  <c r="D231" i="22"/>
  <c r="E231" i="22"/>
  <c r="B231" i="17"/>
  <c r="C231" i="17"/>
  <c r="D231" i="17"/>
  <c r="E231" i="17"/>
  <c r="B230" i="20"/>
  <c r="C230" i="20"/>
  <c r="D230" i="20"/>
  <c r="E230" i="20"/>
  <c r="B230" i="19"/>
  <c r="C230" i="19"/>
  <c r="D230" i="19"/>
  <c r="E230" i="19"/>
  <c r="B230" i="23"/>
  <c r="C230" i="23"/>
  <c r="D230" i="23"/>
  <c r="E230" i="23"/>
  <c r="B230" i="18"/>
  <c r="C230" i="18"/>
  <c r="D230" i="18"/>
  <c r="E230" i="18"/>
  <c r="B230" i="22"/>
  <c r="C230" i="22"/>
  <c r="D230" i="22"/>
  <c r="E230" i="22"/>
  <c r="B230" i="17"/>
  <c r="C230" i="17"/>
  <c r="D230" i="17"/>
  <c r="E230" i="17"/>
  <c r="B229" i="20"/>
  <c r="C229" i="20"/>
  <c r="D229" i="20"/>
  <c r="E229" i="20"/>
  <c r="B229" i="19"/>
  <c r="C229" i="19"/>
  <c r="D229" i="19"/>
  <c r="E229" i="19"/>
  <c r="B229" i="23"/>
  <c r="C229" i="23"/>
  <c r="D229" i="23"/>
  <c r="E229" i="23"/>
  <c r="B229" i="18"/>
  <c r="C229" i="18"/>
  <c r="D229" i="18"/>
  <c r="E229" i="18"/>
  <c r="B229" i="22"/>
  <c r="C229" i="22"/>
  <c r="D229" i="22"/>
  <c r="E229" i="22"/>
  <c r="B229" i="17"/>
  <c r="C229" i="17"/>
  <c r="D229" i="17"/>
  <c r="E229" i="17"/>
  <c r="B228" i="20"/>
  <c r="C228" i="20"/>
  <c r="D228" i="20"/>
  <c r="E228" i="20"/>
  <c r="B228" i="19"/>
  <c r="C228" i="19"/>
  <c r="D228" i="19"/>
  <c r="E228" i="19"/>
  <c r="B228" i="23"/>
  <c r="C228" i="23"/>
  <c r="D228" i="23"/>
  <c r="E228" i="23"/>
  <c r="B228" i="18"/>
  <c r="C228" i="18"/>
  <c r="D228" i="18"/>
  <c r="E228" i="18"/>
  <c r="B228" i="22"/>
  <c r="C228" i="22"/>
  <c r="D228" i="22"/>
  <c r="E228" i="22"/>
  <c r="B228" i="17"/>
  <c r="C228" i="17"/>
  <c r="D228" i="17"/>
  <c r="E228" i="17"/>
  <c r="B227" i="20"/>
  <c r="C227" i="20"/>
  <c r="D227" i="20"/>
  <c r="E227" i="20"/>
  <c r="B227" i="19"/>
  <c r="C227" i="19"/>
  <c r="D227" i="19"/>
  <c r="E227" i="19"/>
  <c r="B227" i="23"/>
  <c r="C227" i="23"/>
  <c r="D227" i="23"/>
  <c r="E227" i="23"/>
  <c r="B227" i="18"/>
  <c r="C227" i="18"/>
  <c r="D227" i="18"/>
  <c r="E227" i="18"/>
  <c r="B227" i="22"/>
  <c r="C227" i="22"/>
  <c r="D227" i="22"/>
  <c r="E227" i="22"/>
  <c r="B227" i="17"/>
  <c r="C227" i="17"/>
  <c r="D227" i="17"/>
  <c r="E227" i="17"/>
  <c r="B226" i="20"/>
  <c r="C226" i="20"/>
  <c r="D226" i="20"/>
  <c r="E226" i="20"/>
  <c r="B226" i="19"/>
  <c r="C226" i="19"/>
  <c r="D226" i="19"/>
  <c r="E226" i="19"/>
  <c r="B226" i="23"/>
  <c r="C226" i="23"/>
  <c r="D226" i="23"/>
  <c r="E226" i="23"/>
  <c r="B226" i="18"/>
  <c r="C226" i="18"/>
  <c r="D226" i="18"/>
  <c r="E226" i="18"/>
  <c r="B226" i="22"/>
  <c r="C226" i="22"/>
  <c r="D226" i="22"/>
  <c r="E226" i="22"/>
  <c r="B226" i="17"/>
  <c r="C226" i="17"/>
  <c r="D226" i="17"/>
  <c r="E226" i="17"/>
  <c r="B225" i="20"/>
  <c r="C225" i="20"/>
  <c r="D225" i="20"/>
  <c r="E225" i="20"/>
  <c r="B225" i="19"/>
  <c r="C225" i="19"/>
  <c r="D225" i="19"/>
  <c r="E225" i="19"/>
  <c r="B225" i="23"/>
  <c r="C225" i="23"/>
  <c r="D225" i="23"/>
  <c r="E225" i="23"/>
  <c r="B225" i="18"/>
  <c r="C225" i="18"/>
  <c r="D225" i="18"/>
  <c r="E225" i="18"/>
  <c r="B225" i="22"/>
  <c r="C225" i="22"/>
  <c r="D225" i="22"/>
  <c r="E225" i="22"/>
  <c r="B225" i="17"/>
  <c r="C225" i="17"/>
  <c r="D225" i="17"/>
  <c r="E225" i="17"/>
  <c r="B224" i="20"/>
  <c r="C224" i="20"/>
  <c r="D224" i="20"/>
  <c r="E224" i="20"/>
  <c r="B224" i="19"/>
  <c r="C224" i="19"/>
  <c r="D224" i="19"/>
  <c r="E224" i="19"/>
  <c r="B224" i="23"/>
  <c r="C224" i="23"/>
  <c r="D224" i="23"/>
  <c r="E224" i="23"/>
  <c r="B224" i="18"/>
  <c r="C224" i="18"/>
  <c r="D224" i="18"/>
  <c r="E224" i="18"/>
  <c r="B224" i="22"/>
  <c r="C224" i="22"/>
  <c r="D224" i="22"/>
  <c r="E224" i="22"/>
  <c r="B224" i="17"/>
  <c r="C224" i="17"/>
  <c r="D224" i="17"/>
  <c r="E224" i="17"/>
  <c r="B223" i="20"/>
  <c r="C223" i="20"/>
  <c r="D223" i="20"/>
  <c r="E223" i="20"/>
  <c r="B223" i="19"/>
  <c r="C223" i="19"/>
  <c r="D223" i="19"/>
  <c r="E223" i="19"/>
  <c r="B223" i="23"/>
  <c r="C223" i="23"/>
  <c r="D223" i="23"/>
  <c r="E223" i="23"/>
  <c r="B223" i="18"/>
  <c r="C223" i="18"/>
  <c r="D223" i="18"/>
  <c r="E223" i="18"/>
  <c r="B223" i="22"/>
  <c r="C223" i="22"/>
  <c r="D223" i="22"/>
  <c r="E223" i="22"/>
  <c r="B223" i="17"/>
  <c r="C223" i="17"/>
  <c r="D223" i="17"/>
  <c r="E223" i="17"/>
  <c r="B222" i="22"/>
  <c r="B222" i="20"/>
  <c r="C222" i="20"/>
  <c r="D222" i="20"/>
  <c r="E222" i="20"/>
  <c r="B222" i="19"/>
  <c r="C222" i="19"/>
  <c r="D222" i="19"/>
  <c r="E222" i="19"/>
  <c r="B222" i="23"/>
  <c r="C222" i="23"/>
  <c r="D222" i="23"/>
  <c r="E222" i="23"/>
  <c r="B222" i="18"/>
  <c r="C222" i="18"/>
  <c r="D222" i="18"/>
  <c r="E222" i="18"/>
  <c r="C222" i="22"/>
  <c r="D222" i="22"/>
  <c r="E222" i="22"/>
  <c r="B222" i="17"/>
  <c r="C222" i="17"/>
  <c r="D222" i="17"/>
  <c r="E222" i="17"/>
  <c r="B221" i="22"/>
  <c r="B221" i="20"/>
  <c r="C221" i="20"/>
  <c r="D221" i="20"/>
  <c r="E221" i="20"/>
  <c r="B221" i="19"/>
  <c r="C221" i="19"/>
  <c r="D221" i="19"/>
  <c r="E221" i="19"/>
  <c r="B221" i="23"/>
  <c r="C221" i="23"/>
  <c r="D221" i="23"/>
  <c r="E221" i="23"/>
  <c r="B221" i="18"/>
  <c r="C221" i="18"/>
  <c r="D221" i="18"/>
  <c r="E221" i="18"/>
  <c r="C221" i="22"/>
  <c r="D221" i="22"/>
  <c r="E221" i="22"/>
  <c r="B221" i="17"/>
  <c r="C221" i="17"/>
  <c r="D221" i="17"/>
  <c r="E221" i="17"/>
  <c r="B220" i="22"/>
  <c r="B220" i="20"/>
  <c r="C220" i="20"/>
  <c r="D220" i="20"/>
  <c r="E220" i="20"/>
  <c r="B220" i="19"/>
  <c r="C220" i="19"/>
  <c r="D220" i="19"/>
  <c r="E220" i="19"/>
  <c r="B220" i="23"/>
  <c r="C220" i="23"/>
  <c r="D220" i="23"/>
  <c r="E220" i="23"/>
  <c r="B220" i="18"/>
  <c r="C220" i="18"/>
  <c r="D220" i="18"/>
  <c r="E220" i="18"/>
  <c r="C220" i="22"/>
  <c r="D220" i="22"/>
  <c r="E220" i="22"/>
  <c r="B220" i="17"/>
  <c r="C220" i="17"/>
  <c r="D220" i="17"/>
  <c r="E220" i="17"/>
  <c r="B219" i="22"/>
  <c r="B219" i="20"/>
  <c r="C219" i="20"/>
  <c r="D219" i="20"/>
  <c r="E219" i="20"/>
  <c r="B219" i="19"/>
  <c r="C219" i="19"/>
  <c r="D219" i="19"/>
  <c r="E219" i="19"/>
  <c r="B219" i="23"/>
  <c r="C219" i="23"/>
  <c r="D219" i="23"/>
  <c r="E219" i="23"/>
  <c r="B219" i="18"/>
  <c r="C219" i="18"/>
  <c r="D219" i="18"/>
  <c r="E219" i="18"/>
  <c r="C219" i="22"/>
  <c r="D219" i="22"/>
  <c r="E219" i="22"/>
  <c r="B219" i="17"/>
  <c r="C219" i="17"/>
  <c r="D219" i="17"/>
  <c r="E219" i="17"/>
  <c r="B218" i="22"/>
  <c r="B218" i="20"/>
  <c r="C218" i="20"/>
  <c r="D218" i="20"/>
  <c r="E218" i="20"/>
  <c r="B218" i="19"/>
  <c r="C218" i="19"/>
  <c r="D218" i="19"/>
  <c r="E218" i="19"/>
  <c r="B218" i="23"/>
  <c r="C218" i="23"/>
  <c r="D218" i="23"/>
  <c r="E218" i="23"/>
  <c r="B218" i="18"/>
  <c r="C218" i="18"/>
  <c r="D218" i="18"/>
  <c r="E218" i="18"/>
  <c r="C218" i="22"/>
  <c r="D218" i="22"/>
  <c r="E218" i="22"/>
  <c r="B218" i="17"/>
  <c r="C218" i="17"/>
  <c r="D218" i="17"/>
  <c r="E218" i="17"/>
  <c r="B217" i="22"/>
  <c r="B217" i="20"/>
  <c r="C217" i="20"/>
  <c r="D217" i="20"/>
  <c r="E217" i="20"/>
  <c r="B217" i="19"/>
  <c r="C217" i="19"/>
  <c r="D217" i="19"/>
  <c r="E217" i="19"/>
  <c r="B217" i="23"/>
  <c r="C217" i="23"/>
  <c r="D217" i="23"/>
  <c r="E217" i="23"/>
  <c r="B217" i="18"/>
  <c r="C217" i="18"/>
  <c r="D217" i="18"/>
  <c r="E217" i="18"/>
  <c r="C217" i="22"/>
  <c r="D217" i="22"/>
  <c r="E217" i="22"/>
  <c r="B217" i="17"/>
  <c r="C217" i="17"/>
  <c r="D217" i="17"/>
  <c r="E217" i="17"/>
  <c r="B216" i="20"/>
  <c r="C216" i="20"/>
  <c r="D216" i="20"/>
  <c r="E216" i="20"/>
  <c r="B216" i="19"/>
  <c r="C216" i="19"/>
  <c r="D216" i="19"/>
  <c r="E216" i="19"/>
  <c r="B216" i="23"/>
  <c r="C216" i="23"/>
  <c r="D216" i="23"/>
  <c r="E216" i="23"/>
  <c r="B216" i="18"/>
  <c r="C216" i="18"/>
  <c r="D216" i="18"/>
  <c r="E216" i="18"/>
  <c r="B216" i="22"/>
  <c r="C216" i="22"/>
  <c r="D216" i="22"/>
  <c r="E216" i="22"/>
  <c r="B216" i="17"/>
  <c r="C216" i="17"/>
  <c r="D216" i="17"/>
  <c r="E216" i="17"/>
  <c r="B215" i="22"/>
  <c r="B215" i="20"/>
  <c r="C215" i="20"/>
  <c r="D215" i="20"/>
  <c r="E215" i="20"/>
  <c r="B215" i="19"/>
  <c r="C215" i="19"/>
  <c r="D215" i="19"/>
  <c r="E215" i="19"/>
  <c r="B215" i="23"/>
  <c r="C215" i="23"/>
  <c r="D215" i="23"/>
  <c r="E215" i="23"/>
  <c r="B215" i="18"/>
  <c r="C215" i="18"/>
  <c r="D215" i="18"/>
  <c r="E215" i="18"/>
  <c r="C215" i="22"/>
  <c r="D215" i="22"/>
  <c r="E215" i="22"/>
  <c r="B215" i="17"/>
  <c r="C215" i="17"/>
  <c r="D215" i="17"/>
  <c r="E215" i="17"/>
  <c r="B214" i="22"/>
  <c r="B214" i="20"/>
  <c r="C214" i="20"/>
  <c r="D214" i="20"/>
  <c r="E214" i="20"/>
  <c r="B214" i="19"/>
  <c r="C214" i="19"/>
  <c r="D214" i="19"/>
  <c r="E214" i="19"/>
  <c r="B214" i="23"/>
  <c r="C214" i="23"/>
  <c r="D214" i="23"/>
  <c r="E214" i="23"/>
  <c r="B214" i="18"/>
  <c r="C214" i="18"/>
  <c r="D214" i="18"/>
  <c r="E214" i="18"/>
  <c r="C214" i="22"/>
  <c r="D214" i="22"/>
  <c r="E214" i="22"/>
  <c r="B214" i="17"/>
  <c r="C214" i="17"/>
  <c r="D214" i="17"/>
  <c r="E214" i="17"/>
  <c r="B213" i="22"/>
  <c r="B213" i="20"/>
  <c r="C213" i="20"/>
  <c r="D213" i="20"/>
  <c r="E213" i="20"/>
  <c r="B213" i="19"/>
  <c r="C213" i="19"/>
  <c r="D213" i="19"/>
  <c r="E213" i="19"/>
  <c r="B213" i="23"/>
  <c r="C213" i="23"/>
  <c r="D213" i="23"/>
  <c r="E213" i="23"/>
  <c r="B213" i="18"/>
  <c r="C213" i="18"/>
  <c r="D213" i="18"/>
  <c r="E213" i="18"/>
  <c r="C213" i="22"/>
  <c r="D213" i="22"/>
  <c r="E213" i="22"/>
  <c r="B213" i="17"/>
  <c r="C213" i="17"/>
  <c r="D213" i="17"/>
  <c r="E213" i="17"/>
  <c r="B212" i="22"/>
  <c r="B212" i="20"/>
  <c r="C212" i="20"/>
  <c r="D212" i="20"/>
  <c r="E212" i="20"/>
  <c r="B212" i="19"/>
  <c r="C212" i="19"/>
  <c r="D212" i="19"/>
  <c r="E212" i="19"/>
  <c r="B212" i="23"/>
  <c r="C212" i="23"/>
  <c r="D212" i="23"/>
  <c r="E212" i="23"/>
  <c r="B212" i="18"/>
  <c r="C212" i="18"/>
  <c r="D212" i="18"/>
  <c r="E212" i="18"/>
  <c r="C212" i="22"/>
  <c r="D212" i="22"/>
  <c r="E212" i="22"/>
  <c r="B212" i="17"/>
  <c r="C212" i="17"/>
  <c r="D212" i="17"/>
  <c r="E212" i="17"/>
  <c r="B211" i="22"/>
  <c r="B211" i="20"/>
  <c r="C211" i="20"/>
  <c r="D211" i="20"/>
  <c r="E211" i="20"/>
  <c r="B211" i="19"/>
  <c r="C211" i="19"/>
  <c r="D211" i="19"/>
  <c r="E211" i="19"/>
  <c r="B211" i="23"/>
  <c r="C211" i="23"/>
  <c r="D211" i="23"/>
  <c r="E211" i="23"/>
  <c r="B211" i="18"/>
  <c r="C211" i="18"/>
  <c r="D211" i="18"/>
  <c r="E211" i="18"/>
  <c r="C211" i="22"/>
  <c r="D211" i="22"/>
  <c r="E211" i="22"/>
  <c r="B211" i="17"/>
  <c r="C211" i="17"/>
  <c r="D211" i="17"/>
  <c r="E211" i="17"/>
  <c r="B210" i="22"/>
  <c r="B210" i="20"/>
  <c r="C210" i="20"/>
  <c r="D210" i="20"/>
  <c r="E210" i="20"/>
  <c r="B210" i="19"/>
  <c r="C210" i="19"/>
  <c r="D210" i="19"/>
  <c r="E210" i="19"/>
  <c r="B210" i="23"/>
  <c r="C210" i="23"/>
  <c r="D210" i="23"/>
  <c r="E210" i="23"/>
  <c r="B210" i="18"/>
  <c r="C210" i="18"/>
  <c r="D210" i="18"/>
  <c r="E210" i="18"/>
  <c r="C210" i="22"/>
  <c r="D210" i="22"/>
  <c r="E210" i="22"/>
  <c r="B210" i="17"/>
  <c r="C210" i="17"/>
  <c r="D210" i="17"/>
  <c r="E210" i="17"/>
  <c r="B209" i="22"/>
  <c r="B209" i="20"/>
  <c r="C209" i="20"/>
  <c r="D209" i="20"/>
  <c r="E209" i="20"/>
  <c r="B209" i="19"/>
  <c r="C209" i="19"/>
  <c r="D209" i="19"/>
  <c r="E209" i="19"/>
  <c r="B209" i="23"/>
  <c r="C209" i="23"/>
  <c r="D209" i="23"/>
  <c r="E209" i="23"/>
  <c r="B209" i="18"/>
  <c r="C209" i="18"/>
  <c r="D209" i="18"/>
  <c r="E209" i="18"/>
  <c r="C209" i="22"/>
  <c r="D209" i="22"/>
  <c r="E209" i="22"/>
  <c r="B209" i="17"/>
  <c r="C209" i="17"/>
  <c r="D209" i="17"/>
  <c r="E209" i="17"/>
  <c r="B208" i="22"/>
  <c r="B208" i="20"/>
  <c r="C208" i="20"/>
  <c r="D208" i="20"/>
  <c r="E208" i="20"/>
  <c r="B208" i="19"/>
  <c r="C208" i="19"/>
  <c r="D208" i="19"/>
  <c r="E208" i="19"/>
  <c r="B208" i="23"/>
  <c r="C208" i="23"/>
  <c r="D208" i="23"/>
  <c r="E208" i="23"/>
  <c r="B208" i="18"/>
  <c r="C208" i="18"/>
  <c r="D208" i="18"/>
  <c r="E208" i="18"/>
  <c r="C208" i="22"/>
  <c r="D208" i="22"/>
  <c r="E208" i="22"/>
  <c r="B208" i="17"/>
  <c r="C208" i="17"/>
  <c r="D208" i="17"/>
  <c r="E208" i="17"/>
  <c r="B207" i="22"/>
  <c r="B207" i="20"/>
  <c r="C207" i="20"/>
  <c r="D207" i="20"/>
  <c r="E207" i="20"/>
  <c r="B207" i="19"/>
  <c r="C207" i="19"/>
  <c r="D207" i="19"/>
  <c r="E207" i="19"/>
  <c r="B207" i="23"/>
  <c r="C207" i="23"/>
  <c r="D207" i="23"/>
  <c r="E207" i="23"/>
  <c r="B207" i="18"/>
  <c r="C207" i="18"/>
  <c r="D207" i="18"/>
  <c r="E207" i="18"/>
  <c r="C207" i="22"/>
  <c r="D207" i="22"/>
  <c r="E207" i="22"/>
  <c r="B207" i="17"/>
  <c r="C207" i="17"/>
  <c r="D207" i="17"/>
  <c r="E207" i="17"/>
  <c r="B206" i="20"/>
  <c r="C206" i="20"/>
  <c r="D206" i="20"/>
  <c r="E206" i="20"/>
  <c r="B206" i="19"/>
  <c r="C206" i="19"/>
  <c r="D206" i="19"/>
  <c r="E206" i="19"/>
  <c r="B206" i="23"/>
  <c r="C206" i="23"/>
  <c r="D206" i="23"/>
  <c r="E206" i="23"/>
  <c r="B206" i="18"/>
  <c r="C206" i="18"/>
  <c r="D206" i="18"/>
  <c r="E206" i="18"/>
  <c r="B206" i="22"/>
  <c r="C206" i="22"/>
  <c r="D206" i="22"/>
  <c r="E206" i="22"/>
  <c r="B206" i="17"/>
  <c r="C206" i="17"/>
  <c r="D206" i="17"/>
  <c r="E206" i="17"/>
  <c r="B205" i="20"/>
  <c r="C205" i="20"/>
  <c r="D205" i="20"/>
  <c r="E205" i="20"/>
  <c r="B205" i="19"/>
  <c r="C205" i="19"/>
  <c r="D205" i="19"/>
  <c r="E205" i="19"/>
  <c r="B205" i="23"/>
  <c r="C205" i="23"/>
  <c r="D205" i="23"/>
  <c r="E205" i="23"/>
  <c r="B205" i="18"/>
  <c r="C205" i="18"/>
  <c r="D205" i="18"/>
  <c r="E205" i="18"/>
  <c r="B205" i="22"/>
  <c r="C205" i="22"/>
  <c r="D205" i="22"/>
  <c r="E205" i="22"/>
  <c r="B205" i="17"/>
  <c r="C205" i="17"/>
  <c r="D205" i="17"/>
  <c r="E205" i="17"/>
  <c r="B204" i="20"/>
  <c r="C204" i="20"/>
  <c r="D204" i="20"/>
  <c r="E204" i="20"/>
  <c r="B204" i="19"/>
  <c r="C204" i="19"/>
  <c r="D204" i="19"/>
  <c r="E204" i="19"/>
  <c r="B204" i="23"/>
  <c r="C204" i="23"/>
  <c r="D204" i="23"/>
  <c r="E204" i="23"/>
  <c r="B204" i="18"/>
  <c r="C204" i="18"/>
  <c r="D204" i="18"/>
  <c r="E204" i="18"/>
  <c r="B204" i="22"/>
  <c r="C204" i="22"/>
  <c r="D204" i="22"/>
  <c r="E204" i="22"/>
  <c r="B204" i="17"/>
  <c r="C204" i="17"/>
  <c r="D204" i="17"/>
  <c r="E204" i="17"/>
  <c r="B203" i="20"/>
  <c r="C203" i="20"/>
  <c r="D203" i="20"/>
  <c r="E203" i="20"/>
  <c r="B203" i="19"/>
  <c r="C203" i="19"/>
  <c r="D203" i="19"/>
  <c r="E203" i="19"/>
  <c r="B203" i="23"/>
  <c r="C203" i="23"/>
  <c r="D203" i="23"/>
  <c r="E203" i="23"/>
  <c r="B203" i="18"/>
  <c r="C203" i="18"/>
  <c r="D203" i="18"/>
  <c r="E203" i="18"/>
  <c r="B203" i="22"/>
  <c r="C203" i="22"/>
  <c r="D203" i="22"/>
  <c r="E203" i="22"/>
  <c r="B203" i="17"/>
  <c r="C203" i="17"/>
  <c r="D203" i="17"/>
  <c r="E203" i="17"/>
  <c r="B202" i="20"/>
  <c r="C202" i="20"/>
  <c r="D202" i="20"/>
  <c r="E202" i="20"/>
  <c r="B202" i="19"/>
  <c r="C202" i="19"/>
  <c r="D202" i="19"/>
  <c r="E202" i="19"/>
  <c r="B202" i="23"/>
  <c r="C202" i="23"/>
  <c r="D202" i="23"/>
  <c r="E202" i="23"/>
  <c r="B202" i="18"/>
  <c r="C202" i="18"/>
  <c r="D202" i="18"/>
  <c r="E202" i="18"/>
  <c r="B202" i="22"/>
  <c r="C202" i="22"/>
  <c r="D202" i="22"/>
  <c r="E202" i="22"/>
  <c r="B202" i="17"/>
  <c r="C202" i="17"/>
  <c r="D202" i="17"/>
  <c r="E202" i="17"/>
  <c r="B201" i="20"/>
  <c r="C201" i="20"/>
  <c r="D201" i="20"/>
  <c r="E201" i="20"/>
  <c r="B201" i="19"/>
  <c r="C201" i="19"/>
  <c r="D201" i="19"/>
  <c r="E201" i="19"/>
  <c r="B201" i="23"/>
  <c r="C201" i="23"/>
  <c r="D201" i="23"/>
  <c r="E201" i="23"/>
  <c r="B201" i="18"/>
  <c r="C201" i="18"/>
  <c r="D201" i="18"/>
  <c r="E201" i="18"/>
  <c r="B201" i="22"/>
  <c r="C201" i="22"/>
  <c r="D201" i="22"/>
  <c r="E201" i="22"/>
  <c r="B201" i="17"/>
  <c r="C201" i="17"/>
  <c r="D201" i="17"/>
  <c r="E201" i="17"/>
  <c r="B200" i="20"/>
  <c r="C200" i="20"/>
  <c r="D200" i="20"/>
  <c r="E200" i="20"/>
  <c r="B200" i="19"/>
  <c r="C200" i="19"/>
  <c r="D200" i="19"/>
  <c r="E200" i="19"/>
  <c r="B200" i="23"/>
  <c r="C200" i="23"/>
  <c r="D200" i="23"/>
  <c r="E200" i="23"/>
  <c r="B200" i="18"/>
  <c r="C200" i="18"/>
  <c r="D200" i="18"/>
  <c r="E200" i="18"/>
  <c r="B200" i="22"/>
  <c r="C200" i="22"/>
  <c r="D200" i="22"/>
  <c r="E200" i="22"/>
  <c r="B200" i="17"/>
  <c r="C200" i="17"/>
  <c r="D200" i="17"/>
  <c r="E200" i="17"/>
  <c r="B199" i="20"/>
  <c r="C199" i="20"/>
  <c r="D199" i="20"/>
  <c r="E199" i="20"/>
  <c r="B199" i="19"/>
  <c r="C199" i="19"/>
  <c r="D199" i="19"/>
  <c r="E199" i="19"/>
  <c r="B199" i="23"/>
  <c r="C199" i="23"/>
  <c r="D199" i="23"/>
  <c r="E199" i="23"/>
  <c r="B199" i="18"/>
  <c r="C199" i="18"/>
  <c r="D199" i="18"/>
  <c r="E199" i="18"/>
  <c r="B199" i="22"/>
  <c r="C199" i="22"/>
  <c r="D199" i="22"/>
  <c r="E199" i="22"/>
  <c r="B199" i="17"/>
  <c r="C199" i="17"/>
  <c r="D199" i="17"/>
  <c r="E199" i="17"/>
  <c r="B198" i="20"/>
  <c r="C198" i="20"/>
  <c r="D198" i="20"/>
  <c r="E198" i="20"/>
  <c r="B198" i="19"/>
  <c r="C198" i="19"/>
  <c r="D198" i="19"/>
  <c r="E198" i="19"/>
  <c r="B198" i="23"/>
  <c r="C198" i="23"/>
  <c r="D198" i="23"/>
  <c r="E198" i="23"/>
  <c r="B198" i="18"/>
  <c r="C198" i="18"/>
  <c r="D198" i="18"/>
  <c r="E198" i="18"/>
  <c r="B198" i="22"/>
  <c r="C198" i="22"/>
  <c r="D198" i="22"/>
  <c r="E198" i="22"/>
  <c r="B198" i="17"/>
  <c r="C198" i="17"/>
  <c r="D198" i="17"/>
  <c r="E198" i="17"/>
  <c r="B197" i="20"/>
  <c r="C197" i="20"/>
  <c r="D197" i="20"/>
  <c r="E197" i="20"/>
  <c r="B197" i="19"/>
  <c r="C197" i="19"/>
  <c r="D197" i="19"/>
  <c r="E197" i="19"/>
  <c r="B197" i="23"/>
  <c r="C197" i="23"/>
  <c r="D197" i="23"/>
  <c r="E197" i="23"/>
  <c r="B197" i="18"/>
  <c r="C197" i="18"/>
  <c r="D197" i="18"/>
  <c r="E197" i="18"/>
  <c r="B197" i="22"/>
  <c r="C197" i="22"/>
  <c r="D197" i="22"/>
  <c r="E197" i="22"/>
  <c r="B197" i="17"/>
  <c r="C197" i="17"/>
  <c r="D197" i="17"/>
  <c r="E197" i="17"/>
  <c r="B196" i="20"/>
  <c r="C196" i="20"/>
  <c r="D196" i="20"/>
  <c r="E196" i="20"/>
  <c r="B196" i="19"/>
  <c r="C196" i="19"/>
  <c r="D196" i="19"/>
  <c r="E196" i="19"/>
  <c r="B196" i="23"/>
  <c r="C196" i="23"/>
  <c r="D196" i="23"/>
  <c r="E196" i="23"/>
  <c r="B196" i="18"/>
  <c r="C196" i="18"/>
  <c r="D196" i="18"/>
  <c r="E196" i="18"/>
  <c r="B196" i="22"/>
  <c r="C196" i="22"/>
  <c r="D196" i="22"/>
  <c r="E196" i="22"/>
  <c r="B196" i="17"/>
  <c r="C196" i="17"/>
  <c r="D196" i="17"/>
  <c r="E196" i="17"/>
  <c r="B195" i="20"/>
  <c r="C195" i="20"/>
  <c r="D195" i="20"/>
  <c r="E195" i="20"/>
  <c r="B195" i="19"/>
  <c r="C195" i="19"/>
  <c r="D195" i="19"/>
  <c r="E195" i="19"/>
  <c r="B195" i="23"/>
  <c r="C195" i="23"/>
  <c r="D195" i="23"/>
  <c r="E195" i="23"/>
  <c r="B195" i="18"/>
  <c r="C195" i="18"/>
  <c r="D195" i="18"/>
  <c r="E195" i="18"/>
  <c r="B195" i="22"/>
  <c r="C195" i="22"/>
  <c r="D195" i="22"/>
  <c r="E195" i="22"/>
  <c r="B195" i="17"/>
  <c r="C195" i="17"/>
  <c r="D195" i="17"/>
  <c r="E195" i="17"/>
  <c r="B194" i="20"/>
  <c r="C194" i="20"/>
  <c r="D194" i="20"/>
  <c r="E194" i="20"/>
  <c r="B194" i="19"/>
  <c r="C194" i="19"/>
  <c r="D194" i="19"/>
  <c r="E194" i="19"/>
  <c r="B194" i="23"/>
  <c r="C194" i="23"/>
  <c r="D194" i="23"/>
  <c r="E194" i="23"/>
  <c r="B194" i="18"/>
  <c r="C194" i="18"/>
  <c r="D194" i="18"/>
  <c r="E194" i="18"/>
  <c r="B194" i="22"/>
  <c r="C194" i="22"/>
  <c r="D194" i="22"/>
  <c r="E194" i="22"/>
  <c r="B194" i="17"/>
  <c r="C194" i="17"/>
  <c r="D194" i="17"/>
  <c r="E194" i="17"/>
  <c r="B193" i="20"/>
  <c r="C193" i="20"/>
  <c r="D193" i="20"/>
  <c r="E193" i="20"/>
  <c r="B193" i="19"/>
  <c r="C193" i="19"/>
  <c r="D193" i="19"/>
  <c r="E193" i="19"/>
  <c r="B193" i="23"/>
  <c r="C193" i="23"/>
  <c r="D193" i="23"/>
  <c r="E193" i="23"/>
  <c r="B193" i="18"/>
  <c r="C193" i="18"/>
  <c r="D193" i="18"/>
  <c r="E193" i="18"/>
  <c r="B193" i="22"/>
  <c r="C193" i="22"/>
  <c r="D193" i="22"/>
  <c r="E193" i="22"/>
  <c r="B193" i="17"/>
  <c r="C193" i="17"/>
  <c r="D193" i="17"/>
  <c r="E193" i="17"/>
  <c r="B192" i="20"/>
  <c r="C192" i="20"/>
  <c r="D192" i="20"/>
  <c r="E192" i="20"/>
  <c r="B192" i="19"/>
  <c r="C192" i="19"/>
  <c r="D192" i="19"/>
  <c r="E192" i="19"/>
  <c r="B192" i="23"/>
  <c r="C192" i="23"/>
  <c r="D192" i="23"/>
  <c r="E192" i="23"/>
  <c r="B192" i="18"/>
  <c r="C192" i="18"/>
  <c r="D192" i="18"/>
  <c r="E192" i="18"/>
  <c r="B192" i="22"/>
  <c r="C192" i="22"/>
  <c r="D192" i="22"/>
  <c r="E192" i="22"/>
  <c r="B192" i="17"/>
  <c r="C192" i="17"/>
  <c r="D192" i="17"/>
  <c r="E192" i="17"/>
  <c r="B191" i="20"/>
  <c r="C191" i="20"/>
  <c r="D191" i="20"/>
  <c r="E191" i="20"/>
  <c r="B191" i="19"/>
  <c r="C191" i="19"/>
  <c r="D191" i="19"/>
  <c r="E191" i="19"/>
  <c r="B191" i="23"/>
  <c r="C191" i="23"/>
  <c r="D191" i="23"/>
  <c r="E191" i="23"/>
  <c r="B191" i="18"/>
  <c r="C191" i="18"/>
  <c r="D191" i="18"/>
  <c r="E191" i="18"/>
  <c r="B191" i="22"/>
  <c r="C191" i="22"/>
  <c r="D191" i="22"/>
  <c r="E191" i="22"/>
  <c r="B191" i="17"/>
  <c r="C191" i="17"/>
  <c r="D191" i="17"/>
  <c r="E191" i="17"/>
  <c r="B190" i="20"/>
  <c r="C190" i="20"/>
  <c r="D190" i="20"/>
  <c r="E190" i="20"/>
  <c r="B190" i="19"/>
  <c r="C190" i="19"/>
  <c r="D190" i="19"/>
  <c r="E190" i="19"/>
  <c r="B190" i="23"/>
  <c r="C190" i="23"/>
  <c r="D190" i="23"/>
  <c r="E190" i="23"/>
  <c r="B190" i="18"/>
  <c r="C190" i="18"/>
  <c r="D190" i="18"/>
  <c r="E190" i="18"/>
  <c r="B190" i="22"/>
  <c r="C190" i="22"/>
  <c r="D190" i="22"/>
  <c r="E190" i="22"/>
  <c r="B190" i="17"/>
  <c r="C190" i="17"/>
  <c r="D190" i="17"/>
  <c r="E190" i="17"/>
  <c r="B189" i="20"/>
  <c r="C189" i="20"/>
  <c r="D189" i="20"/>
  <c r="E189" i="20"/>
  <c r="B189" i="19"/>
  <c r="C189" i="19"/>
  <c r="D189" i="19"/>
  <c r="E189" i="19"/>
  <c r="B189" i="23"/>
  <c r="C189" i="23"/>
  <c r="D189" i="23"/>
  <c r="E189" i="23"/>
  <c r="B189" i="18"/>
  <c r="C189" i="18"/>
  <c r="D189" i="18"/>
  <c r="E189" i="18"/>
  <c r="B189" i="22"/>
  <c r="C189" i="22"/>
  <c r="D189" i="22"/>
  <c r="E189" i="22"/>
  <c r="B189" i="17"/>
  <c r="C189" i="17"/>
  <c r="D189" i="17"/>
  <c r="E189" i="17"/>
  <c r="B188" i="20"/>
  <c r="C188" i="20"/>
  <c r="D188" i="20"/>
  <c r="E188" i="20"/>
  <c r="B188" i="19"/>
  <c r="C188" i="19"/>
  <c r="D188" i="19"/>
  <c r="E188" i="19"/>
  <c r="B188" i="23"/>
  <c r="C188" i="23"/>
  <c r="D188" i="23"/>
  <c r="E188" i="23"/>
  <c r="B188" i="18"/>
  <c r="C188" i="18"/>
  <c r="D188" i="18"/>
  <c r="E188" i="18"/>
  <c r="B188" i="22"/>
  <c r="C188" i="22"/>
  <c r="D188" i="22"/>
  <c r="E188" i="22"/>
  <c r="B188" i="17"/>
  <c r="C188" i="17"/>
  <c r="D188" i="17"/>
  <c r="E188" i="17"/>
  <c r="B187" i="20"/>
  <c r="C187" i="20"/>
  <c r="D187" i="20"/>
  <c r="E187" i="20"/>
  <c r="B187" i="19"/>
  <c r="C187" i="19"/>
  <c r="D187" i="19"/>
  <c r="E187" i="19"/>
  <c r="B187" i="23"/>
  <c r="C187" i="23"/>
  <c r="D187" i="23"/>
  <c r="E187" i="23"/>
  <c r="B187" i="18"/>
  <c r="C187" i="18"/>
  <c r="D187" i="18"/>
  <c r="E187" i="18"/>
  <c r="B187" i="22"/>
  <c r="C187" i="22"/>
  <c r="D187" i="22"/>
  <c r="E187" i="22"/>
  <c r="B187" i="17"/>
  <c r="C187" i="17"/>
  <c r="D187" i="17"/>
  <c r="E187" i="17"/>
  <c r="B186" i="20"/>
  <c r="C186" i="20"/>
  <c r="D186" i="20"/>
  <c r="E186" i="20"/>
  <c r="B186" i="19"/>
  <c r="C186" i="19"/>
  <c r="D186" i="19"/>
  <c r="E186" i="19"/>
  <c r="B186" i="23"/>
  <c r="C186" i="23"/>
  <c r="D186" i="23"/>
  <c r="E186" i="23"/>
  <c r="B186" i="18"/>
  <c r="C186" i="18"/>
  <c r="D186" i="18"/>
  <c r="E186" i="18"/>
  <c r="B186" i="22"/>
  <c r="C186" i="22"/>
  <c r="D186" i="22"/>
  <c r="E186" i="22"/>
  <c r="B186" i="17"/>
  <c r="C186" i="17"/>
  <c r="D186" i="17"/>
  <c r="E186" i="17"/>
  <c r="B185" i="20"/>
  <c r="C185" i="20"/>
  <c r="D185" i="20"/>
  <c r="E185" i="20"/>
  <c r="B185" i="19"/>
  <c r="C185" i="19"/>
  <c r="D185" i="19"/>
  <c r="E185" i="19"/>
  <c r="B185" i="23"/>
  <c r="C185" i="23"/>
  <c r="D185" i="23"/>
  <c r="E185" i="23"/>
  <c r="B185" i="18"/>
  <c r="C185" i="18"/>
  <c r="D185" i="18"/>
  <c r="E185" i="18"/>
  <c r="B185" i="22"/>
  <c r="C185" i="22"/>
  <c r="D185" i="22"/>
  <c r="E185" i="22"/>
  <c r="B185" i="17"/>
  <c r="C185" i="17"/>
  <c r="D185" i="17"/>
  <c r="E185" i="17"/>
  <c r="B184" i="20"/>
  <c r="C184" i="20"/>
  <c r="D184" i="20"/>
  <c r="E184" i="20"/>
  <c r="B184" i="19"/>
  <c r="C184" i="19"/>
  <c r="D184" i="19"/>
  <c r="E184" i="19"/>
  <c r="B184" i="23"/>
  <c r="C184" i="23"/>
  <c r="D184" i="23"/>
  <c r="E184" i="23"/>
  <c r="B184" i="18"/>
  <c r="C184" i="18"/>
  <c r="D184" i="18"/>
  <c r="E184" i="18"/>
  <c r="B184" i="22"/>
  <c r="C184" i="22"/>
  <c r="D184" i="22"/>
  <c r="E184" i="22"/>
  <c r="B184" i="17"/>
  <c r="C184" i="17"/>
  <c r="D184" i="17"/>
  <c r="E184" i="17"/>
  <c r="B183" i="20"/>
  <c r="C183" i="20"/>
  <c r="D183" i="20"/>
  <c r="E183" i="20"/>
  <c r="B183" i="19"/>
  <c r="C183" i="19"/>
  <c r="D183" i="19"/>
  <c r="E183" i="19"/>
  <c r="B183" i="23"/>
  <c r="C183" i="23"/>
  <c r="D183" i="23"/>
  <c r="E183" i="23"/>
  <c r="B183" i="18"/>
  <c r="C183" i="18"/>
  <c r="D183" i="18"/>
  <c r="E183" i="18"/>
  <c r="B183" i="22"/>
  <c r="C183" i="22"/>
  <c r="D183" i="22"/>
  <c r="E183" i="22"/>
  <c r="B183" i="17"/>
  <c r="C183" i="17"/>
  <c r="D183" i="17"/>
  <c r="E183" i="17"/>
  <c r="B182" i="20"/>
  <c r="C182" i="20"/>
  <c r="D182" i="20"/>
  <c r="E182" i="20"/>
  <c r="B182" i="19"/>
  <c r="C182" i="19"/>
  <c r="D182" i="19"/>
  <c r="E182" i="19"/>
  <c r="B182" i="23"/>
  <c r="C182" i="23"/>
  <c r="D182" i="23"/>
  <c r="E182" i="23"/>
  <c r="B182" i="18"/>
  <c r="C182" i="18"/>
  <c r="D182" i="18"/>
  <c r="E182" i="18"/>
  <c r="B182" i="22"/>
  <c r="C182" i="22"/>
  <c r="D182" i="22"/>
  <c r="E182" i="22"/>
  <c r="B182" i="17"/>
  <c r="C182" i="17"/>
  <c r="D182" i="17"/>
  <c r="E182" i="17"/>
  <c r="B181" i="20"/>
  <c r="C181" i="20"/>
  <c r="D181" i="20"/>
  <c r="E181" i="20"/>
  <c r="B181" i="19"/>
  <c r="C181" i="19"/>
  <c r="D181" i="19"/>
  <c r="E181" i="19"/>
  <c r="B181" i="23"/>
  <c r="C181" i="23"/>
  <c r="D181" i="23"/>
  <c r="E181" i="23"/>
  <c r="B181" i="18"/>
  <c r="C181" i="18"/>
  <c r="D181" i="18"/>
  <c r="E181" i="18"/>
  <c r="B181" i="22"/>
  <c r="C181" i="22"/>
  <c r="D181" i="22"/>
  <c r="E181" i="22"/>
  <c r="B181" i="17"/>
  <c r="C181" i="17"/>
  <c r="D181" i="17"/>
  <c r="E181" i="17"/>
  <c r="B180" i="20"/>
  <c r="C180" i="20"/>
  <c r="D180" i="20"/>
  <c r="E180" i="20"/>
  <c r="B180" i="19"/>
  <c r="C180" i="19"/>
  <c r="D180" i="19"/>
  <c r="E180" i="19"/>
  <c r="B180" i="23"/>
  <c r="C180" i="23"/>
  <c r="D180" i="23"/>
  <c r="E180" i="23"/>
  <c r="B180" i="18"/>
  <c r="C180" i="18"/>
  <c r="D180" i="18"/>
  <c r="E180" i="18"/>
  <c r="B180" i="22"/>
  <c r="C180" i="22"/>
  <c r="D180" i="22"/>
  <c r="E180" i="22"/>
  <c r="B180" i="17"/>
  <c r="C180" i="17"/>
  <c r="D180" i="17"/>
  <c r="E180" i="17"/>
  <c r="B179" i="20"/>
  <c r="C179" i="20"/>
  <c r="D179" i="20"/>
  <c r="E179" i="20"/>
  <c r="B179" i="19"/>
  <c r="C179" i="19"/>
  <c r="D179" i="19"/>
  <c r="E179" i="19"/>
  <c r="B179" i="23"/>
  <c r="C179" i="23"/>
  <c r="D179" i="23"/>
  <c r="E179" i="23"/>
  <c r="B179" i="18"/>
  <c r="C179" i="18"/>
  <c r="D179" i="18"/>
  <c r="E179" i="18"/>
  <c r="B179" i="22"/>
  <c r="C179" i="22"/>
  <c r="D179" i="22"/>
  <c r="E179" i="22"/>
  <c r="B179" i="17"/>
  <c r="C179" i="17"/>
  <c r="D179" i="17"/>
  <c r="E179" i="17"/>
  <c r="B178" i="20"/>
  <c r="C178" i="20"/>
  <c r="D178" i="20"/>
  <c r="E178" i="20"/>
  <c r="B178" i="19"/>
  <c r="C178" i="19"/>
  <c r="D178" i="19"/>
  <c r="E178" i="19"/>
  <c r="B178" i="23"/>
  <c r="C178" i="23"/>
  <c r="D178" i="23"/>
  <c r="E178" i="23"/>
  <c r="B178" i="18"/>
  <c r="C178" i="18"/>
  <c r="D178" i="18"/>
  <c r="E178" i="18"/>
  <c r="B178" i="22"/>
  <c r="C178" i="22"/>
  <c r="D178" i="22"/>
  <c r="E178" i="22"/>
  <c r="B178" i="17"/>
  <c r="C178" i="17"/>
  <c r="D178" i="17"/>
  <c r="E178" i="17"/>
  <c r="B177" i="20"/>
  <c r="C177" i="20"/>
  <c r="D177" i="20"/>
  <c r="E177" i="20"/>
  <c r="B177" i="19"/>
  <c r="C177" i="19"/>
  <c r="D177" i="19"/>
  <c r="E177" i="19"/>
  <c r="B177" i="23"/>
  <c r="C177" i="23"/>
  <c r="D177" i="23"/>
  <c r="E177" i="23"/>
  <c r="B177" i="18"/>
  <c r="C177" i="18"/>
  <c r="D177" i="18"/>
  <c r="E177" i="18"/>
  <c r="B177" i="22"/>
  <c r="C177" i="22"/>
  <c r="D177" i="22"/>
  <c r="E177" i="22"/>
  <c r="B177" i="17"/>
  <c r="C177" i="17"/>
  <c r="D177" i="17"/>
  <c r="E177" i="17"/>
  <c r="B176" i="20"/>
  <c r="C176" i="20"/>
  <c r="D176" i="20"/>
  <c r="E176" i="20"/>
  <c r="B176" i="19"/>
  <c r="C176" i="19"/>
  <c r="D176" i="19"/>
  <c r="E176" i="19"/>
  <c r="B176" i="23"/>
  <c r="C176" i="23"/>
  <c r="D176" i="23"/>
  <c r="E176" i="23"/>
  <c r="B176" i="18"/>
  <c r="C176" i="18"/>
  <c r="D176" i="18"/>
  <c r="E176" i="18"/>
  <c r="B176" i="22"/>
  <c r="C176" i="22"/>
  <c r="D176" i="22"/>
  <c r="E176" i="22"/>
  <c r="B176" i="17"/>
  <c r="C176" i="17"/>
  <c r="D176" i="17"/>
  <c r="E176" i="17"/>
  <c r="B175" i="20"/>
  <c r="C175" i="20"/>
  <c r="D175" i="20"/>
  <c r="E175" i="20"/>
  <c r="B175" i="19"/>
  <c r="C175" i="19"/>
  <c r="D175" i="19"/>
  <c r="E175" i="19"/>
  <c r="B175" i="23"/>
  <c r="C175" i="23"/>
  <c r="D175" i="23"/>
  <c r="E175" i="23"/>
  <c r="B175" i="18"/>
  <c r="C175" i="18"/>
  <c r="D175" i="18"/>
  <c r="E175" i="18"/>
  <c r="B175" i="22"/>
  <c r="C175" i="22"/>
  <c r="D175" i="22"/>
  <c r="E175" i="22"/>
  <c r="B175" i="17"/>
  <c r="C175" i="17"/>
  <c r="D175" i="17"/>
  <c r="E175" i="17"/>
  <c r="B174" i="20"/>
  <c r="C174" i="20"/>
  <c r="D174" i="20"/>
  <c r="E174" i="20"/>
  <c r="B174" i="19"/>
  <c r="C174" i="19"/>
  <c r="D174" i="19"/>
  <c r="E174" i="19"/>
  <c r="B174" i="23"/>
  <c r="C174" i="23"/>
  <c r="D174" i="23"/>
  <c r="E174" i="23"/>
  <c r="B174" i="18"/>
  <c r="C174" i="18"/>
  <c r="D174" i="18"/>
  <c r="E174" i="18"/>
  <c r="B174" i="22"/>
  <c r="C174" i="22"/>
  <c r="D174" i="22"/>
  <c r="E174" i="22"/>
  <c r="B174" i="17"/>
  <c r="C174" i="17"/>
  <c r="D174" i="17"/>
  <c r="E174" i="17"/>
  <c r="B173" i="20"/>
  <c r="C173" i="20"/>
  <c r="D173" i="20"/>
  <c r="E173" i="20"/>
  <c r="B173" i="19"/>
  <c r="C173" i="19"/>
  <c r="D173" i="19"/>
  <c r="E173" i="19"/>
  <c r="B173" i="23"/>
  <c r="C173" i="23"/>
  <c r="D173" i="23"/>
  <c r="E173" i="23"/>
  <c r="B173" i="18"/>
  <c r="C173" i="18"/>
  <c r="D173" i="18"/>
  <c r="E173" i="18"/>
  <c r="B173" i="22"/>
  <c r="C173" i="22"/>
  <c r="D173" i="22"/>
  <c r="E173" i="22"/>
  <c r="B173" i="17"/>
  <c r="C173" i="17"/>
  <c r="D173" i="17"/>
  <c r="E173" i="17"/>
  <c r="B172" i="20"/>
  <c r="C172" i="20"/>
  <c r="D172" i="20"/>
  <c r="E172" i="20"/>
  <c r="B172" i="19"/>
  <c r="C172" i="19"/>
  <c r="D172" i="19"/>
  <c r="E172" i="19"/>
  <c r="B172" i="23"/>
  <c r="C172" i="23"/>
  <c r="D172" i="23"/>
  <c r="E172" i="23"/>
  <c r="B172" i="18"/>
  <c r="C172" i="18"/>
  <c r="D172" i="18"/>
  <c r="E172" i="18"/>
  <c r="B172" i="22"/>
  <c r="C172" i="22"/>
  <c r="D172" i="22"/>
  <c r="E172" i="22"/>
  <c r="B172" i="17"/>
  <c r="C172" i="17"/>
  <c r="D172" i="17"/>
  <c r="E172" i="17"/>
  <c r="B171" i="20"/>
  <c r="C171" i="20"/>
  <c r="D171" i="20"/>
  <c r="E171" i="20"/>
  <c r="B171" i="19"/>
  <c r="C171" i="19"/>
  <c r="D171" i="19"/>
  <c r="E171" i="19"/>
  <c r="B171" i="23"/>
  <c r="C171" i="23"/>
  <c r="D171" i="23"/>
  <c r="E171" i="23"/>
  <c r="B171" i="18"/>
  <c r="C171" i="18"/>
  <c r="D171" i="18"/>
  <c r="E171" i="18"/>
  <c r="B171" i="22"/>
  <c r="C171" i="22"/>
  <c r="D171" i="22"/>
  <c r="E171" i="22"/>
  <c r="B171" i="17"/>
  <c r="C171" i="17"/>
  <c r="D171" i="17"/>
  <c r="E171" i="17"/>
  <c r="B170" i="20"/>
  <c r="C170" i="20"/>
  <c r="D170" i="20"/>
  <c r="E170" i="20"/>
  <c r="B170" i="19"/>
  <c r="C170" i="19"/>
  <c r="D170" i="19"/>
  <c r="E170" i="19"/>
  <c r="B170" i="23"/>
  <c r="C170" i="23"/>
  <c r="D170" i="23"/>
  <c r="E170" i="23"/>
  <c r="B170" i="18"/>
  <c r="C170" i="18"/>
  <c r="D170" i="18"/>
  <c r="E170" i="18"/>
  <c r="B170" i="22"/>
  <c r="C170" i="22"/>
  <c r="D170" i="22"/>
  <c r="E170" i="22"/>
  <c r="B170" i="17"/>
  <c r="C170" i="17"/>
  <c r="D170" i="17"/>
  <c r="E170" i="17"/>
  <c r="B169" i="20"/>
  <c r="C169" i="20"/>
  <c r="D169" i="20"/>
  <c r="E169" i="20"/>
  <c r="B169" i="19"/>
  <c r="C169" i="19"/>
  <c r="D169" i="19"/>
  <c r="E169" i="19"/>
  <c r="B169" i="23"/>
  <c r="C169" i="23"/>
  <c r="D169" i="23"/>
  <c r="E169" i="23"/>
  <c r="B169" i="18"/>
  <c r="C169" i="18"/>
  <c r="D169" i="18"/>
  <c r="E169" i="18"/>
  <c r="B169" i="22"/>
  <c r="C169" i="22"/>
  <c r="D169" i="22"/>
  <c r="E169" i="22"/>
  <c r="B169" i="17"/>
  <c r="C169" i="17"/>
  <c r="D169" i="17"/>
  <c r="E169" i="17"/>
  <c r="B168" i="20"/>
  <c r="C168" i="20"/>
  <c r="D168" i="20"/>
  <c r="E168" i="20"/>
  <c r="B168" i="19"/>
  <c r="C168" i="19"/>
  <c r="D168" i="19"/>
  <c r="E168" i="19"/>
  <c r="B168" i="23"/>
  <c r="C168" i="23"/>
  <c r="D168" i="23"/>
  <c r="E168" i="23"/>
  <c r="B168" i="18"/>
  <c r="C168" i="18"/>
  <c r="D168" i="18"/>
  <c r="E168" i="18"/>
  <c r="B168" i="22"/>
  <c r="C168" i="22"/>
  <c r="D168" i="22"/>
  <c r="E168" i="22"/>
  <c r="B168" i="17"/>
  <c r="C168" i="17"/>
  <c r="D168" i="17"/>
  <c r="E168" i="17"/>
  <c r="B167" i="20"/>
  <c r="C167" i="20"/>
  <c r="D167" i="20"/>
  <c r="E167" i="20"/>
  <c r="B167" i="19"/>
  <c r="C167" i="19"/>
  <c r="D167" i="19"/>
  <c r="E167" i="19"/>
  <c r="B167" i="23"/>
  <c r="C167" i="23"/>
  <c r="D167" i="23"/>
  <c r="E167" i="23"/>
  <c r="B167" i="18"/>
  <c r="C167" i="18"/>
  <c r="D167" i="18"/>
  <c r="E167" i="18"/>
  <c r="B167" i="22"/>
  <c r="C167" i="22"/>
  <c r="D167" i="22"/>
  <c r="E167" i="22"/>
  <c r="B167" i="17"/>
  <c r="C167" i="17"/>
  <c r="D167" i="17"/>
  <c r="E167" i="17"/>
  <c r="B166" i="20"/>
  <c r="C166" i="20"/>
  <c r="D166" i="20"/>
  <c r="E166" i="20"/>
  <c r="B166" i="19"/>
  <c r="C166" i="19"/>
  <c r="D166" i="19"/>
  <c r="E166" i="19"/>
  <c r="B166" i="23"/>
  <c r="C166" i="23"/>
  <c r="D166" i="23"/>
  <c r="E166" i="23"/>
  <c r="B166" i="18"/>
  <c r="C166" i="18"/>
  <c r="D166" i="18"/>
  <c r="E166" i="18"/>
  <c r="B166" i="22"/>
  <c r="C166" i="22"/>
  <c r="D166" i="22"/>
  <c r="E166" i="22"/>
  <c r="B166" i="17"/>
  <c r="C166" i="17"/>
  <c r="D166" i="17"/>
  <c r="E166" i="17"/>
  <c r="B165" i="20"/>
  <c r="C165" i="20"/>
  <c r="D165" i="20"/>
  <c r="E165" i="20"/>
  <c r="B165" i="19"/>
  <c r="C165" i="19"/>
  <c r="D165" i="19"/>
  <c r="E165" i="19"/>
  <c r="B165" i="23"/>
  <c r="C165" i="23"/>
  <c r="D165" i="23"/>
  <c r="E165" i="23"/>
  <c r="B165" i="18"/>
  <c r="C165" i="18"/>
  <c r="D165" i="18"/>
  <c r="E165" i="18"/>
  <c r="B165" i="22"/>
  <c r="C165" i="22"/>
  <c r="D165" i="22"/>
  <c r="E165" i="22"/>
  <c r="B165" i="17"/>
  <c r="C165" i="17"/>
  <c r="D165" i="17"/>
  <c r="E165" i="17"/>
  <c r="B164" i="20"/>
  <c r="C164" i="20"/>
  <c r="D164" i="20"/>
  <c r="E164" i="20"/>
  <c r="B164" i="19"/>
  <c r="C164" i="19"/>
  <c r="D164" i="19"/>
  <c r="E164" i="19"/>
  <c r="B164" i="23"/>
  <c r="C164" i="23"/>
  <c r="D164" i="23"/>
  <c r="E164" i="23"/>
  <c r="B164" i="18"/>
  <c r="C164" i="18"/>
  <c r="D164" i="18"/>
  <c r="E164" i="18"/>
  <c r="B164" i="22"/>
  <c r="C164" i="22"/>
  <c r="D164" i="22"/>
  <c r="E164" i="22"/>
  <c r="B164" i="17"/>
  <c r="C164" i="17"/>
  <c r="D164" i="17"/>
  <c r="E164" i="17"/>
  <c r="B163" i="20"/>
  <c r="C163" i="20"/>
  <c r="D163" i="20"/>
  <c r="E163" i="20"/>
  <c r="B163" i="19"/>
  <c r="C163" i="19"/>
  <c r="D163" i="19"/>
  <c r="E163" i="19"/>
  <c r="B163" i="23"/>
  <c r="C163" i="23"/>
  <c r="D163" i="23"/>
  <c r="E163" i="23"/>
  <c r="B163" i="18"/>
  <c r="C163" i="18"/>
  <c r="D163" i="18"/>
  <c r="E163" i="18"/>
  <c r="B163" i="22"/>
  <c r="C163" i="22"/>
  <c r="D163" i="22"/>
  <c r="E163" i="22"/>
  <c r="B163" i="17"/>
  <c r="C163" i="17"/>
  <c r="D163" i="17"/>
  <c r="E163" i="17"/>
  <c r="B162" i="20"/>
  <c r="C162" i="20"/>
  <c r="D162" i="20"/>
  <c r="E162" i="20"/>
  <c r="B162" i="19"/>
  <c r="C162" i="19"/>
  <c r="D162" i="19"/>
  <c r="E162" i="19"/>
  <c r="B162" i="23"/>
  <c r="C162" i="23"/>
  <c r="D162" i="23"/>
  <c r="E162" i="23"/>
  <c r="B162" i="18"/>
  <c r="C162" i="18"/>
  <c r="D162" i="18"/>
  <c r="E162" i="18"/>
  <c r="B162" i="22"/>
  <c r="C162" i="22"/>
  <c r="D162" i="22"/>
  <c r="E162" i="22"/>
  <c r="B162" i="17"/>
  <c r="C162" i="17"/>
  <c r="D162" i="17"/>
  <c r="E162" i="17"/>
  <c r="B161" i="20"/>
  <c r="C161" i="20"/>
  <c r="D161" i="20"/>
  <c r="E161" i="20"/>
  <c r="B161" i="19"/>
  <c r="C161" i="19"/>
  <c r="D161" i="19"/>
  <c r="E161" i="19"/>
  <c r="B161" i="23"/>
  <c r="C161" i="23"/>
  <c r="D161" i="23"/>
  <c r="E161" i="23"/>
  <c r="B161" i="18"/>
  <c r="C161" i="18"/>
  <c r="D161" i="18"/>
  <c r="E161" i="18"/>
  <c r="B161" i="22"/>
  <c r="C161" i="22"/>
  <c r="D161" i="22"/>
  <c r="E161" i="22"/>
  <c r="B161" i="17"/>
  <c r="C161" i="17"/>
  <c r="D161" i="17"/>
  <c r="E161" i="17"/>
  <c r="B160" i="20"/>
  <c r="C160" i="20"/>
  <c r="D160" i="20"/>
  <c r="E160" i="20"/>
  <c r="B160" i="19"/>
  <c r="C160" i="19"/>
  <c r="D160" i="19"/>
  <c r="E160" i="19"/>
  <c r="B160" i="23"/>
  <c r="C160" i="23"/>
  <c r="D160" i="23"/>
  <c r="E160" i="23"/>
  <c r="B160" i="18"/>
  <c r="C160" i="18"/>
  <c r="D160" i="18"/>
  <c r="E160" i="18"/>
  <c r="B160" i="22"/>
  <c r="C160" i="22"/>
  <c r="D160" i="22"/>
  <c r="E160" i="22"/>
  <c r="B160" i="17"/>
  <c r="C160" i="17"/>
  <c r="D160" i="17"/>
  <c r="E160" i="17"/>
  <c r="B159" i="20"/>
  <c r="C159" i="20"/>
  <c r="D159" i="20"/>
  <c r="E159" i="20"/>
  <c r="B159" i="19"/>
  <c r="C159" i="19"/>
  <c r="D159" i="19"/>
  <c r="E159" i="19"/>
  <c r="B159" i="23"/>
  <c r="C159" i="23"/>
  <c r="D159" i="23"/>
  <c r="E159" i="23"/>
  <c r="B159" i="18"/>
  <c r="C159" i="18"/>
  <c r="D159" i="18"/>
  <c r="E159" i="18"/>
  <c r="B159" i="22"/>
  <c r="C159" i="22"/>
  <c r="D159" i="22"/>
  <c r="E159" i="22"/>
  <c r="B159" i="17"/>
  <c r="C159" i="17"/>
  <c r="D159" i="17"/>
  <c r="E159" i="17"/>
  <c r="B158" i="20"/>
  <c r="C158" i="20"/>
  <c r="D158" i="20"/>
  <c r="E158" i="20"/>
  <c r="B158" i="19"/>
  <c r="C158" i="19"/>
  <c r="D158" i="19"/>
  <c r="E158" i="19"/>
  <c r="B158" i="23"/>
  <c r="C158" i="23"/>
  <c r="D158" i="23"/>
  <c r="E158" i="23"/>
  <c r="B158" i="18"/>
  <c r="C158" i="18"/>
  <c r="D158" i="18"/>
  <c r="E158" i="18"/>
  <c r="B158" i="22"/>
  <c r="C158" i="22"/>
  <c r="D158" i="22"/>
  <c r="E158" i="22"/>
  <c r="B158" i="17"/>
  <c r="C158" i="17"/>
  <c r="D158" i="17"/>
  <c r="E158" i="17"/>
  <c r="B157" i="20"/>
  <c r="C157" i="20"/>
  <c r="D157" i="20"/>
  <c r="E157" i="20"/>
  <c r="B157" i="19"/>
  <c r="C157" i="19"/>
  <c r="D157" i="19"/>
  <c r="E157" i="19"/>
  <c r="B157" i="23"/>
  <c r="C157" i="23"/>
  <c r="D157" i="23"/>
  <c r="E157" i="23"/>
  <c r="B157" i="18"/>
  <c r="C157" i="18"/>
  <c r="D157" i="18"/>
  <c r="E157" i="18"/>
  <c r="B157" i="22"/>
  <c r="C157" i="22"/>
  <c r="D157" i="22"/>
  <c r="E157" i="22"/>
  <c r="B157" i="17"/>
  <c r="C157" i="17"/>
  <c r="D157" i="17"/>
  <c r="E157" i="17"/>
  <c r="B156" i="20"/>
  <c r="C156" i="20"/>
  <c r="D156" i="20"/>
  <c r="E156" i="20"/>
  <c r="B156" i="19"/>
  <c r="C156" i="19"/>
  <c r="D156" i="19"/>
  <c r="E156" i="19"/>
  <c r="B156" i="23"/>
  <c r="C156" i="23"/>
  <c r="D156" i="23"/>
  <c r="E156" i="23"/>
  <c r="B156" i="18"/>
  <c r="C156" i="18"/>
  <c r="D156" i="18"/>
  <c r="E156" i="18"/>
  <c r="B156" i="22"/>
  <c r="C156" i="22"/>
  <c r="D156" i="22"/>
  <c r="E156" i="22"/>
  <c r="B156" i="17"/>
  <c r="C156" i="17"/>
  <c r="D156" i="17"/>
  <c r="E156" i="17"/>
  <c r="B155" i="20"/>
  <c r="C155" i="20"/>
  <c r="D155" i="20"/>
  <c r="E155" i="20"/>
  <c r="B155" i="19"/>
  <c r="C155" i="19"/>
  <c r="D155" i="19"/>
  <c r="E155" i="19"/>
  <c r="B155" i="23"/>
  <c r="C155" i="23"/>
  <c r="D155" i="23"/>
  <c r="E155" i="23"/>
  <c r="B155" i="18"/>
  <c r="C155" i="18"/>
  <c r="D155" i="18"/>
  <c r="E155" i="18"/>
  <c r="B155" i="22"/>
  <c r="C155" i="22"/>
  <c r="D155" i="22"/>
  <c r="E155" i="22"/>
  <c r="B155" i="17"/>
  <c r="C155" i="17"/>
  <c r="D155" i="17"/>
  <c r="E155" i="17"/>
  <c r="B154" i="20"/>
  <c r="C154" i="20"/>
  <c r="D154" i="20"/>
  <c r="E154" i="20"/>
  <c r="B154" i="19"/>
  <c r="C154" i="19"/>
  <c r="D154" i="19"/>
  <c r="E154" i="19"/>
  <c r="B154" i="23"/>
  <c r="C154" i="23"/>
  <c r="D154" i="23"/>
  <c r="E154" i="23"/>
  <c r="B154" i="18"/>
  <c r="C154" i="18"/>
  <c r="D154" i="18"/>
  <c r="E154" i="18"/>
  <c r="B154" i="22"/>
  <c r="C154" i="22"/>
  <c r="D154" i="22"/>
  <c r="E154" i="22"/>
  <c r="B154" i="17"/>
  <c r="C154" i="17"/>
  <c r="D154" i="17"/>
  <c r="E154" i="17"/>
  <c r="B153" i="20"/>
  <c r="C153" i="20"/>
  <c r="D153" i="20"/>
  <c r="E153" i="20"/>
  <c r="B153" i="19"/>
  <c r="C153" i="19"/>
  <c r="D153" i="19"/>
  <c r="E153" i="19"/>
  <c r="B153" i="23"/>
  <c r="C153" i="23"/>
  <c r="D153" i="23"/>
  <c r="E153" i="23"/>
  <c r="B153" i="18"/>
  <c r="C153" i="18"/>
  <c r="D153" i="18"/>
  <c r="E153" i="18"/>
  <c r="B153" i="22"/>
  <c r="C153" i="22"/>
  <c r="D153" i="22"/>
  <c r="E153" i="22"/>
  <c r="B153" i="17"/>
  <c r="C153" i="17"/>
  <c r="D153" i="17"/>
  <c r="E153" i="17"/>
  <c r="B152" i="20"/>
  <c r="C152" i="20"/>
  <c r="D152" i="20"/>
  <c r="E152" i="20"/>
  <c r="B152" i="19"/>
  <c r="C152" i="19"/>
  <c r="D152" i="19"/>
  <c r="E152" i="19"/>
  <c r="B152" i="23"/>
  <c r="C152" i="23"/>
  <c r="D152" i="23"/>
  <c r="E152" i="23"/>
  <c r="B152" i="18"/>
  <c r="C152" i="18"/>
  <c r="D152" i="18"/>
  <c r="E152" i="18"/>
  <c r="B152" i="22"/>
  <c r="C152" i="22"/>
  <c r="D152" i="22"/>
  <c r="E152" i="22"/>
  <c r="B152" i="17"/>
  <c r="C152" i="17"/>
  <c r="D152" i="17"/>
  <c r="E152" i="17"/>
  <c r="B151" i="20"/>
  <c r="C151" i="20"/>
  <c r="D151" i="20"/>
  <c r="E151" i="20"/>
  <c r="B151" i="19"/>
  <c r="C151" i="19"/>
  <c r="D151" i="19"/>
  <c r="E151" i="19"/>
  <c r="B151" i="23"/>
  <c r="C151" i="23"/>
  <c r="D151" i="23"/>
  <c r="E151" i="23"/>
  <c r="B151" i="18"/>
  <c r="C151" i="18"/>
  <c r="D151" i="18"/>
  <c r="E151" i="18"/>
  <c r="B151" i="22"/>
  <c r="C151" i="22"/>
  <c r="D151" i="22"/>
  <c r="E151" i="22"/>
  <c r="B151" i="17"/>
  <c r="C151" i="17"/>
  <c r="D151" i="17"/>
  <c r="E151" i="17"/>
  <c r="B150" i="20"/>
  <c r="C150" i="20"/>
  <c r="D150" i="20"/>
  <c r="E150" i="20"/>
  <c r="B150" i="19"/>
  <c r="C150" i="19"/>
  <c r="D150" i="19"/>
  <c r="E150" i="19"/>
  <c r="B150" i="23"/>
  <c r="C150" i="23"/>
  <c r="D150" i="23"/>
  <c r="E150" i="23"/>
  <c r="B150" i="18"/>
  <c r="C150" i="18"/>
  <c r="D150" i="18"/>
  <c r="E150" i="18"/>
  <c r="B150" i="22"/>
  <c r="C150" i="22"/>
  <c r="D150" i="22"/>
  <c r="E150" i="22"/>
  <c r="B150" i="17"/>
  <c r="C150" i="17"/>
  <c r="D150" i="17"/>
  <c r="E150" i="17"/>
  <c r="B149" i="20"/>
  <c r="C149" i="20"/>
  <c r="D149" i="20"/>
  <c r="E149" i="20"/>
  <c r="B149" i="19"/>
  <c r="C149" i="19"/>
  <c r="D149" i="19"/>
  <c r="E149" i="19"/>
  <c r="B149" i="23"/>
  <c r="C149" i="23"/>
  <c r="D149" i="23"/>
  <c r="E149" i="23"/>
  <c r="B149" i="18"/>
  <c r="C149" i="18"/>
  <c r="D149" i="18"/>
  <c r="E149" i="18"/>
  <c r="B149" i="22"/>
  <c r="C149" i="22"/>
  <c r="D149" i="22"/>
  <c r="E149" i="22"/>
  <c r="B149" i="17"/>
  <c r="C149" i="17"/>
  <c r="D149" i="17"/>
  <c r="E149" i="17"/>
  <c r="B148" i="20"/>
  <c r="C148" i="20"/>
  <c r="D148" i="20"/>
  <c r="E148" i="20"/>
  <c r="B148" i="19"/>
  <c r="C148" i="19"/>
  <c r="D148" i="19"/>
  <c r="E148" i="19"/>
  <c r="B148" i="23"/>
  <c r="C148" i="23"/>
  <c r="D148" i="23"/>
  <c r="E148" i="23"/>
  <c r="B148" i="18"/>
  <c r="C148" i="18"/>
  <c r="D148" i="18"/>
  <c r="E148" i="18"/>
  <c r="B148" i="22"/>
  <c r="C148" i="22"/>
  <c r="D148" i="22"/>
  <c r="E148" i="22"/>
  <c r="B148" i="17"/>
  <c r="C148" i="17"/>
  <c r="D148" i="17"/>
  <c r="E148" i="17"/>
  <c r="B147" i="20"/>
  <c r="C147" i="20"/>
  <c r="D147" i="20"/>
  <c r="E147" i="20"/>
  <c r="B147" i="19"/>
  <c r="C147" i="19"/>
  <c r="D147" i="19"/>
  <c r="E147" i="19"/>
  <c r="B147" i="23"/>
  <c r="C147" i="23"/>
  <c r="D147" i="23"/>
  <c r="E147" i="23"/>
  <c r="B147" i="18"/>
  <c r="C147" i="18"/>
  <c r="D147" i="18"/>
  <c r="E147" i="18"/>
  <c r="B147" i="22"/>
  <c r="C147" i="22"/>
  <c r="D147" i="22"/>
  <c r="E147" i="22"/>
  <c r="B147" i="17"/>
  <c r="C147" i="17"/>
  <c r="D147" i="17"/>
  <c r="E147" i="17"/>
  <c r="B146" i="20"/>
  <c r="C146" i="20"/>
  <c r="D146" i="20"/>
  <c r="E146" i="20"/>
  <c r="B146" i="19"/>
  <c r="C146" i="19"/>
  <c r="D146" i="19"/>
  <c r="E146" i="19"/>
  <c r="B146" i="23"/>
  <c r="C146" i="23"/>
  <c r="D146" i="23"/>
  <c r="E146" i="23"/>
  <c r="B146" i="18"/>
  <c r="C146" i="18"/>
  <c r="D146" i="18"/>
  <c r="E146" i="18"/>
  <c r="B146" i="22"/>
  <c r="C146" i="22"/>
  <c r="D146" i="22"/>
  <c r="E146" i="22"/>
  <c r="B146" i="17"/>
  <c r="C146" i="17"/>
  <c r="D146" i="17"/>
  <c r="E146" i="17"/>
  <c r="B145" i="20"/>
  <c r="C145" i="20"/>
  <c r="D145" i="20"/>
  <c r="E145" i="20"/>
  <c r="B145" i="19"/>
  <c r="C145" i="19"/>
  <c r="D145" i="19"/>
  <c r="E145" i="19"/>
  <c r="B145" i="23"/>
  <c r="C145" i="23"/>
  <c r="D145" i="23"/>
  <c r="E145" i="23"/>
  <c r="B145" i="18"/>
  <c r="C145" i="18"/>
  <c r="D145" i="18"/>
  <c r="E145" i="18"/>
  <c r="B145" i="22"/>
  <c r="C145" i="22"/>
  <c r="D145" i="22"/>
  <c r="E145" i="22"/>
  <c r="B145" i="17"/>
  <c r="C145" i="17"/>
  <c r="D145" i="17"/>
  <c r="E145" i="17"/>
  <c r="B144" i="20"/>
  <c r="C144" i="20"/>
  <c r="D144" i="20"/>
  <c r="E144" i="20"/>
  <c r="B144" i="19"/>
  <c r="C144" i="19"/>
  <c r="D144" i="19"/>
  <c r="E144" i="19"/>
  <c r="B144" i="23"/>
  <c r="C144" i="23"/>
  <c r="D144" i="23"/>
  <c r="E144" i="23"/>
  <c r="B144" i="18"/>
  <c r="C144" i="18"/>
  <c r="D144" i="18"/>
  <c r="E144" i="18"/>
  <c r="B144" i="22"/>
  <c r="C144" i="22"/>
  <c r="D144" i="22"/>
  <c r="E144" i="22"/>
  <c r="B144" i="17"/>
  <c r="C144" i="17"/>
  <c r="D144" i="17"/>
  <c r="E144" i="17"/>
  <c r="B143" i="20"/>
  <c r="C143" i="20"/>
  <c r="D143" i="20"/>
  <c r="E143" i="20"/>
  <c r="B143" i="19"/>
  <c r="C143" i="19"/>
  <c r="D143" i="19"/>
  <c r="E143" i="19"/>
  <c r="B143" i="23"/>
  <c r="C143" i="23"/>
  <c r="D143" i="23"/>
  <c r="E143" i="23"/>
  <c r="B143" i="18"/>
  <c r="C143" i="18"/>
  <c r="D143" i="18"/>
  <c r="E143" i="18"/>
  <c r="B143" i="22"/>
  <c r="C143" i="22"/>
  <c r="D143" i="22"/>
  <c r="E143" i="22"/>
  <c r="B143" i="17"/>
  <c r="C143" i="17"/>
  <c r="D143" i="17"/>
  <c r="E143" i="17"/>
  <c r="B142" i="17"/>
  <c r="B142" i="20"/>
  <c r="C142" i="20"/>
  <c r="D142" i="20"/>
  <c r="E142" i="20"/>
  <c r="B142" i="19"/>
  <c r="C142" i="19"/>
  <c r="D142" i="19"/>
  <c r="E142" i="19"/>
  <c r="B142" i="23"/>
  <c r="C142" i="23"/>
  <c r="D142" i="23"/>
  <c r="E142" i="23"/>
  <c r="B142" i="18"/>
  <c r="C142" i="18"/>
  <c r="D142" i="18"/>
  <c r="E142" i="18"/>
  <c r="B142" i="22"/>
  <c r="C142" i="22"/>
  <c r="D142" i="22"/>
  <c r="E142" i="22"/>
  <c r="C142" i="17"/>
  <c r="D142" i="17"/>
  <c r="E142" i="17"/>
  <c r="B141" i="17"/>
  <c r="B141" i="20"/>
  <c r="C141" i="20"/>
  <c r="D141" i="20"/>
  <c r="E141" i="20"/>
  <c r="B141" i="19"/>
  <c r="C141" i="19"/>
  <c r="D141" i="19"/>
  <c r="E141" i="19"/>
  <c r="B141" i="23"/>
  <c r="C141" i="23"/>
  <c r="D141" i="23"/>
  <c r="E141" i="23"/>
  <c r="B141" i="18"/>
  <c r="C141" i="18"/>
  <c r="D141" i="18"/>
  <c r="E141" i="18"/>
  <c r="B141" i="22"/>
  <c r="C141" i="22"/>
  <c r="D141" i="22"/>
  <c r="E141" i="22"/>
  <c r="C141" i="17"/>
  <c r="D141" i="17"/>
  <c r="E141" i="17"/>
  <c r="B140" i="17"/>
  <c r="B140" i="20"/>
  <c r="C140" i="20"/>
  <c r="D140" i="20"/>
  <c r="E140" i="20"/>
  <c r="B140" i="19"/>
  <c r="C140" i="19"/>
  <c r="D140" i="19"/>
  <c r="E140" i="19"/>
  <c r="B140" i="23"/>
  <c r="C140" i="23"/>
  <c r="D140" i="23"/>
  <c r="E140" i="23"/>
  <c r="B140" i="18"/>
  <c r="C140" i="18"/>
  <c r="D140" i="18"/>
  <c r="E140" i="18"/>
  <c r="B140" i="22"/>
  <c r="C140" i="22"/>
  <c r="D140" i="22"/>
  <c r="E140" i="22"/>
  <c r="C140" i="17"/>
  <c r="D140" i="17"/>
  <c r="E140" i="17"/>
  <c r="B139" i="17"/>
  <c r="B139" i="20"/>
  <c r="C139" i="20"/>
  <c r="D139" i="20"/>
  <c r="E139" i="20"/>
  <c r="B139" i="19"/>
  <c r="C139" i="19"/>
  <c r="D139" i="19"/>
  <c r="E139" i="19"/>
  <c r="B139" i="23"/>
  <c r="C139" i="23"/>
  <c r="D139" i="23"/>
  <c r="E139" i="23"/>
  <c r="B139" i="18"/>
  <c r="C139" i="18"/>
  <c r="D139" i="18"/>
  <c r="E139" i="18"/>
  <c r="B139" i="22"/>
  <c r="C139" i="22"/>
  <c r="D139" i="22"/>
  <c r="E139" i="22"/>
  <c r="C139" i="17"/>
  <c r="D139" i="17"/>
  <c r="E139" i="17"/>
  <c r="B138" i="17"/>
  <c r="B138" i="20"/>
  <c r="C138" i="20"/>
  <c r="D138" i="20"/>
  <c r="E138" i="20"/>
  <c r="B138" i="19"/>
  <c r="C138" i="19"/>
  <c r="D138" i="19"/>
  <c r="E138" i="19"/>
  <c r="B138" i="23"/>
  <c r="C138" i="23"/>
  <c r="D138" i="23"/>
  <c r="E138" i="23"/>
  <c r="B138" i="18"/>
  <c r="C138" i="18"/>
  <c r="D138" i="18"/>
  <c r="E138" i="18"/>
  <c r="B138" i="22"/>
  <c r="C138" i="22"/>
  <c r="D138" i="22"/>
  <c r="E138" i="22"/>
  <c r="C138" i="17"/>
  <c r="D138" i="17"/>
  <c r="E138" i="17"/>
  <c r="B137" i="17"/>
  <c r="B137" i="20"/>
  <c r="C137" i="20"/>
  <c r="D137" i="20"/>
  <c r="E137" i="20"/>
  <c r="B137" i="19"/>
  <c r="C137" i="19"/>
  <c r="D137" i="19"/>
  <c r="E137" i="19"/>
  <c r="B137" i="23"/>
  <c r="C137" i="23"/>
  <c r="D137" i="23"/>
  <c r="E137" i="23"/>
  <c r="B137" i="18"/>
  <c r="C137" i="18"/>
  <c r="D137" i="18"/>
  <c r="E137" i="18"/>
  <c r="B137" i="22"/>
  <c r="C137" i="22"/>
  <c r="D137" i="22"/>
  <c r="E137" i="22"/>
  <c r="C137" i="17"/>
  <c r="D137" i="17"/>
  <c r="E137" i="17"/>
  <c r="B136" i="17"/>
  <c r="B136" i="20"/>
  <c r="C136" i="20"/>
  <c r="D136" i="20"/>
  <c r="E136" i="20"/>
  <c r="B136" i="19"/>
  <c r="C136" i="19"/>
  <c r="D136" i="19"/>
  <c r="E136" i="19"/>
  <c r="B136" i="23"/>
  <c r="C136" i="23"/>
  <c r="D136" i="23"/>
  <c r="E136" i="23"/>
  <c r="B136" i="18"/>
  <c r="C136" i="18"/>
  <c r="D136" i="18"/>
  <c r="E136" i="18"/>
  <c r="B136" i="22"/>
  <c r="C136" i="22"/>
  <c r="D136" i="22"/>
  <c r="E136" i="22"/>
  <c r="C136" i="17"/>
  <c r="D136" i="17"/>
  <c r="E136" i="17"/>
  <c r="B135" i="17"/>
  <c r="B135" i="20"/>
  <c r="C135" i="20"/>
  <c r="D135" i="20"/>
  <c r="E135" i="20"/>
  <c r="B135" i="19"/>
  <c r="C135" i="19"/>
  <c r="D135" i="19"/>
  <c r="E135" i="19"/>
  <c r="B135" i="23"/>
  <c r="C135" i="23"/>
  <c r="D135" i="23"/>
  <c r="E135" i="23"/>
  <c r="B135" i="18"/>
  <c r="C135" i="18"/>
  <c r="D135" i="18"/>
  <c r="E135" i="18"/>
  <c r="B135" i="22"/>
  <c r="C135" i="22"/>
  <c r="D135" i="22"/>
  <c r="E135" i="22"/>
  <c r="C135" i="17"/>
  <c r="D135" i="17"/>
  <c r="E135" i="17"/>
  <c r="B134" i="17"/>
  <c r="B134" i="20"/>
  <c r="C134" i="20"/>
  <c r="D134" i="20"/>
  <c r="E134" i="20"/>
  <c r="B134" i="19"/>
  <c r="C134" i="19"/>
  <c r="D134" i="19"/>
  <c r="E134" i="19"/>
  <c r="B134" i="23"/>
  <c r="C134" i="23"/>
  <c r="D134" i="23"/>
  <c r="E134" i="23"/>
  <c r="B134" i="18"/>
  <c r="C134" i="18"/>
  <c r="D134" i="18"/>
  <c r="E134" i="18"/>
  <c r="B134" i="22"/>
  <c r="C134" i="22"/>
  <c r="D134" i="22"/>
  <c r="E134" i="22"/>
  <c r="C134" i="17"/>
  <c r="D134" i="17"/>
  <c r="E134" i="17"/>
  <c r="B133" i="20"/>
  <c r="C133" i="20"/>
  <c r="D133" i="20"/>
  <c r="E133" i="20"/>
  <c r="B133" i="19"/>
  <c r="C133" i="19"/>
  <c r="D133" i="19"/>
  <c r="E133" i="19"/>
  <c r="B133" i="23"/>
  <c r="C133" i="23"/>
  <c r="D133" i="23"/>
  <c r="E133" i="23"/>
  <c r="B133" i="18"/>
  <c r="C133" i="18"/>
  <c r="D133" i="18"/>
  <c r="E133" i="18"/>
  <c r="B133" i="22"/>
  <c r="C133" i="22"/>
  <c r="D133" i="22"/>
  <c r="E133" i="22"/>
  <c r="B133" i="17"/>
  <c r="C133" i="17"/>
  <c r="D133" i="17"/>
  <c r="E133" i="17"/>
  <c r="B132" i="20"/>
  <c r="C132" i="20"/>
  <c r="D132" i="20"/>
  <c r="E132" i="20"/>
  <c r="B132" i="19"/>
  <c r="C132" i="19"/>
  <c r="D132" i="19"/>
  <c r="E132" i="19"/>
  <c r="B132" i="23"/>
  <c r="C132" i="23"/>
  <c r="D132" i="23"/>
  <c r="E132" i="23"/>
  <c r="B132" i="18"/>
  <c r="C132" i="18"/>
  <c r="D132" i="18"/>
  <c r="E132" i="18"/>
  <c r="B132" i="22"/>
  <c r="C132" i="22"/>
  <c r="D132" i="22"/>
  <c r="E132" i="22"/>
  <c r="B132" i="17"/>
  <c r="C132" i="17"/>
  <c r="D132" i="17"/>
  <c r="E132" i="17"/>
  <c r="B131" i="20"/>
  <c r="C131" i="20"/>
  <c r="D131" i="20"/>
  <c r="E131" i="20"/>
  <c r="B131" i="19"/>
  <c r="C131" i="19"/>
  <c r="D131" i="19"/>
  <c r="E131" i="19"/>
  <c r="B131" i="23"/>
  <c r="C131" i="23"/>
  <c r="D131" i="23"/>
  <c r="E131" i="23"/>
  <c r="B131" i="18"/>
  <c r="C131" i="18"/>
  <c r="D131" i="18"/>
  <c r="E131" i="18"/>
  <c r="B131" i="22"/>
  <c r="C131" i="22"/>
  <c r="D131" i="22"/>
  <c r="E131" i="22"/>
  <c r="B131" i="17"/>
  <c r="C131" i="17"/>
  <c r="D131" i="17"/>
  <c r="E131" i="17"/>
  <c r="B130" i="20"/>
  <c r="C130" i="20"/>
  <c r="D130" i="20"/>
  <c r="E130" i="20"/>
  <c r="B130" i="19"/>
  <c r="C130" i="19"/>
  <c r="D130" i="19"/>
  <c r="E130" i="19"/>
  <c r="B130" i="23"/>
  <c r="C130" i="23"/>
  <c r="D130" i="23"/>
  <c r="E130" i="23"/>
  <c r="B130" i="18"/>
  <c r="C130" i="18"/>
  <c r="D130" i="18"/>
  <c r="E130" i="18"/>
  <c r="B130" i="22"/>
  <c r="C130" i="22"/>
  <c r="D130" i="22"/>
  <c r="E130" i="22"/>
  <c r="B130" i="17"/>
  <c r="C130" i="17"/>
  <c r="D130" i="17"/>
  <c r="E130" i="17"/>
  <c r="B129" i="20"/>
  <c r="C129" i="20"/>
  <c r="D129" i="20"/>
  <c r="E129" i="20"/>
  <c r="B129" i="19"/>
  <c r="C129" i="19"/>
  <c r="D129" i="19"/>
  <c r="E129" i="19"/>
  <c r="B129" i="23"/>
  <c r="C129" i="23"/>
  <c r="D129" i="23"/>
  <c r="E129" i="23"/>
  <c r="B129" i="18"/>
  <c r="C129" i="18"/>
  <c r="D129" i="18"/>
  <c r="E129" i="18"/>
  <c r="B129" i="22"/>
  <c r="C129" i="22"/>
  <c r="D129" i="22"/>
  <c r="E129" i="22"/>
  <c r="B129" i="17"/>
  <c r="C129" i="17"/>
  <c r="D129" i="17"/>
  <c r="E129" i="17"/>
  <c r="B128" i="20"/>
  <c r="C128" i="20"/>
  <c r="D128" i="20"/>
  <c r="E128" i="20"/>
  <c r="B128" i="19"/>
  <c r="C128" i="19"/>
  <c r="D128" i="19"/>
  <c r="E128" i="19"/>
  <c r="B128" i="23"/>
  <c r="C128" i="23"/>
  <c r="D128" i="23"/>
  <c r="E128" i="23"/>
  <c r="B128" i="18"/>
  <c r="C128" i="18"/>
  <c r="D128" i="18"/>
  <c r="E128" i="18"/>
  <c r="B128" i="22"/>
  <c r="C128" i="22"/>
  <c r="D128" i="22"/>
  <c r="E128" i="22"/>
  <c r="B128" i="17"/>
  <c r="C128" i="17"/>
  <c r="D128" i="17"/>
  <c r="E128" i="17"/>
  <c r="B127" i="20"/>
  <c r="C127" i="20"/>
  <c r="D127" i="20"/>
  <c r="E127" i="20"/>
  <c r="B127" i="19"/>
  <c r="C127" i="19"/>
  <c r="D127" i="19"/>
  <c r="E127" i="19"/>
  <c r="B127" i="23"/>
  <c r="C127" i="23"/>
  <c r="D127" i="23"/>
  <c r="E127" i="23"/>
  <c r="B127" i="18"/>
  <c r="C127" i="18"/>
  <c r="D127" i="18"/>
  <c r="E127" i="18"/>
  <c r="B127" i="22"/>
  <c r="C127" i="22"/>
  <c r="D127" i="22"/>
  <c r="E127" i="22"/>
  <c r="B127" i="17"/>
  <c r="C127" i="17"/>
  <c r="D127" i="17"/>
  <c r="E127" i="17"/>
  <c r="B126" i="20"/>
  <c r="C126" i="20"/>
  <c r="D126" i="20"/>
  <c r="E126" i="20"/>
  <c r="B126" i="19"/>
  <c r="C126" i="19"/>
  <c r="D126" i="19"/>
  <c r="E126" i="19"/>
  <c r="B126" i="23"/>
  <c r="C126" i="23"/>
  <c r="D126" i="23"/>
  <c r="E126" i="23"/>
  <c r="B126" i="18"/>
  <c r="C126" i="18"/>
  <c r="D126" i="18"/>
  <c r="E126" i="18"/>
  <c r="B126" i="22"/>
  <c r="C126" i="22"/>
  <c r="D126" i="22"/>
  <c r="E126" i="22"/>
  <c r="B126" i="17"/>
  <c r="C126" i="17"/>
  <c r="D126" i="17"/>
  <c r="E126" i="17"/>
  <c r="B125" i="20"/>
  <c r="C125" i="20"/>
  <c r="D125" i="20"/>
  <c r="E125" i="20"/>
  <c r="B125" i="19"/>
  <c r="C125" i="19"/>
  <c r="D125" i="19"/>
  <c r="E125" i="19"/>
  <c r="B125" i="23"/>
  <c r="C125" i="23"/>
  <c r="D125" i="23"/>
  <c r="E125" i="23"/>
  <c r="B125" i="18"/>
  <c r="C125" i="18"/>
  <c r="D125" i="18"/>
  <c r="E125" i="18"/>
  <c r="B125" i="22"/>
  <c r="C125" i="22"/>
  <c r="D125" i="22"/>
  <c r="E125" i="22"/>
  <c r="B125" i="17"/>
  <c r="C125" i="17"/>
  <c r="D125" i="17"/>
  <c r="E125" i="17"/>
  <c r="B124" i="20"/>
  <c r="C124" i="20"/>
  <c r="D124" i="20"/>
  <c r="E124" i="20"/>
  <c r="B124" i="19"/>
  <c r="C124" i="19"/>
  <c r="D124" i="19"/>
  <c r="E124" i="19"/>
  <c r="B124" i="23"/>
  <c r="C124" i="23"/>
  <c r="D124" i="23"/>
  <c r="E124" i="23"/>
  <c r="B124" i="18"/>
  <c r="C124" i="18"/>
  <c r="D124" i="18"/>
  <c r="E124" i="18"/>
  <c r="B124" i="22"/>
  <c r="C124" i="22"/>
  <c r="D124" i="22"/>
  <c r="E124" i="22"/>
  <c r="B124" i="17"/>
  <c r="C124" i="17"/>
  <c r="D124" i="17"/>
  <c r="E124" i="17"/>
  <c r="B123" i="20"/>
  <c r="C123" i="20"/>
  <c r="D123" i="20"/>
  <c r="E123" i="20"/>
  <c r="B123" i="19"/>
  <c r="C123" i="19"/>
  <c r="D123" i="19"/>
  <c r="E123" i="19"/>
  <c r="B123" i="23"/>
  <c r="C123" i="23"/>
  <c r="D123" i="23"/>
  <c r="E123" i="23"/>
  <c r="B123" i="18"/>
  <c r="C123" i="18"/>
  <c r="D123" i="18"/>
  <c r="E123" i="18"/>
  <c r="B123" i="22"/>
  <c r="C123" i="22"/>
  <c r="D123" i="22"/>
  <c r="E123" i="22"/>
  <c r="B123" i="17"/>
  <c r="C123" i="17"/>
  <c r="D123" i="17"/>
  <c r="E123" i="17"/>
  <c r="B122" i="20"/>
  <c r="C122" i="20"/>
  <c r="D122" i="20"/>
  <c r="E122" i="20"/>
  <c r="B122" i="19"/>
  <c r="C122" i="19"/>
  <c r="D122" i="19"/>
  <c r="E122" i="19"/>
  <c r="B122" i="23"/>
  <c r="C122" i="23"/>
  <c r="D122" i="23"/>
  <c r="E122" i="23"/>
  <c r="B122" i="18"/>
  <c r="C122" i="18"/>
  <c r="D122" i="18"/>
  <c r="E122" i="18"/>
  <c r="B122" i="22"/>
  <c r="C122" i="22"/>
  <c r="D122" i="22"/>
  <c r="E122" i="22"/>
  <c r="B122" i="17"/>
  <c r="C122" i="17"/>
  <c r="D122" i="17"/>
  <c r="E122" i="17"/>
  <c r="B121" i="20"/>
  <c r="C121" i="20"/>
  <c r="D121" i="20"/>
  <c r="E121" i="20"/>
  <c r="B121" i="19"/>
  <c r="C121" i="19"/>
  <c r="D121" i="19"/>
  <c r="E121" i="19"/>
  <c r="B121" i="23"/>
  <c r="C121" i="23"/>
  <c r="D121" i="23"/>
  <c r="E121" i="23"/>
  <c r="B121" i="18"/>
  <c r="C121" i="18"/>
  <c r="D121" i="18"/>
  <c r="E121" i="18"/>
  <c r="B121" i="22"/>
  <c r="C121" i="22"/>
  <c r="D121" i="22"/>
  <c r="E121" i="22"/>
  <c r="B121" i="17"/>
  <c r="C121" i="17"/>
  <c r="D121" i="17"/>
  <c r="E121" i="17"/>
  <c r="B120" i="20"/>
  <c r="C120" i="20"/>
  <c r="D120" i="20"/>
  <c r="E120" i="20"/>
  <c r="B120" i="19"/>
  <c r="C120" i="19"/>
  <c r="D120" i="19"/>
  <c r="E120" i="19"/>
  <c r="B120" i="23"/>
  <c r="C120" i="23"/>
  <c r="D120" i="23"/>
  <c r="E120" i="23"/>
  <c r="B120" i="18"/>
  <c r="C120" i="18"/>
  <c r="D120" i="18"/>
  <c r="E120" i="18"/>
  <c r="B120" i="22"/>
  <c r="C120" i="22"/>
  <c r="D120" i="22"/>
  <c r="E120" i="22"/>
  <c r="B120" i="17"/>
  <c r="C120" i="17"/>
  <c r="D120" i="17"/>
  <c r="E120" i="17"/>
  <c r="B119" i="20"/>
  <c r="C119" i="20"/>
  <c r="D119" i="20"/>
  <c r="E119" i="20"/>
  <c r="B119" i="19"/>
  <c r="C119" i="19"/>
  <c r="D119" i="19"/>
  <c r="E119" i="19"/>
  <c r="B119" i="23"/>
  <c r="C119" i="23"/>
  <c r="D119" i="23"/>
  <c r="E119" i="23"/>
  <c r="B119" i="18"/>
  <c r="C119" i="18"/>
  <c r="D119" i="18"/>
  <c r="E119" i="18"/>
  <c r="B119" i="22"/>
  <c r="C119" i="22"/>
  <c r="D119" i="22"/>
  <c r="E119" i="22"/>
  <c r="B119" i="17"/>
  <c r="C119" i="17"/>
  <c r="D119" i="17"/>
  <c r="E119" i="17"/>
  <c r="B118" i="20"/>
  <c r="C118" i="20"/>
  <c r="D118" i="20"/>
  <c r="E118" i="20"/>
  <c r="B118" i="19"/>
  <c r="C118" i="19"/>
  <c r="D118" i="19"/>
  <c r="E118" i="19"/>
  <c r="B118" i="23"/>
  <c r="C118" i="23"/>
  <c r="D118" i="23"/>
  <c r="E118" i="23"/>
  <c r="B118" i="18"/>
  <c r="C118" i="18"/>
  <c r="D118" i="18"/>
  <c r="E118" i="18"/>
  <c r="B118" i="22"/>
  <c r="C118" i="22"/>
  <c r="D118" i="22"/>
  <c r="E118" i="22"/>
  <c r="B118" i="17"/>
  <c r="C118" i="17"/>
  <c r="D118" i="17"/>
  <c r="E118" i="17"/>
  <c r="B117" i="20"/>
  <c r="C117" i="20"/>
  <c r="D117" i="20"/>
  <c r="E117" i="20"/>
  <c r="B117" i="19"/>
  <c r="C117" i="19"/>
  <c r="D117" i="19"/>
  <c r="E117" i="19"/>
  <c r="B117" i="23"/>
  <c r="C117" i="23"/>
  <c r="D117" i="23"/>
  <c r="E117" i="23"/>
  <c r="B117" i="18"/>
  <c r="C117" i="18"/>
  <c r="D117" i="18"/>
  <c r="E117" i="18"/>
  <c r="B117" i="22"/>
  <c r="C117" i="22"/>
  <c r="D117" i="22"/>
  <c r="E117" i="22"/>
  <c r="B117" i="17"/>
  <c r="C117" i="17"/>
  <c r="D117" i="17"/>
  <c r="E117" i="17"/>
  <c r="B116" i="20"/>
  <c r="C116" i="20"/>
  <c r="D116" i="20"/>
  <c r="E116" i="20"/>
  <c r="B116" i="19"/>
  <c r="C116" i="19"/>
  <c r="D116" i="19"/>
  <c r="E116" i="19"/>
  <c r="B116" i="23"/>
  <c r="C116" i="23"/>
  <c r="D116" i="23"/>
  <c r="E116" i="23"/>
  <c r="B116" i="18"/>
  <c r="C116" i="18"/>
  <c r="D116" i="18"/>
  <c r="E116" i="18"/>
  <c r="B116" i="22"/>
  <c r="C116" i="22"/>
  <c r="D116" i="22"/>
  <c r="E116" i="22"/>
  <c r="B116" i="17"/>
  <c r="C116" i="17"/>
  <c r="D116" i="17"/>
  <c r="E116" i="17"/>
  <c r="B115" i="20"/>
  <c r="C115" i="20"/>
  <c r="D115" i="20"/>
  <c r="E115" i="20"/>
  <c r="B115" i="19"/>
  <c r="C115" i="19"/>
  <c r="D115" i="19"/>
  <c r="E115" i="19"/>
  <c r="B115" i="23"/>
  <c r="C115" i="23"/>
  <c r="D115" i="23"/>
  <c r="E115" i="23"/>
  <c r="B115" i="18"/>
  <c r="C115" i="18"/>
  <c r="D115" i="18"/>
  <c r="E115" i="18"/>
  <c r="B115" i="22"/>
  <c r="C115" i="22"/>
  <c r="D115" i="22"/>
  <c r="E115" i="22"/>
  <c r="B115" i="17"/>
  <c r="C115" i="17"/>
  <c r="D115" i="17"/>
  <c r="E115" i="17"/>
  <c r="B114" i="20"/>
  <c r="C114" i="20"/>
  <c r="D114" i="20"/>
  <c r="E114" i="20"/>
  <c r="B114" i="19"/>
  <c r="C114" i="19"/>
  <c r="D114" i="19"/>
  <c r="E114" i="19"/>
  <c r="B114" i="23"/>
  <c r="C114" i="23"/>
  <c r="D114" i="23"/>
  <c r="E114" i="23"/>
  <c r="B114" i="18"/>
  <c r="C114" i="18"/>
  <c r="D114" i="18"/>
  <c r="E114" i="18"/>
  <c r="B114" i="22"/>
  <c r="C114" i="22"/>
  <c r="D114" i="22"/>
  <c r="E114" i="22"/>
  <c r="B114" i="17"/>
  <c r="C114" i="17"/>
  <c r="D114" i="17"/>
  <c r="E114" i="17"/>
  <c r="B113" i="20"/>
  <c r="C113" i="20"/>
  <c r="D113" i="20"/>
  <c r="E113" i="20"/>
  <c r="B113" i="19"/>
  <c r="C113" i="19"/>
  <c r="D113" i="19"/>
  <c r="E113" i="19"/>
  <c r="B113" i="23"/>
  <c r="C113" i="23"/>
  <c r="D113" i="23"/>
  <c r="E113" i="23"/>
  <c r="B113" i="18"/>
  <c r="C113" i="18"/>
  <c r="D113" i="18"/>
  <c r="E113" i="18"/>
  <c r="B113" i="22"/>
  <c r="C113" i="22"/>
  <c r="D113" i="22"/>
  <c r="E113" i="22"/>
  <c r="B113" i="17"/>
  <c r="C113" i="17"/>
  <c r="D113" i="17"/>
  <c r="E113" i="17"/>
  <c r="B112" i="20"/>
  <c r="C112" i="20"/>
  <c r="D112" i="20"/>
  <c r="E112" i="20"/>
  <c r="B112" i="19"/>
  <c r="C112" i="19"/>
  <c r="D112" i="19"/>
  <c r="E112" i="19"/>
  <c r="B112" i="23"/>
  <c r="C112" i="23"/>
  <c r="D112" i="23"/>
  <c r="E112" i="23"/>
  <c r="B112" i="18"/>
  <c r="C112" i="18"/>
  <c r="D112" i="18"/>
  <c r="E112" i="18"/>
  <c r="B112" i="22"/>
  <c r="C112" i="22"/>
  <c r="D112" i="22"/>
  <c r="E112" i="22"/>
  <c r="B112" i="17"/>
  <c r="C112" i="17"/>
  <c r="D112" i="17"/>
  <c r="E112" i="17"/>
  <c r="B111" i="20"/>
  <c r="C111" i="20"/>
  <c r="D111" i="20"/>
  <c r="E111" i="20"/>
  <c r="B111" i="19"/>
  <c r="C111" i="19"/>
  <c r="D111" i="19"/>
  <c r="E111" i="19"/>
  <c r="B111" i="23"/>
  <c r="C111" i="23"/>
  <c r="D111" i="23"/>
  <c r="E111" i="23"/>
  <c r="B111" i="18"/>
  <c r="C111" i="18"/>
  <c r="D111" i="18"/>
  <c r="E111" i="18"/>
  <c r="B111" i="22"/>
  <c r="C111" i="22"/>
  <c r="D111" i="22"/>
  <c r="E111" i="22"/>
  <c r="B111" i="17"/>
  <c r="C111" i="17"/>
  <c r="D111" i="17"/>
  <c r="E111" i="17"/>
  <c r="B110" i="20"/>
  <c r="C110" i="20"/>
  <c r="D110" i="20"/>
  <c r="E110" i="20"/>
  <c r="B110" i="19"/>
  <c r="C110" i="19"/>
  <c r="D110" i="19"/>
  <c r="E110" i="19"/>
  <c r="B110" i="23"/>
  <c r="C110" i="23"/>
  <c r="D110" i="23"/>
  <c r="E110" i="23"/>
  <c r="B110" i="18"/>
  <c r="C110" i="18"/>
  <c r="D110" i="18"/>
  <c r="E110" i="18"/>
  <c r="B110" i="22"/>
  <c r="C110" i="22"/>
  <c r="D110" i="22"/>
  <c r="E110" i="22"/>
  <c r="B110" i="17"/>
  <c r="C110" i="17"/>
  <c r="D110" i="17"/>
  <c r="E110" i="17"/>
  <c r="B109" i="20"/>
  <c r="C109" i="20"/>
  <c r="D109" i="20"/>
  <c r="E109" i="20"/>
  <c r="B109" i="19"/>
  <c r="C109" i="19"/>
  <c r="D109" i="19"/>
  <c r="E109" i="19"/>
  <c r="B109" i="23"/>
  <c r="C109" i="23"/>
  <c r="D109" i="23"/>
  <c r="E109" i="23"/>
  <c r="B109" i="18"/>
  <c r="C109" i="18"/>
  <c r="D109" i="18"/>
  <c r="E109" i="18"/>
  <c r="B109" i="22"/>
  <c r="C109" i="22"/>
  <c r="D109" i="22"/>
  <c r="E109" i="22"/>
  <c r="B109" i="17"/>
  <c r="C109" i="17"/>
  <c r="D109" i="17"/>
  <c r="E109" i="17"/>
  <c r="B108" i="20"/>
  <c r="C108" i="20"/>
  <c r="D108" i="20"/>
  <c r="E108" i="20"/>
  <c r="B108" i="19"/>
  <c r="C108" i="19"/>
  <c r="D108" i="19"/>
  <c r="E108" i="19"/>
  <c r="B108" i="23"/>
  <c r="C108" i="23"/>
  <c r="D108" i="23"/>
  <c r="E108" i="23"/>
  <c r="B108" i="18"/>
  <c r="C108" i="18"/>
  <c r="D108" i="18"/>
  <c r="E108" i="18"/>
  <c r="B108" i="22"/>
  <c r="C108" i="22"/>
  <c r="D108" i="22"/>
  <c r="E108" i="22"/>
  <c r="B108" i="17"/>
  <c r="C108" i="17"/>
  <c r="D108" i="17"/>
  <c r="E108" i="17"/>
  <c r="B107" i="20"/>
  <c r="C107" i="20"/>
  <c r="D107" i="20"/>
  <c r="E107" i="20"/>
  <c r="B107" i="19"/>
  <c r="C107" i="19"/>
  <c r="D107" i="19"/>
  <c r="E107" i="19"/>
  <c r="B107" i="23"/>
  <c r="C107" i="23"/>
  <c r="D107" i="23"/>
  <c r="E107" i="23"/>
  <c r="B107" i="18"/>
  <c r="C107" i="18"/>
  <c r="D107" i="18"/>
  <c r="E107" i="18"/>
  <c r="B107" i="22"/>
  <c r="C107" i="22"/>
  <c r="D107" i="22"/>
  <c r="E107" i="22"/>
  <c r="B107" i="17"/>
  <c r="C107" i="17"/>
  <c r="D107" i="17"/>
  <c r="E107" i="17"/>
  <c r="B106" i="20"/>
  <c r="C106" i="20"/>
  <c r="D106" i="20"/>
  <c r="E106" i="20"/>
  <c r="B106" i="19"/>
  <c r="C106" i="19"/>
  <c r="D106" i="19"/>
  <c r="E106" i="19"/>
  <c r="B106" i="23"/>
  <c r="C106" i="23"/>
  <c r="D106" i="23"/>
  <c r="E106" i="23"/>
  <c r="B106" i="18"/>
  <c r="C106" i="18"/>
  <c r="D106" i="18"/>
  <c r="E106" i="18"/>
  <c r="B106" i="22"/>
  <c r="C106" i="22"/>
  <c r="D106" i="22"/>
  <c r="E106" i="22"/>
  <c r="B106" i="17"/>
  <c r="C106" i="17"/>
  <c r="D106" i="17"/>
  <c r="E106" i="17"/>
  <c r="B105" i="17"/>
  <c r="B105" i="20"/>
  <c r="C105" i="20"/>
  <c r="D105" i="20"/>
  <c r="E105" i="20"/>
  <c r="B105" i="19"/>
  <c r="C105" i="19"/>
  <c r="D105" i="19"/>
  <c r="E105" i="19"/>
  <c r="B105" i="23"/>
  <c r="C105" i="23"/>
  <c r="D105" i="23"/>
  <c r="E105" i="23"/>
  <c r="B105" i="18"/>
  <c r="C105" i="18"/>
  <c r="D105" i="18"/>
  <c r="E105" i="18"/>
  <c r="B105" i="22"/>
  <c r="C105" i="22"/>
  <c r="D105" i="22"/>
  <c r="E105" i="22"/>
  <c r="C105" i="17"/>
  <c r="D105" i="17"/>
  <c r="E105" i="17"/>
  <c r="B104" i="17"/>
  <c r="B104" i="20"/>
  <c r="C104" i="20"/>
  <c r="D104" i="20"/>
  <c r="E104" i="20"/>
  <c r="B104" i="19"/>
  <c r="C104" i="19"/>
  <c r="D104" i="19"/>
  <c r="E104" i="19"/>
  <c r="B104" i="23"/>
  <c r="C104" i="23"/>
  <c r="D104" i="23"/>
  <c r="E104" i="23"/>
  <c r="B104" i="18"/>
  <c r="C104" i="18"/>
  <c r="D104" i="18"/>
  <c r="E104" i="18"/>
  <c r="B104" i="22"/>
  <c r="C104" i="22"/>
  <c r="D104" i="22"/>
  <c r="E104" i="22"/>
  <c r="C104" i="17"/>
  <c r="D104" i="17"/>
  <c r="E104" i="17"/>
  <c r="B103" i="17"/>
  <c r="B103" i="20"/>
  <c r="C103" i="20"/>
  <c r="D103" i="20"/>
  <c r="E103" i="20"/>
  <c r="B103" i="19"/>
  <c r="C103" i="19"/>
  <c r="D103" i="19"/>
  <c r="E103" i="19"/>
  <c r="B103" i="23"/>
  <c r="C103" i="23"/>
  <c r="D103" i="23"/>
  <c r="E103" i="23"/>
  <c r="B103" i="18"/>
  <c r="C103" i="18"/>
  <c r="D103" i="18"/>
  <c r="E103" i="18"/>
  <c r="B103" i="22"/>
  <c r="C103" i="22"/>
  <c r="D103" i="22"/>
  <c r="E103" i="22"/>
  <c r="C103" i="17"/>
  <c r="D103" i="17"/>
  <c r="E103" i="17"/>
  <c r="B102" i="17"/>
  <c r="B102" i="20"/>
  <c r="C102" i="20"/>
  <c r="D102" i="20"/>
  <c r="E102" i="20"/>
  <c r="B102" i="19"/>
  <c r="C102" i="19"/>
  <c r="D102" i="19"/>
  <c r="E102" i="19"/>
  <c r="B102" i="23"/>
  <c r="C102" i="23"/>
  <c r="D102" i="23"/>
  <c r="E102" i="23"/>
  <c r="B102" i="18"/>
  <c r="C102" i="18"/>
  <c r="D102" i="18"/>
  <c r="E102" i="18"/>
  <c r="B102" i="22"/>
  <c r="C102" i="22"/>
  <c r="D102" i="22"/>
  <c r="E102" i="22"/>
  <c r="C102" i="17"/>
  <c r="D102" i="17"/>
  <c r="E102" i="17"/>
  <c r="B101" i="17"/>
  <c r="B101" i="20"/>
  <c r="C101" i="20"/>
  <c r="D101" i="20"/>
  <c r="E101" i="20"/>
  <c r="B101" i="19"/>
  <c r="C101" i="19"/>
  <c r="D101" i="19"/>
  <c r="E101" i="19"/>
  <c r="B101" i="23"/>
  <c r="C101" i="23"/>
  <c r="D101" i="23"/>
  <c r="E101" i="23"/>
  <c r="B101" i="18"/>
  <c r="C101" i="18"/>
  <c r="D101" i="18"/>
  <c r="E101" i="18"/>
  <c r="B101" i="22"/>
  <c r="C101" i="22"/>
  <c r="D101" i="22"/>
  <c r="E101" i="22"/>
  <c r="C101" i="17"/>
  <c r="D101" i="17"/>
  <c r="E101" i="17"/>
  <c r="B100" i="17"/>
  <c r="B100" i="20"/>
  <c r="C100" i="20"/>
  <c r="D100" i="20"/>
  <c r="E100" i="20"/>
  <c r="B100" i="19"/>
  <c r="C100" i="19"/>
  <c r="D100" i="19"/>
  <c r="E100" i="19"/>
  <c r="B100" i="23"/>
  <c r="C100" i="23"/>
  <c r="D100" i="23"/>
  <c r="E100" i="23"/>
  <c r="B100" i="18"/>
  <c r="C100" i="18"/>
  <c r="D100" i="18"/>
  <c r="E100" i="18"/>
  <c r="B100" i="22"/>
  <c r="C100" i="22"/>
  <c r="D100" i="22"/>
  <c r="E100" i="22"/>
  <c r="C100" i="17"/>
  <c r="D100" i="17"/>
  <c r="E100" i="17"/>
  <c r="B99" i="17"/>
  <c r="B99" i="20"/>
  <c r="C99" i="20"/>
  <c r="D99" i="20"/>
  <c r="E99" i="20"/>
  <c r="B99" i="19"/>
  <c r="C99" i="19"/>
  <c r="D99" i="19"/>
  <c r="E99" i="19"/>
  <c r="B99" i="23"/>
  <c r="C99" i="23"/>
  <c r="D99" i="23"/>
  <c r="E99" i="23"/>
  <c r="B99" i="18"/>
  <c r="C99" i="18"/>
  <c r="D99" i="18"/>
  <c r="E99" i="18"/>
  <c r="B99" i="22"/>
  <c r="C99" i="22"/>
  <c r="D99" i="22"/>
  <c r="E99" i="22"/>
  <c r="C99" i="17"/>
  <c r="D99" i="17"/>
  <c r="E99" i="17"/>
  <c r="B98" i="17"/>
  <c r="B98" i="20"/>
  <c r="C98" i="20"/>
  <c r="D98" i="20"/>
  <c r="E98" i="20"/>
  <c r="B98" i="19"/>
  <c r="C98" i="19"/>
  <c r="D98" i="19"/>
  <c r="E98" i="19"/>
  <c r="B98" i="23"/>
  <c r="C98" i="23"/>
  <c r="D98" i="23"/>
  <c r="E98" i="23"/>
  <c r="B98" i="18"/>
  <c r="C98" i="18"/>
  <c r="D98" i="18"/>
  <c r="E98" i="18"/>
  <c r="B98" i="22"/>
  <c r="C98" i="22"/>
  <c r="D98" i="22"/>
  <c r="E98" i="22"/>
  <c r="C98" i="17"/>
  <c r="D98" i="17"/>
  <c r="E98" i="17"/>
  <c r="B97" i="17"/>
  <c r="B97" i="20"/>
  <c r="C97" i="20"/>
  <c r="D97" i="20"/>
  <c r="E97" i="20"/>
  <c r="B97" i="19"/>
  <c r="C97" i="19"/>
  <c r="D97" i="19"/>
  <c r="E97" i="19"/>
  <c r="B97" i="23"/>
  <c r="C97" i="23"/>
  <c r="D97" i="23"/>
  <c r="E97" i="23"/>
  <c r="B97" i="18"/>
  <c r="C97" i="18"/>
  <c r="D97" i="18"/>
  <c r="E97" i="18"/>
  <c r="B97" i="22"/>
  <c r="C97" i="22"/>
  <c r="D97" i="22"/>
  <c r="E97" i="22"/>
  <c r="C97" i="17"/>
  <c r="D97" i="17"/>
  <c r="E97" i="17"/>
  <c r="B96" i="17"/>
  <c r="B96" i="20"/>
  <c r="C96" i="20"/>
  <c r="D96" i="20"/>
  <c r="E96" i="20"/>
  <c r="B96" i="19"/>
  <c r="C96" i="19"/>
  <c r="D96" i="19"/>
  <c r="E96" i="19"/>
  <c r="B96" i="23"/>
  <c r="C96" i="23"/>
  <c r="D96" i="23"/>
  <c r="E96" i="23"/>
  <c r="B96" i="18"/>
  <c r="C96" i="18"/>
  <c r="D96" i="18"/>
  <c r="E96" i="18"/>
  <c r="B96" i="22"/>
  <c r="C96" i="22"/>
  <c r="D96" i="22"/>
  <c r="E96" i="22"/>
  <c r="C96" i="17"/>
  <c r="D96" i="17"/>
  <c r="E96" i="17"/>
  <c r="B95" i="17"/>
  <c r="B95" i="20"/>
  <c r="C95" i="20"/>
  <c r="D95" i="20"/>
  <c r="E95" i="20"/>
  <c r="B95" i="19"/>
  <c r="C95" i="19"/>
  <c r="D95" i="19"/>
  <c r="E95" i="19"/>
  <c r="B95" i="23"/>
  <c r="C95" i="23"/>
  <c r="D95" i="23"/>
  <c r="E95" i="23"/>
  <c r="B95" i="18"/>
  <c r="C95" i="18"/>
  <c r="D95" i="18"/>
  <c r="E95" i="18"/>
  <c r="B95" i="22"/>
  <c r="C95" i="22"/>
  <c r="D95" i="22"/>
  <c r="E95" i="22"/>
  <c r="C95" i="17"/>
  <c r="D95" i="17"/>
  <c r="E95" i="17"/>
  <c r="B94" i="17"/>
  <c r="B94" i="20"/>
  <c r="C94" i="20"/>
  <c r="D94" i="20"/>
  <c r="E94" i="20"/>
  <c r="B94" i="19"/>
  <c r="C94" i="19"/>
  <c r="D94" i="19"/>
  <c r="E94" i="19"/>
  <c r="B94" i="23"/>
  <c r="C94" i="23"/>
  <c r="D94" i="23"/>
  <c r="E94" i="23"/>
  <c r="B94" i="18"/>
  <c r="C94" i="18"/>
  <c r="D94" i="18"/>
  <c r="E94" i="18"/>
  <c r="B94" i="22"/>
  <c r="C94" i="22"/>
  <c r="D94" i="22"/>
  <c r="E94" i="22"/>
  <c r="C94" i="17"/>
  <c r="D94" i="17"/>
  <c r="E94" i="17"/>
  <c r="B93" i="17"/>
  <c r="B93" i="20"/>
  <c r="C93" i="20"/>
  <c r="D93" i="20"/>
  <c r="E93" i="20"/>
  <c r="B93" i="19"/>
  <c r="C93" i="19"/>
  <c r="D93" i="19"/>
  <c r="E93" i="19"/>
  <c r="B93" i="23"/>
  <c r="C93" i="23"/>
  <c r="D93" i="23"/>
  <c r="E93" i="23"/>
  <c r="B93" i="18"/>
  <c r="C93" i="18"/>
  <c r="D93" i="18"/>
  <c r="E93" i="18"/>
  <c r="B93" i="22"/>
  <c r="C93" i="22"/>
  <c r="D93" i="22"/>
  <c r="E93" i="22"/>
  <c r="C93" i="17"/>
  <c r="D93" i="17"/>
  <c r="E93" i="17"/>
  <c r="B92" i="17"/>
  <c r="B92" i="20"/>
  <c r="C92" i="20"/>
  <c r="D92" i="20"/>
  <c r="E92" i="20"/>
  <c r="B92" i="19"/>
  <c r="C92" i="19"/>
  <c r="D92" i="19"/>
  <c r="E92" i="19"/>
  <c r="B92" i="23"/>
  <c r="C92" i="23"/>
  <c r="D92" i="23"/>
  <c r="E92" i="23"/>
  <c r="B92" i="18"/>
  <c r="C92" i="18"/>
  <c r="D92" i="18"/>
  <c r="E92" i="18"/>
  <c r="B92" i="22"/>
  <c r="C92" i="22"/>
  <c r="D92" i="22"/>
  <c r="E92" i="22"/>
  <c r="C92" i="17"/>
  <c r="D92" i="17"/>
  <c r="E92" i="17"/>
  <c r="B91" i="17"/>
  <c r="B91" i="20"/>
  <c r="C91" i="20"/>
  <c r="D91" i="20"/>
  <c r="E91" i="20"/>
  <c r="B91" i="19"/>
  <c r="C91" i="19"/>
  <c r="D91" i="19"/>
  <c r="E91" i="19"/>
  <c r="B91" i="23"/>
  <c r="C91" i="23"/>
  <c r="D91" i="23"/>
  <c r="E91" i="23"/>
  <c r="B91" i="18"/>
  <c r="C91" i="18"/>
  <c r="D91" i="18"/>
  <c r="E91" i="18"/>
  <c r="B91" i="22"/>
  <c r="C91" i="22"/>
  <c r="D91" i="22"/>
  <c r="E91" i="22"/>
  <c r="C91" i="17"/>
  <c r="D91" i="17"/>
  <c r="E91" i="17"/>
  <c r="B90" i="17"/>
  <c r="B90" i="20"/>
  <c r="C90" i="20"/>
  <c r="D90" i="20"/>
  <c r="E90" i="20"/>
  <c r="B90" i="19"/>
  <c r="C90" i="19"/>
  <c r="D90" i="19"/>
  <c r="E90" i="19"/>
  <c r="B90" i="23"/>
  <c r="C90" i="23"/>
  <c r="D90" i="23"/>
  <c r="E90" i="23"/>
  <c r="B90" i="18"/>
  <c r="C90" i="18"/>
  <c r="D90" i="18"/>
  <c r="E90" i="18"/>
  <c r="B90" i="22"/>
  <c r="C90" i="22"/>
  <c r="D90" i="22"/>
  <c r="E90" i="22"/>
  <c r="C90" i="17"/>
  <c r="D90" i="17"/>
  <c r="E90" i="17"/>
  <c r="B89" i="17"/>
  <c r="B89" i="20"/>
  <c r="C89" i="20"/>
  <c r="D89" i="20"/>
  <c r="E89" i="20"/>
  <c r="B89" i="19"/>
  <c r="C89" i="19"/>
  <c r="D89" i="19"/>
  <c r="E89" i="19"/>
  <c r="B89" i="23"/>
  <c r="C89" i="23"/>
  <c r="D89" i="23"/>
  <c r="E89" i="23"/>
  <c r="B89" i="18"/>
  <c r="C89" i="18"/>
  <c r="D89" i="18"/>
  <c r="E89" i="18"/>
  <c r="B89" i="22"/>
  <c r="C89" i="22"/>
  <c r="D89" i="22"/>
  <c r="E89" i="22"/>
  <c r="C89" i="17"/>
  <c r="D89" i="17"/>
  <c r="E89" i="17"/>
  <c r="B88" i="17"/>
  <c r="B88" i="20"/>
  <c r="C88" i="20"/>
  <c r="D88" i="20"/>
  <c r="E88" i="20"/>
  <c r="B88" i="19"/>
  <c r="C88" i="19"/>
  <c r="D88" i="19"/>
  <c r="E88" i="19"/>
  <c r="B88" i="23"/>
  <c r="C88" i="23"/>
  <c r="D88" i="23"/>
  <c r="E88" i="23"/>
  <c r="B88" i="18"/>
  <c r="C88" i="18"/>
  <c r="D88" i="18"/>
  <c r="E88" i="18"/>
  <c r="B88" i="22"/>
  <c r="C88" i="22"/>
  <c r="D88" i="22"/>
  <c r="E88" i="22"/>
  <c r="C88" i="17"/>
  <c r="D88" i="17"/>
  <c r="E88" i="17"/>
  <c r="B87" i="17"/>
  <c r="B87" i="20"/>
  <c r="C87" i="20"/>
  <c r="D87" i="20"/>
  <c r="E87" i="20"/>
  <c r="B87" i="19"/>
  <c r="C87" i="19"/>
  <c r="D87" i="19"/>
  <c r="E87" i="19"/>
  <c r="B87" i="23"/>
  <c r="C87" i="23"/>
  <c r="D87" i="23"/>
  <c r="E87" i="23"/>
  <c r="B87" i="18"/>
  <c r="C87" i="18"/>
  <c r="D87" i="18"/>
  <c r="E87" i="18"/>
  <c r="B87" i="22"/>
  <c r="C87" i="22"/>
  <c r="D87" i="22"/>
  <c r="E87" i="22"/>
  <c r="C87" i="17"/>
  <c r="D87" i="17"/>
  <c r="E87" i="17"/>
  <c r="B86" i="17"/>
  <c r="B86" i="20"/>
  <c r="C86" i="20"/>
  <c r="D86" i="20"/>
  <c r="E86" i="20"/>
  <c r="B86" i="19"/>
  <c r="C86" i="19"/>
  <c r="D86" i="19"/>
  <c r="E86" i="19"/>
  <c r="B86" i="23"/>
  <c r="C86" i="23"/>
  <c r="D86" i="23"/>
  <c r="E86" i="23"/>
  <c r="B86" i="18"/>
  <c r="C86" i="18"/>
  <c r="D86" i="18"/>
  <c r="E86" i="18"/>
  <c r="B86" i="22"/>
  <c r="C86" i="22"/>
  <c r="D86" i="22"/>
  <c r="E86" i="22"/>
  <c r="C86" i="17"/>
  <c r="D86" i="17"/>
  <c r="E86" i="17"/>
  <c r="B85" i="17"/>
  <c r="B85" i="20"/>
  <c r="C85" i="20"/>
  <c r="D85" i="20"/>
  <c r="E85" i="20"/>
  <c r="B85" i="19"/>
  <c r="C85" i="19"/>
  <c r="D85" i="19"/>
  <c r="E85" i="19"/>
  <c r="B85" i="23"/>
  <c r="C85" i="23"/>
  <c r="D85" i="23"/>
  <c r="E85" i="23"/>
  <c r="B85" i="18"/>
  <c r="C85" i="18"/>
  <c r="D85" i="18"/>
  <c r="E85" i="18"/>
  <c r="B85" i="22"/>
  <c r="C85" i="22"/>
  <c r="D85" i="22"/>
  <c r="E85" i="22"/>
  <c r="C85" i="17"/>
  <c r="D85" i="17"/>
  <c r="E85" i="17"/>
  <c r="B84" i="17"/>
  <c r="B84" i="20"/>
  <c r="C84" i="20"/>
  <c r="D84" i="20"/>
  <c r="E84" i="20"/>
  <c r="B84" i="19"/>
  <c r="C84" i="19"/>
  <c r="D84" i="19"/>
  <c r="E84" i="19"/>
  <c r="B84" i="23"/>
  <c r="C84" i="23"/>
  <c r="D84" i="23"/>
  <c r="E84" i="23"/>
  <c r="B84" i="18"/>
  <c r="C84" i="18"/>
  <c r="D84" i="18"/>
  <c r="E84" i="18"/>
  <c r="B84" i="22"/>
  <c r="C84" i="22"/>
  <c r="D84" i="22"/>
  <c r="E84" i="22"/>
  <c r="C84" i="17"/>
  <c r="D84" i="17"/>
  <c r="E84" i="17"/>
  <c r="B83" i="17"/>
  <c r="B83" i="20"/>
  <c r="C83" i="20"/>
  <c r="D83" i="20"/>
  <c r="E83" i="20"/>
  <c r="B83" i="19"/>
  <c r="C83" i="19"/>
  <c r="D83" i="19"/>
  <c r="E83" i="19"/>
  <c r="B83" i="23"/>
  <c r="C83" i="23"/>
  <c r="D83" i="23"/>
  <c r="E83" i="23"/>
  <c r="B83" i="18"/>
  <c r="C83" i="18"/>
  <c r="D83" i="18"/>
  <c r="E83" i="18"/>
  <c r="B83" i="22"/>
  <c r="C83" i="22"/>
  <c r="D83" i="22"/>
  <c r="E83" i="22"/>
  <c r="C83" i="17"/>
  <c r="D83" i="17"/>
  <c r="E83" i="17"/>
  <c r="B82" i="17"/>
  <c r="B82" i="20"/>
  <c r="C82" i="20"/>
  <c r="D82" i="20"/>
  <c r="E82" i="20"/>
  <c r="B82" i="19"/>
  <c r="C82" i="19"/>
  <c r="D82" i="19"/>
  <c r="E82" i="19"/>
  <c r="B82" i="23"/>
  <c r="C82" i="23"/>
  <c r="D82" i="23"/>
  <c r="E82" i="23"/>
  <c r="B82" i="18"/>
  <c r="C82" i="18"/>
  <c r="D82" i="18"/>
  <c r="E82" i="18"/>
  <c r="B82" i="22"/>
  <c r="C82" i="22"/>
  <c r="D82" i="22"/>
  <c r="E82" i="22"/>
  <c r="C82" i="17"/>
  <c r="D82" i="17"/>
  <c r="E82" i="17"/>
  <c r="B81" i="17"/>
  <c r="B81" i="20"/>
  <c r="C81" i="20"/>
  <c r="D81" i="20"/>
  <c r="E81" i="20"/>
  <c r="B81" i="19"/>
  <c r="C81" i="19"/>
  <c r="D81" i="19"/>
  <c r="E81" i="19"/>
  <c r="B81" i="23"/>
  <c r="C81" i="23"/>
  <c r="D81" i="23"/>
  <c r="E81" i="23"/>
  <c r="B81" i="18"/>
  <c r="C81" i="18"/>
  <c r="D81" i="18"/>
  <c r="E81" i="18"/>
  <c r="B81" i="22"/>
  <c r="C81" i="22"/>
  <c r="D81" i="22"/>
  <c r="E81" i="22"/>
  <c r="C81" i="17"/>
  <c r="D81" i="17"/>
  <c r="E81" i="17"/>
  <c r="B80" i="17"/>
  <c r="B80" i="20"/>
  <c r="C80" i="20"/>
  <c r="D80" i="20"/>
  <c r="E80" i="20"/>
  <c r="B80" i="19"/>
  <c r="C80" i="19"/>
  <c r="D80" i="19"/>
  <c r="E80" i="19"/>
  <c r="B80" i="23"/>
  <c r="C80" i="23"/>
  <c r="D80" i="23"/>
  <c r="E80" i="23"/>
  <c r="B80" i="18"/>
  <c r="C80" i="18"/>
  <c r="D80" i="18"/>
  <c r="E80" i="18"/>
  <c r="B80" i="22"/>
  <c r="C80" i="22"/>
  <c r="D80" i="22"/>
  <c r="E80" i="22"/>
  <c r="C80" i="17"/>
  <c r="D80" i="17"/>
  <c r="E80" i="17"/>
  <c r="B79" i="17"/>
  <c r="B79" i="20"/>
  <c r="C79" i="20"/>
  <c r="D79" i="20"/>
  <c r="E79" i="20"/>
  <c r="B79" i="19"/>
  <c r="C79" i="19"/>
  <c r="D79" i="19"/>
  <c r="E79" i="19"/>
  <c r="B79" i="23"/>
  <c r="C79" i="23"/>
  <c r="D79" i="23"/>
  <c r="E79" i="23"/>
  <c r="B79" i="18"/>
  <c r="C79" i="18"/>
  <c r="D79" i="18"/>
  <c r="E79" i="18"/>
  <c r="B79" i="22"/>
  <c r="C79" i="22"/>
  <c r="D79" i="22"/>
  <c r="E79" i="22"/>
  <c r="C79" i="17"/>
  <c r="D79" i="17"/>
  <c r="E79" i="17"/>
  <c r="B78" i="17"/>
  <c r="B78" i="20"/>
  <c r="C78" i="20"/>
  <c r="D78" i="20"/>
  <c r="E78" i="20"/>
  <c r="B78" i="19"/>
  <c r="C78" i="19"/>
  <c r="D78" i="19"/>
  <c r="E78" i="19"/>
  <c r="B78" i="23"/>
  <c r="C78" i="23"/>
  <c r="D78" i="23"/>
  <c r="E78" i="23"/>
  <c r="B78" i="18"/>
  <c r="C78" i="18"/>
  <c r="D78" i="18"/>
  <c r="E78" i="18"/>
  <c r="B78" i="22"/>
  <c r="C78" i="22"/>
  <c r="D78" i="22"/>
  <c r="E78" i="22"/>
  <c r="C78" i="17"/>
  <c r="D78" i="17"/>
  <c r="E78" i="17"/>
  <c r="B77" i="20"/>
  <c r="C77" i="20"/>
  <c r="D77" i="20"/>
  <c r="E77" i="20"/>
  <c r="B77" i="19"/>
  <c r="C77" i="19"/>
  <c r="D77" i="19"/>
  <c r="E77" i="19"/>
  <c r="B77" i="23"/>
  <c r="C77" i="23"/>
  <c r="D77" i="23"/>
  <c r="E77" i="23"/>
  <c r="B77" i="18"/>
  <c r="C77" i="18"/>
  <c r="D77" i="18"/>
  <c r="E77" i="18"/>
  <c r="B77" i="22"/>
  <c r="C77" i="22"/>
  <c r="D77" i="22"/>
  <c r="E77" i="22"/>
  <c r="B77" i="17"/>
  <c r="C77" i="17"/>
  <c r="D77" i="17"/>
  <c r="E77" i="17"/>
  <c r="B76" i="20"/>
  <c r="C76" i="20"/>
  <c r="D76" i="20"/>
  <c r="E76" i="20"/>
  <c r="B76" i="19"/>
  <c r="C76" i="19"/>
  <c r="D76" i="19"/>
  <c r="E76" i="19"/>
  <c r="B76" i="23"/>
  <c r="C76" i="23"/>
  <c r="D76" i="23"/>
  <c r="E76" i="23"/>
  <c r="B76" i="18"/>
  <c r="C76" i="18"/>
  <c r="D76" i="18"/>
  <c r="E76" i="18"/>
  <c r="B76" i="22"/>
  <c r="C76" i="22"/>
  <c r="D76" i="22"/>
  <c r="E76" i="22"/>
  <c r="B76" i="17"/>
  <c r="C76" i="17"/>
  <c r="D76" i="17"/>
  <c r="E76" i="17"/>
  <c r="B75" i="20"/>
  <c r="C75" i="20"/>
  <c r="D75" i="20"/>
  <c r="E75" i="20"/>
  <c r="B75" i="19"/>
  <c r="C75" i="19"/>
  <c r="D75" i="19"/>
  <c r="E75" i="19"/>
  <c r="B75" i="23"/>
  <c r="C75" i="23"/>
  <c r="D75" i="23"/>
  <c r="E75" i="23"/>
  <c r="B75" i="18"/>
  <c r="C75" i="18"/>
  <c r="D75" i="18"/>
  <c r="E75" i="18"/>
  <c r="B75" i="22"/>
  <c r="C75" i="22"/>
  <c r="D75" i="22"/>
  <c r="E75" i="22"/>
  <c r="B75" i="17"/>
  <c r="C75" i="17"/>
  <c r="D75" i="17"/>
  <c r="E75" i="17"/>
  <c r="B74" i="20"/>
  <c r="C74" i="20"/>
  <c r="D74" i="20"/>
  <c r="E74" i="20"/>
  <c r="B74" i="19"/>
  <c r="C74" i="19"/>
  <c r="D74" i="19"/>
  <c r="E74" i="19"/>
  <c r="B74" i="23"/>
  <c r="C74" i="23"/>
  <c r="D74" i="23"/>
  <c r="E74" i="23"/>
  <c r="B74" i="18"/>
  <c r="C74" i="18"/>
  <c r="D74" i="18"/>
  <c r="E74" i="18"/>
  <c r="B74" i="22"/>
  <c r="C74" i="22"/>
  <c r="D74" i="22"/>
  <c r="E74" i="22"/>
  <c r="B74" i="17"/>
  <c r="C74" i="17"/>
  <c r="D74" i="17"/>
  <c r="E74" i="17"/>
  <c r="B73" i="20"/>
  <c r="C73" i="20"/>
  <c r="D73" i="20"/>
  <c r="E73" i="20"/>
  <c r="B73" i="19"/>
  <c r="C73" i="19"/>
  <c r="D73" i="19"/>
  <c r="E73" i="19"/>
  <c r="B73" i="23"/>
  <c r="C73" i="23"/>
  <c r="D73" i="23"/>
  <c r="E73" i="23"/>
  <c r="B73" i="18"/>
  <c r="C73" i="18"/>
  <c r="D73" i="18"/>
  <c r="E73" i="18"/>
  <c r="B73" i="22"/>
  <c r="C73" i="22"/>
  <c r="D73" i="22"/>
  <c r="E73" i="22"/>
  <c r="B73" i="17"/>
  <c r="C73" i="17"/>
  <c r="D73" i="17"/>
  <c r="E73" i="17"/>
  <c r="B72" i="20"/>
  <c r="C72" i="20"/>
  <c r="D72" i="20"/>
  <c r="E72" i="20"/>
  <c r="B72" i="19"/>
  <c r="C72" i="19"/>
  <c r="D72" i="19"/>
  <c r="E72" i="19"/>
  <c r="B72" i="23"/>
  <c r="C72" i="23"/>
  <c r="D72" i="23"/>
  <c r="E72" i="23"/>
  <c r="B72" i="18"/>
  <c r="C72" i="18"/>
  <c r="D72" i="18"/>
  <c r="E72" i="18"/>
  <c r="B72" i="22"/>
  <c r="C72" i="22"/>
  <c r="D72" i="22"/>
  <c r="E72" i="22"/>
  <c r="B72" i="17"/>
  <c r="C72" i="17"/>
  <c r="D72" i="17"/>
  <c r="E72" i="17"/>
  <c r="B71" i="20"/>
  <c r="C71" i="20"/>
  <c r="D71" i="20"/>
  <c r="E71" i="20"/>
  <c r="B71" i="19"/>
  <c r="C71" i="19"/>
  <c r="D71" i="19"/>
  <c r="E71" i="19"/>
  <c r="B71" i="23"/>
  <c r="C71" i="23"/>
  <c r="D71" i="23"/>
  <c r="E71" i="23"/>
  <c r="B71" i="18"/>
  <c r="C71" i="18"/>
  <c r="D71" i="18"/>
  <c r="E71" i="18"/>
  <c r="B71" i="22"/>
  <c r="C71" i="22"/>
  <c r="D71" i="22"/>
  <c r="E71" i="22"/>
  <c r="B71" i="17"/>
  <c r="C71" i="17"/>
  <c r="D71" i="17"/>
  <c r="E71" i="17"/>
  <c r="B70" i="20"/>
  <c r="C70" i="20"/>
  <c r="D70" i="20"/>
  <c r="E70" i="20"/>
  <c r="B70" i="19"/>
  <c r="C70" i="19"/>
  <c r="D70" i="19"/>
  <c r="E70" i="19"/>
  <c r="B70" i="23"/>
  <c r="C70" i="23"/>
  <c r="D70" i="23"/>
  <c r="E70" i="23"/>
  <c r="B70" i="18"/>
  <c r="C70" i="18"/>
  <c r="D70" i="18"/>
  <c r="E70" i="18"/>
  <c r="B70" i="22"/>
  <c r="C70" i="22"/>
  <c r="D70" i="22"/>
  <c r="E70" i="22"/>
  <c r="B70" i="17"/>
  <c r="C70" i="17"/>
  <c r="D70" i="17"/>
  <c r="E70" i="17"/>
  <c r="B69" i="20"/>
  <c r="C69" i="20"/>
  <c r="D69" i="20"/>
  <c r="E69" i="20"/>
  <c r="B69" i="19"/>
  <c r="C69" i="19"/>
  <c r="D69" i="19"/>
  <c r="E69" i="19"/>
  <c r="B69" i="23"/>
  <c r="C69" i="23"/>
  <c r="D69" i="23"/>
  <c r="E69" i="23"/>
  <c r="B69" i="18"/>
  <c r="C69" i="18"/>
  <c r="D69" i="18"/>
  <c r="E69" i="18"/>
  <c r="B69" i="22"/>
  <c r="C69" i="22"/>
  <c r="D69" i="22"/>
  <c r="E69" i="22"/>
  <c r="B69" i="17"/>
  <c r="C69" i="17"/>
  <c r="D69" i="17"/>
  <c r="E69" i="17"/>
  <c r="B68" i="20"/>
  <c r="C68" i="20"/>
  <c r="D68" i="20"/>
  <c r="E68" i="20"/>
  <c r="B68" i="19"/>
  <c r="C68" i="19"/>
  <c r="D68" i="19"/>
  <c r="E68" i="19"/>
  <c r="B68" i="23"/>
  <c r="C68" i="23"/>
  <c r="D68" i="23"/>
  <c r="E68" i="23"/>
  <c r="B68" i="18"/>
  <c r="C68" i="18"/>
  <c r="D68" i="18"/>
  <c r="E68" i="18"/>
  <c r="B68" i="22"/>
  <c r="C68" i="22"/>
  <c r="D68" i="22"/>
  <c r="E68" i="22"/>
  <c r="B68" i="17"/>
  <c r="C68" i="17"/>
  <c r="D68" i="17"/>
  <c r="E68" i="17"/>
  <c r="B67" i="20"/>
  <c r="C67" i="20"/>
  <c r="D67" i="20"/>
  <c r="E67" i="20"/>
  <c r="B67" i="19"/>
  <c r="C67" i="19"/>
  <c r="D67" i="19"/>
  <c r="E67" i="19"/>
  <c r="B67" i="23"/>
  <c r="C67" i="23"/>
  <c r="D67" i="23"/>
  <c r="E67" i="23"/>
  <c r="B67" i="18"/>
  <c r="C67" i="18"/>
  <c r="D67" i="18"/>
  <c r="E67" i="18"/>
  <c r="B67" i="22"/>
  <c r="C67" i="22"/>
  <c r="D67" i="22"/>
  <c r="E67" i="22"/>
  <c r="B67" i="17"/>
  <c r="C67" i="17"/>
  <c r="D67" i="17"/>
  <c r="E67" i="17"/>
  <c r="B66" i="20"/>
  <c r="C66" i="20"/>
  <c r="D66" i="20"/>
  <c r="E66" i="20"/>
  <c r="B66" i="19"/>
  <c r="C66" i="19"/>
  <c r="D66" i="19"/>
  <c r="E66" i="19"/>
  <c r="B66" i="23"/>
  <c r="C66" i="23"/>
  <c r="D66" i="23"/>
  <c r="E66" i="23"/>
  <c r="B66" i="18"/>
  <c r="C66" i="18"/>
  <c r="D66" i="18"/>
  <c r="E66" i="18"/>
  <c r="B66" i="22"/>
  <c r="C66" i="22"/>
  <c r="D66" i="22"/>
  <c r="E66" i="22"/>
  <c r="B66" i="17"/>
  <c r="C66" i="17"/>
  <c r="D66" i="17"/>
  <c r="E66" i="17"/>
  <c r="B65" i="20"/>
  <c r="C65" i="20"/>
  <c r="D65" i="20"/>
  <c r="E65" i="20"/>
  <c r="B65" i="19"/>
  <c r="C65" i="19"/>
  <c r="D65" i="19"/>
  <c r="E65" i="19"/>
  <c r="B65" i="23"/>
  <c r="C65" i="23"/>
  <c r="D65" i="23"/>
  <c r="E65" i="23"/>
  <c r="B65" i="18"/>
  <c r="C65" i="18"/>
  <c r="D65" i="18"/>
  <c r="E65" i="18"/>
  <c r="B65" i="22"/>
  <c r="C65" i="22"/>
  <c r="D65" i="22"/>
  <c r="E65" i="22"/>
  <c r="B65" i="17"/>
  <c r="C65" i="17"/>
  <c r="D65" i="17"/>
  <c r="E65" i="17"/>
  <c r="B64" i="20"/>
  <c r="C64" i="20"/>
  <c r="D64" i="20"/>
  <c r="E64" i="20"/>
  <c r="B64" i="19"/>
  <c r="C64" i="19"/>
  <c r="D64" i="19"/>
  <c r="E64" i="19"/>
  <c r="B64" i="23"/>
  <c r="C64" i="23"/>
  <c r="D64" i="23"/>
  <c r="E64" i="23"/>
  <c r="B64" i="18"/>
  <c r="C64" i="18"/>
  <c r="D64" i="18"/>
  <c r="E64" i="18"/>
  <c r="B64" i="22"/>
  <c r="C64" i="22"/>
  <c r="D64" i="22"/>
  <c r="E64" i="22"/>
  <c r="B64" i="17"/>
  <c r="C64" i="17"/>
  <c r="D64" i="17"/>
  <c r="E64" i="17"/>
  <c r="B63" i="20"/>
  <c r="C63" i="20"/>
  <c r="D63" i="20"/>
  <c r="E63" i="20"/>
  <c r="B63" i="19"/>
  <c r="C63" i="19"/>
  <c r="D63" i="19"/>
  <c r="E63" i="19"/>
  <c r="B63" i="23"/>
  <c r="C63" i="23"/>
  <c r="D63" i="23"/>
  <c r="E63" i="23"/>
  <c r="B63" i="18"/>
  <c r="C63" i="18"/>
  <c r="D63" i="18"/>
  <c r="E63" i="18"/>
  <c r="B63" i="22"/>
  <c r="C63" i="22"/>
  <c r="D63" i="22"/>
  <c r="E63" i="22"/>
  <c r="B63" i="17"/>
  <c r="C63" i="17"/>
  <c r="D63" i="17"/>
  <c r="E63" i="17"/>
  <c r="B62" i="20"/>
  <c r="C62" i="20"/>
  <c r="D62" i="20"/>
  <c r="E62" i="20"/>
  <c r="B62" i="19"/>
  <c r="C62" i="19"/>
  <c r="D62" i="19"/>
  <c r="E62" i="19"/>
  <c r="B62" i="23"/>
  <c r="C62" i="23"/>
  <c r="D62" i="23"/>
  <c r="E62" i="23"/>
  <c r="B62" i="18"/>
  <c r="C62" i="18"/>
  <c r="D62" i="18"/>
  <c r="E62" i="18"/>
  <c r="B62" i="22"/>
  <c r="C62" i="22"/>
  <c r="D62" i="22"/>
  <c r="E62" i="22"/>
  <c r="B62" i="17"/>
  <c r="C62" i="17"/>
  <c r="D62" i="17"/>
  <c r="E62" i="17"/>
  <c r="B61" i="20"/>
  <c r="C61" i="20"/>
  <c r="D61" i="20"/>
  <c r="E61" i="20"/>
  <c r="B61" i="19"/>
  <c r="C61" i="19"/>
  <c r="D61" i="19"/>
  <c r="E61" i="19"/>
  <c r="B61" i="23"/>
  <c r="C61" i="23"/>
  <c r="D61" i="23"/>
  <c r="E61" i="23"/>
  <c r="B61" i="18"/>
  <c r="C61" i="18"/>
  <c r="D61" i="18"/>
  <c r="E61" i="18"/>
  <c r="B61" i="22"/>
  <c r="C61" i="22"/>
  <c r="D61" i="22"/>
  <c r="E61" i="22"/>
  <c r="B61" i="17"/>
  <c r="C61" i="17"/>
  <c r="D61" i="17"/>
  <c r="E61" i="17"/>
  <c r="B60" i="20"/>
  <c r="C60" i="20"/>
  <c r="D60" i="20"/>
  <c r="E60" i="20"/>
  <c r="B60" i="19"/>
  <c r="C60" i="19"/>
  <c r="D60" i="19"/>
  <c r="E60" i="19"/>
  <c r="B60" i="23"/>
  <c r="C60" i="23"/>
  <c r="D60" i="23"/>
  <c r="E60" i="23"/>
  <c r="B60" i="18"/>
  <c r="C60" i="18"/>
  <c r="D60" i="18"/>
  <c r="E60" i="18"/>
  <c r="B60" i="22"/>
  <c r="C60" i="22"/>
  <c r="D60" i="22"/>
  <c r="E60" i="22"/>
  <c r="B60" i="17"/>
  <c r="C60" i="17"/>
  <c r="D60" i="17"/>
  <c r="E60" i="17"/>
  <c r="B59" i="20"/>
  <c r="C59" i="20"/>
  <c r="D59" i="20"/>
  <c r="E59" i="20"/>
  <c r="B59" i="19"/>
  <c r="C59" i="19"/>
  <c r="D59" i="19"/>
  <c r="E59" i="19"/>
  <c r="B59" i="23"/>
  <c r="C59" i="23"/>
  <c r="D59" i="23"/>
  <c r="E59" i="23"/>
  <c r="B59" i="18"/>
  <c r="C59" i="18"/>
  <c r="D59" i="18"/>
  <c r="E59" i="18"/>
  <c r="B59" i="22"/>
  <c r="C59" i="22"/>
  <c r="D59" i="22"/>
  <c r="E59" i="22"/>
  <c r="B59" i="17"/>
  <c r="C59" i="17"/>
  <c r="D59" i="17"/>
  <c r="E59" i="17"/>
  <c r="B58" i="20"/>
  <c r="C58" i="20"/>
  <c r="D58" i="20"/>
  <c r="E58" i="20"/>
  <c r="B58" i="19"/>
  <c r="C58" i="19"/>
  <c r="D58" i="19"/>
  <c r="E58" i="19"/>
  <c r="B58" i="23"/>
  <c r="C58" i="23"/>
  <c r="D58" i="23"/>
  <c r="E58" i="23"/>
  <c r="B58" i="18"/>
  <c r="C58" i="18"/>
  <c r="D58" i="18"/>
  <c r="E58" i="18"/>
  <c r="B58" i="22"/>
  <c r="C58" i="22"/>
  <c r="D58" i="22"/>
  <c r="E58" i="22"/>
  <c r="B58" i="17"/>
  <c r="C58" i="17"/>
  <c r="D58" i="17"/>
  <c r="E58" i="17"/>
  <c r="B57" i="20"/>
  <c r="C57" i="20"/>
  <c r="D57" i="20"/>
  <c r="E57" i="20"/>
  <c r="B57" i="19"/>
  <c r="C57" i="19"/>
  <c r="D57" i="19"/>
  <c r="E57" i="19"/>
  <c r="B57" i="23"/>
  <c r="C57" i="23"/>
  <c r="D57" i="23"/>
  <c r="E57" i="23"/>
  <c r="B57" i="18"/>
  <c r="C57" i="18"/>
  <c r="D57" i="18"/>
  <c r="E57" i="18"/>
  <c r="B57" i="22"/>
  <c r="C57" i="22"/>
  <c r="D57" i="22"/>
  <c r="E57" i="22"/>
  <c r="B57" i="17"/>
  <c r="C57" i="17"/>
  <c r="D57" i="17"/>
  <c r="E57" i="17"/>
  <c r="B56" i="20"/>
  <c r="C56" i="20"/>
  <c r="D56" i="20"/>
  <c r="E56" i="20"/>
  <c r="B56" i="19"/>
  <c r="C56" i="19"/>
  <c r="D56" i="19"/>
  <c r="E56" i="19"/>
  <c r="B56" i="23"/>
  <c r="C56" i="23"/>
  <c r="D56" i="23"/>
  <c r="E56" i="23"/>
  <c r="B56" i="18"/>
  <c r="C56" i="18"/>
  <c r="D56" i="18"/>
  <c r="E56" i="18"/>
  <c r="B56" i="22"/>
  <c r="C56" i="22"/>
  <c r="D56" i="22"/>
  <c r="E56" i="22"/>
  <c r="B56" i="17"/>
  <c r="C56" i="17"/>
  <c r="D56" i="17"/>
  <c r="E56" i="17"/>
  <c r="B55" i="20"/>
  <c r="C55" i="20"/>
  <c r="D55" i="20"/>
  <c r="E55" i="20"/>
  <c r="B55" i="19"/>
  <c r="C55" i="19"/>
  <c r="D55" i="19"/>
  <c r="E55" i="19"/>
  <c r="B55" i="23"/>
  <c r="C55" i="23"/>
  <c r="D55" i="23"/>
  <c r="E55" i="23"/>
  <c r="B55" i="18"/>
  <c r="C55" i="18"/>
  <c r="D55" i="18"/>
  <c r="E55" i="18"/>
  <c r="B55" i="22"/>
  <c r="C55" i="22"/>
  <c r="D55" i="22"/>
  <c r="E55" i="22"/>
  <c r="B55" i="17"/>
  <c r="C55" i="17"/>
  <c r="D55" i="17"/>
  <c r="E55" i="17"/>
  <c r="B54" i="22"/>
  <c r="B54" i="20"/>
  <c r="C54" i="20"/>
  <c r="D54" i="20"/>
  <c r="E54" i="20"/>
  <c r="B54" i="19"/>
  <c r="C54" i="19"/>
  <c r="D54" i="19"/>
  <c r="E54" i="19"/>
  <c r="B54" i="23"/>
  <c r="C54" i="23"/>
  <c r="D54" i="23"/>
  <c r="E54" i="23"/>
  <c r="B54" i="18"/>
  <c r="C54" i="18"/>
  <c r="D54" i="18"/>
  <c r="E54" i="18"/>
  <c r="C54" i="22"/>
  <c r="D54" i="22"/>
  <c r="E54" i="22"/>
  <c r="B54" i="17"/>
  <c r="C54" i="17"/>
  <c r="D54" i="17"/>
  <c r="E54" i="17"/>
  <c r="B53" i="22"/>
  <c r="B53" i="20"/>
  <c r="C53" i="20"/>
  <c r="D53" i="20"/>
  <c r="E53" i="20"/>
  <c r="B53" i="19"/>
  <c r="C53" i="19"/>
  <c r="D53" i="19"/>
  <c r="E53" i="19"/>
  <c r="B53" i="23"/>
  <c r="C53" i="23"/>
  <c r="D53" i="23"/>
  <c r="E53" i="23"/>
  <c r="B53" i="18"/>
  <c r="C53" i="18"/>
  <c r="D53" i="18"/>
  <c r="E53" i="18"/>
  <c r="C53" i="22"/>
  <c r="D53" i="22"/>
  <c r="E53" i="22"/>
  <c r="B53" i="17"/>
  <c r="C53" i="17"/>
  <c r="D53" i="17"/>
  <c r="E53" i="17"/>
  <c r="B52" i="22"/>
  <c r="B52" i="20"/>
  <c r="C52" i="20"/>
  <c r="D52" i="20"/>
  <c r="E52" i="20"/>
  <c r="B52" i="19"/>
  <c r="C52" i="19"/>
  <c r="D52" i="19"/>
  <c r="E52" i="19"/>
  <c r="B52" i="23"/>
  <c r="C52" i="23"/>
  <c r="D52" i="23"/>
  <c r="E52" i="23"/>
  <c r="B52" i="18"/>
  <c r="C52" i="18"/>
  <c r="D52" i="18"/>
  <c r="E52" i="18"/>
  <c r="C52" i="22"/>
  <c r="D52" i="22"/>
  <c r="E52" i="22"/>
  <c r="B52" i="17"/>
  <c r="C52" i="17"/>
  <c r="D52" i="17"/>
  <c r="E52" i="17"/>
  <c r="B51" i="22"/>
  <c r="B51" i="20"/>
  <c r="C51" i="20"/>
  <c r="D51" i="20"/>
  <c r="E51" i="20"/>
  <c r="B51" i="19"/>
  <c r="C51" i="19"/>
  <c r="D51" i="19"/>
  <c r="E51" i="19"/>
  <c r="B51" i="23"/>
  <c r="C51" i="23"/>
  <c r="D51" i="23"/>
  <c r="E51" i="23"/>
  <c r="B51" i="18"/>
  <c r="C51" i="18"/>
  <c r="D51" i="18"/>
  <c r="E51" i="18"/>
  <c r="C51" i="22"/>
  <c r="D51" i="22"/>
  <c r="E51" i="22"/>
  <c r="B51" i="17"/>
  <c r="C51" i="17"/>
  <c r="D51" i="17"/>
  <c r="E51" i="17"/>
  <c r="B50" i="22"/>
  <c r="B50" i="20"/>
  <c r="C50" i="20"/>
  <c r="D50" i="20"/>
  <c r="E50" i="20"/>
  <c r="B50" i="19"/>
  <c r="C50" i="19"/>
  <c r="D50" i="19"/>
  <c r="E50" i="19"/>
  <c r="B50" i="23"/>
  <c r="C50" i="23"/>
  <c r="D50" i="23"/>
  <c r="E50" i="23"/>
  <c r="B50" i="18"/>
  <c r="C50" i="18"/>
  <c r="D50" i="18"/>
  <c r="E50" i="18"/>
  <c r="C50" i="22"/>
  <c r="D50" i="22"/>
  <c r="E50" i="22"/>
  <c r="B50" i="17"/>
  <c r="C50" i="17"/>
  <c r="D50" i="17"/>
  <c r="E50" i="17"/>
  <c r="B49" i="22"/>
  <c r="B49" i="20"/>
  <c r="C49" i="20"/>
  <c r="D49" i="20"/>
  <c r="E49" i="20"/>
  <c r="B49" i="19"/>
  <c r="C49" i="19"/>
  <c r="D49" i="19"/>
  <c r="E49" i="19"/>
  <c r="B49" i="23"/>
  <c r="C49" i="23"/>
  <c r="D49" i="23"/>
  <c r="E49" i="23"/>
  <c r="B49" i="18"/>
  <c r="C49" i="18"/>
  <c r="D49" i="18"/>
  <c r="E49" i="18"/>
  <c r="C49" i="22"/>
  <c r="D49" i="22"/>
  <c r="E49" i="22"/>
  <c r="B49" i="17"/>
  <c r="C49" i="17"/>
  <c r="D49" i="17"/>
  <c r="E49" i="17"/>
  <c r="B48" i="22"/>
  <c r="B48" i="20"/>
  <c r="C48" i="20"/>
  <c r="D48" i="20"/>
  <c r="E48" i="20"/>
  <c r="B48" i="19"/>
  <c r="C48" i="19"/>
  <c r="D48" i="19"/>
  <c r="E48" i="19"/>
  <c r="B48" i="23"/>
  <c r="C48" i="23"/>
  <c r="D48" i="23"/>
  <c r="E48" i="23"/>
  <c r="B48" i="18"/>
  <c r="C48" i="18"/>
  <c r="D48" i="18"/>
  <c r="E48" i="18"/>
  <c r="C48" i="22"/>
  <c r="D48" i="22"/>
  <c r="E48" i="22"/>
  <c r="B48" i="17"/>
  <c r="C48" i="17"/>
  <c r="D48" i="17"/>
  <c r="E48" i="17"/>
  <c r="B47" i="22"/>
  <c r="B47" i="20"/>
  <c r="C47" i="20"/>
  <c r="D47" i="20"/>
  <c r="E47" i="20"/>
  <c r="B47" i="19"/>
  <c r="C47" i="19"/>
  <c r="D47" i="19"/>
  <c r="E47" i="19"/>
  <c r="B47" i="23"/>
  <c r="C47" i="23"/>
  <c r="D47" i="23"/>
  <c r="E47" i="23"/>
  <c r="B47" i="18"/>
  <c r="C47" i="18"/>
  <c r="D47" i="18"/>
  <c r="E47" i="18"/>
  <c r="C47" i="22"/>
  <c r="D47" i="22"/>
  <c r="E47" i="22"/>
  <c r="B47" i="17"/>
  <c r="C47" i="17"/>
  <c r="D47" i="17"/>
  <c r="E47" i="17"/>
  <c r="B46" i="22"/>
  <c r="B46" i="20"/>
  <c r="C46" i="20"/>
  <c r="D46" i="20"/>
  <c r="E46" i="20"/>
  <c r="B46" i="19"/>
  <c r="C46" i="19"/>
  <c r="D46" i="19"/>
  <c r="E46" i="19"/>
  <c r="B46" i="23"/>
  <c r="C46" i="23"/>
  <c r="D46" i="23"/>
  <c r="E46" i="23"/>
  <c r="B46" i="18"/>
  <c r="C46" i="18"/>
  <c r="D46" i="18"/>
  <c r="E46" i="18"/>
  <c r="C46" i="22"/>
  <c r="D46" i="22"/>
  <c r="E46" i="22"/>
  <c r="B46" i="17"/>
  <c r="C46" i="17"/>
  <c r="D46" i="17"/>
  <c r="E46" i="17"/>
  <c r="B45" i="22"/>
  <c r="B45" i="20"/>
  <c r="C45" i="20"/>
  <c r="D45" i="20"/>
  <c r="E45" i="20"/>
  <c r="B45" i="19"/>
  <c r="C45" i="19"/>
  <c r="D45" i="19"/>
  <c r="E45" i="19"/>
  <c r="B45" i="23"/>
  <c r="C45" i="23"/>
  <c r="D45" i="23"/>
  <c r="E45" i="23"/>
  <c r="B45" i="18"/>
  <c r="C45" i="18"/>
  <c r="D45" i="18"/>
  <c r="E45" i="18"/>
  <c r="C45" i="22"/>
  <c r="D45" i="22"/>
  <c r="E45" i="22"/>
  <c r="B45" i="17"/>
  <c r="C45" i="17"/>
  <c r="D45" i="17"/>
  <c r="E45" i="17"/>
  <c r="B44" i="22"/>
  <c r="B44" i="20"/>
  <c r="C44" i="20"/>
  <c r="D44" i="20"/>
  <c r="E44" i="20"/>
  <c r="B44" i="19"/>
  <c r="C44" i="19"/>
  <c r="D44" i="19"/>
  <c r="E44" i="19"/>
  <c r="B44" i="23"/>
  <c r="C44" i="23"/>
  <c r="D44" i="23"/>
  <c r="E44" i="23"/>
  <c r="B44" i="18"/>
  <c r="C44" i="18"/>
  <c r="D44" i="18"/>
  <c r="E44" i="18"/>
  <c r="C44" i="22"/>
  <c r="D44" i="22"/>
  <c r="E44" i="22"/>
  <c r="B44" i="17"/>
  <c r="C44" i="17"/>
  <c r="D44" i="17"/>
  <c r="E44" i="17"/>
  <c r="B43" i="22"/>
  <c r="B43" i="20"/>
  <c r="C43" i="20"/>
  <c r="D43" i="20"/>
  <c r="E43" i="20"/>
  <c r="B43" i="19"/>
  <c r="C43" i="19"/>
  <c r="D43" i="19"/>
  <c r="E43" i="19"/>
  <c r="B43" i="23"/>
  <c r="C43" i="23"/>
  <c r="D43" i="23"/>
  <c r="E43" i="23"/>
  <c r="B43" i="18"/>
  <c r="C43" i="18"/>
  <c r="D43" i="18"/>
  <c r="E43" i="18"/>
  <c r="C43" i="22"/>
  <c r="D43" i="22"/>
  <c r="E43" i="22"/>
  <c r="B43" i="17"/>
  <c r="C43" i="17"/>
  <c r="D43" i="17"/>
  <c r="E43" i="17"/>
  <c r="B42" i="22"/>
  <c r="B42" i="20"/>
  <c r="C42" i="20"/>
  <c r="D42" i="20"/>
  <c r="E42" i="20"/>
  <c r="B42" i="19"/>
  <c r="C42" i="19"/>
  <c r="D42" i="19"/>
  <c r="E42" i="19"/>
  <c r="B42" i="23"/>
  <c r="C42" i="23"/>
  <c r="D42" i="23"/>
  <c r="E42" i="23"/>
  <c r="B42" i="18"/>
  <c r="C42" i="18"/>
  <c r="D42" i="18"/>
  <c r="E42" i="18"/>
  <c r="C42" i="22"/>
  <c r="D42" i="22"/>
  <c r="E42" i="22"/>
  <c r="B42" i="17"/>
  <c r="C42" i="17"/>
  <c r="D42" i="17"/>
  <c r="E42" i="17"/>
  <c r="B41" i="22"/>
  <c r="B41" i="20"/>
  <c r="C41" i="20"/>
  <c r="D41" i="20"/>
  <c r="E41" i="20"/>
  <c r="B41" i="19"/>
  <c r="C41" i="19"/>
  <c r="D41" i="19"/>
  <c r="E41" i="19"/>
  <c r="B41" i="23"/>
  <c r="C41" i="23"/>
  <c r="D41" i="23"/>
  <c r="E41" i="23"/>
  <c r="B41" i="18"/>
  <c r="C41" i="18"/>
  <c r="D41" i="18"/>
  <c r="E41" i="18"/>
  <c r="C41" i="22"/>
  <c r="D41" i="22"/>
  <c r="E41" i="22"/>
  <c r="B41" i="17"/>
  <c r="C41" i="17"/>
  <c r="D41" i="17"/>
  <c r="E41" i="17"/>
  <c r="B40" i="22"/>
  <c r="B40" i="20"/>
  <c r="C40" i="20"/>
  <c r="D40" i="20"/>
  <c r="E40" i="20"/>
  <c r="B40" i="19"/>
  <c r="C40" i="19"/>
  <c r="D40" i="19"/>
  <c r="E40" i="19"/>
  <c r="B40" i="23"/>
  <c r="C40" i="23"/>
  <c r="D40" i="23"/>
  <c r="E40" i="23"/>
  <c r="B40" i="18"/>
  <c r="C40" i="18"/>
  <c r="D40" i="18"/>
  <c r="E40" i="18"/>
  <c r="C40" i="22"/>
  <c r="D40" i="22"/>
  <c r="E40" i="22"/>
  <c r="B40" i="17"/>
  <c r="C40" i="17"/>
  <c r="D40" i="17"/>
  <c r="E40" i="17"/>
  <c r="B39" i="22"/>
  <c r="B39" i="20"/>
  <c r="C39" i="20"/>
  <c r="D39" i="20"/>
  <c r="E39" i="20"/>
  <c r="B39" i="19"/>
  <c r="C39" i="19"/>
  <c r="D39" i="19"/>
  <c r="E39" i="19"/>
  <c r="B39" i="23"/>
  <c r="C39" i="23"/>
  <c r="D39" i="23"/>
  <c r="E39" i="23"/>
  <c r="B39" i="18"/>
  <c r="C39" i="18"/>
  <c r="D39" i="18"/>
  <c r="E39" i="18"/>
  <c r="C39" i="22"/>
  <c r="D39" i="22"/>
  <c r="E39" i="22"/>
  <c r="B39" i="17"/>
  <c r="C39" i="17"/>
  <c r="D39" i="17"/>
  <c r="E39" i="17"/>
  <c r="B38" i="22"/>
  <c r="B38" i="20"/>
  <c r="C38" i="20"/>
  <c r="D38" i="20"/>
  <c r="E38" i="20"/>
  <c r="B38" i="19"/>
  <c r="C38" i="19"/>
  <c r="D38" i="19"/>
  <c r="E38" i="19"/>
  <c r="B38" i="23"/>
  <c r="C38" i="23"/>
  <c r="D38" i="23"/>
  <c r="E38" i="23"/>
  <c r="B38" i="18"/>
  <c r="C38" i="18"/>
  <c r="D38" i="18"/>
  <c r="E38" i="18"/>
  <c r="C38" i="22"/>
  <c r="D38" i="22"/>
  <c r="E38" i="22"/>
  <c r="B38" i="17"/>
  <c r="C38" i="17"/>
  <c r="D38" i="17"/>
  <c r="E38" i="17"/>
  <c r="B37" i="22"/>
  <c r="B37" i="20"/>
  <c r="C37" i="20"/>
  <c r="D37" i="20"/>
  <c r="E37" i="20"/>
  <c r="B37" i="19"/>
  <c r="C37" i="19"/>
  <c r="D37" i="19"/>
  <c r="E37" i="19"/>
  <c r="B37" i="23"/>
  <c r="C37" i="23"/>
  <c r="D37" i="23"/>
  <c r="E37" i="23"/>
  <c r="B37" i="18"/>
  <c r="C37" i="18"/>
  <c r="D37" i="18"/>
  <c r="E37" i="18"/>
  <c r="C37" i="22"/>
  <c r="D37" i="22"/>
  <c r="E37" i="22"/>
  <c r="B37" i="17"/>
  <c r="C37" i="17"/>
  <c r="D37" i="17"/>
  <c r="E37" i="17"/>
  <c r="B36" i="22"/>
  <c r="B36" i="20"/>
  <c r="C36" i="20"/>
  <c r="D36" i="20"/>
  <c r="E36" i="20"/>
  <c r="B36" i="19"/>
  <c r="C36" i="19"/>
  <c r="D36" i="19"/>
  <c r="E36" i="19"/>
  <c r="B36" i="23"/>
  <c r="C36" i="23"/>
  <c r="D36" i="23"/>
  <c r="E36" i="23"/>
  <c r="B36" i="18"/>
  <c r="C36" i="18"/>
  <c r="D36" i="18"/>
  <c r="E36" i="18"/>
  <c r="C36" i="22"/>
  <c r="D36" i="22"/>
  <c r="E36" i="22"/>
  <c r="B36" i="17"/>
  <c r="C36" i="17"/>
  <c r="D36" i="17"/>
  <c r="E36" i="17"/>
  <c r="B35" i="20"/>
  <c r="C35" i="20"/>
  <c r="D35" i="20"/>
  <c r="E35" i="20"/>
  <c r="B35" i="19"/>
  <c r="C35" i="19"/>
  <c r="D35" i="19"/>
  <c r="E35" i="19"/>
  <c r="B35" i="23"/>
  <c r="C35" i="23"/>
  <c r="D35" i="23"/>
  <c r="E35" i="23"/>
  <c r="B35" i="18"/>
  <c r="C35" i="18"/>
  <c r="D35" i="18"/>
  <c r="E35" i="18"/>
  <c r="B35" i="22"/>
  <c r="C35" i="22"/>
  <c r="D35" i="22"/>
  <c r="E35" i="22"/>
  <c r="B35" i="17"/>
  <c r="C35" i="17"/>
  <c r="D35" i="17"/>
  <c r="E35" i="17"/>
  <c r="B34" i="20"/>
  <c r="C34" i="20"/>
  <c r="D34" i="20"/>
  <c r="E34" i="20"/>
  <c r="B34" i="19"/>
  <c r="C34" i="19"/>
  <c r="D34" i="19"/>
  <c r="E34" i="19"/>
  <c r="B34" i="23"/>
  <c r="C34" i="23"/>
  <c r="D34" i="23"/>
  <c r="E34" i="23"/>
  <c r="B34" i="18"/>
  <c r="C34" i="18"/>
  <c r="D34" i="18"/>
  <c r="E34" i="18"/>
  <c r="B34" i="22"/>
  <c r="C34" i="22"/>
  <c r="D34" i="22"/>
  <c r="E34" i="22"/>
  <c r="B34" i="17"/>
  <c r="C34" i="17"/>
  <c r="D34" i="17"/>
  <c r="E34" i="17"/>
  <c r="B33" i="20"/>
  <c r="C33" i="20"/>
  <c r="D33" i="20"/>
  <c r="E33" i="20"/>
  <c r="B33" i="19"/>
  <c r="C33" i="19"/>
  <c r="D33" i="19"/>
  <c r="E33" i="19"/>
  <c r="B33" i="23"/>
  <c r="C33" i="23"/>
  <c r="D33" i="23"/>
  <c r="E33" i="23"/>
  <c r="B33" i="18"/>
  <c r="C33" i="18"/>
  <c r="D33" i="18"/>
  <c r="E33" i="18"/>
  <c r="B33" i="22"/>
  <c r="C33" i="22"/>
  <c r="D33" i="22"/>
  <c r="E33" i="22"/>
  <c r="B33" i="17"/>
  <c r="C33" i="17"/>
  <c r="D33" i="17"/>
  <c r="E33" i="17"/>
  <c r="B32" i="20"/>
  <c r="C32" i="20"/>
  <c r="D32" i="20"/>
  <c r="E32" i="20"/>
  <c r="B32" i="19"/>
  <c r="C32" i="19"/>
  <c r="D32" i="19"/>
  <c r="E32" i="19"/>
  <c r="B32" i="23"/>
  <c r="C32" i="23"/>
  <c r="D32" i="23"/>
  <c r="E32" i="23"/>
  <c r="B32" i="18"/>
  <c r="C32" i="18"/>
  <c r="D32" i="18"/>
  <c r="E32" i="18"/>
  <c r="B32" i="22"/>
  <c r="C32" i="22"/>
  <c r="D32" i="22"/>
  <c r="E32" i="22"/>
  <c r="B32" i="17"/>
  <c r="C32" i="17"/>
  <c r="D32" i="17"/>
  <c r="E32" i="17"/>
  <c r="B31" i="20"/>
  <c r="C31" i="20"/>
  <c r="D31" i="20"/>
  <c r="E31" i="20"/>
  <c r="B31" i="19"/>
  <c r="C31" i="19"/>
  <c r="D31" i="19"/>
  <c r="E31" i="19"/>
  <c r="B31" i="23"/>
  <c r="C31" i="23"/>
  <c r="D31" i="23"/>
  <c r="E31" i="23"/>
  <c r="B31" i="18"/>
  <c r="C31" i="18"/>
  <c r="D31" i="18"/>
  <c r="E31" i="18"/>
  <c r="B31" i="22"/>
  <c r="C31" i="22"/>
  <c r="D31" i="22"/>
  <c r="E31" i="22"/>
  <c r="B31" i="17"/>
  <c r="C31" i="17"/>
  <c r="D31" i="17"/>
  <c r="E31" i="17"/>
  <c r="B30" i="20"/>
  <c r="C30" i="20"/>
  <c r="D30" i="20"/>
  <c r="E30" i="20"/>
  <c r="B30" i="19"/>
  <c r="C30" i="19"/>
  <c r="D30" i="19"/>
  <c r="E30" i="19"/>
  <c r="B30" i="23"/>
  <c r="C30" i="23"/>
  <c r="D30" i="23"/>
  <c r="E30" i="23"/>
  <c r="B30" i="18"/>
  <c r="C30" i="18"/>
  <c r="D30" i="18"/>
  <c r="E30" i="18"/>
  <c r="B30" i="22"/>
  <c r="C30" i="22"/>
  <c r="D30" i="22"/>
  <c r="E30" i="22"/>
  <c r="B30" i="17"/>
  <c r="C30" i="17"/>
  <c r="D30" i="17"/>
  <c r="E30" i="17"/>
  <c r="B29" i="20"/>
  <c r="C29" i="20"/>
  <c r="D29" i="20"/>
  <c r="E29" i="20"/>
  <c r="B29" i="19"/>
  <c r="C29" i="19"/>
  <c r="D29" i="19"/>
  <c r="E29" i="19"/>
  <c r="B29" i="23"/>
  <c r="C29" i="23"/>
  <c r="D29" i="23"/>
  <c r="E29" i="23"/>
  <c r="B29" i="18"/>
  <c r="C29" i="18"/>
  <c r="D29" i="18"/>
  <c r="E29" i="18"/>
  <c r="B29" i="22"/>
  <c r="C29" i="22"/>
  <c r="D29" i="22"/>
  <c r="E29" i="22"/>
  <c r="B29" i="17"/>
  <c r="C29" i="17"/>
  <c r="D29" i="17"/>
  <c r="E29" i="17"/>
  <c r="B28" i="20"/>
  <c r="C28" i="20"/>
  <c r="D28" i="20"/>
  <c r="E28" i="20"/>
  <c r="B28" i="19"/>
  <c r="C28" i="19"/>
  <c r="D28" i="19"/>
  <c r="E28" i="19"/>
  <c r="B28" i="23"/>
  <c r="C28" i="23"/>
  <c r="D28" i="23"/>
  <c r="E28" i="23"/>
  <c r="B28" i="18"/>
  <c r="C28" i="18"/>
  <c r="D28" i="18"/>
  <c r="E28" i="18"/>
  <c r="B28" i="22"/>
  <c r="C28" i="22"/>
  <c r="D28" i="22"/>
  <c r="E28" i="22"/>
  <c r="B28" i="17"/>
  <c r="C28" i="17"/>
  <c r="D28" i="17"/>
  <c r="E28" i="17"/>
  <c r="B27" i="20"/>
  <c r="C27" i="20"/>
  <c r="D27" i="20"/>
  <c r="E27" i="20"/>
  <c r="B27" i="19"/>
  <c r="C27" i="19"/>
  <c r="D27" i="19"/>
  <c r="E27" i="19"/>
  <c r="B27" i="23"/>
  <c r="C27" i="23"/>
  <c r="D27" i="23"/>
  <c r="E27" i="23"/>
  <c r="B27" i="18"/>
  <c r="C27" i="18"/>
  <c r="D27" i="18"/>
  <c r="E27" i="18"/>
  <c r="B27" i="22"/>
  <c r="C27" i="22"/>
  <c r="D27" i="22"/>
  <c r="E27" i="22"/>
  <c r="B27" i="17"/>
  <c r="C27" i="17"/>
  <c r="D27" i="17"/>
  <c r="E27" i="17"/>
  <c r="B26" i="20"/>
  <c r="C26" i="20"/>
  <c r="D26" i="20"/>
  <c r="E26" i="20"/>
  <c r="B26" i="19"/>
  <c r="C26" i="19"/>
  <c r="D26" i="19"/>
  <c r="E26" i="19"/>
  <c r="B26" i="23"/>
  <c r="C26" i="23"/>
  <c r="D26" i="23"/>
  <c r="E26" i="23"/>
  <c r="B26" i="18"/>
  <c r="C26" i="18"/>
  <c r="D26" i="18"/>
  <c r="E26" i="18"/>
  <c r="B26" i="22"/>
  <c r="C26" i="22"/>
  <c r="D26" i="22"/>
  <c r="E26" i="22"/>
  <c r="B26" i="17"/>
  <c r="C26" i="17"/>
  <c r="D26" i="17"/>
  <c r="E26" i="17"/>
  <c r="B25" i="20"/>
  <c r="C25" i="20"/>
  <c r="D25" i="20"/>
  <c r="E25" i="20"/>
  <c r="B25" i="19"/>
  <c r="C25" i="19"/>
  <c r="D25" i="19"/>
  <c r="E25" i="19"/>
  <c r="B25" i="23"/>
  <c r="C25" i="23"/>
  <c r="D25" i="23"/>
  <c r="E25" i="23"/>
  <c r="B25" i="18"/>
  <c r="C25" i="18"/>
  <c r="D25" i="18"/>
  <c r="E25" i="18"/>
  <c r="B25" i="22"/>
  <c r="C25" i="22"/>
  <c r="D25" i="22"/>
  <c r="E25" i="22"/>
  <c r="B25" i="17"/>
  <c r="C25" i="17"/>
  <c r="D25" i="17"/>
  <c r="E25" i="17"/>
  <c r="B24" i="20"/>
  <c r="C24" i="20"/>
  <c r="D24" i="20"/>
  <c r="E24" i="20"/>
  <c r="B24" i="19"/>
  <c r="C24" i="19"/>
  <c r="D24" i="19"/>
  <c r="E24" i="19"/>
  <c r="B24" i="23"/>
  <c r="C24" i="23"/>
  <c r="D24" i="23"/>
  <c r="E24" i="23"/>
  <c r="B24" i="18"/>
  <c r="C24" i="18"/>
  <c r="D24" i="18"/>
  <c r="E24" i="18"/>
  <c r="B24" i="22"/>
  <c r="C24" i="22"/>
  <c r="D24" i="22"/>
  <c r="E24" i="22"/>
  <c r="B24" i="17"/>
  <c r="C24" i="17"/>
  <c r="D24" i="17"/>
  <c r="E24" i="17"/>
  <c r="B23" i="20"/>
  <c r="C23" i="20"/>
  <c r="D23" i="20"/>
  <c r="E23" i="20"/>
  <c r="B23" i="19"/>
  <c r="C23" i="19"/>
  <c r="D23" i="19"/>
  <c r="E23" i="19"/>
  <c r="B23" i="23"/>
  <c r="C23" i="23"/>
  <c r="D23" i="23"/>
  <c r="E23" i="23"/>
  <c r="B23" i="18"/>
  <c r="C23" i="18"/>
  <c r="D23" i="18"/>
  <c r="E23" i="18"/>
  <c r="B23" i="22"/>
  <c r="C23" i="22"/>
  <c r="D23" i="22"/>
  <c r="E23" i="22"/>
  <c r="B23" i="17"/>
  <c r="C23" i="17"/>
  <c r="D23" i="17"/>
  <c r="E23" i="17"/>
  <c r="B22" i="20"/>
  <c r="C22" i="20"/>
  <c r="D22" i="20"/>
  <c r="E22" i="20"/>
  <c r="B22" i="19"/>
  <c r="C22" i="19"/>
  <c r="D22" i="19"/>
  <c r="E22" i="19"/>
  <c r="B22" i="23"/>
  <c r="C22" i="23"/>
  <c r="D22" i="23"/>
  <c r="E22" i="23"/>
  <c r="B22" i="18"/>
  <c r="C22" i="18"/>
  <c r="D22" i="18"/>
  <c r="E22" i="18"/>
  <c r="B22" i="22"/>
  <c r="C22" i="22"/>
  <c r="D22" i="22"/>
  <c r="E22" i="22"/>
  <c r="B22" i="17"/>
  <c r="C22" i="17"/>
  <c r="D22" i="17"/>
  <c r="E22" i="17"/>
  <c r="B21" i="20"/>
  <c r="C21" i="20"/>
  <c r="D21" i="20"/>
  <c r="E21" i="20"/>
  <c r="B21" i="19"/>
  <c r="C21" i="19"/>
  <c r="D21" i="19"/>
  <c r="E21" i="19"/>
  <c r="B21" i="23"/>
  <c r="C21" i="23"/>
  <c r="D21" i="23"/>
  <c r="E21" i="23"/>
  <c r="B21" i="18"/>
  <c r="C21" i="18"/>
  <c r="D21" i="18"/>
  <c r="E21" i="18"/>
  <c r="B21" i="22"/>
  <c r="C21" i="22"/>
  <c r="D21" i="22"/>
  <c r="E21" i="22"/>
  <c r="B21" i="17"/>
  <c r="C21" i="17"/>
  <c r="D21" i="17"/>
  <c r="E21" i="17"/>
  <c r="B20" i="20"/>
  <c r="C20" i="20"/>
  <c r="D20" i="20"/>
  <c r="E20" i="20"/>
  <c r="B20" i="19"/>
  <c r="C20" i="19"/>
  <c r="D20" i="19"/>
  <c r="E20" i="19"/>
  <c r="B20" i="23"/>
  <c r="C20" i="23"/>
  <c r="D20" i="23"/>
  <c r="E20" i="23"/>
  <c r="B20" i="18"/>
  <c r="C20" i="18"/>
  <c r="D20" i="18"/>
  <c r="E20" i="18"/>
  <c r="B20" i="22"/>
  <c r="C20" i="22"/>
  <c r="D20" i="22"/>
  <c r="E20" i="22"/>
  <c r="B20" i="17"/>
  <c r="C20" i="17"/>
  <c r="D20" i="17"/>
  <c r="E20" i="17"/>
  <c r="B19" i="20"/>
  <c r="C19" i="20"/>
  <c r="D19" i="20"/>
  <c r="E19" i="20"/>
  <c r="B19" i="19"/>
  <c r="C19" i="19"/>
  <c r="D19" i="19"/>
  <c r="E19" i="19"/>
  <c r="B19" i="23"/>
  <c r="C19" i="23"/>
  <c r="D19" i="23"/>
  <c r="E19" i="23"/>
  <c r="B19" i="18"/>
  <c r="C19" i="18"/>
  <c r="D19" i="18"/>
  <c r="E19" i="18"/>
  <c r="B19" i="22"/>
  <c r="C19" i="22"/>
  <c r="D19" i="22"/>
  <c r="E19" i="22"/>
  <c r="B19" i="17"/>
  <c r="C19" i="17"/>
  <c r="D19" i="17"/>
  <c r="E19" i="17"/>
  <c r="B18" i="17"/>
  <c r="C18" i="17"/>
  <c r="B18" i="20"/>
  <c r="C18" i="20"/>
  <c r="D18" i="20"/>
  <c r="E18" i="20"/>
  <c r="B18" i="19"/>
  <c r="C18" i="19"/>
  <c r="D18" i="19"/>
  <c r="E18" i="19"/>
  <c r="B18" i="23"/>
  <c r="C18" i="23"/>
  <c r="D18" i="23"/>
  <c r="E18" i="23"/>
  <c r="B18" i="18"/>
  <c r="C18" i="18"/>
  <c r="D18" i="18"/>
  <c r="E18" i="18"/>
  <c r="B18" i="22"/>
  <c r="C18" i="22"/>
  <c r="D18" i="22"/>
  <c r="E18" i="22"/>
  <c r="D18" i="17"/>
  <c r="E18" i="17"/>
  <c r="B17" i="17"/>
  <c r="C17" i="17"/>
  <c r="B17" i="20"/>
  <c r="C17" i="20"/>
  <c r="D17" i="20"/>
  <c r="E17" i="20"/>
  <c r="B17" i="19"/>
  <c r="C17" i="19"/>
  <c r="D17" i="19"/>
  <c r="E17" i="19"/>
  <c r="B17" i="23"/>
  <c r="C17" i="23"/>
  <c r="D17" i="23"/>
  <c r="E17" i="23"/>
  <c r="B17" i="18"/>
  <c r="C17" i="18"/>
  <c r="D17" i="18"/>
  <c r="E17" i="18"/>
  <c r="B17" i="22"/>
  <c r="C17" i="22"/>
  <c r="D17" i="22"/>
  <c r="E17" i="22"/>
  <c r="D17" i="17"/>
  <c r="E17" i="17"/>
  <c r="B16" i="17"/>
  <c r="C16" i="17"/>
  <c r="B16" i="20"/>
  <c r="C16" i="20"/>
  <c r="D16" i="20"/>
  <c r="E16" i="20"/>
  <c r="B16" i="19"/>
  <c r="C16" i="19"/>
  <c r="D16" i="19"/>
  <c r="E16" i="19"/>
  <c r="B16" i="23"/>
  <c r="C16" i="23"/>
  <c r="D16" i="23"/>
  <c r="E16" i="23"/>
  <c r="B16" i="18"/>
  <c r="C16" i="18"/>
  <c r="D16" i="18"/>
  <c r="E16" i="18"/>
  <c r="B16" i="22"/>
  <c r="C16" i="22"/>
  <c r="D16" i="22"/>
  <c r="E16" i="22"/>
  <c r="D16" i="17"/>
  <c r="E16" i="17"/>
  <c r="B15" i="17"/>
  <c r="C15" i="17"/>
  <c r="B15" i="20"/>
  <c r="C15" i="20"/>
  <c r="D15" i="20"/>
  <c r="E15" i="20"/>
  <c r="B15" i="19"/>
  <c r="C15" i="19"/>
  <c r="D15" i="19"/>
  <c r="E15" i="19"/>
  <c r="B15" i="23"/>
  <c r="C15" i="23"/>
  <c r="D15" i="23"/>
  <c r="E15" i="23"/>
  <c r="B15" i="18"/>
  <c r="C15" i="18"/>
  <c r="D15" i="18"/>
  <c r="E15" i="18"/>
  <c r="B15" i="22"/>
  <c r="C15" i="22"/>
  <c r="D15" i="22"/>
  <c r="E15" i="22"/>
  <c r="D15" i="17"/>
  <c r="E15" i="17"/>
  <c r="B14" i="17"/>
  <c r="C14" i="17"/>
  <c r="B14" i="20"/>
  <c r="C14" i="20"/>
  <c r="D14" i="20"/>
  <c r="E14" i="20"/>
  <c r="B14" i="19"/>
  <c r="C14" i="19"/>
  <c r="D14" i="19"/>
  <c r="E14" i="19"/>
  <c r="B14" i="23"/>
  <c r="C14" i="23"/>
  <c r="D14" i="23"/>
  <c r="E14" i="23"/>
  <c r="B14" i="18"/>
  <c r="C14" i="18"/>
  <c r="D14" i="18"/>
  <c r="E14" i="18"/>
  <c r="B14" i="22"/>
  <c r="C14" i="22"/>
  <c r="D14" i="22"/>
  <c r="E14" i="22"/>
  <c r="D14" i="17"/>
  <c r="E14" i="17"/>
  <c r="B13" i="17"/>
  <c r="C13" i="17"/>
  <c r="B13" i="20"/>
  <c r="C13" i="20"/>
  <c r="D13" i="20"/>
  <c r="E13" i="20"/>
  <c r="B13" i="19"/>
  <c r="C13" i="19"/>
  <c r="D13" i="19"/>
  <c r="E13" i="19"/>
  <c r="B13" i="23"/>
  <c r="C13" i="23"/>
  <c r="D13" i="23"/>
  <c r="E13" i="23"/>
  <c r="B13" i="18"/>
  <c r="C13" i="18"/>
  <c r="D13" i="18"/>
  <c r="E13" i="18"/>
  <c r="B13" i="22"/>
  <c r="C13" i="22"/>
  <c r="D13" i="22"/>
  <c r="E13" i="22"/>
  <c r="D13" i="17"/>
  <c r="E13" i="17"/>
  <c r="B12" i="17"/>
  <c r="C12" i="17"/>
  <c r="B12" i="20"/>
  <c r="C12" i="20"/>
  <c r="D12" i="20"/>
  <c r="E12" i="20"/>
  <c r="B12" i="19"/>
  <c r="C12" i="19"/>
  <c r="D12" i="19"/>
  <c r="E12" i="19"/>
  <c r="B12" i="23"/>
  <c r="C12" i="23"/>
  <c r="D12" i="23"/>
  <c r="E12" i="23"/>
  <c r="B12" i="18"/>
  <c r="C12" i="18"/>
  <c r="D12" i="18"/>
  <c r="E12" i="18"/>
  <c r="B12" i="22"/>
  <c r="C12" i="22"/>
  <c r="D12" i="22"/>
  <c r="E12" i="22"/>
  <c r="D12" i="17"/>
  <c r="E12" i="17"/>
  <c r="B11" i="17"/>
  <c r="C11" i="17"/>
  <c r="B11" i="20"/>
  <c r="C11" i="20"/>
  <c r="D11" i="20"/>
  <c r="E11" i="20"/>
  <c r="B11" i="19"/>
  <c r="C11" i="19"/>
  <c r="D11" i="19"/>
  <c r="E11" i="19"/>
  <c r="B11" i="23"/>
  <c r="C11" i="23"/>
  <c r="D11" i="23"/>
  <c r="E11" i="23"/>
  <c r="B11" i="18"/>
  <c r="C11" i="18"/>
  <c r="D11" i="18"/>
  <c r="E11" i="18"/>
  <c r="B11" i="22"/>
  <c r="C11" i="22"/>
  <c r="D11" i="22"/>
  <c r="E11" i="22"/>
  <c r="D11" i="17"/>
  <c r="E11" i="17"/>
  <c r="B10" i="17"/>
  <c r="C10" i="17"/>
  <c r="B10" i="20"/>
  <c r="C10" i="20"/>
  <c r="D10" i="20"/>
  <c r="E10" i="20"/>
  <c r="B10" i="19"/>
  <c r="C10" i="19"/>
  <c r="D10" i="19"/>
  <c r="E10" i="19"/>
  <c r="B10" i="23"/>
  <c r="C10" i="23"/>
  <c r="D10" i="23"/>
  <c r="E10" i="23"/>
  <c r="B10" i="18"/>
  <c r="C10" i="18"/>
  <c r="D10" i="18"/>
  <c r="E10" i="18"/>
  <c r="B10" i="22"/>
  <c r="C10" i="22"/>
  <c r="D10" i="22"/>
  <c r="E10" i="22"/>
  <c r="D10" i="17"/>
  <c r="E10" i="17"/>
  <c r="B9" i="17"/>
  <c r="C9" i="17"/>
  <c r="B9" i="20"/>
  <c r="C9" i="20"/>
  <c r="D9" i="20"/>
  <c r="E9" i="20"/>
  <c r="B9" i="19"/>
  <c r="C9" i="19"/>
  <c r="D9" i="19"/>
  <c r="E9" i="19"/>
  <c r="B9" i="23"/>
  <c r="C9" i="23"/>
  <c r="D9" i="23"/>
  <c r="E9" i="23"/>
  <c r="B9" i="18"/>
  <c r="C9" i="18"/>
  <c r="D9" i="18"/>
  <c r="E9" i="18"/>
  <c r="B9" i="22"/>
  <c r="C9" i="22"/>
  <c r="D9" i="22"/>
  <c r="E9" i="22"/>
  <c r="D9" i="17"/>
  <c r="E9" i="17"/>
  <c r="G303" i="23"/>
  <c r="G304" i="23"/>
  <c r="G305" i="23"/>
  <c r="G306" i="23"/>
  <c r="G307" i="23"/>
  <c r="G308" i="23"/>
  <c r="G309" i="23"/>
  <c r="G310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F7" i="18"/>
  <c r="B488" i="20" l="1"/>
  <c r="C488" i="20"/>
  <c r="D488" i="20"/>
  <c r="E488" i="20"/>
  <c r="F429" i="19" l="1"/>
  <c r="F428" i="19"/>
  <c r="F427" i="19"/>
  <c r="F426" i="19"/>
  <c r="F397" i="19"/>
  <c r="F396" i="19"/>
  <c r="F395" i="19"/>
  <c r="F394" i="19"/>
  <c r="F342" i="19"/>
  <c r="F282" i="19"/>
  <c r="F248" i="19"/>
  <c r="F233" i="19"/>
  <c r="F211" i="19"/>
  <c r="F190" i="19"/>
  <c r="F355" i="19"/>
  <c r="F354" i="19"/>
  <c r="F353" i="19"/>
  <c r="F352" i="19"/>
  <c r="F351" i="19"/>
  <c r="F350" i="19"/>
  <c r="F349" i="19"/>
  <c r="F348" i="19"/>
  <c r="F347" i="19"/>
  <c r="F346" i="19"/>
  <c r="F345" i="19"/>
  <c r="F344" i="19"/>
  <c r="F343" i="19"/>
  <c r="F290" i="19"/>
  <c r="F289" i="19"/>
  <c r="F288" i="19"/>
  <c r="F287" i="19"/>
  <c r="F286" i="19"/>
  <c r="F285" i="19"/>
  <c r="F284" i="19"/>
  <c r="F283" i="19"/>
  <c r="F281" i="19"/>
  <c r="F280" i="19"/>
  <c r="F279" i="19"/>
  <c r="F260" i="19"/>
  <c r="F259" i="19"/>
  <c r="F258" i="19"/>
  <c r="F257" i="19"/>
  <c r="F256" i="19"/>
  <c r="F255" i="19"/>
  <c r="F254" i="19"/>
  <c r="F253" i="19"/>
  <c r="F252" i="19"/>
  <c r="F251" i="19"/>
  <c r="F250" i="19"/>
  <c r="F249" i="19"/>
  <c r="F242" i="19"/>
  <c r="F241" i="19"/>
  <c r="F240" i="19"/>
  <c r="F239" i="19"/>
  <c r="F238" i="19"/>
  <c r="F237" i="19"/>
  <c r="F236" i="19"/>
  <c r="F235" i="19"/>
  <c r="F234" i="19"/>
  <c r="F232" i="19"/>
  <c r="F231" i="19"/>
  <c r="F230" i="19"/>
  <c r="F229" i="19"/>
  <c r="F228" i="19"/>
  <c r="F212" i="19"/>
  <c r="F210" i="19"/>
  <c r="F209" i="19"/>
  <c r="F208" i="19"/>
  <c r="F207" i="19"/>
  <c r="F206" i="19"/>
  <c r="F205" i="19"/>
  <c r="F204" i="19"/>
  <c r="F203" i="19"/>
  <c r="F202" i="19"/>
  <c r="F201" i="19"/>
  <c r="F200" i="19"/>
  <c r="F199" i="19"/>
  <c r="F198" i="19"/>
  <c r="F197" i="19"/>
  <c r="F196" i="19"/>
  <c r="F195" i="19"/>
  <c r="F194" i="19"/>
  <c r="F193" i="19"/>
  <c r="F192" i="19"/>
  <c r="F191" i="19"/>
  <c r="F189" i="19"/>
  <c r="F188" i="19"/>
  <c r="F187" i="19"/>
  <c r="F186" i="19"/>
  <c r="F185" i="19"/>
  <c r="F10" i="19"/>
  <c r="F9" i="19"/>
  <c r="F8" i="19"/>
  <c r="B489" i="23"/>
  <c r="C489" i="23"/>
  <c r="D489" i="23"/>
  <c r="E489" i="23"/>
  <c r="B7" i="20" l="1"/>
  <c r="C7" i="20"/>
  <c r="D7" i="20"/>
  <c r="E7" i="20"/>
  <c r="A7" i="20"/>
  <c r="B7" i="19"/>
  <c r="C7" i="19"/>
  <c r="D7" i="19"/>
  <c r="E7" i="19"/>
  <c r="A7" i="19"/>
  <c r="B7" i="23"/>
  <c r="C7" i="23"/>
  <c r="D7" i="23"/>
  <c r="E7" i="23"/>
  <c r="A7" i="23"/>
  <c r="B7" i="18"/>
  <c r="C7" i="18"/>
  <c r="D7" i="18"/>
  <c r="E7" i="18"/>
  <c r="A7" i="18"/>
  <c r="B7" i="22"/>
  <c r="C7" i="22"/>
  <c r="D7" i="22"/>
  <c r="E7" i="22"/>
  <c r="A7" i="22"/>
  <c r="F488" i="23" l="1"/>
  <c r="F487" i="23"/>
  <c r="F486" i="23"/>
  <c r="F485" i="23"/>
  <c r="F484" i="23"/>
  <c r="F483" i="23"/>
  <c r="F482" i="23"/>
  <c r="F481" i="23"/>
  <c r="F480" i="23"/>
  <c r="F479" i="23"/>
  <c r="F478" i="23"/>
  <c r="F477" i="23"/>
  <c r="F476" i="23"/>
  <c r="F475" i="23"/>
  <c r="F474" i="23"/>
  <c r="F473" i="23"/>
  <c r="F472" i="23"/>
  <c r="F471" i="23"/>
  <c r="F470" i="23"/>
  <c r="F469" i="23"/>
  <c r="F468" i="23"/>
  <c r="F467" i="23"/>
  <c r="F466" i="23"/>
  <c r="F465" i="23"/>
  <c r="F464" i="23"/>
  <c r="F463" i="23"/>
  <c r="F462" i="23"/>
  <c r="F461" i="23"/>
  <c r="F460" i="23"/>
  <c r="F459" i="23"/>
  <c r="F458" i="23"/>
  <c r="F457" i="23"/>
  <c r="F456" i="23"/>
  <c r="F455" i="23"/>
  <c r="F454" i="23"/>
  <c r="F453" i="23"/>
  <c r="F452" i="23"/>
  <c r="F451" i="23"/>
  <c r="F450" i="23"/>
  <c r="F449" i="23"/>
  <c r="F448" i="23"/>
  <c r="F447" i="23"/>
  <c r="F446" i="23"/>
  <c r="F445" i="23"/>
  <c r="F444" i="23"/>
  <c r="F443" i="23"/>
  <c r="F442" i="23"/>
  <c r="F441" i="23"/>
  <c r="F440" i="23"/>
  <c r="F439" i="23"/>
  <c r="F438" i="23"/>
  <c r="F437" i="23"/>
  <c r="F436" i="23"/>
  <c r="F435" i="23"/>
  <c r="F434" i="23"/>
  <c r="F433" i="23"/>
  <c r="F432" i="23"/>
  <c r="F431" i="23"/>
  <c r="F430" i="23"/>
  <c r="F429" i="23"/>
  <c r="F428" i="23"/>
  <c r="F427" i="23"/>
  <c r="F426" i="23"/>
  <c r="F425" i="23"/>
  <c r="F424" i="23"/>
  <c r="F423" i="23"/>
  <c r="F422" i="23"/>
  <c r="F421" i="23"/>
  <c r="F420" i="23"/>
  <c r="F419" i="23"/>
  <c r="F418" i="23"/>
  <c r="F417" i="23"/>
  <c r="F416" i="23"/>
  <c r="F415" i="23"/>
  <c r="F414" i="23"/>
  <c r="F413" i="23"/>
  <c r="F412" i="23"/>
  <c r="F411" i="23"/>
  <c r="F410" i="23"/>
  <c r="F409" i="23"/>
  <c r="F408" i="23"/>
  <c r="F407" i="23"/>
  <c r="F406" i="23"/>
  <c r="F405" i="23"/>
  <c r="F404" i="23"/>
  <c r="F403" i="23"/>
  <c r="F402" i="23"/>
  <c r="F401" i="23"/>
  <c r="F400" i="23"/>
  <c r="F399" i="23"/>
  <c r="F398" i="23"/>
  <c r="F397" i="23"/>
  <c r="F396" i="23"/>
  <c r="F395" i="23"/>
  <c r="F394" i="23"/>
  <c r="F393" i="23"/>
  <c r="F392" i="23"/>
  <c r="F391" i="23"/>
  <c r="F390" i="23"/>
  <c r="F389" i="23"/>
  <c r="F388" i="23"/>
  <c r="F387" i="23"/>
  <c r="F386" i="23"/>
  <c r="F385" i="23"/>
  <c r="F384" i="23"/>
  <c r="F383" i="23"/>
  <c r="F382" i="23"/>
  <c r="F381" i="23"/>
  <c r="F380" i="23"/>
  <c r="F488" i="18"/>
  <c r="F487" i="18"/>
  <c r="F486" i="18"/>
  <c r="F485" i="18"/>
  <c r="F484" i="18"/>
  <c r="F483" i="18"/>
  <c r="F482" i="18"/>
  <c r="F481" i="18"/>
  <c r="F480" i="18"/>
  <c r="F479" i="18"/>
  <c r="F478" i="18"/>
  <c r="F477" i="18"/>
  <c r="F476" i="18"/>
  <c r="F475" i="18"/>
  <c r="F474" i="18"/>
  <c r="F473" i="18"/>
  <c r="F472" i="18"/>
  <c r="F471" i="18"/>
  <c r="F470" i="18"/>
  <c r="F469" i="18"/>
  <c r="F468" i="18"/>
  <c r="F467" i="18"/>
  <c r="F466" i="18"/>
  <c r="F465" i="18"/>
  <c r="F464" i="18"/>
  <c r="F463" i="18"/>
  <c r="F462" i="18"/>
  <c r="F461" i="18"/>
  <c r="F460" i="18"/>
  <c r="F459" i="18"/>
  <c r="F458" i="18"/>
  <c r="F457" i="18"/>
  <c r="F456" i="18"/>
  <c r="F455" i="18"/>
  <c r="F454" i="18"/>
  <c r="F453" i="18"/>
  <c r="F452" i="18"/>
  <c r="F451" i="18"/>
  <c r="F450" i="18"/>
  <c r="F449" i="18"/>
  <c r="F448" i="18"/>
  <c r="F447" i="18"/>
  <c r="F446" i="18"/>
  <c r="F445" i="18"/>
  <c r="F444" i="18"/>
  <c r="F443" i="18"/>
  <c r="F442" i="18"/>
  <c r="F441" i="18"/>
  <c r="F440" i="18"/>
  <c r="F439" i="18"/>
  <c r="F438" i="18"/>
  <c r="F437" i="18"/>
  <c r="F436" i="18"/>
  <c r="F435" i="18"/>
  <c r="F434" i="18"/>
  <c r="F433" i="18"/>
  <c r="F432" i="18"/>
  <c r="F431" i="18"/>
  <c r="F430" i="18"/>
  <c r="F429" i="18"/>
  <c r="F428" i="18"/>
  <c r="F427" i="18"/>
  <c r="F426" i="18"/>
  <c r="F425" i="18"/>
  <c r="F424" i="18"/>
  <c r="F423" i="18"/>
  <c r="F422" i="18"/>
  <c r="F421" i="18"/>
  <c r="F420" i="18"/>
  <c r="F419" i="18"/>
  <c r="F418" i="18"/>
  <c r="F417" i="18"/>
  <c r="F416" i="18"/>
  <c r="F415" i="18"/>
  <c r="F414" i="18"/>
  <c r="F413" i="18"/>
  <c r="F412" i="18"/>
  <c r="F411" i="18"/>
  <c r="F410" i="18"/>
  <c r="F409" i="18"/>
  <c r="F408" i="18"/>
  <c r="F407" i="18"/>
  <c r="F406" i="18"/>
  <c r="F405" i="18"/>
  <c r="F404" i="18"/>
  <c r="F403" i="18"/>
  <c r="F402" i="18"/>
  <c r="F401" i="18"/>
  <c r="F400" i="18"/>
  <c r="F399" i="18"/>
  <c r="F398" i="18"/>
  <c r="F397" i="18"/>
  <c r="F342" i="18"/>
  <c r="F341" i="18"/>
  <c r="F340" i="18"/>
  <c r="F339" i="18"/>
  <c r="F338" i="18"/>
  <c r="F337" i="18"/>
  <c r="F336" i="18"/>
  <c r="F335" i="18"/>
  <c r="F334" i="18"/>
  <c r="F333" i="18"/>
  <c r="F332" i="18"/>
  <c r="F331" i="18"/>
  <c r="F330" i="18"/>
  <c r="F329" i="18"/>
  <c r="F328" i="18"/>
  <c r="F327" i="18"/>
  <c r="F326" i="18"/>
  <c r="F325" i="18"/>
  <c r="F324" i="18"/>
  <c r="F323" i="18"/>
  <c r="F322" i="18"/>
  <c r="F310" i="18"/>
  <c r="F309" i="18"/>
  <c r="F308" i="18"/>
  <c r="F307" i="18"/>
  <c r="F306" i="18"/>
  <c r="F305" i="18"/>
  <c r="F304" i="18"/>
  <c r="F303" i="18"/>
  <c r="F302" i="18"/>
  <c r="F301" i="18"/>
  <c r="F300" i="18"/>
  <c r="F211" i="18"/>
  <c r="F190" i="18"/>
  <c r="F189" i="18"/>
  <c r="F188" i="18"/>
  <c r="F187" i="18"/>
  <c r="F186" i="18"/>
  <c r="F185" i="18"/>
  <c r="F184" i="18"/>
  <c r="F183" i="18"/>
  <c r="F182" i="18"/>
  <c r="F181" i="18"/>
  <c r="F180" i="18"/>
  <c r="F179" i="18"/>
  <c r="F178" i="18"/>
  <c r="F177" i="18"/>
  <c r="F176" i="18"/>
  <c r="F175" i="18"/>
  <c r="F174" i="18"/>
  <c r="F173" i="18"/>
  <c r="F172" i="18"/>
  <c r="F171" i="18"/>
  <c r="F170" i="18"/>
  <c r="F169" i="18"/>
  <c r="F168" i="18"/>
  <c r="F167" i="18"/>
  <c r="F142" i="18"/>
  <c r="F141" i="18"/>
  <c r="F140" i="18"/>
  <c r="F139" i="18"/>
  <c r="F138" i="18"/>
  <c r="F137" i="18"/>
  <c r="F136" i="18"/>
  <c r="F135" i="18"/>
  <c r="F134" i="18"/>
  <c r="F133" i="18"/>
  <c r="F132" i="18"/>
  <c r="F131" i="18"/>
  <c r="F130" i="18"/>
  <c r="F129" i="18"/>
  <c r="F128" i="18"/>
  <c r="F127" i="18"/>
  <c r="F126" i="18"/>
  <c r="F125" i="18"/>
  <c r="F124" i="18"/>
  <c r="F123" i="18"/>
  <c r="F122" i="18"/>
  <c r="F121" i="18"/>
  <c r="F120" i="18"/>
  <c r="F119" i="18"/>
  <c r="F118" i="18"/>
  <c r="F117" i="18"/>
  <c r="F116" i="18"/>
  <c r="F115" i="18"/>
  <c r="F114" i="18"/>
  <c r="F113" i="18"/>
  <c r="F112" i="18"/>
  <c r="F111" i="18"/>
  <c r="F110" i="18"/>
  <c r="F109" i="18"/>
  <c r="F108" i="18"/>
  <c r="F107" i="18"/>
  <c r="F106" i="18"/>
  <c r="F105" i="18"/>
  <c r="F104" i="18"/>
  <c r="F103" i="18"/>
  <c r="F102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28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7" i="20"/>
  <c r="F308" i="20"/>
  <c r="F312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449" i="20"/>
  <c r="F450" i="20"/>
  <c r="F451" i="20"/>
  <c r="F452" i="20"/>
  <c r="F453" i="20"/>
  <c r="F454" i="20"/>
  <c r="F455" i="20"/>
  <c r="F456" i="20"/>
  <c r="F457" i="20"/>
  <c r="F458" i="20"/>
  <c r="F459" i="20"/>
  <c r="F460" i="20"/>
  <c r="F461" i="20"/>
  <c r="F462" i="20"/>
  <c r="F463" i="20"/>
  <c r="F464" i="20"/>
  <c r="F465" i="20"/>
  <c r="F466" i="20"/>
  <c r="F467" i="20"/>
  <c r="F468" i="20"/>
  <c r="F469" i="20"/>
  <c r="F470" i="20"/>
  <c r="F471" i="20"/>
  <c r="F472" i="20"/>
  <c r="F473" i="20"/>
  <c r="F474" i="20"/>
  <c r="F475" i="20"/>
  <c r="F476" i="20"/>
  <c r="F477" i="20"/>
  <c r="F478" i="20"/>
  <c r="F479" i="20"/>
  <c r="F480" i="20"/>
  <c r="F481" i="20"/>
  <c r="F482" i="20"/>
  <c r="F483" i="20"/>
  <c r="F484" i="20"/>
  <c r="F485" i="20"/>
  <c r="F486" i="20"/>
  <c r="F487" i="20"/>
  <c r="F488" i="20"/>
  <c r="F9" i="22"/>
  <c r="F10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2" i="22"/>
  <c r="F33" i="22"/>
  <c r="F255" i="22"/>
  <c r="F267" i="22"/>
  <c r="F268" i="22"/>
  <c r="F269" i="22"/>
  <c r="F270" i="22"/>
  <c r="F271" i="22"/>
  <c r="F272" i="22"/>
  <c r="F273" i="22"/>
  <c r="F274" i="22"/>
  <c r="F275" i="22"/>
  <c r="F276" i="22"/>
  <c r="F277" i="22"/>
  <c r="F278" i="22"/>
  <c r="F279" i="22"/>
  <c r="F280" i="22"/>
  <c r="F281" i="22"/>
  <c r="F282" i="22"/>
  <c r="F283" i="22"/>
  <c r="F284" i="22"/>
  <c r="F285" i="22"/>
  <c r="F286" i="22"/>
  <c r="F287" i="22"/>
  <c r="F288" i="22"/>
  <c r="F289" i="22"/>
  <c r="F290" i="22"/>
  <c r="F300" i="22"/>
  <c r="F301" i="22"/>
  <c r="F302" i="22"/>
  <c r="F303" i="22"/>
  <c r="F304" i="22"/>
  <c r="F305" i="22"/>
  <c r="F306" i="22"/>
  <c r="F307" i="22"/>
  <c r="F308" i="22"/>
  <c r="F309" i="22"/>
  <c r="F310" i="22"/>
  <c r="F311" i="22"/>
  <c r="F312" i="22"/>
  <c r="F313" i="22"/>
  <c r="F314" i="22"/>
  <c r="F315" i="22"/>
  <c r="F316" i="22"/>
  <c r="F317" i="22"/>
  <c r="F318" i="22"/>
  <c r="F319" i="22"/>
  <c r="F320" i="22"/>
  <c r="F321" i="22"/>
  <c r="F322" i="22"/>
  <c r="F323" i="22"/>
  <c r="F324" i="22"/>
  <c r="F325" i="22"/>
  <c r="F326" i="22"/>
  <c r="F327" i="22"/>
  <c r="F328" i="22"/>
  <c r="F329" i="22"/>
  <c r="F330" i="22"/>
  <c r="F331" i="22"/>
  <c r="F332" i="22"/>
  <c r="F333" i="22"/>
  <c r="F334" i="22"/>
  <c r="F335" i="22"/>
  <c r="F336" i="22"/>
  <c r="F337" i="22"/>
  <c r="F338" i="22"/>
  <c r="F339" i="22"/>
  <c r="F340" i="22"/>
  <c r="F341" i="22"/>
  <c r="F342" i="22"/>
  <c r="F343" i="22"/>
  <c r="F344" i="22"/>
  <c r="F345" i="22"/>
  <c r="F346" i="22"/>
  <c r="F347" i="22"/>
  <c r="F348" i="22"/>
  <c r="F349" i="22"/>
  <c r="F350" i="22"/>
  <c r="F351" i="22"/>
  <c r="F384" i="22"/>
  <c r="F385" i="22"/>
  <c r="F386" i="22"/>
  <c r="F387" i="22"/>
  <c r="F388" i="22"/>
  <c r="F389" i="22"/>
  <c r="F390" i="22"/>
  <c r="F391" i="22"/>
  <c r="F392" i="22"/>
  <c r="F393" i="22"/>
  <c r="F394" i="22"/>
  <c r="F395" i="22"/>
  <c r="F396" i="22"/>
  <c r="F397" i="22"/>
  <c r="F398" i="22"/>
  <c r="F399" i="22"/>
  <c r="F400" i="22"/>
  <c r="F401" i="22"/>
  <c r="F402" i="22"/>
  <c r="F403" i="22"/>
  <c r="F404" i="22"/>
  <c r="F405" i="22"/>
  <c r="F406" i="22"/>
  <c r="F407" i="22"/>
  <c r="F408" i="22"/>
  <c r="F409" i="22"/>
  <c r="F410" i="22"/>
  <c r="F411" i="22"/>
  <c r="F412" i="22"/>
  <c r="F413" i="22"/>
  <c r="F414" i="22"/>
  <c r="F415" i="22"/>
  <c r="F416" i="22"/>
  <c r="F417" i="22"/>
  <c r="F418" i="22"/>
  <c r="F419" i="22"/>
  <c r="F420" i="22"/>
  <c r="F421" i="22"/>
  <c r="F422" i="22"/>
  <c r="F423" i="22"/>
  <c r="F424" i="22"/>
  <c r="F425" i="22"/>
  <c r="F426" i="22"/>
  <c r="F427" i="22"/>
  <c r="F428" i="22"/>
  <c r="F429" i="22"/>
  <c r="F430" i="22"/>
  <c r="F431" i="22"/>
  <c r="F432" i="22"/>
  <c r="F433" i="22"/>
  <c r="F434" i="22"/>
  <c r="F435" i="22"/>
  <c r="F436" i="22"/>
  <c r="F437" i="22"/>
  <c r="F438" i="22"/>
  <c r="F439" i="22"/>
  <c r="F440" i="22"/>
  <c r="F441" i="22"/>
  <c r="F442" i="22"/>
  <c r="F443" i="22"/>
  <c r="F444" i="22"/>
  <c r="F445" i="22"/>
  <c r="F446" i="22"/>
  <c r="F447" i="22"/>
  <c r="F448" i="22"/>
  <c r="F449" i="22"/>
  <c r="F450" i="22"/>
  <c r="F451" i="22"/>
  <c r="F452" i="22"/>
  <c r="F453" i="22"/>
  <c r="F454" i="22"/>
  <c r="F455" i="22"/>
  <c r="F456" i="22"/>
  <c r="F457" i="22"/>
  <c r="F458" i="22"/>
  <c r="F459" i="22"/>
  <c r="F460" i="22"/>
  <c r="F461" i="22"/>
  <c r="F462" i="22"/>
  <c r="F463" i="22"/>
  <c r="F464" i="22"/>
  <c r="F465" i="22"/>
  <c r="F466" i="22"/>
  <c r="F467" i="22"/>
  <c r="F468" i="22"/>
  <c r="F469" i="22"/>
  <c r="F470" i="22"/>
  <c r="F471" i="22"/>
  <c r="F472" i="22"/>
  <c r="F473" i="22"/>
  <c r="F474" i="22"/>
  <c r="F475" i="22"/>
  <c r="F476" i="22"/>
  <c r="F477" i="22"/>
  <c r="F478" i="22"/>
  <c r="F479" i="22"/>
  <c r="F480" i="22"/>
  <c r="F481" i="22"/>
  <c r="F482" i="22"/>
  <c r="F483" i="22"/>
  <c r="F484" i="22"/>
  <c r="F485" i="22"/>
  <c r="F486" i="22"/>
  <c r="B487" i="22"/>
  <c r="C487" i="22"/>
  <c r="D487" i="22"/>
  <c r="E487" i="22"/>
  <c r="F487" i="22"/>
  <c r="B488" i="22"/>
  <c r="C488" i="22"/>
  <c r="D488" i="22"/>
  <c r="E488" i="22"/>
  <c r="F488" i="22"/>
  <c r="B489" i="22"/>
  <c r="C489" i="22"/>
  <c r="D489" i="22"/>
  <c r="E489" i="22"/>
  <c r="F489" i="22"/>
  <c r="B490" i="22"/>
  <c r="C490" i="22"/>
  <c r="D490" i="22"/>
  <c r="E490" i="22"/>
  <c r="F490" i="22"/>
  <c r="B491" i="22"/>
  <c r="C491" i="22"/>
  <c r="D491" i="22"/>
  <c r="E491" i="22"/>
  <c r="F491" i="22"/>
  <c r="F8" i="22"/>
  <c r="F24" i="17" l="1"/>
  <c r="F25" i="17"/>
  <c r="F39" i="17"/>
  <c r="F57" i="17"/>
  <c r="F58" i="17"/>
  <c r="F59" i="17"/>
  <c r="F60" i="17"/>
  <c r="F61" i="17"/>
  <c r="F62" i="17"/>
  <c r="F73" i="17"/>
  <c r="F74" i="17"/>
  <c r="F75" i="17"/>
  <c r="F76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9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B463" i="17"/>
  <c r="C463" i="17"/>
  <c r="D463" i="17"/>
  <c r="E463" i="17"/>
  <c r="F463" i="17"/>
  <c r="B464" i="17"/>
  <c r="C464" i="17"/>
  <c r="D464" i="17"/>
  <c r="E464" i="17"/>
  <c r="F464" i="17"/>
  <c r="B465" i="17"/>
  <c r="C465" i="17"/>
  <c r="D465" i="17"/>
  <c r="E465" i="17"/>
  <c r="F465" i="17"/>
  <c r="B466" i="17"/>
  <c r="C466" i="17"/>
  <c r="D466" i="17"/>
  <c r="E466" i="17"/>
  <c r="F466" i="17"/>
  <c r="B467" i="17"/>
  <c r="C467" i="17"/>
  <c r="D467" i="17"/>
  <c r="E467" i="17"/>
  <c r="F467" i="17"/>
  <c r="B468" i="17"/>
  <c r="C468" i="17"/>
  <c r="D468" i="17"/>
  <c r="E468" i="17"/>
  <c r="F468" i="17"/>
  <c r="B469" i="17"/>
  <c r="C469" i="17"/>
  <c r="D469" i="17"/>
  <c r="E469" i="17"/>
  <c r="F469" i="17"/>
  <c r="B470" i="17"/>
  <c r="C470" i="17"/>
  <c r="D470" i="17"/>
  <c r="E470" i="17"/>
  <c r="F470" i="17"/>
  <c r="B471" i="17"/>
  <c r="C471" i="17"/>
  <c r="D471" i="17"/>
  <c r="E471" i="17"/>
  <c r="F471" i="17"/>
  <c r="B472" i="17"/>
  <c r="C472" i="17"/>
  <c r="D472" i="17"/>
  <c r="E472" i="17"/>
  <c r="F472" i="17"/>
  <c r="B473" i="17"/>
  <c r="C473" i="17"/>
  <c r="D473" i="17"/>
  <c r="E473" i="17"/>
  <c r="F473" i="17"/>
  <c r="B474" i="17"/>
  <c r="C474" i="17"/>
  <c r="D474" i="17"/>
  <c r="E474" i="17"/>
  <c r="F474" i="17"/>
  <c r="B475" i="17"/>
  <c r="C475" i="17"/>
  <c r="D475" i="17"/>
  <c r="E475" i="17"/>
  <c r="F475" i="17"/>
  <c r="B476" i="17"/>
  <c r="C476" i="17"/>
  <c r="D476" i="17"/>
  <c r="E476" i="17"/>
  <c r="F476" i="17"/>
  <c r="B477" i="17"/>
  <c r="C477" i="17"/>
  <c r="D477" i="17"/>
  <c r="E477" i="17"/>
  <c r="F477" i="17"/>
  <c r="B478" i="17"/>
  <c r="C478" i="17"/>
  <c r="D478" i="17"/>
  <c r="E478" i="17"/>
  <c r="F478" i="17"/>
  <c r="B479" i="17"/>
  <c r="C479" i="17"/>
  <c r="D479" i="17"/>
  <c r="E479" i="17"/>
  <c r="F479" i="17"/>
  <c r="B480" i="17"/>
  <c r="C480" i="17"/>
  <c r="D480" i="17"/>
  <c r="E480" i="17"/>
  <c r="F480" i="17"/>
  <c r="B481" i="17"/>
  <c r="C481" i="17"/>
  <c r="D481" i="17"/>
  <c r="E481" i="17"/>
  <c r="F481" i="17"/>
  <c r="B482" i="17"/>
  <c r="C482" i="17"/>
  <c r="D482" i="17"/>
  <c r="E482" i="17"/>
  <c r="F482" i="17"/>
  <c r="B483" i="17"/>
  <c r="C483" i="17"/>
  <c r="D483" i="17"/>
  <c r="E483" i="17"/>
  <c r="F483" i="17"/>
  <c r="B484" i="17"/>
  <c r="C484" i="17"/>
  <c r="D484" i="17"/>
  <c r="E484" i="17"/>
  <c r="F484" i="17"/>
  <c r="B485" i="17"/>
  <c r="C485" i="17"/>
  <c r="D485" i="17"/>
  <c r="E485" i="17"/>
  <c r="F485" i="17"/>
  <c r="B486" i="17"/>
  <c r="C486" i="17"/>
  <c r="D486" i="17"/>
  <c r="E486" i="17"/>
  <c r="F486" i="17"/>
  <c r="B487" i="17"/>
  <c r="C487" i="17"/>
  <c r="D487" i="17"/>
  <c r="E487" i="17"/>
  <c r="F487" i="17"/>
  <c r="B488" i="17"/>
  <c r="C488" i="17"/>
  <c r="D488" i="17"/>
  <c r="E488" i="17"/>
  <c r="F488" i="17"/>
</calcChain>
</file>

<file path=xl/sharedStrings.xml><?xml version="1.0" encoding="utf-8"?>
<sst xmlns="http://schemas.openxmlformats.org/spreadsheetml/2006/main" count="1223" uniqueCount="530">
  <si>
    <t>Objectifs d'apprentissage 
du tronc commun de la formation en sciences au sein de l'Ecole d'Ingénieurs CESI</t>
  </si>
  <si>
    <t>A - Fondamentaux en sciences physiques (notions de prérequis)</t>
  </si>
  <si>
    <t>Cycle préparatoire (CPI)</t>
  </si>
  <si>
    <t>A.1  Connaître les grandes notions de mécanique, d'électricité, de thermodynamique</t>
  </si>
  <si>
    <t>A.2  Mobiliser les 3 compétences élémentaires dans des exercices d'application (Modéliser, Calculer, Raisonner)</t>
  </si>
  <si>
    <t>B - Calcul numérique et analytique</t>
  </si>
  <si>
    <t>B.1  Faire preuve d'autonomie, d'initiative dans la démarche de résolution d'un problème</t>
  </si>
  <si>
    <t>B.2  Savoir employer une démarche de résolution analytico-numérique (du modèle physique ou des hypothèses jusqu'à l'implémentation)</t>
  </si>
  <si>
    <t>B.3  Savoir lire, comprendre, concevoir des algorithmes (sans langage spécifique, en privilégiant le pseudo-code)</t>
  </si>
  <si>
    <t>B.4  Savoir analyser et interpréter un résultat, avoir un point de vue critique et l'exprimer</t>
  </si>
  <si>
    <t>C - Sciences de la modélisation</t>
  </si>
  <si>
    <t>CI</t>
  </si>
  <si>
    <t>C.1  Savoir identifier les outils utiles pour la résolution du problème</t>
  </si>
  <si>
    <t>C.2  Connaître, comprendre et savoir faire usage des outils de la modélisation numérique (MEF, VF, DF)</t>
  </si>
  <si>
    <t>C.3  Être capable d'analyse de critique des modèles, des résultats</t>
  </si>
  <si>
    <t>Objectifs d'apprentissage des Sciences</t>
  </si>
  <si>
    <t>Remédiation</t>
  </si>
  <si>
    <t>Propositions d'Items pour les Objectifs d'apprentissage</t>
  </si>
  <si>
    <t>nv</t>
  </si>
  <si>
    <t>lien Unisciel ou livre scolaire</t>
  </si>
  <si>
    <t>Mécanique</t>
  </si>
  <si>
    <t>Point</t>
  </si>
  <si>
    <t>Mécanique du point</t>
  </si>
  <si>
    <t>Distinguer les différents types de force (poids, réaction, frottements (statique et cinétique), tension...).</t>
  </si>
  <si>
    <t>Appliquer le PFD avec et sans frottements à un mouvement plan.</t>
  </si>
  <si>
    <t>Calculer le travail d'une force.</t>
  </si>
  <si>
    <t>Distinguer une force conservative et non conservative.</t>
  </si>
  <si>
    <t>Calculer une énergie mécanique, cinétique, potentielle.</t>
  </si>
  <si>
    <t>Appliquer le théorème de conservation de l'énergie mécanique.</t>
  </si>
  <si>
    <t>Appliquer le théorème de l'énergie cinétique.</t>
  </si>
  <si>
    <t>Établir les équations horaires (sans et avec frottements).</t>
  </si>
  <si>
    <t>Calculer le moment d’une force.</t>
  </si>
  <si>
    <t>Appliquer le PFD avec et sans frottements à un mouvement circulaire.</t>
  </si>
  <si>
    <t>Établir une équation différentielle du 1er et 2ème ordre.</t>
  </si>
  <si>
    <t>Calculer une force.</t>
  </si>
  <si>
    <t>Calculer un moment.</t>
  </si>
  <si>
    <t>Calculer une énergie mécanique.</t>
  </si>
  <si>
    <t>Mécanisme</t>
  </si>
  <si>
    <t>Mécanique du solide</t>
  </si>
  <si>
    <t>Établir le schéma mécanique d'une structure.</t>
  </si>
  <si>
    <t>Solide</t>
  </si>
  <si>
    <t>Appliquer le principe fondamental de la statique.</t>
  </si>
  <si>
    <t>Expliquer l'équilibre statique d'un solide ou d'un ensemble de solides.</t>
  </si>
  <si>
    <t>Appliquer le torseur pour résoudre un problème de statique (PFS).</t>
  </si>
  <si>
    <t>Appliquer les lois de Coulomb.</t>
  </si>
  <si>
    <t>Utiliser les liaisons mécaniques usuelles.</t>
  </si>
  <si>
    <t>Résoudre un problème de statique graphique.</t>
  </si>
  <si>
    <t>Appliquer le principe fondamental de la dynamique.</t>
  </si>
  <si>
    <t>Schématiser les actions mécaniques.</t>
  </si>
  <si>
    <t>Calculer une puissance mécanique.</t>
  </si>
  <si>
    <t>Utiliser les moments d'inertie équivalents.</t>
  </si>
  <si>
    <t>RDM</t>
  </si>
  <si>
    <t>Expliquer les notions "contrainte" et "déformation".</t>
  </si>
  <si>
    <t>Interpréter une courbe de traction (domaines élastique, plastique, striction, rupture) et ses données caractéristiques (résistance élastique, résistance max).</t>
  </si>
  <si>
    <t>Calculer un module d’Young à partir d’une courbe de traction.</t>
  </si>
  <si>
    <t>Calculer une contrainte et un allongement.</t>
  </si>
  <si>
    <t>Utiliser la loi de Hooke.</t>
  </si>
  <si>
    <t>Corréler les propriétés mécaniques et thermiques d’un matériau au type de liaison.</t>
  </si>
  <si>
    <t>Discriminer un matériau pour une application.</t>
  </si>
  <si>
    <t>Identifier les liaisons mécaniques (2D) entre solides, internes/externes (appui simple, articulation).</t>
  </si>
  <si>
    <t>Identifier et appliquer les différents types de charges (force ponctuelle, charge linéique).</t>
  </si>
  <si>
    <t>Déterminer le nombre de degrés de liberté d’un système articulé.</t>
  </si>
  <si>
    <t>Utiliser le principe d’action/réaction pour appliquer le PFS.</t>
  </si>
  <si>
    <t>Mettre en place une méthode de résolution d’un système isostatique.</t>
  </si>
  <si>
    <t>Calculer une descente de charge.</t>
  </si>
  <si>
    <t>Calculer une contrainte normale.</t>
  </si>
  <si>
    <t>Calculer le moment quadratique d’une section.</t>
  </si>
  <si>
    <t>Appliquer une coupure afin de calculer les efforts internes (Effort normal, Effort tranchant, Moment fléchissant sur l’abscisse courante de la poutre).</t>
  </si>
  <si>
    <t>Représenter sur un diagramme les efforts tranchants et moments fléchissants.</t>
  </si>
  <si>
    <t>Expliquer la relation effort tranchant/moment fléchissant dans le cadre de la déformation d’une structure simple.</t>
  </si>
  <si>
    <t>Calculer la déformée par la méthode des intégrations successives (calcul de la rotation de la section (v’= angle)).</t>
  </si>
  <si>
    <t>Sélectionner une poutre (forme, matériau) adaptée à un contexte de structure simple.</t>
  </si>
  <si>
    <t>Fluides</t>
  </si>
  <si>
    <t>Mécanique des fluides</t>
  </si>
  <si>
    <t>Établir l'équation locale de la statique des fluides à partir d'un bilan de forces.</t>
  </si>
  <si>
    <t>Déterminer un champ de pression.</t>
  </si>
  <si>
    <t>Calculer une intégrale multiple.</t>
  </si>
  <si>
    <t>Calculer la résultante des forces de pression sur une surface.</t>
  </si>
  <si>
    <t>Appliquer le théorème Bernoulli sur un fluide en mouvement.</t>
  </si>
  <si>
    <t>Distinguer un écoulement d'un fluide parfait d'un écoulement d'un fluide réel.</t>
  </si>
  <si>
    <t>Calculer les pertes de charges singulières ou régulières.</t>
  </si>
  <si>
    <t>Déterminer les différents types d'écoulements d'un fluide réel à l'aide de nombre adimensionnel.</t>
  </si>
  <si>
    <t>Comparer des circuits équipés de deux pompes centrifuges en série ou en parallèle.</t>
  </si>
  <si>
    <t>Différencier les types de pompes existantes.</t>
  </si>
  <si>
    <t>Sélectionner les organes hydrauliques adéquats.</t>
  </si>
  <si>
    <t>Sélectionner une pompe pour répondre à un réseau hydraulique particulier (HMT, NPSH).</t>
  </si>
  <si>
    <t>Utiliser les matrices.</t>
  </si>
  <si>
    <t>Déterminer le barycentre d'un solide.</t>
  </si>
  <si>
    <t>Utiliser le repère adéquat au problème (cartésien, polaire, sphérique).</t>
  </si>
  <si>
    <t>Résoudre un problème de mécanique du solide.</t>
  </si>
  <si>
    <t>Calculer les matrices d'inertie et les opérateurs d'inertie d'un solide.</t>
  </si>
  <si>
    <t>Utiliser le théorème de Huygens.</t>
  </si>
  <si>
    <t>Représenter les liaisons mécaniques.</t>
  </si>
  <si>
    <t>Établir les torseurs cinématiques et d'action mécanique.</t>
  </si>
  <si>
    <t>Utiliser les engrenages.</t>
  </si>
  <si>
    <t>Electricité - Electromagnétisme</t>
  </si>
  <si>
    <t>Electricité</t>
  </si>
  <si>
    <t>Electricité - courant continu</t>
  </si>
  <si>
    <t>Identifier les différents composants d'un circuit électrique (générateur, résistance, diode, transistor…) (prérequis).</t>
  </si>
  <si>
    <t>Connaître les conventions (générateur et récepteur, sens du courant) (prérequis).</t>
  </si>
  <si>
    <t>Produire une mesure physique à l'aide de l'outil adapté (prérequis).</t>
  </si>
  <si>
    <t>Décrire la constitution et le fonctionnement d'une résistance.</t>
  </si>
  <si>
    <t>Expliquer la notion de différence de potentiel.</t>
  </si>
  <si>
    <t>Appliquer la loi d’Ohm.</t>
  </si>
  <si>
    <t>Appliquer les lois de Kirchhoff.</t>
  </si>
  <si>
    <t>Calculer une résistance équivalente.</t>
  </si>
  <si>
    <t>Appliquer le théorème de Thévenin.</t>
  </si>
  <si>
    <t>Appliquer le théorème du pont diviseur de tension.</t>
  </si>
  <si>
    <t>Décrire le fonctionnement d’une jonction PN.</t>
  </si>
  <si>
    <t>Décrire le fonctionnement d’une diode (caractéristique, polarisation directe et inverse).</t>
  </si>
  <si>
    <t>Décrire le fonctionnement d’un transistor (caractéristique, polarisations).</t>
  </si>
  <si>
    <t>Utiliser le transistor en mode commutation.</t>
  </si>
  <si>
    <t>Sélectionner les composants adéquats pour la conception d'un circuit électronique.</t>
  </si>
  <si>
    <t>Traduire une opération logique en schéma électronique simple à base de transistors.</t>
  </si>
  <si>
    <t>Appliquer le théorème de superposition.</t>
  </si>
  <si>
    <t>Electricité - courant alternatif</t>
  </si>
  <si>
    <t>Expliquer le mécanisme de transformation d'une onde en signal électrique et inversement (principe du micro et du haut-parleur).</t>
  </si>
  <si>
    <t>Décrire les caractéristiques physiques d'un circuit et de ses composants soumis à un courant alternatif (inductance, capacité, impédance, phase, admittance).</t>
  </si>
  <si>
    <t>Représenter et manipuler les grandeurs électriques à l'aide des nombres complexes.</t>
  </si>
  <si>
    <t>Expliquer le principe de l'électromagnétisme dans le contexte d'une bobine.</t>
  </si>
  <si>
    <t>Établir la fonction de transfert d'un système de type micro.</t>
  </si>
  <si>
    <t>Interpréter une courbe de réponse fréquentielle.</t>
  </si>
  <si>
    <t>Analyser la qualité de la transmission du signal en calculant le rapport signal/bruit.</t>
  </si>
  <si>
    <t>Electronique - montages</t>
  </si>
  <si>
    <t>Expliquer le comportement du condensateur dans un circuit (propriétés, charge/décharge, constante de temps).</t>
  </si>
  <si>
    <t>Expliquer le comportement d'une bobine dans un circuit (propriétés, résistance propre, inductance, constante de temps).</t>
  </si>
  <si>
    <t>Expérimenter différents filtres : RL, RC, RLC.</t>
  </si>
  <si>
    <t>Produire un diagramme de Bode.</t>
  </si>
  <si>
    <t>Reconnaître les filtres passe-bas/haut/bande.</t>
  </si>
  <si>
    <t>Calculer un courant et une tension à partir de la loi d'Ohm et des lois de Kirchhoff.</t>
  </si>
  <si>
    <t>Calculer la puissance et l'énergie d'un récepteur ou d'un générateur alimenté en courant continu.</t>
  </si>
  <si>
    <t>Calculer un générateur équivalent à partir de générateurs en série et/ou en parallèle.</t>
  </si>
  <si>
    <t>Calculer une résistance équivalente à partir de résistances en série et/ou en parallèle.</t>
  </si>
  <si>
    <t>lien Moodle</t>
  </si>
  <si>
    <t>Utiliser et modifier un langage de programmation de 1er niveau (Arduino).</t>
  </si>
  <si>
    <t>Calculer les grandeurs instantanées et efficaces du courant alternatif sinusoïdal.</t>
  </si>
  <si>
    <t>Schématiser les grandeurs instantanées et efficaces du courant alternatif sinusoïdal dans un diagramme temporel et de Fresnel.</t>
  </si>
  <si>
    <t>Calculer l'impédance équivalente à partir d'impédances de récepteurs en parallèle ou série (résistance, bobine et self).</t>
  </si>
  <si>
    <t>Calculer la somme de courants ou tensions dans un circuit en régime alternatif sinusoïdal.</t>
  </si>
  <si>
    <t>Calculer les puissances actives et réactives d'un récepteur alimenté en courant alternatif monophasé.</t>
  </si>
  <si>
    <t>Calculer une puissance apparente d'une installation en courant alternatif sinusoïdal monophasé.</t>
  </si>
  <si>
    <t>Utiliser les nombres complexes pour calculer les grandeurs en courant alternatif.</t>
  </si>
  <si>
    <t>Calculer les puissances actives et réactives d'un récepteur alimenté en courant alternatif monophasé ou triphasé.</t>
  </si>
  <si>
    <t>Calculer une puissance apparente d'une installation en courant alternatif sinusoïdal monophasé ou triphasé.</t>
  </si>
  <si>
    <t>Calculer le facteur de puissance d'un récepteur monophasé ou triphasé.</t>
  </si>
  <si>
    <t>Expliquer le fonctionnement d'une machine électromécanique par les lois électriques et mécaniques associées.</t>
  </si>
  <si>
    <t>Utiliser les différentes puissances et pertes d'une machine électromécanique.</t>
  </si>
  <si>
    <t>Utiliser le rendement d'une machine électromécanique fonctionnant en moteur ou en génératrice.</t>
  </si>
  <si>
    <t>Corréler la conversion de l'énergie électrique en énergie mécanique.</t>
  </si>
  <si>
    <t>Analyser le fonctionnement d'un convertisseur d'énergie.</t>
  </si>
  <si>
    <t>Electromagnétisme-Signal</t>
  </si>
  <si>
    <t>Electromagnétisme</t>
  </si>
  <si>
    <t>Utiliser le théorème d'Ampère pour décrire et exprimer le champ magnétique créé par un courant circulant dans des circuits rectilignes ou circulaires.</t>
  </si>
  <si>
    <t>Décrire/Interpréter/Expliquer le fonctionnement global d'un circuit magnétique.</t>
  </si>
  <si>
    <t>Calculer une force créée par un champ magnétique.</t>
  </si>
  <si>
    <t>Expliquer ce qu'est une onde plane et ses grandeurs.</t>
  </si>
  <si>
    <t>Interpréter les équations d'un champ électrique ou magnétique.</t>
  </si>
  <si>
    <t>Calculer la puissance d'une antenne émettrice ou réceptrice.</t>
  </si>
  <si>
    <t>Signal</t>
  </si>
  <si>
    <t>Décrire les caractéristiques physiques (période, fréquence, pulsation, amplitude, longueur d'onde, phase) d'une onde (grandeurs physiques et unités associées).</t>
  </si>
  <si>
    <t>Expliquer le phénomène de propagation d'une onde (atténuation, diffraction, réflexion).</t>
  </si>
  <si>
    <t>Représenter mathématiquement et graphiquement un signal périodique pur.</t>
  </si>
  <si>
    <t>Calculer la somme de plusieurs signaux périodiques purs.</t>
  </si>
  <si>
    <t xml:space="preserve">Rajouter son (bruit blanc, bruit rose, décibel,...) ? </t>
  </si>
  <si>
    <t>Expliquer les relations entre les grandeurs physiques associées à une onde.</t>
  </si>
  <si>
    <t>Estimer les caractéristiques (débit, ...) d'une liaison.</t>
  </si>
  <si>
    <t>Expliquer les différents principes de modulation et démodulation d'un signal analogique et numérique (amplitude, phase et fréquence).</t>
  </si>
  <si>
    <t>Comparer les différents types de codages utilisés dans les transmissions en bande de base (NRZ, NRZI, Manchester, Bipolaire).</t>
  </si>
  <si>
    <t>Electronique de puissance</t>
  </si>
  <si>
    <t>Comprendre le fonctionnement des composants de base de l'électronique de puissance : diode, thrystor, transistor de puissance en commutation, triac</t>
  </si>
  <si>
    <t>Expliquer la forme d'onde de la tension de sortie d'un onduleur.</t>
  </si>
  <si>
    <t>Expliquer la forme d'onde de la tension de sortie d'un redresseur.</t>
  </si>
  <si>
    <t>Expliquer la forme d'onde de la tension de sortie d'un hacheur.</t>
  </si>
  <si>
    <t>Citer la structure des circuits de redressement et d'ondulation de base.</t>
  </si>
  <si>
    <t>Stockage de l'énergie électrique</t>
  </si>
  <si>
    <t>Calculer l'énergie et la puissance d'un accumulateur.</t>
  </si>
  <si>
    <t>Citer les caractéristiques des accumulateurs en phase de charge et de décharge.</t>
  </si>
  <si>
    <t>Citer les différents principes et technologies d'accumulateurs d'énergie électrique.</t>
  </si>
  <si>
    <t>Transformateur</t>
  </si>
  <si>
    <t>Utiliser un multimètre (ampèremètre, voltmètre, ohmmètre).</t>
  </si>
  <si>
    <t>Comprendre les principes de fonctionnement des composants électroniques de base.</t>
  </si>
  <si>
    <t>Citer les lois de base du courant.</t>
  </si>
  <si>
    <t>Citer la structure d'un transformateur et le modéliser par un schéma électrique équivalent.</t>
  </si>
  <si>
    <t>Appliquer les principes des circuits magnétiques à un transformateur.</t>
  </si>
  <si>
    <t>Établir les bilans de puissance d'un transformateur et calculer ses caractéristiques électriques.</t>
  </si>
  <si>
    <t>Utiliser le principe de l'isolation électrique entre les circuits primaire et secondaire.</t>
  </si>
  <si>
    <t>Actionneurs électriques</t>
  </si>
  <si>
    <t>Citer les différentes structures d'une machine à courant continu et le cas particulier du moteur universel.</t>
  </si>
  <si>
    <t>Établir le bilan de puissance d'une machine à courant continu et calculer ses grandeurs électromécaniques.</t>
  </si>
  <si>
    <t>Utiliser les lois de fonctionnement des machines en courant continu.</t>
  </si>
  <si>
    <t>Lister la structure d'un électroaimant.</t>
  </si>
  <si>
    <t>Dimensionner une bobine électrique.</t>
  </si>
  <si>
    <t>Les capteurs</t>
  </si>
  <si>
    <t>Citer les principes physiques de quelques capteurs de base (Pression, température, vitesse et position).</t>
  </si>
  <si>
    <t>Analyser les principaux signaux de mesure en régulation.</t>
  </si>
  <si>
    <t>Comprendre la différence entre mesure absolue et mesure relative avec remise à zéro.</t>
  </si>
  <si>
    <t>Electrostatique</t>
  </si>
  <si>
    <t>Utiliser des intégrales curvilignes.</t>
  </si>
  <si>
    <t>Citer les différents types de propriétes de l'espace soumis à des charges électriques fixes.</t>
  </si>
  <si>
    <t>Utiliser le champ électrique E.</t>
  </si>
  <si>
    <t>Calculer un potentiel électrostatique.</t>
  </si>
  <si>
    <t>Utiliser le théorème de Gauss.</t>
  </si>
  <si>
    <t>Utiliser le théorème de Coulomb.</t>
  </si>
  <si>
    <t>Magnétostatique</t>
  </si>
  <si>
    <t>Reconnaître les équations de Maxwell.</t>
  </si>
  <si>
    <t>Citer les différents types de propriétes de l'espace soumis à des charges électriques en mouvement.</t>
  </si>
  <si>
    <t>Utiliser le champ magnétique B.</t>
  </si>
  <si>
    <t>Utiliser le théorème d'Ampère.</t>
  </si>
  <si>
    <t>Utiliser le théorème d'Ampère Maxwell.</t>
  </si>
  <si>
    <t>Pratiquer les différents types de forces électromagnétiques :  forces de Coulomb, forces de Lorentz, forces de Laplace.</t>
  </si>
  <si>
    <t>Modéliser le mouvement d'une particule chagée dans un champ électromagnétique (accélération radiale et courbure, mouvement circulaire uniforme.</t>
  </si>
  <si>
    <t>Illustrer les phénomènes électromagnétiques dans les applications de la vie courante et industrielle.</t>
  </si>
  <si>
    <t>Automatique</t>
  </si>
  <si>
    <t>Expliquer un modèle simple de comportement.</t>
  </si>
  <si>
    <t>Reconnaïtre un système à partir d'une courbe de réponse indicielle et donner un modèle de représentation.</t>
  </si>
  <si>
    <t>Discuter la cohérence du modèle choisi avec des résultats d'expérimentation.</t>
  </si>
  <si>
    <t>Déterminer les fonctions de transfert en boucle ouverte et en boucle fermée d'un système à partir de la connaissance des diverses fonctions de transfert le constituant.</t>
  </si>
  <si>
    <t>Déterminer la précision en régime permanent.</t>
  </si>
  <si>
    <t>Analyser la stabilité d'un système.</t>
  </si>
  <si>
    <t>Analyser l'influence d'un correcteur P, PI et PID sur un système sous l'aspect temporel et fréquentiel.</t>
  </si>
  <si>
    <t>Expliquer le fonctionnement d'un produit ou d'un système par un graphe d'état (Grafcet..).</t>
  </si>
  <si>
    <t>Citer les différentes technologies de systèmes utilisées en robotique.</t>
  </si>
  <si>
    <t>Examiner les difficultés à la manipulation d'une pièce par un bras robotisé.</t>
  </si>
  <si>
    <t>Relier les notions de robotique à la cobotique.</t>
  </si>
  <si>
    <t>Construire le fonctionnement d'un produit ou d'un système par un graphe d'état (Grafcet..).</t>
  </si>
  <si>
    <t>Décrire la structure d'un système asservi.</t>
  </si>
  <si>
    <t>Modéliser un système en boucle ouverte ou en boucle fermée dans un schéma bloc par les fonctions de transfert.</t>
  </si>
  <si>
    <t>Modéliser un système linéaire invariant.</t>
  </si>
  <si>
    <t>Calculer la fonction de transfert d'un système asservi à partir de signaux de commande donnés : rampe, échelon, impulsion de Dirac.</t>
  </si>
  <si>
    <t>Calculer la Transformée de Laplace directe et inverse d'un système.</t>
  </si>
  <si>
    <t>Expliquer le rôle d'un correcteur dans un système asservi.</t>
  </si>
  <si>
    <t>Utiliser les correcteurs : P, PI ou PID.</t>
  </si>
  <si>
    <t xml:space="preserve">Comprendre la différence entre un fonctionnement en régulation et un fonctionnement en asservissement. </t>
  </si>
  <si>
    <t>Analyser les performances en stabilité d'un système asservi du 1er et ou du 2ème ordre à l'aide des réponses temporelles et fréquentielles.</t>
  </si>
  <si>
    <t>Citer les performances en précision d'un système asservi du 1er et ou du 2ème ordre.</t>
  </si>
  <si>
    <t>Citer les performances en rapidité d'un système asservi du 1er et ou du 2ème ordre.</t>
  </si>
  <si>
    <t>Expérimenter (Régler) un correcteur pour atteindre les performances souhaitées.</t>
  </si>
  <si>
    <t>Thermique - Thermodynamique</t>
  </si>
  <si>
    <t>Thermique</t>
  </si>
  <si>
    <t>Définir la nature et les frontières d’un système.</t>
  </si>
  <si>
    <t>Décrire l'état macroscopique d'un système à l’aide de variables thermodynamiques (P, V, T).</t>
  </si>
  <si>
    <t>Interpréter un diagramme (P,T).</t>
  </si>
  <si>
    <t>Utiliser l’équation des gaz parfaits.</t>
  </si>
  <si>
    <t>Identifier dans une situation la transformation thermodynamique du système (limitée aux corps purs ou mélanges de gaz parfaits).</t>
  </si>
  <si>
    <t>Calculer le travail et la chaleur dans le cas d'une transformation thermodynamique et le représenter dans le diagramme de Clapeyron.</t>
  </si>
  <si>
    <t>Établir un bilan énergétique (1er principe) et calculer les transferts de chaleur et travail.</t>
  </si>
  <si>
    <t>Calculer les flux de chaleur par conduction avec la loi de Fourier (surface plane, cylindrique, sphérique) (simplifications pour rester sur une dimension).</t>
  </si>
  <si>
    <t>Citer les principaux isolants/conducteurs thermiques.</t>
  </si>
  <si>
    <t>Établir une analogie entre loi électrique (voir hydraulique), loi thermique.</t>
  </si>
  <si>
    <t>Calculer les coefficients d'échange convectif dans le cas d'une convection forcée avec la loi de Newton.</t>
  </si>
  <si>
    <t>Expliquer le processus physique de rayonnement thermique.</t>
  </si>
  <si>
    <t>lien1</t>
  </si>
  <si>
    <t>Calculer un flux thermique par rayonnement.</t>
  </si>
  <si>
    <t>Interpréter les enjeux du développement durable en lien avec la règlementation thermique.</t>
  </si>
  <si>
    <t>Établir un bilan thermique (puissance) et quantifier les apports/pertes calorifiques dans l’objectif d’une certification BEPOS (identification ponts thermiques).</t>
  </si>
  <si>
    <t>Interpréter le bilan thermique face à la RT.</t>
  </si>
  <si>
    <t>Proposer des solutions constructives ou des améliorations efficaces vis-à-vis de la réglementation en vigueur.</t>
  </si>
  <si>
    <t>Echanger</t>
  </si>
  <si>
    <t>Déterminer le coefficient global d'un échangeur.</t>
  </si>
  <si>
    <t>Détecter les paramètres influençant le coefficient global (soit pour chauffer soit pour isoler).</t>
  </si>
  <si>
    <t>Comparer les modes de fonctionnement des échangeurs (fluides à co ou contre-courant).</t>
  </si>
  <si>
    <t>Sélectionner un échangeur pour un circuit hydraulique (plaques, tubulaire, à faisceau, calandre….).</t>
  </si>
  <si>
    <t>CVC</t>
  </si>
  <si>
    <t>Décrire les différents réseaux d'équipements fluides d'un bâtiment.</t>
  </si>
  <si>
    <t>Proposer un modèle de pompe à chaleur pour un système de chauffage de bâtiment.</t>
  </si>
  <si>
    <t>Thermique surface</t>
  </si>
  <si>
    <t>Examiner les 3 modes de transferts thermiques.</t>
  </si>
  <si>
    <t>Déterminer les facteurs ayant une influence sur les transferts thermiques.</t>
  </si>
  <si>
    <t>Interpréter les flux d'un transfert de chaleur complexe dans le but de construire une modélisation.</t>
  </si>
  <si>
    <t>Thermodynamique</t>
  </si>
  <si>
    <t>Décrire un système thermodynamique en fonction de ses variables d’état (P, V, T).</t>
  </si>
  <si>
    <t>Calculer le travail dans le cadre d’une transformation particulière.</t>
  </si>
  <si>
    <t>Établir un bilan énergétique afin de calculer les transferts énergétiques (travail ou chaleur) à partir du 1er Principe.</t>
  </si>
  <si>
    <r>
      <t>Utiliser le 2</t>
    </r>
    <r>
      <rPr>
        <vertAlign val="superscript"/>
        <sz val="12"/>
        <rFont val="Calibri"/>
        <family val="2"/>
      </rPr>
      <t>ème</t>
    </r>
    <r>
      <rPr>
        <sz val="12"/>
        <rFont val="Calibri"/>
        <family val="2"/>
      </rPr>
      <t xml:space="preserve"> Principe de la thermodynamique pour étudier la réversibilité, et prédire l’évolution du système.</t>
    </r>
  </si>
  <si>
    <t>Déterminer les variables caractéristiques d’un changement de phase à partir du diagramme de phase ou de l’équation de Clapeyron.</t>
  </si>
  <si>
    <t>Appliquer les concepts et calculs aux machines thermiques : rendement, efficacité, COP.</t>
  </si>
  <si>
    <t>Appliquer le second principe de la thermodynamique.</t>
  </si>
  <si>
    <t>Utiliser le cycle de Carnot.</t>
  </si>
  <si>
    <t>Calculer les échanges de chaleur lors de changements de phase.</t>
  </si>
  <si>
    <t>Proposer une installation type machine thermique pour un bâtiment.</t>
  </si>
  <si>
    <t>Chimie</t>
  </si>
  <si>
    <t>Structure de la matière</t>
  </si>
  <si>
    <t>Décrire la structure de l’atome.</t>
  </si>
  <si>
    <t>Interpréter la capacité réactionnelle d’un élément chimique grâce au tableau périodique.</t>
  </si>
  <si>
    <t>Calculer la masse molaire atomique d’un élément chimique.</t>
  </si>
  <si>
    <t>Décrire les différents types de liaisons et les forces interatomiques associées.</t>
  </si>
  <si>
    <t>Interpréter les propriétés de chaque type de liaison.</t>
  </si>
  <si>
    <t>Identifier les structures cristallines compactes de base (hexagonal et cubique faces centrées).</t>
  </si>
  <si>
    <t>Décrire les défauts d'un cristal réel.</t>
  </si>
  <si>
    <t>Expliquer la notion de température de fusion et de capacité calorifique.</t>
  </si>
  <si>
    <t>Composite -béton</t>
  </si>
  <si>
    <t>Décrire le processus de fabrication des ciments.</t>
  </si>
  <si>
    <t>Expliquer le rôle de l'eau de gâchage et des adjuvants sur la consistance des bétons.</t>
  </si>
  <si>
    <t>Relier les caractéristiques des granulats et leur influence sur les performances du béton à long et à court terme.</t>
  </si>
  <si>
    <t>Expliquer l'origine de la prise, du durcissement du béton au cours du temps.</t>
  </si>
  <si>
    <t>Corréler les performances d'un béton aux paramètres utilisés pour sa formulation.</t>
  </si>
  <si>
    <t>Appliquer les principes de base pour formuler un béton standard conformément à un cahier des charges et aux normes (méthodes Dreux et Gorisse).</t>
  </si>
  <si>
    <t>Décrire le principe de durabilité des structures en béton.</t>
  </si>
  <si>
    <t>Expliquer les mécanismes, les conséquences et remèdes des attaques chimiques.</t>
  </si>
  <si>
    <t>Expliquer les mécanismes, les conséquences et les remèdes des attaques physiques.</t>
  </si>
  <si>
    <t>Expliquer les mécanismes, les conséquences et les remèdes de la corrosion des armatures.</t>
  </si>
  <si>
    <t>Utiliser un diagramme d'équilibre pour un solide (ex Fe-C - alliages - aciers).</t>
  </si>
  <si>
    <t>Décrire les caractéristiques des polymères (masse molaire, basse/haute densité, transition vitreuse), thermoplastique, thermodurcissable.</t>
  </si>
  <si>
    <t>Décrire les caractéristiques des céramiques et alliages métalliques.</t>
  </si>
  <si>
    <t>Décrire les principales méthodes de contrôle non destructif.</t>
  </si>
  <si>
    <t>Acide Base</t>
  </si>
  <si>
    <t>Expliquer les notions de pH, acides forts, faibles, idem bases, Ka et pKa, influence des paramètres…</t>
  </si>
  <si>
    <t>Classifier les couples acido-basiques (acide fort/base forte).</t>
  </si>
  <si>
    <t>Calculer la constante d'équilibre d'une réaction acido-basique et le pH de la solution.</t>
  </si>
  <si>
    <t>Décrire les différentes techniques pour déterminer le pH  (papier pH, titreur automatique…).</t>
  </si>
  <si>
    <t>REDOX</t>
  </si>
  <si>
    <t>Expliquer les notions d'oxydant/réducteur.</t>
  </si>
  <si>
    <t>Classifier les couples oxydant/réducteur.</t>
  </si>
  <si>
    <t>Appliquer l'équation de Nernst aux piles (potentiel standard).</t>
  </si>
  <si>
    <t>Déterminer le potentiel standard d'un couple.</t>
  </si>
  <si>
    <t>Établir une réaction d'oxydo-réduction et calculer la constante d'équilibre.</t>
  </si>
  <si>
    <t>Utiliser un diagramme de solubilité du Fe (II/III).</t>
  </si>
  <si>
    <t>Décrire les différentes techniques pour titrer une réaction d'oxydo-réduction (colorimétrique, conductimétrie, potentiométrie).</t>
  </si>
  <si>
    <t>Décrire les phénomènes de corrosion (lien avec les matériaux et diagramme Fe-C).</t>
  </si>
  <si>
    <t>Cinétique</t>
  </si>
  <si>
    <t>Déterminer l'ordre d'une réaction.</t>
  </si>
  <si>
    <t>Relier les paramètres influençant la cinétique d'une réaction (loi Van'Hoff), température, pression et catalyseurs.</t>
  </si>
  <si>
    <t>Produire le tableau d'avancement d'une réaction et déterminer si la réaction est totale.</t>
  </si>
  <si>
    <t>Déterminer le sens d'évolution d'un système chimique (relier la constante d'équilibre à la thermodynamique).</t>
  </si>
  <si>
    <t>Sécurité</t>
  </si>
  <si>
    <t>Expliquer les 12 principes de la prévention - Conf haut de GAMME.</t>
  </si>
  <si>
    <t>Reconnaître les pictogrammes de danger.</t>
  </si>
  <si>
    <t>Examiner une fiche sécurité (INRS).</t>
  </si>
  <si>
    <t>Détecter les risques chimiques.</t>
  </si>
  <si>
    <t>Sélectionner les équipements adaptés.</t>
  </si>
  <si>
    <t>Proposer un Plan de Prévention Sécurité et Protection de la Santé (PPSPS).</t>
  </si>
  <si>
    <t>Utiliser les principes chimiques de base de l'oxydo-réduction : électrochimie.</t>
  </si>
  <si>
    <t>Déterminer le fonctionnement d'une batterie à partir des principes de l'oxydo-réduction.</t>
  </si>
  <si>
    <t>Décrire le fonctionnement d'un accumulateur à partir des principes de l'électrolyse.</t>
  </si>
  <si>
    <t>Sélectionner les accumulateurs nécessaires.</t>
  </si>
  <si>
    <t>Décrire la structure microscopique de matériaux semi-conducteurs.</t>
  </si>
  <si>
    <t>Relier les propriétés physiques de la matière à sa structure.</t>
  </si>
  <si>
    <t>Décrire les principes de production d'énergie de sources renouvelables (photovoltaïque ou petit éolien).</t>
  </si>
  <si>
    <t>Déterminer les besoins énergétiques (photovoltaïque ou petit éolien).</t>
  </si>
  <si>
    <t>Sélectionner des systèmes énergétiques (photovoltaïque ou petit éolien).</t>
  </si>
  <si>
    <t>Produire un schéma d'ingénierie et analyser les performances de l'implatation des panneaux.</t>
  </si>
  <si>
    <t>Déterminer les coefficients stoechiométriques d'une une réaction chimique.</t>
  </si>
  <si>
    <t>Établir le bilan réactionnel d’une réaction irréversible (proportions stoechiométriques, réactif en excès, quantité de produits formés)</t>
  </si>
  <si>
    <t>Décrire le principe d'une réaction acido-basique (couple acide/base, pH,Ka,pKa...).</t>
  </si>
  <si>
    <t>Déterminer l’espèce majoritaire d’un couple acido-basique en fonction du pH.</t>
  </si>
  <si>
    <t>Déterminer les conditions de précipitation d’un composé en solution.</t>
  </si>
  <si>
    <t>Analyser les conditions de saturation d'une solution.</t>
  </si>
  <si>
    <t>Aide :</t>
  </si>
  <si>
    <t>Vous retrouverez dans les onglets votre cursus</t>
  </si>
  <si>
    <t>Vous retrouverez les éléments évaluables de votre dossier de synthèse avec les chapitres et thèmes sur lesquels vous serez interrogé</t>
  </si>
  <si>
    <t>Vos révisions sont donc ciblées sur la base de ce référentiel et les AAVs des blocs</t>
  </si>
  <si>
    <t>Pour les A1 et A3 vous pouvez renseigner vos scores et voir votre progression par rapport au positionnement</t>
  </si>
  <si>
    <t>3) faites vos diagrammes de remédiation sur la base des scores en pourcentage</t>
  </si>
  <si>
    <t>Compétences</t>
  </si>
  <si>
    <t>Calculer</t>
  </si>
  <si>
    <t xml:space="preserve">Modéliser </t>
  </si>
  <si>
    <t>Valider</t>
  </si>
  <si>
    <t>score</t>
  </si>
  <si>
    <t>Statique du point et du solide</t>
  </si>
  <si>
    <t>Calculer une action mécanique (force et moment)</t>
  </si>
  <si>
    <t>Appliquer le principe fondamental de la statique</t>
  </si>
  <si>
    <t>Utiliser les torseurs pour résoudre un problème de statique du solide</t>
  </si>
  <si>
    <t>Utiliser la loi de Coulomb</t>
  </si>
  <si>
    <t>Cinématique du solide</t>
  </si>
  <si>
    <t>Représenter les liaisons cinématiques</t>
  </si>
  <si>
    <t>Energétique</t>
  </si>
  <si>
    <t>Calculer le travail d’une force</t>
  </si>
  <si>
    <t>Calculer une énergie (cinétique, potentielle, mécanique)</t>
  </si>
  <si>
    <t>Utiliser les théorèmes énergétiques (théorème de l’énergie cinétique, théorème de l’énergie mécanique)</t>
  </si>
  <si>
    <t>Modéliser</t>
  </si>
  <si>
    <t>Calculer un courant et une tension à partir de la loi d'Ohm et des lois de Kirchhoff</t>
  </si>
  <si>
    <t>Calculer la puissance et l'énergie d'un récepteur ou d'un générateur alimenté en courant continu</t>
  </si>
  <si>
    <t>Calculer une résistance équivalente à partir de résistances en série et/ou en parallèle</t>
  </si>
  <si>
    <t xml:space="preserve">Calculer </t>
  </si>
  <si>
    <r>
      <t>Décrire un système thermodynamique</t>
    </r>
    <r>
      <rPr>
        <u/>
        <sz val="12"/>
        <color rgb="FF231F20"/>
        <rFont val="Calibri"/>
        <family val="2"/>
      </rPr>
      <t xml:space="preserve"> fermé ou isolé</t>
    </r>
    <r>
      <rPr>
        <sz val="12"/>
        <color rgb="FF231F20"/>
        <rFont val="Calibri"/>
        <family val="2"/>
      </rPr>
      <t xml:space="preserve"> en fonction de ses variables d’état (P, V, T)</t>
    </r>
  </si>
  <si>
    <t xml:space="preserve">Utiliser la loi des GP </t>
  </si>
  <si>
    <t>Expliquer les différents type de transformations (réversible, isobare, isochore, isotherme, adiabatique)</t>
  </si>
  <si>
    <t>Utiliser la loi des GP et les lois de Laplace dans le cadre des transformations isobares, isothermes,isochores,adiabatiques réversibles pour trouver le travail d'une transformation</t>
  </si>
  <si>
    <t>Discuter d'un  bilan énergétique en utilisant le 1er principe de la thermodynamique</t>
  </si>
  <si>
    <t>Décrire et situer les phénomènes de conduction, convection et rayonnement</t>
  </si>
  <si>
    <t>Objectifs d'apprentissage des sciences physiques</t>
  </si>
  <si>
    <t>Notions à maîtriser en CPI A1 S1</t>
  </si>
  <si>
    <t>UE du DS</t>
  </si>
  <si>
    <t>Domaine</t>
  </si>
  <si>
    <t>Discipline</t>
  </si>
  <si>
    <t>Chapitres</t>
  </si>
  <si>
    <t>Thèmes</t>
  </si>
  <si>
    <t>Utilisation</t>
  </si>
  <si>
    <t>UE 1.3 : Mécanique</t>
  </si>
  <si>
    <t>Bloc Mécanique</t>
  </si>
  <si>
    <t>https://uel.unisciel.fr/physique/meca/meca/co/meca.html</t>
  </si>
  <si>
    <t>Algèbre de Boole</t>
  </si>
  <si>
    <t>Projet Strongbox-Electronique</t>
  </si>
  <si>
    <t>https://uel.unisciel.fr/mathematiques/logique1/logique1/co/logique1.html</t>
  </si>
  <si>
    <t xml:space="preserve">Algèbre : Nombres complexes </t>
  </si>
  <si>
    <t>Projet Strongbox-Electronique et ETS</t>
  </si>
  <si>
    <t>https://uel.unisciel.fr/physique/outils_nancy/outils_nancy_ch04/co/apprendre_ch04.html</t>
  </si>
  <si>
    <t>Analyse : Interpolation, développement limité 0</t>
  </si>
  <si>
    <t>ETS</t>
  </si>
  <si>
    <t>Développements limités (unisciel.fr)</t>
  </si>
  <si>
    <t>UE 1.1 : Electricité et électronique fondamentale
UE 1.2 : Traitement du signal</t>
  </si>
  <si>
    <t>Bloc Electronique et signal</t>
  </si>
  <si>
    <t>https://uel.unisciel.fr/physique/continu/continu/co/continu.html</t>
  </si>
  <si>
    <t>2. Les graphes | Lelivrescolaire.fr</t>
  </si>
  <si>
    <t>https://uel.unisciel.fr/physique/vibrapropa/vibrapropa_ch02/co/vibrapropa_ch02.html</t>
  </si>
  <si>
    <t>Géomètrie analytique</t>
  </si>
  <si>
    <t>1. Vecteurs de l'espace | Lelivrescolaire.fr</t>
  </si>
  <si>
    <t>Géomètrie : produit scalaire et vectoriel</t>
  </si>
  <si>
    <t>Projet Mécanique et ETS</t>
  </si>
  <si>
    <t>Produit scalaire [Vecteurs] (unisciel.fr)</t>
  </si>
  <si>
    <t>Analyse : Fonctions périodiques</t>
  </si>
  <si>
    <t xml:space="preserve">Projet Signal </t>
  </si>
  <si>
    <t>Généralités sur les fonctions (unisciel.fr)</t>
  </si>
  <si>
    <t xml:space="preserve">Analyse : Approfondissement sur les fonctions </t>
  </si>
  <si>
    <t>Projet Etude de fonction</t>
  </si>
  <si>
    <t>Etude locale des fonctions d'une variable réelle (unisciel.fr)</t>
  </si>
  <si>
    <t>Analyse : Primitives-Intégrations  0</t>
  </si>
  <si>
    <t>ETS et Projet Etude de fonctions</t>
  </si>
  <si>
    <t>L'intégrale simple (unisciel.fr)</t>
  </si>
  <si>
    <t>Analyse : Equations différentielles  0</t>
  </si>
  <si>
    <t>Equations différentielles (unisciel.fr)</t>
  </si>
  <si>
    <t>Analyse : Suites et Séries</t>
  </si>
  <si>
    <t>Suites de nombres réels (unisciel.fr)</t>
  </si>
  <si>
    <t>Probabilités- Statistique</t>
  </si>
  <si>
    <t>Probabilités et statistiques - Lois de probabilité continues (unisciel.fr)</t>
  </si>
  <si>
    <t>Notions à maîtriser en CPI A1 S2  (+ onglet A1 CPI S1)</t>
  </si>
  <si>
    <t xml:space="preserve">Algèbre : Nombres complexes, arithmétique </t>
  </si>
  <si>
    <t>Algèbre :  arithmétique</t>
  </si>
  <si>
    <t>https://uel.unisciel.fr/mathematiques/arithmetique/arithmetique/co/arithmetique.html</t>
  </si>
  <si>
    <t>Théorie des ensembles</t>
  </si>
  <si>
    <t>Projet BDD</t>
  </si>
  <si>
    <t>UE 2.4 : Thermodynamique et thermique</t>
  </si>
  <si>
    <t>Bloc BTP</t>
  </si>
  <si>
    <t>Algèbre : Nombres complexes</t>
  </si>
  <si>
    <t>lien2</t>
  </si>
  <si>
    <t>lien 3</t>
  </si>
  <si>
    <t>lien 4</t>
  </si>
  <si>
    <t xml:space="preserve">Algèbre : Matrices et système  </t>
  </si>
  <si>
    <t>Cours [Calcul matriciel] (unisciel.fr)</t>
  </si>
  <si>
    <t xml:space="preserve">Algèbre : Graphes </t>
  </si>
  <si>
    <t>Géométire vectorielle</t>
  </si>
  <si>
    <t>Géométrie analytique (unisciel.fr)</t>
  </si>
  <si>
    <t>https://ressources.unisciel.fr/sillages/physique/thermodynamique_2a_mp_al/res/thermodynamique4_diffusion_thermique_2a_mp_2016.pdf</t>
  </si>
  <si>
    <t>https://ressources.unisciel.fr/sillages/physique/cours_physique_1a_2a/res/Diffusion_thermique.pdf</t>
  </si>
  <si>
    <t>https://uel.unisciel.fr/chimie/chimther/chimther/co/chimther.html</t>
  </si>
  <si>
    <t>https://uel.unisciel.fr/chimie/strucmic/strucmic/co/strucmic.html</t>
  </si>
  <si>
    <t>Analyse : Intégration 1</t>
  </si>
  <si>
    <t>https://uel.unisciel.fr/physique/outils_nancy/outils_nancy_ch08/co/outils_nancy_ch08.html</t>
  </si>
  <si>
    <t>Analyse : Equations différentielles 1</t>
  </si>
  <si>
    <t>Systèmes différentiels (unisciel.fr)</t>
  </si>
  <si>
    <t>Probabilités</t>
  </si>
  <si>
    <t>Projet Industrie et ETS</t>
  </si>
  <si>
    <t>https://ressources.unisciel.fr/ramses/519-21_probabilites/co/fa901_5.html</t>
  </si>
  <si>
    <t>Statistiques descriptives</t>
  </si>
  <si>
    <t>Statistiques inférentielle</t>
  </si>
  <si>
    <t>Notions à maîtriser en A2 (en révisant le socle A1)</t>
  </si>
  <si>
    <t>UE 3.3 : Thermique et Mécanique des fluides</t>
  </si>
  <si>
    <t>Projet Mécanique des fluides</t>
  </si>
  <si>
    <t>Maths spécialité : graphes en FISE info FISA info</t>
  </si>
  <si>
    <t>Maths élémentaires</t>
  </si>
  <si>
    <t>UE 4.2 : Mécanique / Electromagnétisme</t>
  </si>
  <si>
    <t>Projet Mécanique</t>
  </si>
  <si>
    <t>UE 3.4 : Electrotechnique embarquée et Automatique</t>
  </si>
  <si>
    <t>Bloc Asservsissement</t>
  </si>
  <si>
    <t>https://uel.unisciel.fr</t>
  </si>
  <si>
    <t>Projet Mécanique des fluides et ETS</t>
  </si>
  <si>
    <t>UE 3.1 : Chimie et Matériaux</t>
  </si>
  <si>
    <t>Bloc Béton</t>
  </si>
  <si>
    <t>https://uel.unisciel.fr/chimie/cinet/cinet/co/cinet.html</t>
  </si>
  <si>
    <t>voir onglet CPI S1 et S2</t>
  </si>
  <si>
    <t>Projet Système embarqué</t>
  </si>
  <si>
    <t>Complexité et algorithmique avancée : Une introduction Ed. 2 Auteur: Lavallée, Ivan Editeur: Editions Hermann Année de Publication: 2008</t>
  </si>
  <si>
    <t>Notions à maîtriser en cycle ingénieur S5</t>
  </si>
  <si>
    <t>UE 5.3 Sciences physiques</t>
  </si>
  <si>
    <t>SAS (P2 Vieux-pont)
et
Projet Energ'in box</t>
  </si>
  <si>
    <t>https://uel.unisciel.fr/physique/meca/meca/co/meca.html
https://uel.unisciel.fr/physique/continu/continu/co/continu.html</t>
  </si>
  <si>
    <t>Analyse : Intégrations 1</t>
  </si>
  <si>
    <t>UE 5.4 : Matériaux et Energies renouvelables</t>
  </si>
  <si>
    <t>Analyse : Suites et Séries 1</t>
  </si>
  <si>
    <t xml:space="preserve">Mathématiques : élémentaire  </t>
  </si>
  <si>
    <t>Notions à maîtriser en cycle ingénieur en S6  (+ onglet A3 CI S5)</t>
  </si>
  <si>
    <t>UE 6.2 - Sciences physiques</t>
  </si>
  <si>
    <t>Projet Electrotechnique</t>
  </si>
  <si>
    <t>https://uel.unisciel.fr/physique/outils_nancy/outils_nancy_ch11/co/outils_nancy_ch11.html</t>
  </si>
  <si>
    <t>https://uel.unisciel.fr/physique/elecstat/elecstat/co/elecstat.html</t>
  </si>
  <si>
    <t>https://uel.unisciel.fr/physique/magneto/magneto/co/magneto.html</t>
  </si>
  <si>
    <t>Projet Thermique</t>
  </si>
  <si>
    <t>pac.unisciel.fr/fonctions-de-variables/</t>
  </si>
  <si>
    <t>Projet A2P2</t>
  </si>
  <si>
    <t>https://uel.unisciel.fr/mathematiques/dev_limites/dev_limites/co/dev_limites.html</t>
  </si>
  <si>
    <t>Projet Modélisation numérique</t>
  </si>
  <si>
    <t>https://uel.unisciel.fr/mathematiques/eq_diff/eq_diff/co/eq_diff.html</t>
  </si>
  <si>
    <t>Projet Statistiques appliquées</t>
  </si>
  <si>
    <t>Maths spé en FISA S3E : série numérique</t>
  </si>
  <si>
    <t>Séries numériques (unisciel.fr)</t>
  </si>
  <si>
    <t>Maths spé en FISA S3E : Décompositon d'un signal périodique en série de Fourier</t>
  </si>
  <si>
    <t>Projet Great Barreer et ETS</t>
  </si>
  <si>
    <t xml:space="preserve">Maths spé maths en G et BTP :  Probabilité </t>
  </si>
  <si>
    <t xml:space="preserve">Statistique univarié et bivariés </t>
  </si>
  <si>
    <t xml:space="preserve">Maths spé maths en G et BTP :  Statistique univarié et bivariés  </t>
  </si>
  <si>
    <t xml:space="preserve"> Maths  spé en FISE info, G et FISA INFO</t>
  </si>
  <si>
    <t>Projet DATA</t>
  </si>
  <si>
    <t xml:space="preserve"> Maths spé en FISE info, G et FISA INFO</t>
  </si>
  <si>
    <t>Projet industrie</t>
  </si>
  <si>
    <t>ScholarVox : Précis de recherche opérationnelle : Méthodes et exercices d'application Ed. 7 Faure, Dunod 2014</t>
  </si>
  <si>
    <t>Notions à maitriser en cycle ingénieur en A4 (en révisant le socle A3)</t>
  </si>
  <si>
    <t>Projets</t>
  </si>
  <si>
    <t xml:space="preserve">Mathématiques pour l'ingénieur : Démarche </t>
  </si>
  <si>
    <t>https://www.lelivrescolaire.fr/page/13110512</t>
  </si>
  <si>
    <t>https://uel.unisciel.fr/physique/outils_nancy/outils_nancy_ch08/co/apprendre_ch08_09.html</t>
  </si>
  <si>
    <t xml:space="preserve">UE 7.2 - Automatique et Communication </t>
  </si>
  <si>
    <t>Espaces vectoriels euclidiens - A retenir (unisciel.fr)</t>
  </si>
  <si>
    <t>Projet Systèmes automatisés</t>
  </si>
  <si>
    <t>ScholarVox : Automatique : Systèmes linéaires, non linéaires, à temps continu, à temps discret, représentation d'états... Ed. 4 page 3 à 24 inclus</t>
  </si>
  <si>
    <t>Projet et ETS</t>
  </si>
  <si>
    <t>Maths de spécialité S3E : trasnformée de Fourier et en Z</t>
  </si>
  <si>
    <t>https://hal.archives-ouvertes.fr/hal-02442442/document</t>
  </si>
  <si>
    <t>Formation  S3E</t>
  </si>
  <si>
    <t>Maths de spécialité S3E : Synthèse des filtres numériques et analogiques</t>
  </si>
  <si>
    <t>Maths de spécialité S3E</t>
  </si>
  <si>
    <t xml:space="preserve">Mathématiques pour l'ingénieur : Modélisation </t>
  </si>
  <si>
    <t>Statistiques descriptives | Lelivrescolaire.fr</t>
  </si>
  <si>
    <t>Statistiques et Probabilités | La Licence Type (unisciel.fr)</t>
  </si>
  <si>
    <t>Décision [Introduction aux tests statistiques en génétique des populations] (unisciel.fr)</t>
  </si>
  <si>
    <t>Statistique pour ingénieur | Canal U (canal-u.tv)</t>
  </si>
  <si>
    <t>Maths de spé : RO</t>
  </si>
  <si>
    <t>Maths de spécialité Généraliste  : RO</t>
  </si>
  <si>
    <t xml:space="preserve">Projet </t>
  </si>
  <si>
    <t>Une note supérieure à 10/20 au test de positionnement est attendu au minimum</t>
  </si>
  <si>
    <t>2) Insérer vos résultats (nombre de bonnes réponses sur THEIA) dans les cases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</si>
</sst>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color rgb="FF000000"/>
      <name val="Arial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6"/>
      <color theme="1"/>
      <name val="Arial"/>
      <family val="2"/>
    </font>
    <font>
      <sz val="16"/>
      <color rgb="FF000000"/>
      <name val="Arial"/>
      <family val="2"/>
    </font>
    <font>
      <b/>
      <sz val="10"/>
      <color theme="3"/>
      <name val="Arial"/>
      <family val="2"/>
    </font>
    <font>
      <b/>
      <sz val="12"/>
      <color rgb="FF000000"/>
      <name val="Arial"/>
      <family val="2"/>
    </font>
    <font>
      <b/>
      <u/>
      <sz val="10"/>
      <color theme="10"/>
      <name val="Arial"/>
      <family val="2"/>
    </font>
    <font>
      <i/>
      <sz val="10"/>
      <color theme="1"/>
      <name val="Calibri"/>
      <family val="2"/>
    </font>
    <font>
      <b/>
      <sz val="20"/>
      <color theme="1"/>
      <name val="Calibri"/>
      <family val="2"/>
    </font>
    <font>
      <b/>
      <sz val="14"/>
      <color theme="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28"/>
      <color rgb="FF000000"/>
      <name val="Calibri"/>
      <family val="2"/>
    </font>
    <font>
      <b/>
      <sz val="18"/>
      <color rgb="FF000000"/>
      <name val="Calibri"/>
      <family val="2"/>
    </font>
    <font>
      <b/>
      <sz val="24"/>
      <color theme="1"/>
      <name val="Calibri"/>
      <family val="2"/>
    </font>
    <font>
      <sz val="20"/>
      <color rgb="FF000000"/>
      <name val="Calibri"/>
      <family val="2"/>
    </font>
    <font>
      <b/>
      <sz val="12"/>
      <color rgb="FF000000"/>
      <name val="Calibri"/>
      <family val="2"/>
    </font>
    <font>
      <b/>
      <sz val="18"/>
      <color theme="1"/>
      <name val="Calibri"/>
      <family val="2"/>
    </font>
    <font>
      <b/>
      <sz val="14"/>
      <color rgb="FF000000"/>
      <name val="Calibri"/>
      <family val="2"/>
    </font>
    <font>
      <sz val="16"/>
      <color rgb="FF000000"/>
      <name val="Calibri"/>
      <family val="2"/>
    </font>
    <font>
      <i/>
      <sz val="10"/>
      <color rgb="FF000000"/>
      <name val="Calibri"/>
      <family val="2"/>
    </font>
    <font>
      <u/>
      <sz val="10"/>
      <color theme="1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b/>
      <sz val="22"/>
      <color theme="0"/>
      <name val="Calibri"/>
      <family val="2"/>
    </font>
    <font>
      <b/>
      <sz val="14"/>
      <name val="Calibri"/>
      <family val="2"/>
    </font>
    <font>
      <b/>
      <sz val="12"/>
      <color theme="1"/>
      <name val="Calibri"/>
      <family val="2"/>
    </font>
    <font>
      <b/>
      <sz val="12"/>
      <color rgb="FF444444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vertAlign val="superscript"/>
      <sz val="12"/>
      <name val="Calibri"/>
      <family val="2"/>
    </font>
    <font>
      <b/>
      <sz val="14"/>
      <color rgb="FFD2005E"/>
      <name val="Calibri"/>
      <family val="2"/>
    </font>
    <font>
      <b/>
      <sz val="12"/>
      <color rgb="FF231F20"/>
      <name val="Calibri"/>
      <family val="2"/>
    </font>
    <font>
      <sz val="12"/>
      <color rgb="FF231F20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sz val="16"/>
      <color theme="1"/>
      <name val="Calibri"/>
      <family val="2"/>
    </font>
    <font>
      <u/>
      <sz val="12"/>
      <color rgb="FF231F20"/>
      <name val="Calibri"/>
      <family val="2"/>
    </font>
    <font>
      <u/>
      <sz val="12"/>
      <color theme="10"/>
      <name val="Calibri"/>
      <family val="2"/>
    </font>
    <font>
      <b/>
      <sz val="24"/>
      <color rgb="FF000000"/>
      <name val="Calibri"/>
      <family val="2"/>
    </font>
  </fonts>
  <fills count="4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theme="6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C88DA"/>
        <bgColor rgb="FFFBBC04"/>
      </patternFill>
    </fill>
    <fill>
      <patternFill patternType="solid">
        <fgColor theme="4" tint="0.79998168889431442"/>
        <bgColor rgb="FFFCE5CD"/>
      </patternFill>
    </fill>
    <fill>
      <patternFill patternType="solid">
        <fgColor theme="4" tint="0.79998168889431442"/>
        <bgColor rgb="FFB6D7A8"/>
      </patternFill>
    </fill>
    <fill>
      <patternFill patternType="solid">
        <fgColor theme="4" tint="0.79998168889431442"/>
        <bgColor rgb="FFC9DAF8"/>
      </patternFill>
    </fill>
    <fill>
      <patternFill patternType="solid">
        <fgColor rgb="FF1B365D"/>
        <bgColor indexed="64"/>
      </patternFill>
    </fill>
    <fill>
      <patternFill patternType="solid">
        <fgColor rgb="FF5C88DA"/>
        <bgColor indexed="64"/>
      </patternFill>
    </fill>
    <fill>
      <patternFill patternType="solid">
        <fgColor rgb="FF326295"/>
        <bgColor indexed="64"/>
      </patternFill>
    </fill>
    <fill>
      <patternFill patternType="solid">
        <fgColor rgb="FF69B3E7"/>
        <bgColor indexed="64"/>
      </patternFill>
    </fill>
    <fill>
      <patternFill patternType="solid">
        <fgColor rgb="FFD2005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5C88DA"/>
        <bgColor rgb="FFCCCCCC"/>
      </patternFill>
    </fill>
    <fill>
      <patternFill patternType="solid">
        <fgColor rgb="FFB1B3B3"/>
        <bgColor indexed="64"/>
      </patternFill>
    </fill>
    <fill>
      <patternFill patternType="solid">
        <fgColor rgb="FFDEE7F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rgb="FF000000"/>
      </top>
      <bottom style="thin">
        <color rgb="FF000000"/>
      </bottom>
      <diagonal/>
    </border>
    <border>
      <left style="thick">
        <color auto="1"/>
      </left>
      <right/>
      <top style="thin">
        <color rgb="FF000000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ck">
        <color auto="1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ck">
        <color auto="1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ck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auto="1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medium">
        <color auto="1"/>
      </right>
      <top style="thin">
        <color indexed="64"/>
      </top>
      <bottom/>
      <diagonal/>
    </border>
    <border>
      <left style="thick">
        <color auto="1"/>
      </left>
      <right style="medium">
        <color auto="1"/>
      </right>
      <top/>
      <bottom style="thin">
        <color indexed="64"/>
      </bottom>
      <diagonal/>
    </border>
    <border>
      <left style="thick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auto="1"/>
      </bottom>
      <diagonal/>
    </border>
    <border>
      <left style="thin">
        <color indexed="64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auto="1"/>
      </bottom>
      <diagonal/>
    </border>
    <border>
      <left style="thick">
        <color auto="1"/>
      </left>
      <right style="thin">
        <color indexed="64"/>
      </right>
      <top/>
      <bottom/>
      <diagonal/>
    </border>
    <border>
      <left style="thick">
        <color auto="1"/>
      </left>
      <right style="thin">
        <color indexed="64"/>
      </right>
      <top/>
      <bottom style="thick">
        <color auto="1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/>
      <diagonal/>
    </border>
    <border>
      <left style="thin">
        <color indexed="64"/>
      </left>
      <right/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ck">
        <color auto="1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/>
      <diagonal/>
    </border>
    <border>
      <left/>
      <right style="thin">
        <color indexed="64"/>
      </right>
      <top/>
      <bottom style="thick">
        <color auto="1"/>
      </bottom>
      <diagonal/>
    </border>
    <border>
      <left/>
      <right style="thin">
        <color indexed="64"/>
      </right>
      <top style="thick">
        <color auto="1"/>
      </top>
      <bottom/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ck">
        <color auto="1"/>
      </top>
      <bottom/>
      <diagonal/>
    </border>
    <border>
      <left style="thin">
        <color indexed="64"/>
      </left>
      <right style="thick">
        <color auto="1"/>
      </right>
      <top/>
      <bottom style="thick">
        <color auto="1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" fillId="0" borderId="0"/>
  </cellStyleXfs>
  <cellXfs count="536">
    <xf numFmtId="0" fontId="0" fillId="0" borderId="0" xfId="0"/>
    <xf numFmtId="0" fontId="3" fillId="0" borderId="0" xfId="0" applyFont="1" applyAlignment="1">
      <alignment horizontal="left" vertical="top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8" fillId="0" borderId="0" xfId="0" applyFont="1"/>
    <xf numFmtId="0" fontId="0" fillId="0" borderId="0" xfId="0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4" xfId="0" applyBorder="1"/>
    <xf numFmtId="0" fontId="2" fillId="0" borderId="0" xfId="0" applyFont="1"/>
    <xf numFmtId="0" fontId="2" fillId="19" borderId="0" xfId="0" applyFont="1" applyFill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17" borderId="20" xfId="0" applyFont="1" applyFill="1" applyBorder="1" applyAlignment="1">
      <alignment wrapText="1"/>
    </xf>
    <xf numFmtId="0" fontId="2" fillId="19" borderId="0" xfId="0" applyFont="1" applyFill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2" fillId="18" borderId="0" xfId="0" applyFont="1" applyFill="1" applyAlignment="1">
      <alignment horizontal="center" vertical="center" wrapText="1"/>
    </xf>
    <xf numFmtId="0" fontId="6" fillId="25" borderId="0" xfId="1" applyFill="1" applyBorder="1" applyAlignment="1">
      <alignment vertical="top"/>
    </xf>
    <xf numFmtId="0" fontId="4" fillId="0" borderId="0" xfId="0" applyFont="1" applyAlignment="1">
      <alignment horizontal="center" vertical="center" wrapText="1"/>
    </xf>
    <xf numFmtId="0" fontId="6" fillId="0" borderId="0" xfId="1" applyAlignment="1">
      <alignment horizontal="center" vertical="center" wrapText="1"/>
    </xf>
    <xf numFmtId="0" fontId="2" fillId="24" borderId="22" xfId="0" applyFont="1" applyFill="1" applyBorder="1" applyAlignment="1">
      <alignment horizontal="center" vertical="center" wrapText="1"/>
    </xf>
    <xf numFmtId="0" fontId="2" fillId="24" borderId="23" xfId="0" applyFont="1" applyFill="1" applyBorder="1" applyAlignment="1">
      <alignment horizontal="center" vertical="center" wrapText="1"/>
    </xf>
    <xf numFmtId="0" fontId="2" fillId="24" borderId="20" xfId="0" applyFont="1" applyFill="1" applyBorder="1" applyAlignment="1">
      <alignment horizontal="center" vertical="center" wrapText="1"/>
    </xf>
    <xf numFmtId="0" fontId="6" fillId="0" borderId="0" xfId="1"/>
    <xf numFmtId="0" fontId="2" fillId="0" borderId="14" xfId="0" applyFont="1" applyBorder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4" fillId="28" borderId="32" xfId="0" applyFont="1" applyFill="1" applyBorder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vertical="center"/>
    </xf>
    <xf numFmtId="0" fontId="17" fillId="29" borderId="36" xfId="0" applyFont="1" applyFill="1" applyBorder="1" applyAlignment="1">
      <alignment vertical="center"/>
    </xf>
    <xf numFmtId="0" fontId="17" fillId="0" borderId="36" xfId="0" applyFont="1" applyBorder="1" applyAlignment="1">
      <alignment vertical="center"/>
    </xf>
    <xf numFmtId="0" fontId="17" fillId="30" borderId="36" xfId="0" applyFont="1" applyFill="1" applyBorder="1" applyAlignment="1">
      <alignment vertical="center"/>
    </xf>
    <xf numFmtId="0" fontId="17" fillId="31" borderId="36" xfId="0" applyFont="1" applyFill="1" applyBorder="1" applyAlignment="1">
      <alignment vertical="center"/>
    </xf>
    <xf numFmtId="0" fontId="18" fillId="31" borderId="37" xfId="0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8" fillId="0" borderId="0" xfId="0" applyFont="1"/>
    <xf numFmtId="0" fontId="30" fillId="0" borderId="0" xfId="1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31" fillId="4" borderId="7" xfId="0" applyFont="1" applyFill="1" applyBorder="1" applyAlignment="1">
      <alignment horizontal="left" vertical="center" wrapText="1"/>
    </xf>
    <xf numFmtId="0" fontId="15" fillId="0" borderId="0" xfId="0" applyFont="1" applyAlignment="1">
      <alignment wrapText="1"/>
    </xf>
    <xf numFmtId="0" fontId="30" fillId="0" borderId="0" xfId="1" applyFont="1" applyBorder="1" applyAlignment="1">
      <alignment horizontal="center" vertical="center" wrapText="1"/>
    </xf>
    <xf numFmtId="0" fontId="27" fillId="0" borderId="0" xfId="0" applyFont="1" applyAlignment="1">
      <alignment horizontal="left" vertical="top"/>
    </xf>
    <xf numFmtId="0" fontId="27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top"/>
    </xf>
    <xf numFmtId="0" fontId="29" fillId="0" borderId="0" xfId="0" applyFont="1" applyAlignment="1">
      <alignment horizontal="left" vertical="top"/>
    </xf>
    <xf numFmtId="0" fontId="32" fillId="32" borderId="2" xfId="0" applyFont="1" applyFill="1" applyBorder="1" applyAlignment="1">
      <alignment horizontal="left" vertical="center"/>
    </xf>
    <xf numFmtId="0" fontId="14" fillId="32" borderId="2" xfId="0" applyFont="1" applyFill="1" applyBorder="1" applyAlignment="1">
      <alignment horizontal="left" vertical="center"/>
    </xf>
    <xf numFmtId="0" fontId="32" fillId="33" borderId="2" xfId="0" applyFont="1" applyFill="1" applyBorder="1" applyAlignment="1">
      <alignment horizontal="left" vertical="center"/>
    </xf>
    <xf numFmtId="0" fontId="14" fillId="33" borderId="2" xfId="0" applyFont="1" applyFill="1" applyBorder="1" applyAlignment="1">
      <alignment horizontal="left" vertical="center"/>
    </xf>
    <xf numFmtId="0" fontId="32" fillId="34" borderId="2" xfId="0" applyFont="1" applyFill="1" applyBorder="1" applyAlignment="1">
      <alignment horizontal="left" vertical="center"/>
    </xf>
    <xf numFmtId="0" fontId="14" fillId="34" borderId="2" xfId="0" applyFont="1" applyFill="1" applyBorder="1" applyAlignment="1">
      <alignment horizontal="left" vertical="center"/>
    </xf>
    <xf numFmtId="0" fontId="32" fillId="35" borderId="3" xfId="0" applyFont="1" applyFill="1" applyBorder="1" applyAlignment="1">
      <alignment horizontal="left" vertical="center" wrapText="1"/>
    </xf>
    <xf numFmtId="0" fontId="14" fillId="35" borderId="3" xfId="0" applyFont="1" applyFill="1" applyBorder="1" applyAlignment="1">
      <alignment horizontal="left" vertical="center" wrapText="1"/>
    </xf>
    <xf numFmtId="0" fontId="28" fillId="0" borderId="0" xfId="0" applyFont="1" applyAlignment="1">
      <alignment vertical="center"/>
    </xf>
    <xf numFmtId="0" fontId="27" fillId="5" borderId="7" xfId="0" applyFont="1" applyFill="1" applyBorder="1" applyAlignment="1">
      <alignment horizontal="left" vertical="center"/>
    </xf>
    <xf numFmtId="0" fontId="30" fillId="25" borderId="0" xfId="1" applyFont="1" applyFill="1" applyBorder="1" applyAlignment="1">
      <alignment vertical="center"/>
    </xf>
    <xf numFmtId="0" fontId="12" fillId="0" borderId="7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38" fillId="5" borderId="2" xfId="0" applyFont="1" applyFill="1" applyBorder="1" applyAlignment="1">
      <alignment horizontal="left" vertical="center"/>
    </xf>
    <xf numFmtId="0" fontId="15" fillId="0" borderId="33" xfId="0" applyFont="1" applyBorder="1" applyAlignment="1">
      <alignment vertical="center"/>
    </xf>
    <xf numFmtId="0" fontId="15" fillId="0" borderId="34" xfId="0" applyFont="1" applyBorder="1" applyAlignment="1">
      <alignment vertical="center"/>
    </xf>
    <xf numFmtId="0" fontId="26" fillId="4" borderId="42" xfId="0" applyFont="1" applyFill="1" applyBorder="1" applyAlignment="1">
      <alignment horizontal="left" vertical="center" wrapText="1"/>
    </xf>
    <xf numFmtId="0" fontId="25" fillId="5" borderId="0" xfId="0" applyFont="1" applyFill="1" applyAlignment="1">
      <alignment horizontal="left" vertical="center"/>
    </xf>
    <xf numFmtId="0" fontId="24" fillId="6" borderId="34" xfId="0" applyFont="1" applyFill="1" applyBorder="1" applyAlignment="1">
      <alignment horizontal="center" vertical="center"/>
    </xf>
    <xf numFmtId="0" fontId="27" fillId="5" borderId="0" xfId="0" applyFont="1" applyFill="1" applyAlignment="1">
      <alignment horizontal="left" vertical="center"/>
    </xf>
    <xf numFmtId="0" fontId="27" fillId="5" borderId="31" xfId="0" applyFont="1" applyFill="1" applyBorder="1" applyAlignment="1">
      <alignment vertical="center"/>
    </xf>
    <xf numFmtId="0" fontId="27" fillId="5" borderId="31" xfId="0" applyFont="1" applyFill="1" applyBorder="1" applyAlignment="1">
      <alignment vertical="center" wrapText="1"/>
    </xf>
    <xf numFmtId="0" fontId="27" fillId="5" borderId="43" xfId="0" applyFont="1" applyFill="1" applyBorder="1" applyAlignment="1">
      <alignment vertical="center"/>
    </xf>
    <xf numFmtId="0" fontId="14" fillId="35" borderId="38" xfId="0" applyFont="1" applyFill="1" applyBorder="1" applyAlignment="1">
      <alignment horizontal="left" vertical="center" wrapText="1"/>
    </xf>
    <xf numFmtId="0" fontId="32" fillId="35" borderId="38" xfId="0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0" fontId="14" fillId="32" borderId="5" xfId="0" applyFont="1" applyFill="1" applyBorder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29" fillId="0" borderId="47" xfId="0" applyFont="1" applyBorder="1" applyAlignment="1">
      <alignment horizontal="left" vertical="center"/>
    </xf>
    <xf numFmtId="0" fontId="39" fillId="25" borderId="5" xfId="0" applyFont="1" applyFill="1" applyBorder="1" applyAlignment="1">
      <alignment horizontal="left" vertical="center" wrapText="1"/>
    </xf>
    <xf numFmtId="0" fontId="39" fillId="25" borderId="2" xfId="0" applyFont="1" applyFill="1" applyBorder="1" applyAlignment="1">
      <alignment horizontal="left" vertical="center" wrapText="1"/>
    </xf>
    <xf numFmtId="0" fontId="39" fillId="25" borderId="2" xfId="0" applyFont="1" applyFill="1" applyBorder="1" applyAlignment="1">
      <alignment vertical="center"/>
    </xf>
    <xf numFmtId="0" fontId="39" fillId="25" borderId="2" xfId="0" applyFont="1" applyFill="1" applyBorder="1" applyAlignment="1">
      <alignment vertical="center" wrapText="1"/>
    </xf>
    <xf numFmtId="0" fontId="39" fillId="0" borderId="2" xfId="0" applyFont="1" applyBorder="1" applyAlignment="1">
      <alignment vertical="center" wrapText="1"/>
    </xf>
    <xf numFmtId="0" fontId="39" fillId="0" borderId="2" xfId="0" applyFont="1" applyBorder="1" applyAlignment="1">
      <alignment horizontal="left" vertical="center" wrapText="1"/>
    </xf>
    <xf numFmtId="0" fontId="38" fillId="4" borderId="2" xfId="0" applyFont="1" applyFill="1" applyBorder="1" applyAlignment="1">
      <alignment horizontal="left" vertical="center" wrapText="1"/>
    </xf>
    <xf numFmtId="0" fontId="39" fillId="25" borderId="2" xfId="2" applyFont="1" applyFill="1" applyBorder="1" applyAlignment="1">
      <alignment vertical="center" wrapText="1"/>
    </xf>
    <xf numFmtId="0" fontId="39" fillId="25" borderId="2" xfId="0" quotePrefix="1" applyFont="1" applyFill="1" applyBorder="1" applyAlignment="1">
      <alignment horizontal="left" vertical="center" wrapText="1"/>
    </xf>
    <xf numFmtId="0" fontId="39" fillId="25" borderId="2" xfId="0" quotePrefix="1" applyFont="1" applyFill="1" applyBorder="1" applyAlignment="1">
      <alignment vertical="center" wrapText="1"/>
    </xf>
    <xf numFmtId="0" fontId="39" fillId="0" borderId="2" xfId="0" applyFont="1" applyBorder="1" applyAlignment="1">
      <alignment vertical="center"/>
    </xf>
    <xf numFmtId="0" fontId="39" fillId="25" borderId="38" xfId="0" applyFont="1" applyFill="1" applyBorder="1" applyAlignment="1">
      <alignment horizontal="left" vertical="center" wrapText="1"/>
    </xf>
    <xf numFmtId="0" fontId="14" fillId="32" borderId="3" xfId="0" applyFont="1" applyFill="1" applyBorder="1" applyAlignment="1">
      <alignment horizontal="left" vertical="center"/>
    </xf>
    <xf numFmtId="0" fontId="32" fillId="32" borderId="3" xfId="0" applyFont="1" applyFill="1" applyBorder="1" applyAlignment="1">
      <alignment horizontal="left" vertical="center"/>
    </xf>
    <xf numFmtId="0" fontId="39" fillId="25" borderId="3" xfId="0" applyFont="1" applyFill="1" applyBorder="1" applyAlignment="1">
      <alignment vertical="center"/>
    </xf>
    <xf numFmtId="0" fontId="14" fillId="33" borderId="48" xfId="0" applyFont="1" applyFill="1" applyBorder="1" applyAlignment="1">
      <alignment horizontal="left" vertical="center"/>
    </xf>
    <xf numFmtId="0" fontId="32" fillId="33" borderId="48" xfId="0" applyFont="1" applyFill="1" applyBorder="1" applyAlignment="1">
      <alignment horizontal="left" vertical="center"/>
    </xf>
    <xf numFmtId="0" fontId="38" fillId="5" borderId="48" xfId="0" applyFont="1" applyFill="1" applyBorder="1" applyAlignment="1">
      <alignment horizontal="left" vertical="center"/>
    </xf>
    <xf numFmtId="0" fontId="27" fillId="5" borderId="49" xfId="0" applyFont="1" applyFill="1" applyBorder="1" applyAlignment="1">
      <alignment horizontal="left" vertical="center"/>
    </xf>
    <xf numFmtId="0" fontId="14" fillId="33" borderId="3" xfId="0" applyFont="1" applyFill="1" applyBorder="1" applyAlignment="1">
      <alignment horizontal="left" vertical="center"/>
    </xf>
    <xf numFmtId="0" fontId="32" fillId="33" borderId="3" xfId="0" applyFont="1" applyFill="1" applyBorder="1" applyAlignment="1">
      <alignment horizontal="left" vertical="center"/>
    </xf>
    <xf numFmtId="0" fontId="39" fillId="0" borderId="3" xfId="0" applyFont="1" applyBorder="1" applyAlignment="1">
      <alignment vertical="center" wrapText="1"/>
    </xf>
    <xf numFmtId="0" fontId="29" fillId="0" borderId="8" xfId="0" applyFont="1" applyBorder="1" applyAlignment="1">
      <alignment horizontal="left" vertical="center" wrapText="1"/>
    </xf>
    <xf numFmtId="0" fontId="32" fillId="34" borderId="48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 wrapText="1"/>
    </xf>
    <xf numFmtId="0" fontId="31" fillId="4" borderId="49" xfId="0" applyFont="1" applyFill="1" applyBorder="1" applyAlignment="1">
      <alignment horizontal="left" vertical="center" wrapText="1"/>
    </xf>
    <xf numFmtId="0" fontId="32" fillId="34" borderId="3" xfId="0" applyFont="1" applyFill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0" fontId="14" fillId="35" borderId="51" xfId="0" applyFont="1" applyFill="1" applyBorder="1" applyAlignment="1">
      <alignment horizontal="left" vertical="center" wrapText="1"/>
    </xf>
    <xf numFmtId="0" fontId="32" fillId="35" borderId="51" xfId="0" applyFont="1" applyFill="1" applyBorder="1" applyAlignment="1">
      <alignment horizontal="left" vertical="center" wrapText="1"/>
    </xf>
    <xf numFmtId="0" fontId="25" fillId="5" borderId="2" xfId="0" applyFont="1" applyFill="1" applyBorder="1" applyAlignment="1">
      <alignment horizontal="left" vertical="center"/>
    </xf>
    <xf numFmtId="0" fontId="36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vertical="center" wrapText="1"/>
    </xf>
    <xf numFmtId="0" fontId="36" fillId="4" borderId="2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5" fillId="0" borderId="35" xfId="0" applyFont="1" applyBorder="1" applyAlignment="1">
      <alignment vertical="center"/>
    </xf>
    <xf numFmtId="0" fontId="15" fillId="0" borderId="52" xfId="0" applyFont="1" applyBorder="1" applyAlignment="1">
      <alignment vertical="center"/>
    </xf>
    <xf numFmtId="0" fontId="15" fillId="0" borderId="53" xfId="0" applyFont="1" applyBorder="1" applyAlignment="1">
      <alignment vertical="center"/>
    </xf>
    <xf numFmtId="0" fontId="15" fillId="0" borderId="39" xfId="0" applyFont="1" applyBorder="1" applyAlignment="1">
      <alignment vertical="center"/>
    </xf>
    <xf numFmtId="0" fontId="32" fillId="36" borderId="0" xfId="0" applyFont="1" applyFill="1" applyAlignment="1">
      <alignment vertical="center"/>
    </xf>
    <xf numFmtId="0" fontId="33" fillId="36" borderId="0" xfId="0" applyFont="1" applyFill="1" applyAlignment="1">
      <alignment vertical="center"/>
    </xf>
    <xf numFmtId="0" fontId="41" fillId="0" borderId="0" xfId="0" applyFont="1" applyAlignment="1">
      <alignment vertical="center"/>
    </xf>
    <xf numFmtId="0" fontId="43" fillId="0" borderId="8" xfId="0" applyFont="1" applyBorder="1" applyAlignment="1">
      <alignment horizontal="left" vertical="center" wrapText="1" readingOrder="1"/>
    </xf>
    <xf numFmtId="0" fontId="42" fillId="0" borderId="0" xfId="0" applyFont="1" applyAlignment="1">
      <alignment horizontal="center" vertical="center" readingOrder="1"/>
    </xf>
    <xf numFmtId="0" fontId="43" fillId="0" borderId="0" xfId="0" applyFont="1" applyAlignment="1">
      <alignment horizontal="left" vertical="center" wrapText="1" readingOrder="1"/>
    </xf>
    <xf numFmtId="0" fontId="36" fillId="0" borderId="59" xfId="0" applyFont="1" applyBorder="1" applyAlignment="1">
      <alignment horizontal="center" vertical="center"/>
    </xf>
    <xf numFmtId="0" fontId="43" fillId="0" borderId="7" xfId="0" applyFont="1" applyBorder="1" applyAlignment="1">
      <alignment horizontal="left" vertical="center" wrapText="1" readingOrder="1"/>
    </xf>
    <xf numFmtId="0" fontId="42" fillId="0" borderId="63" xfId="0" applyFont="1" applyBorder="1" applyAlignment="1">
      <alignment horizontal="left" vertical="center" readingOrder="1"/>
    </xf>
    <xf numFmtId="0" fontId="20" fillId="0" borderId="0" xfId="0" applyFont="1" applyAlignment="1">
      <alignment vertical="center"/>
    </xf>
    <xf numFmtId="0" fontId="15" fillId="25" borderId="0" xfId="0" applyFont="1" applyFill="1" applyAlignment="1">
      <alignment vertical="center"/>
    </xf>
    <xf numFmtId="0" fontId="42" fillId="0" borderId="68" xfId="0" applyFont="1" applyBorder="1" applyAlignment="1">
      <alignment horizontal="center" vertical="center" readingOrder="1"/>
    </xf>
    <xf numFmtId="0" fontId="43" fillId="0" borderId="69" xfId="0" applyFont="1" applyBorder="1" applyAlignment="1">
      <alignment horizontal="left" vertical="center" wrapText="1" readingOrder="1"/>
    </xf>
    <xf numFmtId="0" fontId="15" fillId="0" borderId="71" xfId="0" applyFont="1" applyBorder="1" applyAlignment="1">
      <alignment vertical="center"/>
    </xf>
    <xf numFmtId="0" fontId="15" fillId="0" borderId="31" xfId="0" applyFont="1" applyBorder="1" applyAlignment="1">
      <alignment vertical="center"/>
    </xf>
    <xf numFmtId="0" fontId="15" fillId="0" borderId="43" xfId="0" applyFont="1" applyBorder="1" applyAlignment="1">
      <alignment vertical="center"/>
    </xf>
    <xf numFmtId="0" fontId="43" fillId="0" borderId="78" xfId="0" applyFont="1" applyBorder="1" applyAlignment="1">
      <alignment horizontal="left" vertical="center" wrapText="1" readingOrder="1"/>
    </xf>
    <xf numFmtId="0" fontId="43" fillId="37" borderId="1" xfId="0" applyFont="1" applyFill="1" applyBorder="1" applyAlignment="1">
      <alignment horizontal="left" vertical="center" wrapText="1" readingOrder="1"/>
    </xf>
    <xf numFmtId="0" fontId="15" fillId="37" borderId="25" xfId="0" applyFont="1" applyFill="1" applyBorder="1" applyAlignment="1">
      <alignment horizontal="center" vertical="center"/>
    </xf>
    <xf numFmtId="0" fontId="15" fillId="37" borderId="2" xfId="0" applyFont="1" applyFill="1" applyBorder="1" applyAlignment="1">
      <alignment horizontal="center" vertical="center"/>
    </xf>
    <xf numFmtId="0" fontId="15" fillId="37" borderId="35" xfId="0" applyFont="1" applyFill="1" applyBorder="1" applyAlignment="1">
      <alignment vertical="center"/>
    </xf>
    <xf numFmtId="0" fontId="43" fillId="37" borderId="7" xfId="0" applyFont="1" applyFill="1" applyBorder="1" applyAlignment="1">
      <alignment horizontal="left" vertical="center" wrapText="1" readingOrder="1"/>
    </xf>
    <xf numFmtId="0" fontId="15" fillId="37" borderId="56" xfId="0" applyFont="1" applyFill="1" applyBorder="1" applyAlignment="1">
      <alignment horizontal="center" vertical="center"/>
    </xf>
    <xf numFmtId="0" fontId="15" fillId="37" borderId="5" xfId="0" applyFont="1" applyFill="1" applyBorder="1" applyAlignment="1">
      <alignment horizontal="center" vertical="center"/>
    </xf>
    <xf numFmtId="0" fontId="15" fillId="37" borderId="57" xfId="0" applyFont="1" applyFill="1" applyBorder="1" applyAlignment="1">
      <alignment vertical="center"/>
    </xf>
    <xf numFmtId="0" fontId="43" fillId="37" borderId="8" xfId="0" applyFont="1" applyFill="1" applyBorder="1" applyAlignment="1">
      <alignment horizontal="left" vertical="center" wrapText="1" readingOrder="1"/>
    </xf>
    <xf numFmtId="0" fontId="43" fillId="0" borderId="64" xfId="0" applyFont="1" applyBorder="1" applyAlignment="1">
      <alignment horizontal="left" vertical="center" wrapText="1" readingOrder="1"/>
    </xf>
    <xf numFmtId="0" fontId="15" fillId="0" borderId="65" xfId="0" applyFont="1" applyBorder="1" applyAlignment="1">
      <alignment horizontal="center" vertical="center"/>
    </xf>
    <xf numFmtId="0" fontId="15" fillId="0" borderId="66" xfId="0" applyFont="1" applyBorder="1" applyAlignment="1">
      <alignment horizontal="center" vertical="center"/>
    </xf>
    <xf numFmtId="0" fontId="15" fillId="0" borderId="67" xfId="0" applyFont="1" applyBorder="1" applyAlignment="1">
      <alignment vertical="center"/>
    </xf>
    <xf numFmtId="0" fontId="32" fillId="36" borderId="0" xfId="0" applyFont="1" applyFill="1" applyAlignment="1">
      <alignment horizontal="center" vertical="center"/>
    </xf>
    <xf numFmtId="0" fontId="33" fillId="36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3" fillId="0" borderId="73" xfId="0" applyFont="1" applyBorder="1" applyAlignment="1">
      <alignment horizontal="center" vertical="center" wrapText="1" readingOrder="1"/>
    </xf>
    <xf numFmtId="0" fontId="15" fillId="0" borderId="38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 wrapText="1" readingOrder="1"/>
    </xf>
    <xf numFmtId="0" fontId="45" fillId="33" borderId="79" xfId="0" applyFont="1" applyFill="1" applyBorder="1" applyAlignment="1">
      <alignment horizontal="center" vertical="center" readingOrder="1"/>
    </xf>
    <xf numFmtId="0" fontId="45" fillId="33" borderId="80" xfId="0" applyFont="1" applyFill="1" applyBorder="1" applyAlignment="1">
      <alignment horizontal="center" vertical="center" readingOrder="1"/>
    </xf>
    <xf numFmtId="0" fontId="15" fillId="0" borderId="2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5" xfId="0" applyFont="1" applyBorder="1" applyAlignment="1">
      <alignment vertical="center"/>
    </xf>
    <xf numFmtId="0" fontId="43" fillId="37" borderId="77" xfId="0" applyFont="1" applyFill="1" applyBorder="1" applyAlignment="1">
      <alignment horizontal="left" vertical="center" wrapText="1" readingOrder="1"/>
    </xf>
    <xf numFmtId="0" fontId="15" fillId="37" borderId="5" xfId="0" applyFont="1" applyFill="1" applyBorder="1" applyAlignment="1">
      <alignment horizontal="center" vertical="center" wrapText="1"/>
    </xf>
    <xf numFmtId="0" fontId="43" fillId="37" borderId="78" xfId="0" applyFont="1" applyFill="1" applyBorder="1" applyAlignment="1">
      <alignment horizontal="left" vertical="center" wrapText="1" readingOrder="1"/>
    </xf>
    <xf numFmtId="0" fontId="15" fillId="0" borderId="25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37" borderId="0" xfId="0" applyFont="1" applyFill="1" applyAlignment="1">
      <alignment vertical="center"/>
    </xf>
    <xf numFmtId="0" fontId="43" fillId="0" borderId="82" xfId="0" applyFont="1" applyBorder="1" applyAlignment="1">
      <alignment horizontal="left" vertical="center" wrapText="1" readingOrder="1"/>
    </xf>
    <xf numFmtId="0" fontId="15" fillId="0" borderId="83" xfId="0" applyFont="1" applyBorder="1" applyAlignment="1">
      <alignment vertical="center"/>
    </xf>
    <xf numFmtId="0" fontId="43" fillId="0" borderId="81" xfId="0" applyFont="1" applyBorder="1" applyAlignment="1">
      <alignment horizontal="center" vertical="center" wrapText="1" readingOrder="1"/>
    </xf>
    <xf numFmtId="0" fontId="15" fillId="0" borderId="70" xfId="0" applyFont="1" applyBorder="1" applyAlignment="1">
      <alignment horizontal="center" vertical="center"/>
    </xf>
    <xf numFmtId="0" fontId="43" fillId="37" borderId="82" xfId="0" applyFont="1" applyFill="1" applyBorder="1" applyAlignment="1">
      <alignment horizontal="left" vertical="center" wrapText="1" readingOrder="1"/>
    </xf>
    <xf numFmtId="0" fontId="15" fillId="37" borderId="28" xfId="0" applyFont="1" applyFill="1" applyBorder="1" applyAlignment="1">
      <alignment horizontal="center" vertical="center" wrapText="1"/>
    </xf>
    <xf numFmtId="0" fontId="15" fillId="37" borderId="3" xfId="0" applyFont="1" applyFill="1" applyBorder="1" applyAlignment="1">
      <alignment horizontal="center" vertical="center" wrapText="1"/>
    </xf>
    <xf numFmtId="0" fontId="15" fillId="37" borderId="55" xfId="0" applyFont="1" applyFill="1" applyBorder="1" applyAlignment="1">
      <alignment vertical="center"/>
    </xf>
    <xf numFmtId="0" fontId="43" fillId="0" borderId="69" xfId="0" applyFont="1" applyBorder="1" applyAlignment="1">
      <alignment horizontal="center" vertical="center" wrapText="1" readingOrder="1"/>
    </xf>
    <xf numFmtId="0" fontId="16" fillId="0" borderId="0" xfId="0" applyFont="1"/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38" fillId="0" borderId="5" xfId="0" applyFont="1" applyBorder="1" applyAlignment="1">
      <alignment horizontal="left" vertical="center"/>
    </xf>
    <xf numFmtId="0" fontId="27" fillId="0" borderId="6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38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0" xfId="0" applyFont="1" applyAlignment="1">
      <alignment vertical="center" wrapText="1"/>
    </xf>
    <xf numFmtId="0" fontId="25" fillId="41" borderId="23" xfId="0" applyFont="1" applyFill="1" applyBorder="1" applyAlignment="1">
      <alignment horizontal="center" vertical="center" wrapText="1"/>
    </xf>
    <xf numFmtId="0" fontId="25" fillId="41" borderId="87" xfId="0" applyFont="1" applyFill="1" applyBorder="1" applyAlignment="1">
      <alignment horizontal="center" vertical="center" wrapText="1"/>
    </xf>
    <xf numFmtId="0" fontId="46" fillId="2" borderId="31" xfId="0" applyFont="1" applyFill="1" applyBorder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48" fillId="0" borderId="33" xfId="1" applyFont="1" applyBorder="1" applyAlignment="1">
      <alignment vertical="center"/>
    </xf>
    <xf numFmtId="0" fontId="18" fillId="0" borderId="34" xfId="0" applyFont="1" applyBorder="1" applyAlignment="1">
      <alignment vertical="center"/>
    </xf>
    <xf numFmtId="0" fontId="25" fillId="0" borderId="38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8" fillId="42" borderId="94" xfId="0" applyFont="1" applyFill="1" applyBorder="1" applyAlignment="1">
      <alignment vertical="center"/>
    </xf>
    <xf numFmtId="0" fontId="39" fillId="0" borderId="95" xfId="0" applyFont="1" applyBorder="1" applyAlignment="1">
      <alignment vertical="center"/>
    </xf>
    <xf numFmtId="0" fontId="27" fillId="42" borderId="6" xfId="0" applyFont="1" applyFill="1" applyBorder="1" applyAlignment="1">
      <alignment vertical="center"/>
    </xf>
    <xf numFmtId="0" fontId="25" fillId="42" borderId="27" xfId="0" applyFont="1" applyFill="1" applyBorder="1" applyAlignment="1">
      <alignment vertical="center"/>
    </xf>
    <xf numFmtId="0" fontId="38" fillId="0" borderId="3" xfId="0" applyFont="1" applyBorder="1" applyAlignment="1">
      <alignment horizontal="left" vertical="center"/>
    </xf>
    <xf numFmtId="0" fontId="25" fillId="42" borderId="2" xfId="0" applyFont="1" applyFill="1" applyBorder="1" applyAlignment="1">
      <alignment vertical="center"/>
    </xf>
    <xf numFmtId="0" fontId="18" fillId="42" borderId="27" xfId="0" applyFont="1" applyFill="1" applyBorder="1" applyAlignment="1">
      <alignment vertical="center"/>
    </xf>
    <xf numFmtId="0" fontId="39" fillId="0" borderId="3" xfId="0" applyFont="1" applyBorder="1" applyAlignment="1">
      <alignment vertical="center"/>
    </xf>
    <xf numFmtId="0" fontId="18" fillId="42" borderId="2" xfId="0" applyFont="1" applyFill="1" applyBorder="1" applyAlignment="1">
      <alignment vertical="center"/>
    </xf>
    <xf numFmtId="0" fontId="18" fillId="0" borderId="97" xfId="0" applyFont="1" applyBorder="1" applyAlignment="1">
      <alignment vertical="center"/>
    </xf>
    <xf numFmtId="0" fontId="14" fillId="34" borderId="24" xfId="0" applyFont="1" applyFill="1" applyBorder="1" applyAlignment="1">
      <alignment vertical="center" wrapText="1"/>
    </xf>
    <xf numFmtId="0" fontId="14" fillId="34" borderId="4" xfId="0" applyFont="1" applyFill="1" applyBorder="1" applyAlignment="1">
      <alignment vertical="center" wrapText="1"/>
    </xf>
    <xf numFmtId="0" fontId="27" fillId="42" borderId="10" xfId="0" applyFont="1" applyFill="1" applyBorder="1" applyAlignment="1">
      <alignment vertical="center"/>
    </xf>
    <xf numFmtId="0" fontId="25" fillId="42" borderId="5" xfId="0" applyFont="1" applyFill="1" applyBorder="1" applyAlignment="1">
      <alignment vertical="center"/>
    </xf>
    <xf numFmtId="0" fontId="18" fillId="42" borderId="5" xfId="0" applyFont="1" applyFill="1" applyBorder="1" applyAlignment="1">
      <alignment vertical="center"/>
    </xf>
    <xf numFmtId="0" fontId="46" fillId="2" borderId="43" xfId="0" applyFont="1" applyFill="1" applyBorder="1" applyAlignment="1">
      <alignment horizontal="center" vertical="center" wrapText="1"/>
    </xf>
    <xf numFmtId="0" fontId="46" fillId="2" borderId="74" xfId="0" applyFont="1" applyFill="1" applyBorder="1" applyAlignment="1">
      <alignment horizontal="center" vertical="center" wrapText="1"/>
    </xf>
    <xf numFmtId="0" fontId="25" fillId="42" borderId="91" xfId="0" applyFont="1" applyFill="1" applyBorder="1" applyAlignment="1">
      <alignment vertical="center"/>
    </xf>
    <xf numFmtId="0" fontId="18" fillId="42" borderId="91" xfId="0" applyFont="1" applyFill="1" applyBorder="1" applyAlignment="1">
      <alignment vertical="center"/>
    </xf>
    <xf numFmtId="0" fontId="25" fillId="42" borderId="38" xfId="0" applyFont="1" applyFill="1" applyBorder="1" applyAlignment="1">
      <alignment vertical="center"/>
    </xf>
    <xf numFmtId="0" fontId="18" fillId="42" borderId="38" xfId="0" applyFont="1" applyFill="1" applyBorder="1" applyAlignment="1">
      <alignment vertical="center"/>
    </xf>
    <xf numFmtId="0" fontId="38" fillId="0" borderId="38" xfId="0" applyFont="1" applyBorder="1" applyAlignment="1">
      <alignment horizontal="left" vertical="center"/>
    </xf>
    <xf numFmtId="0" fontId="39" fillId="0" borderId="38" xfId="0" applyFont="1" applyBorder="1" applyAlignment="1">
      <alignment vertical="center"/>
    </xf>
    <xf numFmtId="0" fontId="39" fillId="0" borderId="96" xfId="0" applyFont="1" applyBorder="1" applyAlignment="1">
      <alignment vertical="center"/>
    </xf>
    <xf numFmtId="0" fontId="38" fillId="0" borderId="99" xfId="0" applyFont="1" applyBorder="1" applyAlignment="1">
      <alignment horizontal="left" vertical="center"/>
    </xf>
    <xf numFmtId="0" fontId="39" fillId="0" borderId="99" xfId="0" applyFont="1" applyBorder="1" applyAlignment="1">
      <alignment vertical="center"/>
    </xf>
    <xf numFmtId="0" fontId="39" fillId="0" borderId="94" xfId="0" applyFont="1" applyBorder="1" applyAlignment="1">
      <alignment vertical="center"/>
    </xf>
    <xf numFmtId="0" fontId="14" fillId="34" borderId="51" xfId="0" applyFont="1" applyFill="1" applyBorder="1" applyAlignment="1">
      <alignment horizontal="left" vertical="center"/>
    </xf>
    <xf numFmtId="0" fontId="14" fillId="34" borderId="4" xfId="0" applyFont="1" applyFill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74" xfId="0" applyFont="1" applyFill="1" applyBorder="1" applyAlignment="1">
      <alignment horizontal="center" vertical="center" wrapText="1"/>
    </xf>
    <xf numFmtId="0" fontId="25" fillId="42" borderId="92" xfId="0" applyFont="1" applyFill="1" applyBorder="1" applyAlignment="1">
      <alignment vertical="center"/>
    </xf>
    <xf numFmtId="0" fontId="18" fillId="42" borderId="92" xfId="0" applyFont="1" applyFill="1" applyBorder="1" applyAlignment="1">
      <alignment vertical="center"/>
    </xf>
    <xf numFmtId="0" fontId="39" fillId="0" borderId="2" xfId="0" quotePrefix="1" applyFont="1" applyBorder="1" applyAlignment="1">
      <alignment vertical="center" wrapText="1"/>
    </xf>
    <xf numFmtId="0" fontId="14" fillId="33" borderId="106" xfId="0" applyFont="1" applyFill="1" applyBorder="1" applyAlignment="1">
      <alignment horizontal="left" vertical="center"/>
    </xf>
    <xf numFmtId="0" fontId="14" fillId="33" borderId="38" xfId="0" applyFont="1" applyFill="1" applyBorder="1" applyAlignment="1">
      <alignment horizontal="left" vertical="center"/>
    </xf>
    <xf numFmtId="0" fontId="14" fillId="33" borderId="5" xfId="0" applyFont="1" applyFill="1" applyBorder="1" applyAlignment="1">
      <alignment horizontal="left" vertical="center"/>
    </xf>
    <xf numFmtId="0" fontId="38" fillId="0" borderId="4" xfId="0" applyFont="1" applyBorder="1" applyAlignment="1">
      <alignment horizontal="left" vertical="center"/>
    </xf>
    <xf numFmtId="0" fontId="39" fillId="0" borderId="4" xfId="0" applyFont="1" applyBorder="1" applyAlignment="1">
      <alignment vertical="center"/>
    </xf>
    <xf numFmtId="0" fontId="39" fillId="0" borderId="107" xfId="0" applyFont="1" applyBorder="1" applyAlignment="1">
      <alignment vertical="center"/>
    </xf>
    <xf numFmtId="0" fontId="14" fillId="32" borderId="92" xfId="0" applyFont="1" applyFill="1" applyBorder="1" applyAlignment="1">
      <alignment horizontal="left" vertical="center"/>
    </xf>
    <xf numFmtId="0" fontId="14" fillId="32" borderId="38" xfId="0" applyFont="1" applyFill="1" applyBorder="1" applyAlignment="1">
      <alignment horizontal="left" vertical="center"/>
    </xf>
    <xf numFmtId="0" fontId="14" fillId="33" borderId="92" xfId="0" applyFont="1" applyFill="1" applyBorder="1" applyAlignment="1">
      <alignment horizontal="left" vertical="center"/>
    </xf>
    <xf numFmtId="0" fontId="14" fillId="35" borderId="99" xfId="0" applyFont="1" applyFill="1" applyBorder="1" applyAlignment="1">
      <alignment horizontal="left" vertical="center" wrapText="1"/>
    </xf>
    <xf numFmtId="0" fontId="16" fillId="25" borderId="0" xfId="0" applyFont="1" applyFill="1"/>
    <xf numFmtId="0" fontId="18" fillId="42" borderId="95" xfId="0" applyFont="1" applyFill="1" applyBorder="1" applyAlignment="1">
      <alignment vertical="center"/>
    </xf>
    <xf numFmtId="0" fontId="14" fillId="35" borderId="2" xfId="0" applyFont="1" applyFill="1" applyBorder="1" applyAlignment="1">
      <alignment horizontal="left" vertical="center" wrapText="1"/>
    </xf>
    <xf numFmtId="0" fontId="15" fillId="0" borderId="103" xfId="0" applyFont="1" applyBorder="1"/>
    <xf numFmtId="0" fontId="15" fillId="0" borderId="104" xfId="0" applyFont="1" applyBorder="1"/>
    <xf numFmtId="0" fontId="2" fillId="0" borderId="104" xfId="0" applyFont="1" applyBorder="1" applyAlignment="1">
      <alignment horizontal="center" vertical="center" wrapText="1"/>
    </xf>
    <xf numFmtId="0" fontId="0" fillId="0" borderId="103" xfId="0" applyBorder="1" applyAlignment="1">
      <alignment vertical="center"/>
    </xf>
    <xf numFmtId="0" fontId="0" fillId="0" borderId="104" xfId="0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105" xfId="0" applyBorder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15" xfId="0" applyBorder="1"/>
    <xf numFmtId="0" fontId="28" fillId="0" borderId="105" xfId="0" applyFont="1" applyBorder="1"/>
    <xf numFmtId="0" fontId="18" fillId="42" borderId="96" xfId="0" applyFont="1" applyFill="1" applyBorder="1" applyAlignment="1">
      <alignment vertical="center"/>
    </xf>
    <xf numFmtId="0" fontId="14" fillId="35" borderId="92" xfId="0" applyFont="1" applyFill="1" applyBorder="1" applyAlignment="1">
      <alignment horizontal="left" vertical="center" wrapText="1"/>
    </xf>
    <xf numFmtId="0" fontId="30" fillId="0" borderId="103" xfId="1" applyFont="1" applyBorder="1"/>
    <xf numFmtId="0" fontId="15" fillId="0" borderId="105" xfId="0" applyFont="1" applyBorder="1"/>
    <xf numFmtId="0" fontId="30" fillId="0" borderId="104" xfId="1" applyFont="1" applyBorder="1"/>
    <xf numFmtId="0" fontId="15" fillId="0" borderId="104" xfId="0" applyFont="1" applyBorder="1" applyAlignment="1">
      <alignment horizontal="center" vertical="center" wrapText="1"/>
    </xf>
    <xf numFmtId="0" fontId="30" fillId="0" borderId="104" xfId="1" applyFont="1" applyBorder="1" applyAlignment="1">
      <alignment horizontal="center" vertical="center" wrapText="1"/>
    </xf>
    <xf numFmtId="0" fontId="15" fillId="0" borderId="105" xfId="0" applyFont="1" applyBorder="1" applyAlignment="1">
      <alignment horizontal="center" vertical="center" wrapText="1"/>
    </xf>
    <xf numFmtId="0" fontId="30" fillId="0" borderId="105" xfId="1" applyFont="1" applyBorder="1" applyAlignment="1">
      <alignment horizontal="center" vertical="center" wrapText="1"/>
    </xf>
    <xf numFmtId="0" fontId="39" fillId="0" borderId="5" xfId="0" applyFont="1" applyBorder="1" applyAlignment="1">
      <alignment vertical="center"/>
    </xf>
    <xf numFmtId="0" fontId="0" fillId="0" borderId="33" xfId="0" applyBorder="1"/>
    <xf numFmtId="0" fontId="0" fillId="0" borderId="34" xfId="0" applyBorder="1"/>
    <xf numFmtId="0" fontId="2" fillId="44" borderId="86" xfId="0" applyFont="1" applyFill="1" applyBorder="1" applyAlignment="1">
      <alignment horizontal="center" vertical="center" wrapText="1"/>
    </xf>
    <xf numFmtId="0" fontId="6" fillId="0" borderId="104" xfId="1" applyBorder="1" applyAlignment="1">
      <alignment horizontal="center" vertical="center" wrapText="1"/>
    </xf>
    <xf numFmtId="0" fontId="0" fillId="0" borderId="44" xfId="0" applyBorder="1"/>
    <xf numFmtId="0" fontId="0" fillId="0" borderId="30" xfId="0" applyBorder="1" applyAlignment="1">
      <alignment vertical="center"/>
    </xf>
    <xf numFmtId="0" fontId="29" fillId="0" borderId="30" xfId="0" applyFont="1" applyBorder="1" applyAlignment="1">
      <alignment horizontal="left" vertical="top"/>
    </xf>
    <xf numFmtId="0" fontId="14" fillId="33" borderId="46" xfId="0" applyFont="1" applyFill="1" applyBorder="1" applyAlignment="1">
      <alignment horizontal="left" vertical="center"/>
    </xf>
    <xf numFmtId="0" fontId="14" fillId="33" borderId="26" xfId="0" applyFont="1" applyFill="1" applyBorder="1" applyAlignment="1">
      <alignment horizontal="left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30" fillId="25" borderId="0" xfId="1" applyFont="1" applyFill="1" applyBorder="1" applyAlignment="1">
      <alignment horizontal="center" vertical="center" wrapText="1"/>
    </xf>
    <xf numFmtId="0" fontId="30" fillId="25" borderId="0" xfId="1" applyFont="1" applyFill="1" applyBorder="1" applyAlignment="1">
      <alignment horizontal="center" vertical="center"/>
    </xf>
    <xf numFmtId="0" fontId="30" fillId="0" borderId="0" xfId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0" fillId="0" borderId="0" xfId="1" applyFont="1" applyBorder="1" applyAlignment="1">
      <alignment horizontal="center" vertical="center" wrapText="1"/>
    </xf>
    <xf numFmtId="0" fontId="24" fillId="6" borderId="35" xfId="0" applyFont="1" applyFill="1" applyBorder="1" applyAlignment="1">
      <alignment horizontal="center" vertical="center"/>
    </xf>
    <xf numFmtId="0" fontId="27" fillId="5" borderId="0" xfId="0" applyFont="1" applyFill="1" applyAlignment="1">
      <alignment horizontal="left" vertical="center"/>
    </xf>
    <xf numFmtId="0" fontId="21" fillId="0" borderId="29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3" fillId="2" borderId="4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45" xfId="0" applyFont="1" applyFill="1" applyBorder="1" applyAlignment="1">
      <alignment horizontal="center" vertical="center" wrapText="1"/>
    </xf>
    <xf numFmtId="0" fontId="23" fillId="2" borderId="46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37" fillId="25" borderId="2" xfId="0" applyFont="1" applyFill="1" applyBorder="1" applyAlignment="1">
      <alignment horizontal="center" vertical="center" wrapText="1"/>
    </xf>
    <xf numFmtId="0" fontId="36" fillId="25" borderId="2" xfId="0" applyFont="1" applyFill="1" applyBorder="1" applyAlignment="1">
      <alignment horizontal="center" vertical="center" wrapText="1"/>
    </xf>
    <xf numFmtId="0" fontId="38" fillId="25" borderId="2" xfId="0" applyFont="1" applyFill="1" applyBorder="1" applyAlignment="1">
      <alignment horizontal="center" vertical="center" wrapText="1"/>
    </xf>
    <xf numFmtId="0" fontId="38" fillId="25" borderId="2" xfId="2" applyFont="1" applyFill="1" applyBorder="1" applyAlignment="1">
      <alignment horizontal="center" vertical="center" wrapText="1"/>
    </xf>
    <xf numFmtId="0" fontId="44" fillId="33" borderId="58" xfId="0" applyFont="1" applyFill="1" applyBorder="1" applyAlignment="1">
      <alignment horizontal="center" vertical="center" readingOrder="1"/>
    </xf>
    <xf numFmtId="0" fontId="44" fillId="33" borderId="72" xfId="0" applyFont="1" applyFill="1" applyBorder="1" applyAlignment="1">
      <alignment horizontal="center" vertical="center" readingOrder="1"/>
    </xf>
    <xf numFmtId="0" fontId="42" fillId="0" borderId="62" xfId="0" applyFont="1" applyBorder="1" applyAlignment="1">
      <alignment horizontal="left" vertical="center" readingOrder="1"/>
    </xf>
    <xf numFmtId="0" fontId="42" fillId="0" borderId="60" xfId="0" applyFont="1" applyBorder="1" applyAlignment="1">
      <alignment horizontal="left" vertical="center" readingOrder="1"/>
    </xf>
    <xf numFmtId="0" fontId="42" fillId="0" borderId="61" xfId="0" applyFont="1" applyBorder="1" applyAlignment="1">
      <alignment horizontal="left" vertical="center" readingOrder="1"/>
    </xf>
    <xf numFmtId="0" fontId="46" fillId="0" borderId="29" xfId="0" applyFont="1" applyBorder="1" applyAlignment="1">
      <alignment horizontal="center" vertical="center"/>
    </xf>
    <xf numFmtId="0" fontId="46" fillId="0" borderId="30" xfId="0" applyFont="1" applyBorder="1" applyAlignment="1">
      <alignment horizontal="center" vertical="center"/>
    </xf>
    <xf numFmtId="0" fontId="46" fillId="0" borderId="33" xfId="0" applyFont="1" applyBorder="1" applyAlignment="1">
      <alignment horizontal="center" vertical="center"/>
    </xf>
    <xf numFmtId="0" fontId="6" fillId="0" borderId="0" xfId="1" applyAlignment="1">
      <alignment horizontal="center" vertical="center" wrapText="1"/>
    </xf>
    <xf numFmtId="0" fontId="6" fillId="0" borderId="0" xfId="1" applyAlignment="1">
      <alignment horizontal="center"/>
    </xf>
    <xf numFmtId="0" fontId="6" fillId="0" borderId="14" xfId="1" applyBorder="1" applyAlignment="1">
      <alignment horizontal="center" vertical="center" wrapText="1"/>
    </xf>
    <xf numFmtId="0" fontId="25" fillId="27" borderId="104" xfId="0" applyFont="1" applyFill="1" applyBorder="1" applyAlignment="1">
      <alignment horizontal="center" vertical="center"/>
    </xf>
    <xf numFmtId="0" fontId="48" fillId="0" borderId="50" xfId="1" applyFont="1" applyBorder="1" applyAlignment="1">
      <alignment horizontal="center" vertical="center" wrapText="1"/>
    </xf>
    <xf numFmtId="0" fontId="48" fillId="0" borderId="34" xfId="1" applyFont="1" applyBorder="1" applyAlignment="1">
      <alignment horizontal="center" vertical="center" wrapText="1"/>
    </xf>
    <xf numFmtId="0" fontId="48" fillId="0" borderId="44" xfId="1" applyFont="1" applyBorder="1" applyAlignment="1">
      <alignment horizontal="center" vertical="center" wrapText="1"/>
    </xf>
    <xf numFmtId="0" fontId="25" fillId="27" borderId="103" xfId="0" applyFont="1" applyFill="1" applyBorder="1" applyAlignment="1">
      <alignment horizontal="center" vertical="center"/>
    </xf>
    <xf numFmtId="0" fontId="2" fillId="24" borderId="22" xfId="0" applyFont="1" applyFill="1" applyBorder="1" applyAlignment="1">
      <alignment horizontal="center" vertical="center" wrapText="1"/>
    </xf>
    <xf numFmtId="0" fontId="2" fillId="24" borderId="23" xfId="0" applyFont="1" applyFill="1" applyBorder="1" applyAlignment="1">
      <alignment horizontal="center" vertical="center" wrapText="1"/>
    </xf>
    <xf numFmtId="0" fontId="2" fillId="24" borderId="20" xfId="0" applyFont="1" applyFill="1" applyBorder="1" applyAlignment="1">
      <alignment horizontal="center" vertical="center" wrapText="1"/>
    </xf>
    <xf numFmtId="0" fontId="0" fillId="0" borderId="0" xfId="0"/>
    <xf numFmtId="0" fontId="49" fillId="0" borderId="29" xfId="0" applyFont="1" applyBorder="1" applyAlignment="1">
      <alignment horizontal="center" vertical="center"/>
    </xf>
    <xf numFmtId="0" fontId="49" fillId="0" borderId="30" xfId="0" applyFont="1" applyBorder="1" applyAlignment="1">
      <alignment horizontal="center" vertical="center"/>
    </xf>
    <xf numFmtId="0" fontId="49" fillId="0" borderId="31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84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vertical="center" wrapText="1"/>
    </xf>
    <xf numFmtId="0" fontId="2" fillId="14" borderId="16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35" fillId="48" borderId="90" xfId="0" applyFont="1" applyFill="1" applyBorder="1" applyAlignment="1">
      <alignment horizontal="center" vertical="center" wrapText="1"/>
    </xf>
    <xf numFmtId="0" fontId="35" fillId="48" borderId="88" xfId="0" applyFont="1" applyFill="1" applyBorder="1" applyAlignment="1">
      <alignment horizontal="center" vertical="center" wrapText="1"/>
    </xf>
    <xf numFmtId="0" fontId="35" fillId="48" borderId="89" xfId="0" applyFont="1" applyFill="1" applyBorder="1" applyAlignment="1">
      <alignment horizontal="center" vertical="center" wrapText="1"/>
    </xf>
    <xf numFmtId="0" fontId="14" fillId="33" borderId="4" xfId="0" applyFont="1" applyFill="1" applyBorder="1" applyAlignment="1">
      <alignment horizontal="center" vertical="center"/>
    </xf>
    <xf numFmtId="0" fontId="34" fillId="40" borderId="76" xfId="0" applyFont="1" applyFill="1" applyBorder="1" applyAlignment="1">
      <alignment horizontal="center" vertical="center" wrapText="1"/>
    </xf>
    <xf numFmtId="0" fontId="34" fillId="40" borderId="12" xfId="0" applyFont="1" applyFill="1" applyBorder="1" applyAlignment="1">
      <alignment horizontal="center" vertical="center" wrapText="1"/>
    </xf>
    <xf numFmtId="0" fontId="32" fillId="40" borderId="12" xfId="0" applyFont="1" applyFill="1" applyBorder="1" applyAlignment="1">
      <alignment horizontal="center" vertical="center" wrapText="1"/>
    </xf>
    <xf numFmtId="0" fontId="34" fillId="40" borderId="31" xfId="0" applyFont="1" applyFill="1" applyBorder="1" applyAlignment="1">
      <alignment horizontal="center" vertical="center" wrapText="1"/>
    </xf>
    <xf numFmtId="0" fontId="34" fillId="40" borderId="0" xfId="0" applyFont="1" applyFill="1" applyAlignment="1">
      <alignment horizontal="center" vertical="center" wrapText="1"/>
    </xf>
    <xf numFmtId="0" fontId="32" fillId="40" borderId="0" xfId="0" applyFont="1" applyFill="1" applyAlignment="1">
      <alignment horizontal="center" vertical="center" wrapText="1"/>
    </xf>
    <xf numFmtId="0" fontId="34" fillId="40" borderId="84" xfId="0" applyFont="1" applyFill="1" applyBorder="1" applyAlignment="1">
      <alignment horizontal="center" vertical="center" wrapText="1"/>
    </xf>
    <xf numFmtId="0" fontId="34" fillId="40" borderId="17" xfId="0" applyFont="1" applyFill="1" applyBorder="1" applyAlignment="1">
      <alignment horizontal="center" vertical="center" wrapText="1"/>
    </xf>
    <xf numFmtId="0" fontId="32" fillId="40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0" borderId="34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8" fillId="0" borderId="34" xfId="1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5" fillId="45" borderId="88" xfId="0" applyFont="1" applyFill="1" applyBorder="1" applyAlignment="1">
      <alignment horizontal="center" vertical="center"/>
    </xf>
    <xf numFmtId="0" fontId="35" fillId="45" borderId="89" xfId="0" applyFont="1" applyFill="1" applyBorder="1" applyAlignment="1">
      <alignment horizontal="center" vertical="center"/>
    </xf>
    <xf numFmtId="0" fontId="14" fillId="32" borderId="4" xfId="0" applyFont="1" applyFill="1" applyBorder="1" applyAlignment="1">
      <alignment horizontal="center" vertical="center"/>
    </xf>
    <xf numFmtId="0" fontId="14" fillId="32" borderId="5" xfId="0" applyFont="1" applyFill="1" applyBorder="1" applyAlignment="1">
      <alignment horizontal="center" vertical="center"/>
    </xf>
    <xf numFmtId="0" fontId="25" fillId="41" borderId="86" xfId="0" applyFont="1" applyFill="1" applyBorder="1" applyAlignment="1">
      <alignment horizontal="center" vertical="center" wrapText="1"/>
    </xf>
    <xf numFmtId="0" fontId="25" fillId="41" borderId="23" xfId="0" applyFont="1" applyFill="1" applyBorder="1" applyAlignment="1">
      <alignment horizontal="center" vertical="center" wrapText="1"/>
    </xf>
    <xf numFmtId="0" fontId="25" fillId="41" borderId="87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3" borderId="11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  <xf numFmtId="0" fontId="2" fillId="23" borderId="11" xfId="0" applyFont="1" applyFill="1" applyBorder="1" applyAlignment="1">
      <alignment horizontal="center" vertical="center" wrapText="1"/>
    </xf>
    <xf numFmtId="0" fontId="2" fillId="23" borderId="14" xfId="0" applyFont="1" applyFill="1" applyBorder="1" applyAlignment="1">
      <alignment horizontal="center" vertical="center" wrapText="1"/>
    </xf>
    <xf numFmtId="0" fontId="2" fillId="20" borderId="11" xfId="0" applyFont="1" applyFill="1" applyBorder="1" applyAlignment="1">
      <alignment horizontal="center" vertical="center" wrapText="1"/>
    </xf>
    <xf numFmtId="0" fontId="2" fillId="20" borderId="14" xfId="0" applyFont="1" applyFill="1" applyBorder="1" applyAlignment="1">
      <alignment horizontal="center" vertical="center" wrapText="1"/>
    </xf>
    <xf numFmtId="0" fontId="2" fillId="18" borderId="0" xfId="0" applyFont="1" applyFill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19" borderId="11" xfId="0" applyFont="1" applyFill="1" applyBorder="1" applyAlignment="1">
      <alignment horizontal="center" vertical="center" wrapText="1"/>
    </xf>
    <xf numFmtId="0" fontId="2" fillId="19" borderId="14" xfId="0" applyFont="1" applyFill="1" applyBorder="1" applyAlignment="1">
      <alignment horizontal="center" vertical="center" wrapText="1"/>
    </xf>
    <xf numFmtId="0" fontId="2" fillId="19" borderId="16" xfId="0" applyFont="1" applyFill="1" applyBorder="1" applyAlignment="1">
      <alignment horizontal="center" vertical="center" wrapText="1"/>
    </xf>
    <xf numFmtId="0" fontId="2" fillId="17" borderId="11" xfId="0" applyFont="1" applyFill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 vertical="center" wrapText="1"/>
    </xf>
    <xf numFmtId="0" fontId="2" fillId="17" borderId="16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12" borderId="14" xfId="0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24" borderId="11" xfId="0" applyFont="1" applyFill="1" applyBorder="1" applyAlignment="1">
      <alignment horizontal="center" vertical="center" wrapText="1"/>
    </xf>
    <xf numFmtId="0" fontId="2" fillId="24" borderId="14" xfId="0" applyFont="1" applyFill="1" applyBorder="1" applyAlignment="1">
      <alignment horizontal="center" vertical="center" wrapText="1"/>
    </xf>
    <xf numFmtId="0" fontId="0" fillId="0" borderId="14" xfId="0" applyBorder="1"/>
    <xf numFmtId="0" fontId="2" fillId="24" borderId="16" xfId="0" applyFont="1" applyFill="1" applyBorder="1" applyAlignment="1">
      <alignment horizontal="center" vertical="center" wrapText="1"/>
    </xf>
    <xf numFmtId="0" fontId="2" fillId="20" borderId="0" xfId="0" applyFont="1" applyFill="1" applyAlignment="1">
      <alignment horizontal="center" vertical="center" wrapText="1"/>
    </xf>
    <xf numFmtId="0" fontId="2" fillId="22" borderId="11" xfId="0" applyFont="1" applyFill="1" applyBorder="1" applyAlignment="1">
      <alignment horizontal="center" vertical="center" wrapText="1"/>
    </xf>
    <xf numFmtId="0" fontId="2" fillId="22" borderId="14" xfId="0" applyFont="1" applyFill="1" applyBorder="1" applyAlignment="1">
      <alignment horizontal="center" vertical="center" wrapText="1"/>
    </xf>
    <xf numFmtId="0" fontId="2" fillId="22" borderId="16" xfId="0" applyFont="1" applyFill="1" applyBorder="1" applyAlignment="1">
      <alignment horizontal="center" vertical="center" wrapText="1"/>
    </xf>
    <xf numFmtId="0" fontId="6" fillId="0" borderId="103" xfId="1" applyBorder="1" applyAlignment="1">
      <alignment horizontal="center" vertical="center" wrapText="1"/>
    </xf>
    <xf numFmtId="0" fontId="6" fillId="0" borderId="105" xfId="1" applyBorder="1" applyAlignment="1">
      <alignment horizontal="center" vertical="center" wrapText="1"/>
    </xf>
    <xf numFmtId="0" fontId="6" fillId="0" borderId="104" xfId="1" applyBorder="1" applyAlignment="1">
      <alignment horizontal="center" vertical="center" wrapText="1"/>
    </xf>
    <xf numFmtId="0" fontId="14" fillId="44" borderId="90" xfId="0" applyFont="1" applyFill="1" applyBorder="1" applyAlignment="1">
      <alignment horizontal="center" vertical="center" wrapText="1"/>
    </xf>
    <xf numFmtId="0" fontId="14" fillId="44" borderId="88" xfId="0" applyFont="1" applyFill="1" applyBorder="1" applyAlignment="1">
      <alignment horizontal="center" vertical="center" wrapText="1"/>
    </xf>
    <xf numFmtId="0" fontId="14" fillId="44" borderId="89" xfId="0" applyFont="1" applyFill="1" applyBorder="1" applyAlignment="1">
      <alignment horizontal="center" vertical="center" wrapText="1"/>
    </xf>
    <xf numFmtId="0" fontId="27" fillId="27" borderId="104" xfId="0" applyFont="1" applyFill="1" applyBorder="1" applyAlignment="1">
      <alignment horizontal="center" vertical="center"/>
    </xf>
    <xf numFmtId="0" fontId="25" fillId="27" borderId="105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15" borderId="16" xfId="0" applyFont="1" applyFill="1" applyBorder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25" fillId="41" borderId="108" xfId="0" applyFont="1" applyFill="1" applyBorder="1" applyAlignment="1">
      <alignment horizontal="center" vertical="center" wrapText="1"/>
    </xf>
    <xf numFmtId="0" fontId="25" fillId="41" borderId="14" xfId="0" applyFont="1" applyFill="1" applyBorder="1" applyAlignment="1">
      <alignment horizontal="center" vertical="center" wrapText="1"/>
    </xf>
    <xf numFmtId="0" fontId="30" fillId="0" borderId="103" xfId="1" applyFont="1" applyBorder="1" applyAlignment="1">
      <alignment horizontal="center" vertical="center" wrapText="1"/>
    </xf>
    <xf numFmtId="0" fontId="15" fillId="0" borderId="104" xfId="0" applyFont="1" applyBorder="1" applyAlignment="1">
      <alignment horizontal="center" vertical="center" wrapText="1"/>
    </xf>
    <xf numFmtId="0" fontId="15" fillId="0" borderId="105" xfId="0" applyFont="1" applyBorder="1" applyAlignment="1">
      <alignment horizontal="center" vertical="center" wrapText="1"/>
    </xf>
    <xf numFmtId="0" fontId="30" fillId="0" borderId="104" xfId="1" applyFont="1" applyBorder="1" applyAlignment="1">
      <alignment horizontal="center" vertical="center" wrapText="1"/>
    </xf>
    <xf numFmtId="0" fontId="14" fillId="44" borderId="101" xfId="0" applyFont="1" applyFill="1" applyBorder="1" applyAlignment="1">
      <alignment horizontal="center" vertical="center" wrapText="1"/>
    </xf>
    <xf numFmtId="0" fontId="14" fillId="44" borderId="85" xfId="0" applyFont="1" applyFill="1" applyBorder="1" applyAlignment="1">
      <alignment horizontal="center" vertical="center" wrapText="1"/>
    </xf>
    <xf numFmtId="0" fontId="14" fillId="34" borderId="85" xfId="0" applyFont="1" applyFill="1" applyBorder="1" applyAlignment="1">
      <alignment horizontal="center" vertical="center" wrapText="1"/>
    </xf>
    <xf numFmtId="0" fontId="14" fillId="44" borderId="100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0" fillId="26" borderId="11" xfId="0" applyFill="1" applyBorder="1" applyAlignment="1">
      <alignment horizontal="center" vertical="center" wrapText="1"/>
    </xf>
    <xf numFmtId="0" fontId="0" fillId="26" borderId="14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3" fillId="27" borderId="104" xfId="0" applyFont="1" applyFill="1" applyBorder="1" applyAlignment="1">
      <alignment horizontal="center" vertical="center"/>
    </xf>
    <xf numFmtId="0" fontId="10" fillId="27" borderId="105" xfId="0" applyFont="1" applyFill="1" applyBorder="1" applyAlignment="1">
      <alignment horizontal="center" vertical="center"/>
    </xf>
    <xf numFmtId="0" fontId="25" fillId="41" borderId="75" xfId="0" applyFont="1" applyFill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11" fillId="0" borderId="103" xfId="1" applyFont="1" applyBorder="1" applyAlignment="1">
      <alignment horizontal="center" vertical="center" wrapText="1"/>
    </xf>
    <xf numFmtId="0" fontId="11" fillId="0" borderId="104" xfId="1" applyFont="1" applyBorder="1" applyAlignment="1">
      <alignment horizontal="center" vertical="center" wrapText="1"/>
    </xf>
    <xf numFmtId="0" fontId="11" fillId="0" borderId="105" xfId="1" applyFont="1" applyBorder="1" applyAlignment="1">
      <alignment horizontal="center" vertical="center" wrapText="1"/>
    </xf>
    <xf numFmtId="0" fontId="2" fillId="0" borderId="103" xfId="0" applyFont="1" applyBorder="1" applyAlignment="1">
      <alignment horizontal="center" vertical="center" wrapText="1"/>
    </xf>
    <xf numFmtId="0" fontId="0" fillId="0" borderId="104" xfId="0" applyBorder="1" applyAlignment="1">
      <alignment horizontal="center"/>
    </xf>
    <xf numFmtId="0" fontId="2" fillId="0" borderId="104" xfId="0" applyFont="1" applyBorder="1" applyAlignment="1">
      <alignment horizontal="center" vertical="center" wrapText="1"/>
    </xf>
    <xf numFmtId="0" fontId="2" fillId="0" borderId="10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2" fillId="17" borderId="0" xfId="0" applyFont="1" applyFill="1" applyAlignment="1">
      <alignment horizontal="center" vertical="center" wrapText="1"/>
    </xf>
    <xf numFmtId="0" fontId="14" fillId="43" borderId="90" xfId="0" applyFont="1" applyFill="1" applyBorder="1" applyAlignment="1">
      <alignment horizontal="center" vertical="center" wrapText="1"/>
    </xf>
    <xf numFmtId="0" fontId="14" fillId="43" borderId="88" xfId="0" applyFont="1" applyFill="1" applyBorder="1" applyAlignment="1">
      <alignment horizontal="center" vertical="center" wrapText="1"/>
    </xf>
    <xf numFmtId="0" fontId="14" fillId="43" borderId="89" xfId="0" applyFont="1" applyFill="1" applyBorder="1" applyAlignment="1">
      <alignment horizontal="center" vertical="center" wrapText="1"/>
    </xf>
    <xf numFmtId="0" fontId="14" fillId="43" borderId="85" xfId="0" applyFont="1" applyFill="1" applyBorder="1" applyAlignment="1">
      <alignment vertical="center" wrapText="1"/>
    </xf>
    <xf numFmtId="0" fontId="49" fillId="0" borderId="40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14" fillId="45" borderId="88" xfId="0" applyFont="1" applyFill="1" applyBorder="1" applyAlignment="1">
      <alignment horizontal="center" vertical="center" wrapText="1"/>
    </xf>
    <xf numFmtId="0" fontId="4" fillId="19" borderId="11" xfId="0" applyFont="1" applyFill="1" applyBorder="1" applyAlignment="1">
      <alignment horizontal="center" vertical="center" wrapText="1"/>
    </xf>
    <xf numFmtId="0" fontId="0" fillId="19" borderId="14" xfId="0" applyFill="1" applyBorder="1" applyAlignment="1">
      <alignment horizontal="center" vertical="center" wrapText="1"/>
    </xf>
    <xf numFmtId="0" fontId="0" fillId="19" borderId="16" xfId="0" applyFill="1" applyBorder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25" fillId="41" borderId="16" xfId="0" applyFont="1" applyFill="1" applyBorder="1" applyAlignment="1">
      <alignment horizontal="center" vertical="center" wrapText="1"/>
    </xf>
    <xf numFmtId="0" fontId="14" fillId="39" borderId="90" xfId="0" applyFont="1" applyFill="1" applyBorder="1" applyAlignment="1">
      <alignment horizontal="center" vertical="center" wrapText="1"/>
    </xf>
    <xf numFmtId="0" fontId="14" fillId="39" borderId="88" xfId="0" applyFont="1" applyFill="1" applyBorder="1" applyAlignment="1">
      <alignment horizontal="center" vertical="center" wrapText="1"/>
    </xf>
    <xf numFmtId="0" fontId="14" fillId="39" borderId="89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0" fontId="6" fillId="0" borderId="13" xfId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35" fillId="45" borderId="88" xfId="0" applyFont="1" applyFill="1" applyBorder="1" applyAlignment="1">
      <alignment horizontal="center" vertical="center" wrapText="1"/>
    </xf>
    <xf numFmtId="0" fontId="35" fillId="38" borderId="90" xfId="0" applyFont="1" applyFill="1" applyBorder="1" applyAlignment="1">
      <alignment horizontal="center" vertical="center" wrapText="1"/>
    </xf>
    <xf numFmtId="0" fontId="35" fillId="38" borderId="88" xfId="0" applyFont="1" applyFill="1" applyBorder="1" applyAlignment="1">
      <alignment horizontal="center" vertical="center" wrapText="1"/>
    </xf>
    <xf numFmtId="0" fontId="35" fillId="38" borderId="89" xfId="0" applyFont="1" applyFill="1" applyBorder="1" applyAlignment="1">
      <alignment horizontal="center" vertical="center" wrapText="1"/>
    </xf>
    <xf numFmtId="0" fontId="6" fillId="0" borderId="15" xfId="1" applyBorder="1" applyAlignment="1">
      <alignment vertical="center" wrapText="1"/>
    </xf>
    <xf numFmtId="0" fontId="6" fillId="0" borderId="103" xfId="1" applyBorder="1" applyAlignment="1">
      <alignment vertical="center" wrapText="1"/>
    </xf>
    <xf numFmtId="0" fontId="6" fillId="0" borderId="104" xfId="1" applyBorder="1" applyAlignment="1">
      <alignment vertical="center" wrapText="1"/>
    </xf>
    <xf numFmtId="0" fontId="6" fillId="0" borderId="105" xfId="1" applyBorder="1" applyAlignment="1">
      <alignment vertical="center" wrapText="1"/>
    </xf>
    <xf numFmtId="0" fontId="25" fillId="41" borderId="104" xfId="0" applyFont="1" applyFill="1" applyBorder="1" applyAlignment="1">
      <alignment horizontal="center" vertical="center" wrapText="1"/>
    </xf>
    <xf numFmtId="0" fontId="25" fillId="41" borderId="105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14" fillId="46" borderId="90" xfId="0" applyFont="1" applyFill="1" applyBorder="1" applyAlignment="1">
      <alignment horizontal="center" vertical="center" wrapText="1"/>
    </xf>
    <xf numFmtId="0" fontId="35" fillId="46" borderId="88" xfId="0" applyFont="1" applyFill="1" applyBorder="1" applyAlignment="1">
      <alignment horizontal="center" vertical="center" wrapText="1"/>
    </xf>
    <xf numFmtId="0" fontId="35" fillId="47" borderId="88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21" borderId="8" xfId="0" applyFont="1" applyFill="1" applyBorder="1" applyAlignment="1">
      <alignment horizontal="center" vertical="center" wrapText="1"/>
    </xf>
    <xf numFmtId="0" fontId="2" fillId="21" borderId="0" xfId="0" applyFont="1" applyFill="1" applyAlignment="1">
      <alignment horizontal="center" vertical="center" wrapText="1"/>
    </xf>
    <xf numFmtId="0" fontId="2" fillId="19" borderId="0" xfId="0" applyFont="1" applyFill="1" applyAlignment="1">
      <alignment horizontal="center" vertical="center" wrapText="1"/>
    </xf>
    <xf numFmtId="0" fontId="2" fillId="19" borderId="1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24" borderId="21" xfId="0" applyFont="1" applyFill="1" applyBorder="1" applyAlignment="1">
      <alignment horizontal="center" vertical="center" wrapText="1"/>
    </xf>
    <xf numFmtId="0" fontId="25" fillId="41" borderId="103" xfId="0" applyFont="1" applyFill="1" applyBorder="1" applyAlignment="1">
      <alignment horizontal="center" vertical="center" wrapText="1"/>
    </xf>
    <xf numFmtId="0" fontId="14" fillId="46" borderId="88" xfId="0" applyFont="1" applyFill="1" applyBorder="1" applyAlignment="1">
      <alignment horizontal="center" vertical="center" wrapText="1"/>
    </xf>
    <xf numFmtId="0" fontId="35" fillId="46" borderId="90" xfId="0" applyFont="1" applyFill="1" applyBorder="1" applyAlignment="1">
      <alignment horizontal="center" vertical="center" wrapText="1"/>
    </xf>
    <xf numFmtId="0" fontId="35" fillId="46" borderId="89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7" fillId="27" borderId="34" xfId="0" applyFont="1" applyFill="1" applyBorder="1" applyAlignment="1">
      <alignment horizontal="center" vertical="center"/>
    </xf>
    <xf numFmtId="0" fontId="10" fillId="27" borderId="54" xfId="0" applyFont="1" applyFill="1" applyBorder="1" applyAlignment="1">
      <alignment horizontal="center" vertical="center"/>
    </xf>
    <xf numFmtId="0" fontId="10" fillId="27" borderId="109" xfId="0" applyFont="1" applyFill="1" applyBorder="1" applyAlignment="1">
      <alignment horizontal="center" vertical="center"/>
    </xf>
    <xf numFmtId="0" fontId="49" fillId="0" borderId="33" xfId="0" applyFont="1" applyBorder="1" applyAlignment="1">
      <alignment horizontal="center" vertical="center"/>
    </xf>
    <xf numFmtId="0" fontId="49" fillId="0" borderId="34" xfId="0" applyFont="1" applyBorder="1" applyAlignment="1">
      <alignment horizontal="center" vertical="center"/>
    </xf>
    <xf numFmtId="0" fontId="49" fillId="0" borderId="102" xfId="0" applyFont="1" applyBorder="1" applyAlignment="1">
      <alignment horizontal="center" vertical="center"/>
    </xf>
    <xf numFmtId="0" fontId="34" fillId="40" borderId="93" xfId="0" applyFont="1" applyFill="1" applyBorder="1" applyAlignment="1">
      <alignment horizontal="center" vertical="center" wrapText="1"/>
    </xf>
    <xf numFmtId="0" fontId="34" fillId="40" borderId="34" xfId="0" applyFont="1" applyFill="1" applyBorder="1" applyAlignment="1">
      <alignment horizontal="center" vertical="center" wrapText="1"/>
    </xf>
    <xf numFmtId="0" fontId="34" fillId="40" borderId="98" xfId="0" applyFont="1" applyFill="1" applyBorder="1" applyAlignment="1">
      <alignment horizontal="center" vertical="center" wrapText="1"/>
    </xf>
    <xf numFmtId="0" fontId="2" fillId="17" borderId="17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" fillId="12" borderId="17" xfId="0" applyFont="1" applyFill="1" applyBorder="1" applyAlignment="1">
      <alignment horizontal="center" vertical="center" wrapText="1"/>
    </xf>
    <xf numFmtId="0" fontId="14" fillId="38" borderId="88" xfId="0" applyFont="1" applyFill="1" applyBorder="1" applyAlignment="1">
      <alignment horizontal="center" vertical="center" wrapText="1"/>
    </xf>
    <xf numFmtId="0" fontId="6" fillId="0" borderId="34" xfId="1" applyBorder="1" applyAlignment="1">
      <alignment horizontal="center" vertical="center" wrapText="1"/>
    </xf>
    <xf numFmtId="0" fontId="6" fillId="0" borderId="44" xfId="1" applyBorder="1" applyAlignment="1">
      <alignment horizontal="center" vertical="center" wrapText="1"/>
    </xf>
    <xf numFmtId="0" fontId="6" fillId="0" borderId="0" xfId="1" applyBorder="1" applyAlignment="1">
      <alignment horizontal="center" vertical="center" wrapText="1"/>
    </xf>
    <xf numFmtId="0" fontId="6" fillId="0" borderId="33" xfId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 wrapText="1"/>
    </xf>
    <xf numFmtId="0" fontId="2" fillId="11" borderId="17" xfId="0" applyFont="1" applyFill="1" applyBorder="1" applyAlignment="1">
      <alignment horizontal="center" vertical="center" wrapText="1"/>
    </xf>
    <xf numFmtId="0" fontId="2" fillId="11" borderId="22" xfId="0" applyFont="1" applyFill="1" applyBorder="1" applyAlignment="1">
      <alignment horizontal="center" vertical="center" wrapText="1"/>
    </xf>
    <xf numFmtId="0" fontId="2" fillId="11" borderId="20" xfId="0" applyFont="1" applyFill="1" applyBorder="1" applyAlignment="1">
      <alignment horizontal="center" vertical="center" wrapText="1"/>
    </xf>
    <xf numFmtId="0" fontId="2" fillId="18" borderId="12" xfId="0" applyFont="1" applyFill="1" applyBorder="1" applyAlignment="1">
      <alignment horizontal="center" vertical="center" wrapText="1"/>
    </xf>
  </cellXfs>
  <cellStyles count="3">
    <cellStyle name="Lien hypertexte" xfId="1" builtinId="8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colors>
    <mruColors>
      <color rgb="FF1B365D"/>
      <color rgb="FF326295"/>
      <color rgb="FF5C88DA"/>
      <color rgb="FF69B3E7"/>
      <color rgb="FFD200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moodle-ingenieurs.cesi.fr/course/view.php?id=1760" TargetMode="External"/><Relationship Id="rId1" Type="http://schemas.openxmlformats.org/officeDocument/2006/relationships/hyperlink" Target="https://www.lelivrescolaire.fr/page/1311051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livrescolaire.fr/page/10486827" TargetMode="External"/><Relationship Id="rId13" Type="http://schemas.openxmlformats.org/officeDocument/2006/relationships/hyperlink" Target="https://uel.unisciel.fr/physique/outils_nancy/outils_nancy_ch08/co/outils_nancy_ch08.html" TargetMode="External"/><Relationship Id="rId18" Type="http://schemas.openxmlformats.org/officeDocument/2006/relationships/hyperlink" Target="https://uel.unisciel.fr/physique/vibrapropa/vibrapropa_ch02/co/vibrapropa_ch02.html" TargetMode="External"/><Relationship Id="rId3" Type="http://schemas.openxmlformats.org/officeDocument/2006/relationships/hyperlink" Target="https://uel.unisciel.fr/physique/outils_nancy/outils_nancy_ch04/co/apprendre_ch04.html" TargetMode="External"/><Relationship Id="rId7" Type="http://schemas.openxmlformats.org/officeDocument/2006/relationships/hyperlink" Target="https://www.lelivrescolaire.fr/page/10486827" TargetMode="External"/><Relationship Id="rId12" Type="http://schemas.openxmlformats.org/officeDocument/2006/relationships/hyperlink" Target="https://uel.unisciel.fr/mathematiques/analyse1/analyse1_ch04/co/analyse1_ch04.html" TargetMode="External"/><Relationship Id="rId17" Type="http://schemas.openxmlformats.org/officeDocument/2006/relationships/hyperlink" Target="https://uel.unisciel.fr/physique/continu/continu/co/continu.html" TargetMode="External"/><Relationship Id="rId2" Type="http://schemas.openxmlformats.org/officeDocument/2006/relationships/hyperlink" Target="https://uel.unisciel.fr/mathematiques/logique1/logique1/co/logique1.html" TargetMode="External"/><Relationship Id="rId16" Type="http://schemas.openxmlformats.org/officeDocument/2006/relationships/hyperlink" Target="https://ressources.unisciel.fr/ramses/519-21_probabilites/co/fa901_5.html" TargetMode="External"/><Relationship Id="rId1" Type="http://schemas.openxmlformats.org/officeDocument/2006/relationships/hyperlink" Target="https://uel.unisciel.fr/physique/meca/meca/co/meca.html" TargetMode="External"/><Relationship Id="rId6" Type="http://schemas.openxmlformats.org/officeDocument/2006/relationships/hyperlink" Target="https://www.lelivrescolaire.fr/page/10486827" TargetMode="External"/><Relationship Id="rId11" Type="http://schemas.openxmlformats.org/officeDocument/2006/relationships/hyperlink" Target="https://uel.unisciel.fr/mathematiques/analyse1/analyse1_ch03/co/analyse1_ch03.html" TargetMode="External"/><Relationship Id="rId5" Type="http://schemas.openxmlformats.org/officeDocument/2006/relationships/hyperlink" Target="https://www.lelivrescolaire.fr/page/14235244" TargetMode="External"/><Relationship Id="rId15" Type="http://schemas.openxmlformats.org/officeDocument/2006/relationships/hyperlink" Target="https://uel.unisciel.fr/mathematiques/analyse1/analyse1_ch02/co/analyse1_ch02.html" TargetMode="External"/><Relationship Id="rId10" Type="http://schemas.openxmlformats.org/officeDocument/2006/relationships/hyperlink" Target="https://uel.unisciel.fr/physique/outils_nancy/outils_nancy_ch03/co/sexercer_02.html?msclkid=7986dd11c18711ecb89a99ba63c4e67c" TargetMode="External"/><Relationship Id="rId4" Type="http://schemas.openxmlformats.org/officeDocument/2006/relationships/hyperlink" Target="https://uel.unisciel.fr/mathematiques/dev_limites/dev_limites/co/dev_limites.html" TargetMode="External"/><Relationship Id="rId9" Type="http://schemas.openxmlformats.org/officeDocument/2006/relationships/hyperlink" Target="https://uel.unisciel.fr/physique/outils_nancy/outils_nancy_ch03/co/sexercer_02.html?msclkid=7986dd11c18711ecb89a99ba63c4e67c" TargetMode="External"/><Relationship Id="rId14" Type="http://schemas.openxmlformats.org/officeDocument/2006/relationships/hyperlink" Target="https://uel.unisciel.fr/mathematiques/eq_diff/eq_diff/co/eq_diff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ressources.unisciel.fr/ramses/519-21_probabilites/co/fa901_5.html" TargetMode="External"/><Relationship Id="rId13" Type="http://schemas.openxmlformats.org/officeDocument/2006/relationships/hyperlink" Target="https://uel.unisciel.fr/chimie/chimther/chimther/co/chimther.html" TargetMode="External"/><Relationship Id="rId3" Type="http://schemas.openxmlformats.org/officeDocument/2006/relationships/hyperlink" Target="https://uel.unisciel.fr/mathematiques/geometrie_analytique/geometrie_analytique/co/geometrie_analytique.html" TargetMode="External"/><Relationship Id="rId7" Type="http://schemas.openxmlformats.org/officeDocument/2006/relationships/hyperlink" Target="https://uel.unisciel.fr/mathematiques/sys_diff/sys_diff/co/sys_diff.html" TargetMode="External"/><Relationship Id="rId12" Type="http://schemas.openxmlformats.org/officeDocument/2006/relationships/hyperlink" Target="https://uel.unisciel.fr/physique/meca/meca/co/meca.html" TargetMode="External"/><Relationship Id="rId2" Type="http://schemas.openxmlformats.org/officeDocument/2006/relationships/hyperlink" Target="https://uel.unisciel.fr/physique/outils_nancy/outils_nancy_ch04/co/apprendre_ch04.html" TargetMode="External"/><Relationship Id="rId16" Type="http://schemas.openxmlformats.org/officeDocument/2006/relationships/hyperlink" Target="https://uel.unisciel.fr/chimie/strucmic/strucmic/co/strucmic.html" TargetMode="External"/><Relationship Id="rId1" Type="http://schemas.openxmlformats.org/officeDocument/2006/relationships/hyperlink" Target="https://uel.unisciel.fr/mathematiques/arithmetique/arithmetique/co/arithmetique.html" TargetMode="External"/><Relationship Id="rId6" Type="http://schemas.openxmlformats.org/officeDocument/2006/relationships/hyperlink" Target="https://uel.unisciel.fr/mathematiques/eq_diff/eq_diff/co/eq_diff.html" TargetMode="External"/><Relationship Id="rId11" Type="http://schemas.openxmlformats.org/officeDocument/2006/relationships/hyperlink" Target="https://www.lelivrescolaire.fr/page/13399851" TargetMode="External"/><Relationship Id="rId5" Type="http://schemas.openxmlformats.org/officeDocument/2006/relationships/hyperlink" Target="https://uel.unisciel.fr/physique/outils_nancy/outils_nancy_ch08/co/outils_nancy_ch08.html" TargetMode="External"/><Relationship Id="rId15" Type="http://schemas.openxmlformats.org/officeDocument/2006/relationships/hyperlink" Target="https://ressources.unisciel.fr/sillages/physique/cours_physique_1a_2a/res/Diffusion_thermique.pdf" TargetMode="External"/><Relationship Id="rId10" Type="http://schemas.openxmlformats.org/officeDocument/2006/relationships/hyperlink" Target="https://www.lelivrescolaire.fr/page/14244851" TargetMode="External"/><Relationship Id="rId4" Type="http://schemas.openxmlformats.org/officeDocument/2006/relationships/hyperlink" Target="https://uel.unisciel.fr/physique/outils_nancy/outils_nancy_ch11/co/apprendre_ch11.html" TargetMode="External"/><Relationship Id="rId9" Type="http://schemas.openxmlformats.org/officeDocument/2006/relationships/hyperlink" Target="https://www.lelivrescolaire.fr/page/14235287" TargetMode="External"/><Relationship Id="rId14" Type="http://schemas.openxmlformats.org/officeDocument/2006/relationships/hyperlink" Target="https://ressources.unisciel.fr/sillages/physique/thermodynamique_2a_mp_al/res/thermodynamique4_diffusion_thermique_2a_mp_2016.pd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el.unisciel.fr/physique/meca/meca/co/meca.html" TargetMode="External"/><Relationship Id="rId2" Type="http://schemas.openxmlformats.org/officeDocument/2006/relationships/hyperlink" Target="https://ressources.unisciel.fr/ramses/519-21_probabilites/co/fa901_5.html" TargetMode="External"/><Relationship Id="rId1" Type="http://schemas.openxmlformats.org/officeDocument/2006/relationships/hyperlink" Target="https://uel.unisciel.fr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el.unisciel.fr/physique/meca/meca/co/meca.html" TargetMode="External"/><Relationship Id="rId2" Type="http://schemas.openxmlformats.org/officeDocument/2006/relationships/hyperlink" Target="https://ressources.unisciel.fr/ramses/519-21_probabilites/co/fa901_5.html" TargetMode="External"/><Relationship Id="rId1" Type="http://schemas.openxmlformats.org/officeDocument/2006/relationships/hyperlink" Target="https://uel.unisciel.fr/mathematiques/analyse1/analyse1_ch02/co/analyse1_ch02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el.unisciel.fr/physique/magneto/magneto/co/magneto.html" TargetMode="External"/><Relationship Id="rId3" Type="http://schemas.openxmlformats.org/officeDocument/2006/relationships/hyperlink" Target="https://uel.unisciel.fr/physique/outils_nancy/outils_nancy_ch11/co/outils_nancy_ch11.html" TargetMode="External"/><Relationship Id="rId7" Type="http://schemas.openxmlformats.org/officeDocument/2006/relationships/hyperlink" Target="https://uel.unisciel.fr/physique/meca/meca/co/meca.html" TargetMode="External"/><Relationship Id="rId2" Type="http://schemas.openxmlformats.org/officeDocument/2006/relationships/hyperlink" Target="https://uel.unisciel.fr/physique/outils_nancy/outils_nancy_ch04/co/apprendre_ch04.html" TargetMode="External"/><Relationship Id="rId1" Type="http://schemas.openxmlformats.org/officeDocument/2006/relationships/hyperlink" Target="https://uel.unisciel.fr/mathematiques/arithmetique/arithmetique/co/arithmetique.html" TargetMode="External"/><Relationship Id="rId6" Type="http://schemas.openxmlformats.org/officeDocument/2006/relationships/hyperlink" Target="https://ressources.unisciel.fr/ramses/519-21_probabilites/co/fa901_5.html" TargetMode="External"/><Relationship Id="rId5" Type="http://schemas.openxmlformats.org/officeDocument/2006/relationships/hyperlink" Target="https://uel.unisciel.fr/mathematiques/serie/serie/co/serie.html" TargetMode="External"/><Relationship Id="rId10" Type="http://schemas.openxmlformats.org/officeDocument/2006/relationships/hyperlink" Target="https://uel.unisciel.fr/physique/vibrapropa/vibrapropa_ch02/co/vibrapropa_ch02.html" TargetMode="External"/><Relationship Id="rId4" Type="http://schemas.openxmlformats.org/officeDocument/2006/relationships/hyperlink" Target="https://uel.unisciel.fr/mathematiques/dev_limites/dev_limites/co/dev_limites.html" TargetMode="External"/><Relationship Id="rId9" Type="http://schemas.openxmlformats.org/officeDocument/2006/relationships/hyperlink" Target="https://uel.unisciel.fr/physique/elecstat/elecstat/co/elecstat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ressources.unisciel.fr/sillages/mathematiques/algebre_revisions/15_Espaces_vectoriels_euclidiens/co/04_Base_orthonormale.html" TargetMode="External"/><Relationship Id="rId13" Type="http://schemas.openxmlformats.org/officeDocument/2006/relationships/printerSettings" Target="../printerSettings/printerSettings4.bin"/><Relationship Id="rId3" Type="http://schemas.openxmlformats.org/officeDocument/2006/relationships/hyperlink" Target="https://www.lelivrescolaire.fr/page/13110512" TargetMode="External"/><Relationship Id="rId7" Type="http://schemas.openxmlformats.org/officeDocument/2006/relationships/hyperlink" Target="https://univ.scholarvox.com/catalog/book/docid/88919449?searchterm=transform%C3%A9e%20de%20laplace" TargetMode="External"/><Relationship Id="rId12" Type="http://schemas.openxmlformats.org/officeDocument/2006/relationships/hyperlink" Target="https://www.canal-u.tv/chaines/canal-unisciel/statistique-pour-ingenieur" TargetMode="External"/><Relationship Id="rId2" Type="http://schemas.openxmlformats.org/officeDocument/2006/relationships/hyperlink" Target="https://www.lelivrescolaire.fr/page/14235244" TargetMode="External"/><Relationship Id="rId1" Type="http://schemas.openxmlformats.org/officeDocument/2006/relationships/hyperlink" Target="https://hal.archives-ouvertes.fr/hal-02442442/document" TargetMode="External"/><Relationship Id="rId6" Type="http://schemas.openxmlformats.org/officeDocument/2006/relationships/hyperlink" Target="https://uel.unisciel.fr/mathematiques/arithmetique/arithmetique/co/arithmetique.html" TargetMode="External"/><Relationship Id="rId11" Type="http://schemas.openxmlformats.org/officeDocument/2006/relationships/hyperlink" Target="https://uel.unisciel.fr/biologie/genepop/genepop_ch01/co/apprendre_ch1_05.html" TargetMode="External"/><Relationship Id="rId5" Type="http://schemas.openxmlformats.org/officeDocument/2006/relationships/hyperlink" Target="https://uel.unisciel.fr/physique/outils_nancy/outils_nancy_ch04/co/apprendre_ch04.html" TargetMode="External"/><Relationship Id="rId10" Type="http://schemas.openxmlformats.org/officeDocument/2006/relationships/hyperlink" Target="http://pac.unisciel.fr/statistiques-et-probabilites/" TargetMode="External"/><Relationship Id="rId4" Type="http://schemas.openxmlformats.org/officeDocument/2006/relationships/hyperlink" Target="https://uel.unisciel.fr/physique/outils_nancy/outils_nancy_ch08/co/apprendre_ch08_09.html" TargetMode="External"/><Relationship Id="rId9" Type="http://schemas.openxmlformats.org/officeDocument/2006/relationships/hyperlink" Target="https://www.lelivrescolaire.fr/page/6956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outlinePr summaryBelow="0" summaryRight="0"/>
    <pageSetUpPr fitToPage="1"/>
  </sheetPr>
  <dimension ref="A1:C18"/>
  <sheetViews>
    <sheetView workbookViewId="0">
      <selection activeCell="A7" sqref="A7"/>
    </sheetView>
  </sheetViews>
  <sheetFormatPr baseColWidth="10" defaultColWidth="14.44140625" defaultRowHeight="15.75" customHeight="1" x14ac:dyDescent="0.25"/>
  <cols>
    <col min="1" max="1" width="160.6640625" style="34" customWidth="1"/>
    <col min="2" max="2" width="10.6640625" style="41" customWidth="1"/>
    <col min="3" max="3" width="14.6640625" style="34" customWidth="1"/>
    <col min="4" max="16384" width="14.44140625" style="34"/>
  </cols>
  <sheetData>
    <row r="1" spans="1:3" ht="60" customHeight="1" thickTop="1" thickBot="1" x14ac:dyDescent="0.3">
      <c r="A1" s="288" t="s">
        <v>0</v>
      </c>
      <c r="B1" s="289"/>
      <c r="C1" s="290"/>
    </row>
    <row r="2" spans="1:3" ht="25.2" customHeight="1" x14ac:dyDescent="0.25">
      <c r="A2" s="32" t="s">
        <v>1</v>
      </c>
      <c r="B2" s="291">
        <v>1</v>
      </c>
      <c r="C2" s="293" t="s">
        <v>2</v>
      </c>
    </row>
    <row r="3" spans="1:3" ht="19.95" customHeight="1" x14ac:dyDescent="0.25">
      <c r="A3" s="35" t="s">
        <v>3</v>
      </c>
      <c r="B3" s="291"/>
      <c r="C3" s="293"/>
    </row>
    <row r="4" spans="1:3" ht="19.95" customHeight="1" thickBot="1" x14ac:dyDescent="0.3">
      <c r="A4" s="36" t="s">
        <v>4</v>
      </c>
      <c r="B4" s="291"/>
      <c r="C4" s="293"/>
    </row>
    <row r="5" spans="1:3" ht="25.2" customHeight="1" x14ac:dyDescent="0.25">
      <c r="A5" s="32" t="s">
        <v>5</v>
      </c>
      <c r="B5" s="291"/>
      <c r="C5" s="293"/>
    </row>
    <row r="6" spans="1:3" ht="19.95" customHeight="1" x14ac:dyDescent="0.25">
      <c r="A6" s="37" t="s">
        <v>6</v>
      </c>
      <c r="B6" s="291"/>
      <c r="C6" s="293"/>
    </row>
    <row r="7" spans="1:3" ht="19.95" customHeight="1" x14ac:dyDescent="0.25">
      <c r="A7" s="36" t="s">
        <v>7</v>
      </c>
      <c r="B7" s="291"/>
      <c r="C7" s="293"/>
    </row>
    <row r="8" spans="1:3" ht="19.95" customHeight="1" x14ac:dyDescent="0.25">
      <c r="A8" s="37" t="s">
        <v>8</v>
      </c>
      <c r="B8" s="291"/>
      <c r="C8" s="293"/>
    </row>
    <row r="9" spans="1:3" ht="19.95" customHeight="1" thickBot="1" x14ac:dyDescent="0.3">
      <c r="A9" s="36" t="s">
        <v>9</v>
      </c>
      <c r="B9" s="291"/>
      <c r="C9" s="293"/>
    </row>
    <row r="10" spans="1:3" ht="25.2" customHeight="1" x14ac:dyDescent="0.25">
      <c r="A10" s="32" t="s">
        <v>10</v>
      </c>
      <c r="B10" s="291">
        <v>2</v>
      </c>
      <c r="C10" s="293" t="s">
        <v>11</v>
      </c>
    </row>
    <row r="11" spans="1:3" ht="19.95" customHeight="1" x14ac:dyDescent="0.25">
      <c r="A11" s="38" t="s">
        <v>12</v>
      </c>
      <c r="B11" s="291"/>
      <c r="C11" s="293"/>
    </row>
    <row r="12" spans="1:3" ht="19.95" customHeight="1" x14ac:dyDescent="0.25">
      <c r="A12" s="36" t="s">
        <v>13</v>
      </c>
      <c r="B12" s="291"/>
      <c r="C12" s="293"/>
    </row>
    <row r="13" spans="1:3" ht="19.95" customHeight="1" thickBot="1" x14ac:dyDescent="0.3">
      <c r="A13" s="39" t="s">
        <v>14</v>
      </c>
      <c r="B13" s="292"/>
      <c r="C13" s="294"/>
    </row>
    <row r="14" spans="1:3" ht="15.75" customHeight="1" thickTop="1" x14ac:dyDescent="0.25">
      <c r="B14" s="40"/>
    </row>
    <row r="15" spans="1:3" ht="15.75" customHeight="1" x14ac:dyDescent="0.25">
      <c r="B15" s="40"/>
    </row>
    <row r="16" spans="1:3" ht="15.75" customHeight="1" x14ac:dyDescent="0.25">
      <c r="B16" s="40"/>
    </row>
    <row r="17" spans="2:2" ht="15.75" customHeight="1" x14ac:dyDescent="0.25">
      <c r="B17" s="40"/>
    </row>
    <row r="18" spans="2:2" ht="15.75" customHeight="1" x14ac:dyDescent="0.25">
      <c r="B18" s="40"/>
    </row>
  </sheetData>
  <mergeCells count="5">
    <mergeCell ref="A1:C1"/>
    <mergeCell ref="B2:B9"/>
    <mergeCell ref="B10:B13"/>
    <mergeCell ref="C2:C9"/>
    <mergeCell ref="C10:C13"/>
  </mergeCells>
  <printOptions horizontalCentered="1" gridLines="1"/>
  <pageMargins left="0.39370078740157477" right="0.39370078740157477" top="0.31496062992125984" bottom="0.31496062992125984" header="0" footer="0"/>
  <pageSetup paperSize="9" fitToHeight="0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A1:I377"/>
  <sheetViews>
    <sheetView topLeftCell="B161" zoomScaleNormal="100" workbookViewId="0">
      <selection activeCell="D168" sqref="D168:D173"/>
    </sheetView>
  </sheetViews>
  <sheetFormatPr baseColWidth="10" defaultColWidth="11.44140625" defaultRowHeight="18" x14ac:dyDescent="0.25"/>
  <cols>
    <col min="1" max="1" width="27.88671875" style="67" hidden="1" customWidth="1"/>
    <col min="2" max="2" width="40.6640625" style="51" customWidth="1"/>
    <col min="3" max="3" width="27.88671875" style="51" customWidth="1"/>
    <col min="4" max="4" width="24.6640625" style="68" customWidth="1"/>
    <col min="5" max="5" width="180.6640625" style="69" customWidth="1"/>
    <col min="6" max="6" width="6.6640625" style="71" customWidth="1"/>
    <col min="7" max="7" width="11.44140625" style="34"/>
    <col min="8" max="8" width="37.109375" style="45" customWidth="1"/>
    <col min="9" max="16384" width="11.44140625" style="34"/>
  </cols>
  <sheetData>
    <row r="1" spans="1:9" ht="17.399999999999999" customHeight="1" thickTop="1" x14ac:dyDescent="0.25">
      <c r="A1" s="303" t="s">
        <v>15</v>
      </c>
      <c r="B1" s="304"/>
      <c r="C1" s="304"/>
      <c r="D1" s="304"/>
      <c r="E1" s="304"/>
      <c r="F1" s="304"/>
      <c r="G1" s="73"/>
      <c r="H1" s="313" t="s">
        <v>16</v>
      </c>
      <c r="I1" s="313"/>
    </row>
    <row r="2" spans="1:9" ht="17.399999999999999" customHeight="1" x14ac:dyDescent="0.25">
      <c r="A2" s="305"/>
      <c r="B2" s="306"/>
      <c r="C2" s="306"/>
      <c r="D2" s="306"/>
      <c r="E2" s="306"/>
      <c r="F2" s="306"/>
      <c r="G2" s="74"/>
      <c r="H2" s="313"/>
      <c r="I2" s="313"/>
    </row>
    <row r="3" spans="1:9" ht="17.25" customHeight="1" x14ac:dyDescent="0.25">
      <c r="A3" s="307"/>
      <c r="B3" s="308"/>
      <c r="C3" s="308"/>
      <c r="D3" s="308"/>
      <c r="E3" s="308"/>
      <c r="F3" s="308"/>
      <c r="G3" s="74"/>
      <c r="H3" s="313"/>
      <c r="I3" s="313"/>
    </row>
    <row r="4" spans="1:9" ht="12.75" customHeight="1" x14ac:dyDescent="0.25">
      <c r="A4" s="309" t="s">
        <v>17</v>
      </c>
      <c r="B4" s="310"/>
      <c r="C4" s="310"/>
      <c r="D4" s="310"/>
      <c r="E4" s="310"/>
      <c r="F4" s="310"/>
      <c r="G4" s="301" t="s">
        <v>18</v>
      </c>
      <c r="H4" s="314" t="s">
        <v>19</v>
      </c>
      <c r="I4" s="314"/>
    </row>
    <row r="5" spans="1:9" ht="17.399999999999999" customHeight="1" x14ac:dyDescent="0.25">
      <c r="A5" s="309"/>
      <c r="B5" s="310"/>
      <c r="C5" s="310"/>
      <c r="D5" s="310"/>
      <c r="E5" s="310"/>
      <c r="F5" s="310"/>
      <c r="G5" s="301"/>
      <c r="H5" s="314"/>
      <c r="I5" s="314"/>
    </row>
    <row r="6" spans="1:9" ht="17.399999999999999" customHeight="1" thickBot="1" x14ac:dyDescent="0.3">
      <c r="A6" s="311"/>
      <c r="B6" s="312"/>
      <c r="C6" s="312"/>
      <c r="D6" s="312"/>
      <c r="E6" s="312"/>
      <c r="F6" s="312"/>
      <c r="G6" s="301"/>
      <c r="H6" s="314"/>
      <c r="I6" s="314"/>
    </row>
    <row r="7" spans="1:9" ht="19.95" customHeight="1" x14ac:dyDescent="0.25">
      <c r="A7" s="84"/>
      <c r="B7" s="85" t="s">
        <v>20</v>
      </c>
      <c r="C7" s="76"/>
      <c r="D7" s="302" t="s">
        <v>20</v>
      </c>
      <c r="E7" s="302"/>
      <c r="F7" s="302"/>
      <c r="G7" s="77"/>
      <c r="H7" s="42"/>
      <c r="I7" s="62"/>
    </row>
    <row r="8" spans="1:9" ht="19.95" customHeight="1" x14ac:dyDescent="0.25">
      <c r="A8" s="75"/>
      <c r="B8" s="55"/>
      <c r="C8" s="76"/>
      <c r="D8" s="76"/>
      <c r="E8" s="78"/>
      <c r="F8" s="78"/>
      <c r="G8" s="77"/>
      <c r="H8" s="42"/>
      <c r="I8" s="62"/>
    </row>
    <row r="9" spans="1:9" ht="19.95" customHeight="1" x14ac:dyDescent="0.25">
      <c r="A9" s="75"/>
      <c r="B9" s="55"/>
      <c r="C9" s="76"/>
      <c r="D9" s="76"/>
      <c r="E9" s="78"/>
      <c r="F9" s="78"/>
      <c r="G9" s="77"/>
      <c r="H9" s="42"/>
      <c r="I9" s="62"/>
    </row>
    <row r="10" spans="1:9" ht="19.95" customHeight="1" x14ac:dyDescent="0.25">
      <c r="A10" s="79"/>
      <c r="B10" s="55" t="s">
        <v>20</v>
      </c>
      <c r="C10" s="54" t="s">
        <v>21</v>
      </c>
      <c r="D10" s="316" t="s">
        <v>22</v>
      </c>
      <c r="E10" s="88" t="s">
        <v>23</v>
      </c>
      <c r="F10" s="86">
        <v>1</v>
      </c>
      <c r="G10" s="124">
        <f>F10</f>
        <v>1</v>
      </c>
      <c r="H10" s="44"/>
      <c r="I10" s="295"/>
    </row>
    <row r="11" spans="1:9" ht="19.95" customHeight="1" x14ac:dyDescent="0.25">
      <c r="A11" s="79"/>
      <c r="B11" s="55" t="s">
        <v>20</v>
      </c>
      <c r="C11" s="54" t="s">
        <v>21</v>
      </c>
      <c r="D11" s="316"/>
      <c r="E11" s="89" t="s">
        <v>24</v>
      </c>
      <c r="F11" s="86">
        <v>1</v>
      </c>
      <c r="G11" s="124">
        <f t="shared" ref="G11:G74" si="0">F11</f>
        <v>1</v>
      </c>
      <c r="H11" s="44"/>
      <c r="I11" s="295"/>
    </row>
    <row r="12" spans="1:9" ht="19.95" customHeight="1" x14ac:dyDescent="0.25">
      <c r="A12" s="79"/>
      <c r="B12" s="55" t="s">
        <v>20</v>
      </c>
      <c r="C12" s="54" t="s">
        <v>21</v>
      </c>
      <c r="D12" s="316"/>
      <c r="E12" s="89" t="s">
        <v>25</v>
      </c>
      <c r="F12" s="86">
        <v>1</v>
      </c>
      <c r="G12" s="124">
        <f t="shared" si="0"/>
        <v>1</v>
      </c>
      <c r="H12" s="44"/>
      <c r="I12" s="295"/>
    </row>
    <row r="13" spans="1:9" ht="19.95" customHeight="1" x14ac:dyDescent="0.25">
      <c r="A13" s="79"/>
      <c r="B13" s="55" t="s">
        <v>20</v>
      </c>
      <c r="C13" s="54" t="s">
        <v>21</v>
      </c>
      <c r="D13" s="316"/>
      <c r="E13" s="89" t="s">
        <v>26</v>
      </c>
      <c r="F13" s="86">
        <v>1</v>
      </c>
      <c r="G13" s="124">
        <f t="shared" si="0"/>
        <v>1</v>
      </c>
      <c r="H13" s="44"/>
      <c r="I13" s="295"/>
    </row>
    <row r="14" spans="1:9" ht="19.95" customHeight="1" x14ac:dyDescent="0.25">
      <c r="A14" s="79"/>
      <c r="B14" s="55" t="s">
        <v>20</v>
      </c>
      <c r="C14" s="54" t="s">
        <v>21</v>
      </c>
      <c r="D14" s="316"/>
      <c r="E14" s="89" t="s">
        <v>27</v>
      </c>
      <c r="F14" s="86">
        <v>1</v>
      </c>
      <c r="G14" s="124">
        <f t="shared" si="0"/>
        <v>1</v>
      </c>
      <c r="H14" s="44"/>
      <c r="I14" s="295"/>
    </row>
    <row r="15" spans="1:9" ht="19.95" customHeight="1" x14ac:dyDescent="0.25">
      <c r="A15" s="79"/>
      <c r="B15" s="55" t="s">
        <v>20</v>
      </c>
      <c r="C15" s="54" t="s">
        <v>21</v>
      </c>
      <c r="D15" s="316"/>
      <c r="E15" s="89" t="s">
        <v>28</v>
      </c>
      <c r="F15" s="86">
        <v>1</v>
      </c>
      <c r="G15" s="124">
        <f t="shared" si="0"/>
        <v>1</v>
      </c>
      <c r="H15" s="44"/>
      <c r="I15" s="295"/>
    </row>
    <row r="16" spans="1:9" ht="19.95" customHeight="1" x14ac:dyDescent="0.25">
      <c r="A16" s="79"/>
      <c r="B16" s="55" t="s">
        <v>20</v>
      </c>
      <c r="C16" s="54" t="s">
        <v>21</v>
      </c>
      <c r="D16" s="316"/>
      <c r="E16" s="89" t="s">
        <v>29</v>
      </c>
      <c r="F16" s="86">
        <v>1</v>
      </c>
      <c r="G16" s="124">
        <f t="shared" si="0"/>
        <v>1</v>
      </c>
      <c r="H16" s="44"/>
      <c r="I16" s="295"/>
    </row>
    <row r="17" spans="1:9" ht="19.95" customHeight="1" x14ac:dyDescent="0.25">
      <c r="A17" s="79"/>
      <c r="B17" s="55" t="s">
        <v>20</v>
      </c>
      <c r="C17" s="54" t="s">
        <v>21</v>
      </c>
      <c r="D17" s="316"/>
      <c r="E17" s="89" t="s">
        <v>30</v>
      </c>
      <c r="F17" s="86">
        <v>1</v>
      </c>
      <c r="G17" s="124">
        <f t="shared" si="0"/>
        <v>1</v>
      </c>
      <c r="H17" s="44"/>
      <c r="I17" s="295"/>
    </row>
    <row r="18" spans="1:9" ht="19.95" customHeight="1" x14ac:dyDescent="0.25">
      <c r="A18" s="79"/>
      <c r="B18" s="55" t="s">
        <v>20</v>
      </c>
      <c r="C18" s="54" t="s">
        <v>21</v>
      </c>
      <c r="D18" s="316"/>
      <c r="E18" s="89" t="s">
        <v>31</v>
      </c>
      <c r="F18" s="86">
        <v>1</v>
      </c>
      <c r="G18" s="124">
        <f t="shared" si="0"/>
        <v>1</v>
      </c>
      <c r="H18" s="44"/>
      <c r="I18" s="295"/>
    </row>
    <row r="19" spans="1:9" ht="19.95" customHeight="1" x14ac:dyDescent="0.25">
      <c r="A19" s="79"/>
      <c r="B19" s="55" t="s">
        <v>20</v>
      </c>
      <c r="C19" s="54" t="s">
        <v>21</v>
      </c>
      <c r="D19" s="316"/>
      <c r="E19" s="89" t="s">
        <v>32</v>
      </c>
      <c r="F19" s="86">
        <v>1</v>
      </c>
      <c r="G19" s="124">
        <f t="shared" si="0"/>
        <v>1</v>
      </c>
      <c r="H19" s="44"/>
      <c r="I19" s="295"/>
    </row>
    <row r="20" spans="1:9" ht="19.95" customHeight="1" x14ac:dyDescent="0.25">
      <c r="A20" s="79"/>
      <c r="B20" s="55" t="s">
        <v>20</v>
      </c>
      <c r="C20" s="54" t="s">
        <v>21</v>
      </c>
      <c r="D20" s="316"/>
      <c r="E20" s="89" t="s">
        <v>33</v>
      </c>
      <c r="F20" s="86">
        <v>1</v>
      </c>
      <c r="G20" s="124">
        <f t="shared" si="0"/>
        <v>1</v>
      </c>
      <c r="H20" s="44"/>
      <c r="I20" s="295"/>
    </row>
    <row r="21" spans="1:9" ht="19.95" customHeight="1" x14ac:dyDescent="0.25">
      <c r="A21" s="79"/>
      <c r="B21" s="55" t="s">
        <v>20</v>
      </c>
      <c r="C21" s="54" t="s">
        <v>21</v>
      </c>
      <c r="D21" s="316"/>
      <c r="E21" s="89" t="s">
        <v>34</v>
      </c>
      <c r="F21" s="86">
        <v>5</v>
      </c>
      <c r="G21" s="124">
        <f t="shared" si="0"/>
        <v>5</v>
      </c>
      <c r="H21" s="44"/>
      <c r="I21" s="295"/>
    </row>
    <row r="22" spans="1:9" ht="19.95" customHeight="1" x14ac:dyDescent="0.25">
      <c r="A22" s="79"/>
      <c r="B22" s="55" t="s">
        <v>20</v>
      </c>
      <c r="C22" s="54" t="s">
        <v>21</v>
      </c>
      <c r="D22" s="316"/>
      <c r="E22" s="89" t="s">
        <v>35</v>
      </c>
      <c r="F22" s="86">
        <v>5</v>
      </c>
      <c r="G22" s="124">
        <f t="shared" si="0"/>
        <v>5</v>
      </c>
      <c r="I22" s="295"/>
    </row>
    <row r="23" spans="1:9" ht="19.95" customHeight="1" x14ac:dyDescent="0.25">
      <c r="A23" s="79"/>
      <c r="B23" s="55" t="s">
        <v>20</v>
      </c>
      <c r="C23" s="54" t="s">
        <v>21</v>
      </c>
      <c r="D23" s="316"/>
      <c r="E23" s="89" t="s">
        <v>36</v>
      </c>
      <c r="F23" s="86">
        <v>5</v>
      </c>
      <c r="G23" s="124">
        <f t="shared" si="0"/>
        <v>5</v>
      </c>
      <c r="I23" s="295"/>
    </row>
    <row r="24" spans="1:9" ht="19.95" customHeight="1" x14ac:dyDescent="0.25">
      <c r="A24" s="79"/>
      <c r="B24" s="55" t="s">
        <v>20</v>
      </c>
      <c r="C24" s="54" t="s">
        <v>37</v>
      </c>
      <c r="D24" s="316" t="s">
        <v>38</v>
      </c>
      <c r="E24" s="89" t="s">
        <v>39</v>
      </c>
      <c r="F24" s="86">
        <v>5</v>
      </c>
      <c r="G24" s="124">
        <f t="shared" si="0"/>
        <v>5</v>
      </c>
      <c r="H24" s="34"/>
      <c r="I24" s="296"/>
    </row>
    <row r="25" spans="1:9" ht="19.95" customHeight="1" x14ac:dyDescent="0.25">
      <c r="A25" s="79"/>
      <c r="B25" s="55" t="s">
        <v>20</v>
      </c>
      <c r="C25" s="54" t="s">
        <v>40</v>
      </c>
      <c r="D25" s="316"/>
      <c r="E25" s="89" t="s">
        <v>41</v>
      </c>
      <c r="F25" s="86">
        <v>5</v>
      </c>
      <c r="G25" s="124">
        <f t="shared" si="0"/>
        <v>5</v>
      </c>
      <c r="H25" s="34"/>
      <c r="I25" s="296"/>
    </row>
    <row r="26" spans="1:9" ht="19.95" customHeight="1" x14ac:dyDescent="0.25">
      <c r="A26" s="79"/>
      <c r="B26" s="55" t="s">
        <v>20</v>
      </c>
      <c r="C26" s="54" t="s">
        <v>40</v>
      </c>
      <c r="D26" s="316"/>
      <c r="E26" s="89" t="s">
        <v>42</v>
      </c>
      <c r="F26" s="86">
        <v>5</v>
      </c>
      <c r="G26" s="124">
        <f t="shared" si="0"/>
        <v>5</v>
      </c>
      <c r="H26" s="34"/>
      <c r="I26" s="296"/>
    </row>
    <row r="27" spans="1:9" ht="19.95" customHeight="1" x14ac:dyDescent="0.25">
      <c r="A27" s="79"/>
      <c r="B27" s="55" t="s">
        <v>20</v>
      </c>
      <c r="C27" s="54" t="s">
        <v>40</v>
      </c>
      <c r="D27" s="316"/>
      <c r="E27" s="89" t="s">
        <v>43</v>
      </c>
      <c r="F27" s="86">
        <v>5</v>
      </c>
      <c r="G27" s="124">
        <f t="shared" si="0"/>
        <v>5</v>
      </c>
      <c r="H27" s="34"/>
      <c r="I27" s="296"/>
    </row>
    <row r="28" spans="1:9" ht="19.95" customHeight="1" x14ac:dyDescent="0.25">
      <c r="A28" s="79"/>
      <c r="B28" s="55" t="s">
        <v>20</v>
      </c>
      <c r="C28" s="54" t="s">
        <v>21</v>
      </c>
      <c r="D28" s="316"/>
      <c r="E28" s="89" t="s">
        <v>44</v>
      </c>
      <c r="F28" s="86">
        <v>5</v>
      </c>
      <c r="G28" s="124">
        <f t="shared" si="0"/>
        <v>5</v>
      </c>
      <c r="I28" s="295"/>
    </row>
    <row r="29" spans="1:9" ht="19.95" customHeight="1" x14ac:dyDescent="0.25">
      <c r="A29" s="79"/>
      <c r="B29" s="55" t="s">
        <v>20</v>
      </c>
      <c r="C29" s="54" t="s">
        <v>40</v>
      </c>
      <c r="D29" s="316"/>
      <c r="E29" s="89" t="s">
        <v>45</v>
      </c>
      <c r="F29" s="86">
        <v>5</v>
      </c>
      <c r="G29" s="124">
        <f t="shared" si="0"/>
        <v>5</v>
      </c>
      <c r="I29" s="295"/>
    </row>
    <row r="30" spans="1:9" ht="19.95" customHeight="1" x14ac:dyDescent="0.25">
      <c r="A30" s="79"/>
      <c r="B30" s="55" t="s">
        <v>20</v>
      </c>
      <c r="C30" s="54" t="s">
        <v>40</v>
      </c>
      <c r="D30" s="316"/>
      <c r="E30" s="89" t="s">
        <v>46</v>
      </c>
      <c r="F30" s="86">
        <v>5</v>
      </c>
      <c r="G30" s="124">
        <f t="shared" si="0"/>
        <v>5</v>
      </c>
      <c r="I30" s="295"/>
    </row>
    <row r="31" spans="1:9" ht="19.95" customHeight="1" x14ac:dyDescent="0.25">
      <c r="A31" s="79"/>
      <c r="B31" s="55" t="s">
        <v>20</v>
      </c>
      <c r="C31" s="54" t="s">
        <v>40</v>
      </c>
      <c r="D31" s="316"/>
      <c r="E31" s="89" t="s">
        <v>47</v>
      </c>
      <c r="F31" s="86">
        <v>6</v>
      </c>
      <c r="G31" s="124">
        <f t="shared" si="0"/>
        <v>6</v>
      </c>
      <c r="I31" s="295"/>
    </row>
    <row r="32" spans="1:9" ht="19.95" customHeight="1" x14ac:dyDescent="0.25">
      <c r="A32" s="79"/>
      <c r="B32" s="55" t="s">
        <v>20</v>
      </c>
      <c r="C32" s="54" t="s">
        <v>40</v>
      </c>
      <c r="D32" s="316"/>
      <c r="E32" s="89" t="s">
        <v>48</v>
      </c>
      <c r="F32" s="86">
        <v>6</v>
      </c>
      <c r="G32" s="124">
        <f t="shared" si="0"/>
        <v>6</v>
      </c>
      <c r="I32" s="295"/>
    </row>
    <row r="33" spans="1:9" ht="19.95" customHeight="1" x14ac:dyDescent="0.25">
      <c r="A33" s="79"/>
      <c r="B33" s="55" t="s">
        <v>20</v>
      </c>
      <c r="C33" s="54" t="s">
        <v>40</v>
      </c>
      <c r="D33" s="316"/>
      <c r="E33" s="89" t="s">
        <v>49</v>
      </c>
      <c r="F33" s="86">
        <v>6</v>
      </c>
      <c r="G33" s="124">
        <f t="shared" si="0"/>
        <v>6</v>
      </c>
      <c r="I33" s="295"/>
    </row>
    <row r="34" spans="1:9" ht="19.95" customHeight="1" x14ac:dyDescent="0.25">
      <c r="A34" s="79"/>
      <c r="B34" s="55" t="s">
        <v>20</v>
      </c>
      <c r="C34" s="54" t="s">
        <v>40</v>
      </c>
      <c r="D34" s="316"/>
      <c r="E34" s="89" t="s">
        <v>29</v>
      </c>
      <c r="F34" s="86">
        <v>6</v>
      </c>
      <c r="G34" s="124">
        <f t="shared" si="0"/>
        <v>6</v>
      </c>
      <c r="I34" s="295"/>
    </row>
    <row r="35" spans="1:9" ht="19.95" customHeight="1" x14ac:dyDescent="0.25">
      <c r="A35" s="79"/>
      <c r="B35" s="55" t="s">
        <v>20</v>
      </c>
      <c r="C35" s="54" t="s">
        <v>40</v>
      </c>
      <c r="D35" s="316"/>
      <c r="E35" s="89" t="s">
        <v>50</v>
      </c>
      <c r="F35" s="86">
        <v>6</v>
      </c>
      <c r="G35" s="124">
        <f t="shared" si="0"/>
        <v>6</v>
      </c>
      <c r="I35" s="295"/>
    </row>
    <row r="36" spans="1:9" ht="19.95" customHeight="1" x14ac:dyDescent="0.25">
      <c r="A36" s="79"/>
      <c r="B36" s="55" t="s">
        <v>20</v>
      </c>
      <c r="C36" s="54" t="s">
        <v>51</v>
      </c>
      <c r="D36" s="316" t="s">
        <v>51</v>
      </c>
      <c r="E36" s="89" t="s">
        <v>52</v>
      </c>
      <c r="F36" s="86">
        <v>2</v>
      </c>
      <c r="G36" s="124">
        <f t="shared" si="0"/>
        <v>2</v>
      </c>
      <c r="I36" s="295"/>
    </row>
    <row r="37" spans="1:9" ht="19.95" customHeight="1" x14ac:dyDescent="0.25">
      <c r="A37" s="79"/>
      <c r="B37" s="55" t="s">
        <v>20</v>
      </c>
      <c r="C37" s="54" t="s">
        <v>51</v>
      </c>
      <c r="D37" s="316"/>
      <c r="E37" s="89" t="s">
        <v>53</v>
      </c>
      <c r="F37" s="86">
        <v>2</v>
      </c>
      <c r="G37" s="124">
        <f t="shared" si="0"/>
        <v>2</v>
      </c>
      <c r="I37" s="295"/>
    </row>
    <row r="38" spans="1:9" ht="19.95" customHeight="1" x14ac:dyDescent="0.25">
      <c r="A38" s="79"/>
      <c r="B38" s="55" t="s">
        <v>20</v>
      </c>
      <c r="C38" s="54" t="s">
        <v>51</v>
      </c>
      <c r="D38" s="316"/>
      <c r="E38" s="89" t="s">
        <v>54</v>
      </c>
      <c r="F38" s="86">
        <v>2</v>
      </c>
      <c r="G38" s="124">
        <f t="shared" si="0"/>
        <v>2</v>
      </c>
      <c r="I38" s="295"/>
    </row>
    <row r="39" spans="1:9" ht="19.95" customHeight="1" x14ac:dyDescent="0.25">
      <c r="A39" s="79"/>
      <c r="B39" s="55" t="s">
        <v>20</v>
      </c>
      <c r="C39" s="54" t="s">
        <v>51</v>
      </c>
      <c r="D39" s="316"/>
      <c r="E39" s="89" t="s">
        <v>55</v>
      </c>
      <c r="F39" s="86">
        <v>2</v>
      </c>
      <c r="G39" s="124">
        <f t="shared" si="0"/>
        <v>2</v>
      </c>
      <c r="I39" s="295"/>
    </row>
    <row r="40" spans="1:9" ht="19.95" customHeight="1" x14ac:dyDescent="0.25">
      <c r="A40" s="79"/>
      <c r="B40" s="55" t="s">
        <v>20</v>
      </c>
      <c r="C40" s="54" t="s">
        <v>51</v>
      </c>
      <c r="D40" s="316"/>
      <c r="E40" s="89" t="s">
        <v>56</v>
      </c>
      <c r="F40" s="86">
        <v>2</v>
      </c>
      <c r="G40" s="124">
        <f t="shared" si="0"/>
        <v>2</v>
      </c>
      <c r="I40" s="295"/>
    </row>
    <row r="41" spans="1:9" ht="19.95" customHeight="1" x14ac:dyDescent="0.25">
      <c r="A41" s="79"/>
      <c r="B41" s="55" t="s">
        <v>20</v>
      </c>
      <c r="C41" s="54" t="s">
        <v>51</v>
      </c>
      <c r="D41" s="316"/>
      <c r="E41" s="89" t="s">
        <v>57</v>
      </c>
      <c r="F41" s="86">
        <v>2</v>
      </c>
      <c r="G41" s="124">
        <f t="shared" si="0"/>
        <v>2</v>
      </c>
      <c r="I41" s="295"/>
    </row>
    <row r="42" spans="1:9" ht="19.95" customHeight="1" x14ac:dyDescent="0.25">
      <c r="A42" s="79"/>
      <c r="B42" s="55" t="s">
        <v>20</v>
      </c>
      <c r="C42" s="54" t="s">
        <v>51</v>
      </c>
      <c r="D42" s="316"/>
      <c r="E42" s="89" t="s">
        <v>58</v>
      </c>
      <c r="F42" s="86">
        <v>2</v>
      </c>
      <c r="G42" s="124">
        <f t="shared" si="0"/>
        <v>2</v>
      </c>
      <c r="I42" s="295"/>
    </row>
    <row r="43" spans="1:9" ht="19.95" customHeight="1" x14ac:dyDescent="0.25">
      <c r="A43" s="79"/>
      <c r="B43" s="55" t="s">
        <v>20</v>
      </c>
      <c r="C43" s="54" t="s">
        <v>51</v>
      </c>
      <c r="D43" s="316"/>
      <c r="E43" s="89" t="s">
        <v>59</v>
      </c>
      <c r="F43" s="86">
        <v>2</v>
      </c>
      <c r="G43" s="124">
        <f t="shared" si="0"/>
        <v>2</v>
      </c>
      <c r="I43" s="295"/>
    </row>
    <row r="44" spans="1:9" ht="19.95" customHeight="1" x14ac:dyDescent="0.25">
      <c r="A44" s="79"/>
      <c r="B44" s="55" t="s">
        <v>20</v>
      </c>
      <c r="C44" s="54" t="s">
        <v>51</v>
      </c>
      <c r="D44" s="316"/>
      <c r="E44" s="89" t="s">
        <v>60</v>
      </c>
      <c r="F44" s="86">
        <v>2</v>
      </c>
      <c r="G44" s="124">
        <f t="shared" si="0"/>
        <v>2</v>
      </c>
      <c r="I44" s="295"/>
    </row>
    <row r="45" spans="1:9" ht="19.95" customHeight="1" x14ac:dyDescent="0.25">
      <c r="A45" s="79"/>
      <c r="B45" s="55" t="s">
        <v>20</v>
      </c>
      <c r="C45" s="54" t="s">
        <v>51</v>
      </c>
      <c r="D45" s="316"/>
      <c r="E45" s="89" t="s">
        <v>61</v>
      </c>
      <c r="F45" s="86">
        <v>2</v>
      </c>
      <c r="G45" s="124">
        <f t="shared" si="0"/>
        <v>2</v>
      </c>
      <c r="I45" s="295"/>
    </row>
    <row r="46" spans="1:9" ht="19.95" customHeight="1" x14ac:dyDescent="0.25">
      <c r="A46" s="79"/>
      <c r="B46" s="55" t="s">
        <v>20</v>
      </c>
      <c r="C46" s="54" t="s">
        <v>51</v>
      </c>
      <c r="D46" s="316"/>
      <c r="E46" s="89" t="s">
        <v>62</v>
      </c>
      <c r="F46" s="86">
        <v>2</v>
      </c>
      <c r="G46" s="124">
        <f t="shared" si="0"/>
        <v>2</v>
      </c>
      <c r="I46" s="295"/>
    </row>
    <row r="47" spans="1:9" ht="19.95" customHeight="1" x14ac:dyDescent="0.25">
      <c r="A47" s="79"/>
      <c r="B47" s="55" t="s">
        <v>20</v>
      </c>
      <c r="C47" s="54" t="s">
        <v>51</v>
      </c>
      <c r="D47" s="316"/>
      <c r="E47" s="89" t="s">
        <v>63</v>
      </c>
      <c r="F47" s="86">
        <v>2</v>
      </c>
      <c r="G47" s="124">
        <f t="shared" si="0"/>
        <v>2</v>
      </c>
      <c r="I47" s="295"/>
    </row>
    <row r="48" spans="1:9" ht="19.95" customHeight="1" x14ac:dyDescent="0.25">
      <c r="A48" s="79"/>
      <c r="B48" s="55" t="s">
        <v>20</v>
      </c>
      <c r="C48" s="54" t="s">
        <v>51</v>
      </c>
      <c r="D48" s="316"/>
      <c r="E48" s="89" t="s">
        <v>64</v>
      </c>
      <c r="F48" s="86">
        <v>2</v>
      </c>
      <c r="G48" s="124">
        <f t="shared" si="0"/>
        <v>2</v>
      </c>
      <c r="I48" s="295"/>
    </row>
    <row r="49" spans="1:9" ht="19.95" customHeight="1" x14ac:dyDescent="0.25">
      <c r="A49" s="79"/>
      <c r="B49" s="55" t="s">
        <v>20</v>
      </c>
      <c r="C49" s="54" t="s">
        <v>51</v>
      </c>
      <c r="D49" s="316"/>
      <c r="E49" s="89" t="s">
        <v>65</v>
      </c>
      <c r="F49" s="86">
        <v>2</v>
      </c>
      <c r="G49" s="124">
        <f t="shared" si="0"/>
        <v>2</v>
      </c>
      <c r="I49" s="295"/>
    </row>
    <row r="50" spans="1:9" ht="19.95" customHeight="1" x14ac:dyDescent="0.25">
      <c r="A50" s="79"/>
      <c r="B50" s="55" t="s">
        <v>20</v>
      </c>
      <c r="C50" s="54" t="s">
        <v>51</v>
      </c>
      <c r="D50" s="316"/>
      <c r="E50" s="89" t="s">
        <v>56</v>
      </c>
      <c r="F50" s="86">
        <v>2</v>
      </c>
      <c r="G50" s="124">
        <f t="shared" si="0"/>
        <v>2</v>
      </c>
      <c r="I50" s="295"/>
    </row>
    <row r="51" spans="1:9" ht="19.95" customHeight="1" x14ac:dyDescent="0.25">
      <c r="A51" s="79"/>
      <c r="B51" s="55" t="s">
        <v>20</v>
      </c>
      <c r="C51" s="54" t="s">
        <v>51</v>
      </c>
      <c r="D51" s="316"/>
      <c r="E51" s="89" t="s">
        <v>66</v>
      </c>
      <c r="F51" s="86">
        <v>2</v>
      </c>
      <c r="G51" s="124">
        <f t="shared" si="0"/>
        <v>2</v>
      </c>
      <c r="I51" s="295"/>
    </row>
    <row r="52" spans="1:9" ht="19.95" customHeight="1" x14ac:dyDescent="0.25">
      <c r="A52" s="79"/>
      <c r="B52" s="55" t="s">
        <v>20</v>
      </c>
      <c r="C52" s="54" t="s">
        <v>51</v>
      </c>
      <c r="D52" s="316"/>
      <c r="E52" s="89" t="s">
        <v>67</v>
      </c>
      <c r="F52" s="86">
        <v>2</v>
      </c>
      <c r="G52" s="124">
        <f t="shared" si="0"/>
        <v>2</v>
      </c>
      <c r="I52" s="295"/>
    </row>
    <row r="53" spans="1:9" ht="19.95" customHeight="1" x14ac:dyDescent="0.25">
      <c r="A53" s="79"/>
      <c r="B53" s="55" t="s">
        <v>20</v>
      </c>
      <c r="C53" s="54" t="s">
        <v>51</v>
      </c>
      <c r="D53" s="316"/>
      <c r="E53" s="89" t="s">
        <v>68</v>
      </c>
      <c r="F53" s="86">
        <v>2</v>
      </c>
      <c r="G53" s="124">
        <f t="shared" si="0"/>
        <v>2</v>
      </c>
      <c r="I53" s="295"/>
    </row>
    <row r="54" spans="1:9" ht="19.95" customHeight="1" x14ac:dyDescent="0.25">
      <c r="A54" s="79"/>
      <c r="B54" s="55" t="s">
        <v>20</v>
      </c>
      <c r="C54" s="54" t="s">
        <v>51</v>
      </c>
      <c r="D54" s="316"/>
      <c r="E54" s="89" t="s">
        <v>69</v>
      </c>
      <c r="F54" s="86">
        <v>2</v>
      </c>
      <c r="G54" s="124">
        <f t="shared" si="0"/>
        <v>2</v>
      </c>
      <c r="I54" s="295"/>
    </row>
    <row r="55" spans="1:9" ht="19.95" customHeight="1" x14ac:dyDescent="0.25">
      <c r="A55" s="79"/>
      <c r="B55" s="55" t="s">
        <v>20</v>
      </c>
      <c r="C55" s="54" t="s">
        <v>51</v>
      </c>
      <c r="D55" s="316"/>
      <c r="E55" s="89" t="s">
        <v>70</v>
      </c>
      <c r="F55" s="86">
        <v>2</v>
      </c>
      <c r="G55" s="124">
        <f t="shared" si="0"/>
        <v>2</v>
      </c>
      <c r="I55" s="295"/>
    </row>
    <row r="56" spans="1:9" ht="19.95" customHeight="1" x14ac:dyDescent="0.25">
      <c r="A56" s="79"/>
      <c r="B56" s="55" t="s">
        <v>20</v>
      </c>
      <c r="C56" s="54" t="s">
        <v>51</v>
      </c>
      <c r="D56" s="316"/>
      <c r="E56" s="89" t="s">
        <v>71</v>
      </c>
      <c r="F56" s="86">
        <v>2</v>
      </c>
      <c r="G56" s="124">
        <f t="shared" si="0"/>
        <v>2</v>
      </c>
      <c r="I56" s="295"/>
    </row>
    <row r="57" spans="1:9" ht="19.95" customHeight="1" x14ac:dyDescent="0.25">
      <c r="A57" s="79"/>
      <c r="B57" s="55" t="s">
        <v>20</v>
      </c>
      <c r="C57" s="54" t="s">
        <v>72</v>
      </c>
      <c r="D57" s="316" t="s">
        <v>73</v>
      </c>
      <c r="E57" s="89" t="s">
        <v>74</v>
      </c>
      <c r="F57" s="86">
        <v>3</v>
      </c>
      <c r="G57" s="124">
        <f t="shared" si="0"/>
        <v>3</v>
      </c>
      <c r="I57" s="295"/>
    </row>
    <row r="58" spans="1:9" ht="19.95" customHeight="1" x14ac:dyDescent="0.25">
      <c r="A58" s="79"/>
      <c r="B58" s="55" t="s">
        <v>20</v>
      </c>
      <c r="C58" s="54" t="s">
        <v>72</v>
      </c>
      <c r="D58" s="316"/>
      <c r="E58" s="89" t="s">
        <v>75</v>
      </c>
      <c r="F58" s="86">
        <v>3</v>
      </c>
      <c r="G58" s="124">
        <f t="shared" si="0"/>
        <v>3</v>
      </c>
      <c r="I58" s="295"/>
    </row>
    <row r="59" spans="1:9" ht="19.95" customHeight="1" x14ac:dyDescent="0.25">
      <c r="A59" s="79"/>
      <c r="B59" s="55" t="s">
        <v>20</v>
      </c>
      <c r="C59" s="54" t="s">
        <v>72</v>
      </c>
      <c r="D59" s="316"/>
      <c r="E59" s="89" t="s">
        <v>76</v>
      </c>
      <c r="F59" s="86">
        <v>3</v>
      </c>
      <c r="G59" s="124">
        <f t="shared" si="0"/>
        <v>3</v>
      </c>
      <c r="I59" s="295"/>
    </row>
    <row r="60" spans="1:9" ht="19.95" customHeight="1" x14ac:dyDescent="0.25">
      <c r="A60" s="79"/>
      <c r="B60" s="55" t="s">
        <v>20</v>
      </c>
      <c r="C60" s="54" t="s">
        <v>72</v>
      </c>
      <c r="D60" s="316"/>
      <c r="E60" s="89" t="s">
        <v>77</v>
      </c>
      <c r="F60" s="86">
        <v>3</v>
      </c>
      <c r="G60" s="124">
        <f t="shared" si="0"/>
        <v>3</v>
      </c>
      <c r="I60" s="295"/>
    </row>
    <row r="61" spans="1:9" ht="19.95" customHeight="1" x14ac:dyDescent="0.25">
      <c r="A61" s="79"/>
      <c r="B61" s="55" t="s">
        <v>20</v>
      </c>
      <c r="C61" s="54" t="s">
        <v>72</v>
      </c>
      <c r="D61" s="316"/>
      <c r="E61" s="90" t="s">
        <v>78</v>
      </c>
      <c r="F61" s="86">
        <v>3</v>
      </c>
      <c r="G61" s="124">
        <f t="shared" si="0"/>
        <v>3</v>
      </c>
      <c r="I61" s="295"/>
    </row>
    <row r="62" spans="1:9" ht="19.95" customHeight="1" x14ac:dyDescent="0.25">
      <c r="A62" s="79"/>
      <c r="B62" s="55" t="s">
        <v>20</v>
      </c>
      <c r="C62" s="54" t="s">
        <v>72</v>
      </c>
      <c r="D62" s="316"/>
      <c r="E62" s="89" t="s">
        <v>79</v>
      </c>
      <c r="F62" s="86">
        <v>3</v>
      </c>
      <c r="G62" s="124">
        <f t="shared" si="0"/>
        <v>3</v>
      </c>
      <c r="I62" s="295"/>
    </row>
    <row r="63" spans="1:9" ht="19.95" customHeight="1" x14ac:dyDescent="0.25">
      <c r="A63" s="79"/>
      <c r="B63" s="55" t="s">
        <v>20</v>
      </c>
      <c r="C63" s="54" t="s">
        <v>72</v>
      </c>
      <c r="D63" s="316"/>
      <c r="E63" s="89" t="s">
        <v>80</v>
      </c>
      <c r="F63" s="86">
        <v>3</v>
      </c>
      <c r="G63" s="124">
        <f t="shared" si="0"/>
        <v>3</v>
      </c>
      <c r="I63" s="295"/>
    </row>
    <row r="64" spans="1:9" ht="19.95" customHeight="1" x14ac:dyDescent="0.25">
      <c r="A64" s="79"/>
      <c r="B64" s="55" t="s">
        <v>20</v>
      </c>
      <c r="C64" s="54" t="s">
        <v>72</v>
      </c>
      <c r="D64" s="316"/>
      <c r="E64" s="89" t="s">
        <v>81</v>
      </c>
      <c r="F64" s="86">
        <v>3</v>
      </c>
      <c r="G64" s="124">
        <f t="shared" si="0"/>
        <v>3</v>
      </c>
      <c r="I64" s="295"/>
    </row>
    <row r="65" spans="1:9" ht="19.95" customHeight="1" x14ac:dyDescent="0.25">
      <c r="A65" s="79"/>
      <c r="B65" s="55" t="s">
        <v>20</v>
      </c>
      <c r="C65" s="54" t="s">
        <v>72</v>
      </c>
      <c r="D65" s="316"/>
      <c r="E65" s="91" t="s">
        <v>82</v>
      </c>
      <c r="F65" s="86">
        <v>3</v>
      </c>
      <c r="G65" s="124">
        <f t="shared" si="0"/>
        <v>3</v>
      </c>
      <c r="I65" s="295"/>
    </row>
    <row r="66" spans="1:9" ht="19.95" customHeight="1" x14ac:dyDescent="0.25">
      <c r="A66" s="79"/>
      <c r="B66" s="55" t="s">
        <v>20</v>
      </c>
      <c r="C66" s="54" t="s">
        <v>72</v>
      </c>
      <c r="D66" s="316"/>
      <c r="E66" s="92" t="s">
        <v>83</v>
      </c>
      <c r="F66" s="86">
        <v>3</v>
      </c>
      <c r="G66" s="124">
        <f t="shared" si="0"/>
        <v>3</v>
      </c>
      <c r="I66" s="295"/>
    </row>
    <row r="67" spans="1:9" ht="19.95" customHeight="1" x14ac:dyDescent="0.25">
      <c r="A67" s="79"/>
      <c r="B67" s="55" t="s">
        <v>20</v>
      </c>
      <c r="C67" s="54" t="s">
        <v>72</v>
      </c>
      <c r="D67" s="316"/>
      <c r="E67" s="92" t="s">
        <v>84</v>
      </c>
      <c r="F67" s="86">
        <v>3</v>
      </c>
      <c r="G67" s="124">
        <f t="shared" si="0"/>
        <v>3</v>
      </c>
      <c r="I67" s="295"/>
    </row>
    <row r="68" spans="1:9" ht="19.95" customHeight="1" x14ac:dyDescent="0.25">
      <c r="A68" s="79"/>
      <c r="B68" s="55" t="s">
        <v>20</v>
      </c>
      <c r="C68" s="54" t="s">
        <v>72</v>
      </c>
      <c r="D68" s="316"/>
      <c r="E68" s="92" t="s">
        <v>85</v>
      </c>
      <c r="F68" s="86">
        <v>3</v>
      </c>
      <c r="G68" s="124">
        <f t="shared" si="0"/>
        <v>3</v>
      </c>
      <c r="I68" s="295"/>
    </row>
    <row r="69" spans="1:9" ht="19.95" customHeight="1" x14ac:dyDescent="0.25">
      <c r="A69" s="79"/>
      <c r="B69" s="55" t="s">
        <v>20</v>
      </c>
      <c r="C69" s="54" t="s">
        <v>40</v>
      </c>
      <c r="D69" s="316" t="s">
        <v>38</v>
      </c>
      <c r="E69" s="90" t="s">
        <v>86</v>
      </c>
      <c r="F69" s="86">
        <v>4</v>
      </c>
      <c r="G69" s="124">
        <f t="shared" si="0"/>
        <v>4</v>
      </c>
      <c r="I69" s="295"/>
    </row>
    <row r="70" spans="1:9" ht="19.95" customHeight="1" x14ac:dyDescent="0.25">
      <c r="A70" s="79"/>
      <c r="B70" s="55" t="s">
        <v>20</v>
      </c>
      <c r="C70" s="54" t="s">
        <v>40</v>
      </c>
      <c r="D70" s="316"/>
      <c r="E70" s="90" t="s">
        <v>87</v>
      </c>
      <c r="F70" s="86">
        <v>4</v>
      </c>
      <c r="G70" s="124">
        <f t="shared" si="0"/>
        <v>4</v>
      </c>
      <c r="I70" s="295"/>
    </row>
    <row r="71" spans="1:9" ht="19.95" customHeight="1" x14ac:dyDescent="0.25">
      <c r="A71" s="79"/>
      <c r="B71" s="55" t="s">
        <v>20</v>
      </c>
      <c r="C71" s="54" t="s">
        <v>40</v>
      </c>
      <c r="D71" s="316"/>
      <c r="E71" s="91" t="s">
        <v>88</v>
      </c>
      <c r="F71" s="86">
        <v>4</v>
      </c>
      <c r="G71" s="124">
        <f t="shared" si="0"/>
        <v>4</v>
      </c>
      <c r="I71" s="295"/>
    </row>
    <row r="72" spans="1:9" ht="19.95" customHeight="1" x14ac:dyDescent="0.25">
      <c r="A72" s="79"/>
      <c r="B72" s="55" t="s">
        <v>20</v>
      </c>
      <c r="C72" s="54" t="s">
        <v>40</v>
      </c>
      <c r="D72" s="316"/>
      <c r="E72" s="90" t="s">
        <v>89</v>
      </c>
      <c r="F72" s="86">
        <v>4</v>
      </c>
      <c r="G72" s="124">
        <f t="shared" si="0"/>
        <v>4</v>
      </c>
      <c r="I72" s="295"/>
    </row>
    <row r="73" spans="1:9" ht="19.95" customHeight="1" x14ac:dyDescent="0.25">
      <c r="A73" s="79"/>
      <c r="B73" s="55" t="s">
        <v>20</v>
      </c>
      <c r="C73" s="54" t="s">
        <v>40</v>
      </c>
      <c r="D73" s="316"/>
      <c r="E73" s="91" t="s">
        <v>90</v>
      </c>
      <c r="F73" s="86">
        <v>4</v>
      </c>
      <c r="G73" s="124">
        <f t="shared" si="0"/>
        <v>4</v>
      </c>
      <c r="I73" s="295"/>
    </row>
    <row r="74" spans="1:9" ht="19.95" customHeight="1" x14ac:dyDescent="0.25">
      <c r="A74" s="79"/>
      <c r="B74" s="55" t="s">
        <v>20</v>
      </c>
      <c r="C74" s="54" t="s">
        <v>40</v>
      </c>
      <c r="D74" s="316"/>
      <c r="E74" s="90" t="s">
        <v>91</v>
      </c>
      <c r="F74" s="86">
        <v>4</v>
      </c>
      <c r="G74" s="124">
        <f t="shared" si="0"/>
        <v>4</v>
      </c>
      <c r="I74" s="295"/>
    </row>
    <row r="75" spans="1:9" ht="19.95" customHeight="1" x14ac:dyDescent="0.25">
      <c r="A75" s="79"/>
      <c r="B75" s="55" t="s">
        <v>20</v>
      </c>
      <c r="C75" s="54" t="s">
        <v>40</v>
      </c>
      <c r="D75" s="316"/>
      <c r="E75" s="90" t="s">
        <v>92</v>
      </c>
      <c r="F75" s="86">
        <v>4</v>
      </c>
      <c r="G75" s="124">
        <f t="shared" ref="G75:G138" si="1">F75</f>
        <v>4</v>
      </c>
      <c r="I75" s="295"/>
    </row>
    <row r="76" spans="1:9" ht="19.95" customHeight="1" x14ac:dyDescent="0.25">
      <c r="A76" s="79"/>
      <c r="B76" s="55" t="s">
        <v>20</v>
      </c>
      <c r="C76" s="54" t="s">
        <v>40</v>
      </c>
      <c r="D76" s="316"/>
      <c r="E76" s="90" t="s">
        <v>93</v>
      </c>
      <c r="F76" s="86">
        <v>4</v>
      </c>
      <c r="G76" s="124">
        <f t="shared" si="1"/>
        <v>4</v>
      </c>
      <c r="I76" s="295"/>
    </row>
    <row r="77" spans="1:9" ht="19.95" customHeight="1" thickBot="1" x14ac:dyDescent="0.3">
      <c r="A77" s="79"/>
      <c r="B77" s="100" t="s">
        <v>20</v>
      </c>
      <c r="C77" s="101" t="s">
        <v>40</v>
      </c>
      <c r="D77" s="316"/>
      <c r="E77" s="102" t="s">
        <v>94</v>
      </c>
      <c r="F77" s="115">
        <v>4</v>
      </c>
      <c r="G77" s="125">
        <f t="shared" si="1"/>
        <v>4</v>
      </c>
      <c r="I77" s="295"/>
    </row>
    <row r="78" spans="1:9" ht="19.95" customHeight="1" thickTop="1" x14ac:dyDescent="0.25">
      <c r="A78" s="79"/>
      <c r="B78" s="103" t="s">
        <v>95</v>
      </c>
      <c r="C78" s="104"/>
      <c r="D78" s="118" t="s">
        <v>96</v>
      </c>
      <c r="E78" s="105"/>
      <c r="F78" s="106"/>
      <c r="G78" s="126">
        <f t="shared" si="1"/>
        <v>0</v>
      </c>
      <c r="H78" s="34"/>
    </row>
    <row r="79" spans="1:9" ht="19.95" customHeight="1" x14ac:dyDescent="0.25">
      <c r="A79" s="79"/>
      <c r="B79" s="57" t="s">
        <v>95</v>
      </c>
      <c r="C79" s="56" t="s">
        <v>96</v>
      </c>
      <c r="D79" s="316" t="s">
        <v>97</v>
      </c>
      <c r="E79" s="89" t="s">
        <v>98</v>
      </c>
      <c r="F79" s="86">
        <v>1</v>
      </c>
      <c r="G79" s="124">
        <f t="shared" si="1"/>
        <v>1</v>
      </c>
      <c r="H79" s="34"/>
    </row>
    <row r="80" spans="1:9" ht="19.95" customHeight="1" x14ac:dyDescent="0.25">
      <c r="A80" s="79"/>
      <c r="B80" s="57" t="s">
        <v>95</v>
      </c>
      <c r="C80" s="56" t="s">
        <v>96</v>
      </c>
      <c r="D80" s="316"/>
      <c r="E80" s="89" t="s">
        <v>99</v>
      </c>
      <c r="F80" s="86">
        <v>1</v>
      </c>
      <c r="G80" s="124">
        <f t="shared" si="1"/>
        <v>1</v>
      </c>
      <c r="H80" s="34"/>
    </row>
    <row r="81" spans="1:8" ht="19.95" customHeight="1" x14ac:dyDescent="0.25">
      <c r="A81" s="79"/>
      <c r="B81" s="57" t="s">
        <v>95</v>
      </c>
      <c r="C81" s="56" t="s">
        <v>96</v>
      </c>
      <c r="D81" s="316"/>
      <c r="E81" s="89" t="s">
        <v>100</v>
      </c>
      <c r="F81" s="86">
        <v>1</v>
      </c>
      <c r="G81" s="124">
        <f t="shared" si="1"/>
        <v>1</v>
      </c>
      <c r="H81" s="34"/>
    </row>
    <row r="82" spans="1:8" ht="19.95" customHeight="1" x14ac:dyDescent="0.25">
      <c r="A82" s="79"/>
      <c r="B82" s="57" t="s">
        <v>95</v>
      </c>
      <c r="C82" s="56" t="s">
        <v>96</v>
      </c>
      <c r="D82" s="316"/>
      <c r="E82" s="89" t="s">
        <v>101</v>
      </c>
      <c r="F82" s="86">
        <v>1</v>
      </c>
      <c r="G82" s="124">
        <f t="shared" si="1"/>
        <v>1</v>
      </c>
      <c r="H82" s="34"/>
    </row>
    <row r="83" spans="1:8" ht="19.95" customHeight="1" x14ac:dyDescent="0.25">
      <c r="A83" s="79"/>
      <c r="B83" s="57" t="s">
        <v>95</v>
      </c>
      <c r="C83" s="56" t="s">
        <v>96</v>
      </c>
      <c r="D83" s="316"/>
      <c r="E83" s="89" t="s">
        <v>102</v>
      </c>
      <c r="F83" s="86">
        <v>1</v>
      </c>
      <c r="G83" s="124">
        <f t="shared" si="1"/>
        <v>1</v>
      </c>
      <c r="H83" s="34"/>
    </row>
    <row r="84" spans="1:8" ht="19.95" customHeight="1" x14ac:dyDescent="0.25">
      <c r="A84" s="79"/>
      <c r="B84" s="57" t="s">
        <v>95</v>
      </c>
      <c r="C84" s="56" t="s">
        <v>96</v>
      </c>
      <c r="D84" s="316"/>
      <c r="E84" s="89" t="s">
        <v>103</v>
      </c>
      <c r="F84" s="86">
        <v>1</v>
      </c>
      <c r="G84" s="124">
        <f t="shared" si="1"/>
        <v>1</v>
      </c>
      <c r="H84" s="34"/>
    </row>
    <row r="85" spans="1:8" ht="19.95" customHeight="1" x14ac:dyDescent="0.25">
      <c r="A85" s="79"/>
      <c r="B85" s="57" t="s">
        <v>95</v>
      </c>
      <c r="C85" s="56" t="s">
        <v>96</v>
      </c>
      <c r="D85" s="316"/>
      <c r="E85" s="89" t="s">
        <v>104</v>
      </c>
      <c r="F85" s="86">
        <v>1</v>
      </c>
      <c r="G85" s="124">
        <f t="shared" si="1"/>
        <v>1</v>
      </c>
      <c r="H85" s="34"/>
    </row>
    <row r="86" spans="1:8" ht="19.95" customHeight="1" x14ac:dyDescent="0.25">
      <c r="A86" s="79"/>
      <c r="B86" s="57" t="s">
        <v>95</v>
      </c>
      <c r="C86" s="56" t="s">
        <v>96</v>
      </c>
      <c r="D86" s="316"/>
      <c r="E86" s="89" t="s">
        <v>105</v>
      </c>
      <c r="F86" s="86">
        <v>1</v>
      </c>
      <c r="G86" s="124">
        <f t="shared" si="1"/>
        <v>1</v>
      </c>
      <c r="H86" s="34"/>
    </row>
    <row r="87" spans="1:8" ht="19.95" customHeight="1" x14ac:dyDescent="0.25">
      <c r="A87" s="79"/>
      <c r="B87" s="57" t="s">
        <v>95</v>
      </c>
      <c r="C87" s="56" t="s">
        <v>96</v>
      </c>
      <c r="D87" s="316"/>
      <c r="E87" s="89" t="s">
        <v>106</v>
      </c>
      <c r="F87" s="86">
        <v>1</v>
      </c>
      <c r="G87" s="124">
        <f t="shared" si="1"/>
        <v>1</v>
      </c>
      <c r="H87" s="34"/>
    </row>
    <row r="88" spans="1:8" ht="19.95" customHeight="1" x14ac:dyDescent="0.25">
      <c r="A88" s="79"/>
      <c r="B88" s="57" t="s">
        <v>95</v>
      </c>
      <c r="C88" s="56" t="s">
        <v>96</v>
      </c>
      <c r="D88" s="316"/>
      <c r="E88" s="89" t="s">
        <v>107</v>
      </c>
      <c r="F88" s="86">
        <v>1</v>
      </c>
      <c r="G88" s="124">
        <f t="shared" si="1"/>
        <v>1</v>
      </c>
      <c r="H88" s="34"/>
    </row>
    <row r="89" spans="1:8" ht="19.95" customHeight="1" x14ac:dyDescent="0.25">
      <c r="A89" s="79"/>
      <c r="B89" s="57" t="s">
        <v>95</v>
      </c>
      <c r="C89" s="56" t="s">
        <v>96</v>
      </c>
      <c r="D89" s="316"/>
      <c r="E89" s="89" t="s">
        <v>108</v>
      </c>
      <c r="F89" s="86">
        <v>1</v>
      </c>
      <c r="G89" s="124">
        <f t="shared" si="1"/>
        <v>1</v>
      </c>
      <c r="H89" s="34"/>
    </row>
    <row r="90" spans="1:8" ht="19.95" customHeight="1" x14ac:dyDescent="0.25">
      <c r="A90" s="79"/>
      <c r="B90" s="57" t="s">
        <v>95</v>
      </c>
      <c r="C90" s="56" t="s">
        <v>96</v>
      </c>
      <c r="D90" s="316"/>
      <c r="E90" s="89" t="s">
        <v>109</v>
      </c>
      <c r="F90" s="86">
        <v>1</v>
      </c>
      <c r="G90" s="124">
        <f t="shared" si="1"/>
        <v>1</v>
      </c>
      <c r="H90" s="34"/>
    </row>
    <row r="91" spans="1:8" ht="19.95" customHeight="1" x14ac:dyDescent="0.25">
      <c r="A91" s="79"/>
      <c r="B91" s="57" t="s">
        <v>95</v>
      </c>
      <c r="C91" s="56" t="s">
        <v>96</v>
      </c>
      <c r="D91" s="316"/>
      <c r="E91" s="89" t="s">
        <v>110</v>
      </c>
      <c r="F91" s="86">
        <v>1</v>
      </c>
      <c r="G91" s="124">
        <f t="shared" si="1"/>
        <v>1</v>
      </c>
      <c r="H91" s="34"/>
    </row>
    <row r="92" spans="1:8" ht="19.95" customHeight="1" x14ac:dyDescent="0.25">
      <c r="A92" s="79"/>
      <c r="B92" s="57" t="s">
        <v>95</v>
      </c>
      <c r="C92" s="56" t="s">
        <v>96</v>
      </c>
      <c r="D92" s="316"/>
      <c r="E92" s="89" t="s">
        <v>111</v>
      </c>
      <c r="F92" s="86">
        <v>1</v>
      </c>
      <c r="G92" s="124">
        <f t="shared" si="1"/>
        <v>1</v>
      </c>
      <c r="H92" s="34"/>
    </row>
    <row r="93" spans="1:8" ht="19.95" customHeight="1" x14ac:dyDescent="0.25">
      <c r="A93" s="79"/>
      <c r="B93" s="57" t="s">
        <v>95</v>
      </c>
      <c r="C93" s="56" t="s">
        <v>96</v>
      </c>
      <c r="D93" s="316"/>
      <c r="E93" s="89" t="s">
        <v>112</v>
      </c>
      <c r="F93" s="86">
        <v>1</v>
      </c>
      <c r="G93" s="124">
        <f t="shared" si="1"/>
        <v>1</v>
      </c>
      <c r="H93" s="34"/>
    </row>
    <row r="94" spans="1:8" ht="19.95" customHeight="1" x14ac:dyDescent="0.25">
      <c r="A94" s="79"/>
      <c r="B94" s="57" t="s">
        <v>95</v>
      </c>
      <c r="C94" s="56" t="s">
        <v>96</v>
      </c>
      <c r="D94" s="316"/>
      <c r="E94" s="89" t="s">
        <v>113</v>
      </c>
      <c r="F94" s="86">
        <v>1</v>
      </c>
      <c r="G94" s="124">
        <f t="shared" si="1"/>
        <v>1</v>
      </c>
      <c r="H94" s="34"/>
    </row>
    <row r="95" spans="1:8" ht="19.95" customHeight="1" x14ac:dyDescent="0.25">
      <c r="A95" s="79"/>
      <c r="B95" s="57" t="s">
        <v>95</v>
      </c>
      <c r="C95" s="56" t="s">
        <v>96</v>
      </c>
      <c r="D95" s="316"/>
      <c r="E95" s="89" t="s">
        <v>114</v>
      </c>
      <c r="F95" s="86">
        <v>1</v>
      </c>
      <c r="G95" s="124">
        <f t="shared" si="1"/>
        <v>1</v>
      </c>
      <c r="H95" s="34"/>
    </row>
    <row r="96" spans="1:8" ht="19.95" customHeight="1" x14ac:dyDescent="0.25">
      <c r="A96" s="79"/>
      <c r="B96" s="57" t="s">
        <v>95</v>
      </c>
      <c r="C96" s="56" t="s">
        <v>96</v>
      </c>
      <c r="D96" s="316" t="s">
        <v>115</v>
      </c>
      <c r="E96" s="89" t="s">
        <v>116</v>
      </c>
      <c r="F96" s="86">
        <v>1</v>
      </c>
      <c r="G96" s="124">
        <f t="shared" si="1"/>
        <v>1</v>
      </c>
      <c r="H96" s="34"/>
    </row>
    <row r="97" spans="1:9" ht="19.95" customHeight="1" x14ac:dyDescent="0.25">
      <c r="A97" s="79"/>
      <c r="B97" s="57" t="s">
        <v>95</v>
      </c>
      <c r="C97" s="56" t="s">
        <v>96</v>
      </c>
      <c r="D97" s="316"/>
      <c r="E97" s="89" t="s">
        <v>117</v>
      </c>
      <c r="F97" s="86">
        <v>1</v>
      </c>
      <c r="G97" s="124">
        <f t="shared" si="1"/>
        <v>1</v>
      </c>
      <c r="H97" s="34"/>
    </row>
    <row r="98" spans="1:9" ht="19.95" customHeight="1" x14ac:dyDescent="0.25">
      <c r="A98" s="79"/>
      <c r="B98" s="57" t="s">
        <v>95</v>
      </c>
      <c r="C98" s="56" t="s">
        <v>96</v>
      </c>
      <c r="D98" s="316"/>
      <c r="E98" s="89" t="s">
        <v>118</v>
      </c>
      <c r="F98" s="86">
        <v>1</v>
      </c>
      <c r="G98" s="124">
        <f t="shared" si="1"/>
        <v>1</v>
      </c>
      <c r="H98" s="34"/>
    </row>
    <row r="99" spans="1:9" ht="19.95" customHeight="1" x14ac:dyDescent="0.25">
      <c r="A99" s="79"/>
      <c r="B99" s="57" t="s">
        <v>95</v>
      </c>
      <c r="C99" s="56" t="s">
        <v>96</v>
      </c>
      <c r="D99" s="316"/>
      <c r="E99" s="89" t="s">
        <v>119</v>
      </c>
      <c r="F99" s="86">
        <v>1</v>
      </c>
      <c r="G99" s="124">
        <f t="shared" si="1"/>
        <v>1</v>
      </c>
      <c r="H99" s="34"/>
    </row>
    <row r="100" spans="1:9" ht="19.95" customHeight="1" x14ac:dyDescent="0.25">
      <c r="A100" s="79"/>
      <c r="B100" s="57" t="s">
        <v>95</v>
      </c>
      <c r="C100" s="56" t="s">
        <v>96</v>
      </c>
      <c r="D100" s="316"/>
      <c r="E100" s="89" t="s">
        <v>120</v>
      </c>
      <c r="F100" s="86">
        <v>1</v>
      </c>
      <c r="G100" s="124">
        <f t="shared" si="1"/>
        <v>1</v>
      </c>
      <c r="H100" s="34"/>
    </row>
    <row r="101" spans="1:9" ht="19.95" customHeight="1" x14ac:dyDescent="0.25">
      <c r="A101" s="79"/>
      <c r="B101" s="57" t="s">
        <v>95</v>
      </c>
      <c r="C101" s="56" t="s">
        <v>96</v>
      </c>
      <c r="D101" s="316"/>
      <c r="E101" s="89" t="s">
        <v>121</v>
      </c>
      <c r="F101" s="86">
        <v>1</v>
      </c>
      <c r="G101" s="124">
        <f t="shared" si="1"/>
        <v>1</v>
      </c>
      <c r="H101" s="34"/>
    </row>
    <row r="102" spans="1:9" ht="19.95" customHeight="1" x14ac:dyDescent="0.25">
      <c r="A102" s="79"/>
      <c r="B102" s="57" t="s">
        <v>95</v>
      </c>
      <c r="C102" s="56" t="s">
        <v>96</v>
      </c>
      <c r="D102" s="316"/>
      <c r="E102" s="89" t="s">
        <v>122</v>
      </c>
      <c r="F102" s="86">
        <v>1</v>
      </c>
      <c r="G102" s="124">
        <f t="shared" si="1"/>
        <v>1</v>
      </c>
      <c r="H102" s="34"/>
    </row>
    <row r="103" spans="1:9" ht="19.95" customHeight="1" x14ac:dyDescent="0.25">
      <c r="A103" s="79"/>
      <c r="B103" s="57" t="s">
        <v>95</v>
      </c>
      <c r="C103" s="56" t="s">
        <v>96</v>
      </c>
      <c r="D103" s="316" t="s">
        <v>123</v>
      </c>
      <c r="E103" s="89" t="s">
        <v>124</v>
      </c>
      <c r="F103" s="86">
        <v>1</v>
      </c>
      <c r="G103" s="124">
        <f t="shared" si="1"/>
        <v>1</v>
      </c>
      <c r="H103" s="34"/>
    </row>
    <row r="104" spans="1:9" ht="19.95" customHeight="1" x14ac:dyDescent="0.25">
      <c r="A104" s="79"/>
      <c r="B104" s="57" t="s">
        <v>95</v>
      </c>
      <c r="C104" s="56" t="s">
        <v>96</v>
      </c>
      <c r="D104" s="316"/>
      <c r="E104" s="89" t="s">
        <v>125</v>
      </c>
      <c r="F104" s="86">
        <v>1</v>
      </c>
      <c r="G104" s="124">
        <f t="shared" si="1"/>
        <v>1</v>
      </c>
      <c r="H104" s="34"/>
    </row>
    <row r="105" spans="1:9" ht="19.95" customHeight="1" x14ac:dyDescent="0.25">
      <c r="A105" s="79"/>
      <c r="B105" s="57" t="s">
        <v>95</v>
      </c>
      <c r="C105" s="56" t="s">
        <v>96</v>
      </c>
      <c r="D105" s="316"/>
      <c r="E105" s="89" t="s">
        <v>126</v>
      </c>
      <c r="F105" s="86">
        <v>1</v>
      </c>
      <c r="G105" s="124">
        <f t="shared" si="1"/>
        <v>1</v>
      </c>
      <c r="H105" s="34"/>
    </row>
    <row r="106" spans="1:9" ht="19.95" customHeight="1" x14ac:dyDescent="0.25">
      <c r="A106" s="79"/>
      <c r="B106" s="57" t="s">
        <v>95</v>
      </c>
      <c r="C106" s="56" t="s">
        <v>96</v>
      </c>
      <c r="D106" s="316"/>
      <c r="E106" s="89" t="s">
        <v>127</v>
      </c>
      <c r="F106" s="86">
        <v>1</v>
      </c>
      <c r="G106" s="124">
        <f t="shared" si="1"/>
        <v>1</v>
      </c>
      <c r="H106" s="34"/>
    </row>
    <row r="107" spans="1:9" ht="19.95" customHeight="1" x14ac:dyDescent="0.25">
      <c r="A107" s="79"/>
      <c r="B107" s="57" t="s">
        <v>95</v>
      </c>
      <c r="C107" s="56" t="s">
        <v>96</v>
      </c>
      <c r="D107" s="316"/>
      <c r="E107" s="89" t="s">
        <v>128</v>
      </c>
      <c r="F107" s="86">
        <v>1</v>
      </c>
      <c r="G107" s="124">
        <f t="shared" si="1"/>
        <v>1</v>
      </c>
      <c r="H107" s="34"/>
    </row>
    <row r="108" spans="1:9" ht="19.95" customHeight="1" x14ac:dyDescent="0.25">
      <c r="A108" s="79"/>
      <c r="B108" s="57" t="s">
        <v>95</v>
      </c>
      <c r="C108" s="56" t="s">
        <v>96</v>
      </c>
      <c r="D108" s="316" t="s">
        <v>97</v>
      </c>
      <c r="E108" s="89" t="s">
        <v>129</v>
      </c>
      <c r="F108" s="65">
        <v>5</v>
      </c>
      <c r="G108" s="124">
        <f t="shared" si="1"/>
        <v>5</v>
      </c>
      <c r="H108" s="297"/>
    </row>
    <row r="109" spans="1:9" ht="19.95" customHeight="1" x14ac:dyDescent="0.25">
      <c r="A109" s="79"/>
      <c r="B109" s="57" t="s">
        <v>95</v>
      </c>
      <c r="C109" s="56" t="s">
        <v>96</v>
      </c>
      <c r="D109" s="316"/>
      <c r="E109" s="89" t="s">
        <v>130</v>
      </c>
      <c r="F109" s="65">
        <v>5</v>
      </c>
      <c r="G109" s="124">
        <f t="shared" si="1"/>
        <v>5</v>
      </c>
      <c r="H109" s="298"/>
    </row>
    <row r="110" spans="1:9" ht="19.95" customHeight="1" x14ac:dyDescent="0.25">
      <c r="A110" s="79"/>
      <c r="B110" s="57" t="s">
        <v>95</v>
      </c>
      <c r="C110" s="56" t="s">
        <v>96</v>
      </c>
      <c r="D110" s="316"/>
      <c r="E110" s="89" t="s">
        <v>131</v>
      </c>
      <c r="F110" s="65">
        <v>5</v>
      </c>
      <c r="G110" s="124">
        <f t="shared" si="1"/>
        <v>5</v>
      </c>
      <c r="H110" s="298"/>
    </row>
    <row r="111" spans="1:9" ht="19.95" customHeight="1" x14ac:dyDescent="0.25">
      <c r="A111" s="79"/>
      <c r="B111" s="57" t="s">
        <v>95</v>
      </c>
      <c r="C111" s="56" t="s">
        <v>96</v>
      </c>
      <c r="D111" s="316"/>
      <c r="E111" s="89" t="s">
        <v>132</v>
      </c>
      <c r="F111" s="65">
        <v>5</v>
      </c>
      <c r="G111" s="124">
        <f t="shared" si="1"/>
        <v>5</v>
      </c>
      <c r="H111" s="298"/>
      <c r="I111" s="64" t="s">
        <v>133</v>
      </c>
    </row>
    <row r="112" spans="1:9" ht="19.95" customHeight="1" x14ac:dyDescent="0.25">
      <c r="A112" s="79"/>
      <c r="B112" s="57" t="s">
        <v>95</v>
      </c>
      <c r="C112" s="56" t="s">
        <v>96</v>
      </c>
      <c r="D112" s="316"/>
      <c r="E112" s="89" t="s">
        <v>134</v>
      </c>
      <c r="F112" s="65">
        <v>5</v>
      </c>
      <c r="G112" s="124">
        <f t="shared" si="1"/>
        <v>5</v>
      </c>
      <c r="H112" s="299"/>
    </row>
    <row r="113" spans="1:8" ht="19.95" customHeight="1" x14ac:dyDescent="0.25">
      <c r="A113" s="79"/>
      <c r="B113" s="57" t="s">
        <v>95</v>
      </c>
      <c r="C113" s="56" t="s">
        <v>96</v>
      </c>
      <c r="D113" s="316" t="s">
        <v>115</v>
      </c>
      <c r="E113" s="89" t="s">
        <v>135</v>
      </c>
      <c r="F113" s="65">
        <v>6</v>
      </c>
      <c r="G113" s="124">
        <f t="shared" si="1"/>
        <v>6</v>
      </c>
      <c r="H113" s="299"/>
    </row>
    <row r="114" spans="1:8" ht="19.95" customHeight="1" x14ac:dyDescent="0.25">
      <c r="A114" s="79"/>
      <c r="B114" s="57" t="s">
        <v>95</v>
      </c>
      <c r="C114" s="56" t="s">
        <v>96</v>
      </c>
      <c r="D114" s="316"/>
      <c r="E114" s="89" t="s">
        <v>136</v>
      </c>
      <c r="F114" s="65">
        <v>6</v>
      </c>
      <c r="G114" s="124">
        <f t="shared" si="1"/>
        <v>6</v>
      </c>
      <c r="H114" s="299"/>
    </row>
    <row r="115" spans="1:8" ht="19.95" customHeight="1" x14ac:dyDescent="0.25">
      <c r="A115" s="79"/>
      <c r="B115" s="57" t="s">
        <v>95</v>
      </c>
      <c r="C115" s="56" t="s">
        <v>96</v>
      </c>
      <c r="D115" s="316"/>
      <c r="E115" s="89" t="s">
        <v>137</v>
      </c>
      <c r="F115" s="65">
        <v>6</v>
      </c>
      <c r="G115" s="124">
        <f t="shared" si="1"/>
        <v>6</v>
      </c>
      <c r="H115" s="299"/>
    </row>
    <row r="116" spans="1:8" ht="19.95" customHeight="1" x14ac:dyDescent="0.25">
      <c r="A116" s="79"/>
      <c r="B116" s="57" t="s">
        <v>95</v>
      </c>
      <c r="C116" s="56" t="s">
        <v>96</v>
      </c>
      <c r="D116" s="316"/>
      <c r="E116" s="89" t="s">
        <v>138</v>
      </c>
      <c r="F116" s="65">
        <v>6</v>
      </c>
      <c r="G116" s="124">
        <f t="shared" si="1"/>
        <v>6</v>
      </c>
      <c r="H116" s="299"/>
    </row>
    <row r="117" spans="1:8" ht="19.95" customHeight="1" x14ac:dyDescent="0.25">
      <c r="A117" s="79"/>
      <c r="B117" s="57" t="s">
        <v>95</v>
      </c>
      <c r="C117" s="56" t="s">
        <v>96</v>
      </c>
      <c r="D117" s="316"/>
      <c r="E117" s="89" t="s">
        <v>139</v>
      </c>
      <c r="F117" s="65">
        <v>6</v>
      </c>
      <c r="G117" s="124">
        <f t="shared" si="1"/>
        <v>6</v>
      </c>
      <c r="H117" s="299"/>
    </row>
    <row r="118" spans="1:8" ht="19.95" customHeight="1" x14ac:dyDescent="0.25">
      <c r="A118" s="79"/>
      <c r="B118" s="57" t="s">
        <v>95</v>
      </c>
      <c r="C118" s="56" t="s">
        <v>96</v>
      </c>
      <c r="D118" s="316"/>
      <c r="E118" s="89" t="s">
        <v>140</v>
      </c>
      <c r="F118" s="65">
        <v>6</v>
      </c>
      <c r="G118" s="124">
        <f t="shared" si="1"/>
        <v>6</v>
      </c>
      <c r="H118" s="299"/>
    </row>
    <row r="119" spans="1:8" ht="19.95" customHeight="1" x14ac:dyDescent="0.25">
      <c r="A119" s="79"/>
      <c r="B119" s="57" t="s">
        <v>95</v>
      </c>
      <c r="C119" s="56" t="s">
        <v>96</v>
      </c>
      <c r="D119" s="316"/>
      <c r="E119" s="89" t="s">
        <v>141</v>
      </c>
      <c r="F119" s="65">
        <v>6</v>
      </c>
      <c r="G119" s="124">
        <f t="shared" si="1"/>
        <v>6</v>
      </c>
      <c r="H119" s="299"/>
    </row>
    <row r="120" spans="1:8" ht="19.95" customHeight="1" x14ac:dyDescent="0.25">
      <c r="A120" s="79"/>
      <c r="B120" s="57" t="s">
        <v>95</v>
      </c>
      <c r="C120" s="56" t="s">
        <v>96</v>
      </c>
      <c r="D120" s="316"/>
      <c r="E120" s="89" t="s">
        <v>142</v>
      </c>
      <c r="F120" s="65">
        <v>6</v>
      </c>
      <c r="G120" s="124">
        <f t="shared" si="1"/>
        <v>6</v>
      </c>
      <c r="H120" s="299"/>
    </row>
    <row r="121" spans="1:8" ht="19.95" customHeight="1" x14ac:dyDescent="0.25">
      <c r="A121" s="79"/>
      <c r="B121" s="57" t="s">
        <v>95</v>
      </c>
      <c r="C121" s="56" t="s">
        <v>96</v>
      </c>
      <c r="D121" s="316"/>
      <c r="E121" s="89" t="s">
        <v>143</v>
      </c>
      <c r="F121" s="65">
        <v>6</v>
      </c>
      <c r="G121" s="124">
        <f t="shared" si="1"/>
        <v>6</v>
      </c>
      <c r="H121" s="299"/>
    </row>
    <row r="122" spans="1:8" ht="19.95" customHeight="1" x14ac:dyDescent="0.25">
      <c r="A122" s="79"/>
      <c r="B122" s="57" t="s">
        <v>95</v>
      </c>
      <c r="C122" s="56" t="s">
        <v>96</v>
      </c>
      <c r="D122" s="316"/>
      <c r="E122" s="89" t="s">
        <v>144</v>
      </c>
      <c r="F122" s="65">
        <v>6</v>
      </c>
      <c r="G122" s="124">
        <f t="shared" si="1"/>
        <v>6</v>
      </c>
      <c r="H122" s="299"/>
    </row>
    <row r="123" spans="1:8" ht="19.95" customHeight="1" x14ac:dyDescent="0.25">
      <c r="A123" s="79"/>
      <c r="B123" s="57" t="s">
        <v>95</v>
      </c>
      <c r="C123" s="56" t="s">
        <v>96</v>
      </c>
      <c r="D123" s="316"/>
      <c r="E123" s="89" t="s">
        <v>145</v>
      </c>
      <c r="F123" s="65">
        <v>6</v>
      </c>
      <c r="G123" s="124">
        <f t="shared" si="1"/>
        <v>6</v>
      </c>
      <c r="H123" s="299"/>
    </row>
    <row r="124" spans="1:8" ht="19.95" customHeight="1" x14ac:dyDescent="0.25">
      <c r="A124" s="79"/>
      <c r="B124" s="57" t="s">
        <v>95</v>
      </c>
      <c r="C124" s="56" t="s">
        <v>96</v>
      </c>
      <c r="D124" s="316"/>
      <c r="E124" s="89" t="s">
        <v>146</v>
      </c>
      <c r="F124" s="65">
        <v>6</v>
      </c>
      <c r="G124" s="124">
        <f t="shared" si="1"/>
        <v>6</v>
      </c>
      <c r="H124" s="299"/>
    </row>
    <row r="125" spans="1:8" ht="19.95" customHeight="1" x14ac:dyDescent="0.25">
      <c r="A125" s="79"/>
      <c r="B125" s="57" t="s">
        <v>95</v>
      </c>
      <c r="C125" s="56" t="s">
        <v>96</v>
      </c>
      <c r="D125" s="316"/>
      <c r="E125" s="89" t="s">
        <v>147</v>
      </c>
      <c r="F125" s="65">
        <v>6</v>
      </c>
      <c r="G125" s="124">
        <f t="shared" si="1"/>
        <v>6</v>
      </c>
      <c r="H125" s="299"/>
    </row>
    <row r="126" spans="1:8" ht="19.95" customHeight="1" x14ac:dyDescent="0.25">
      <c r="A126" s="79"/>
      <c r="B126" s="57" t="s">
        <v>95</v>
      </c>
      <c r="C126" s="56" t="s">
        <v>96</v>
      </c>
      <c r="D126" s="316"/>
      <c r="E126" s="89" t="s">
        <v>148</v>
      </c>
      <c r="F126" s="65">
        <v>6</v>
      </c>
      <c r="G126" s="124">
        <f t="shared" si="1"/>
        <v>6</v>
      </c>
      <c r="H126" s="299"/>
    </row>
    <row r="127" spans="1:8" ht="19.95" customHeight="1" x14ac:dyDescent="0.25">
      <c r="A127" s="79"/>
      <c r="B127" s="57" t="s">
        <v>95</v>
      </c>
      <c r="C127" s="56" t="s">
        <v>96</v>
      </c>
      <c r="D127" s="119"/>
      <c r="E127" s="89" t="s">
        <v>149</v>
      </c>
      <c r="F127" s="65">
        <v>6</v>
      </c>
      <c r="G127" s="124">
        <f t="shared" si="1"/>
        <v>6</v>
      </c>
      <c r="H127" s="299"/>
    </row>
    <row r="128" spans="1:8" ht="19.95" customHeight="1" x14ac:dyDescent="0.25">
      <c r="A128" s="79"/>
      <c r="B128" s="57" t="s">
        <v>95</v>
      </c>
      <c r="C128" s="56"/>
      <c r="D128" s="118" t="s">
        <v>150</v>
      </c>
      <c r="E128" s="72"/>
      <c r="F128" s="63"/>
      <c r="G128" s="124">
        <f t="shared" si="1"/>
        <v>0</v>
      </c>
      <c r="H128" s="299"/>
    </row>
    <row r="129" spans="1:8" ht="19.95" customHeight="1" x14ac:dyDescent="0.25">
      <c r="A129" s="79"/>
      <c r="B129" s="57" t="s">
        <v>95</v>
      </c>
      <c r="C129" s="56" t="s">
        <v>151</v>
      </c>
      <c r="D129" s="120"/>
      <c r="E129" s="92"/>
      <c r="F129" s="66"/>
      <c r="G129" s="124">
        <f t="shared" si="1"/>
        <v>0</v>
      </c>
      <c r="H129" s="299"/>
    </row>
    <row r="130" spans="1:8" ht="19.95" customHeight="1" x14ac:dyDescent="0.25">
      <c r="A130" s="79"/>
      <c r="B130" s="57" t="s">
        <v>95</v>
      </c>
      <c r="C130" s="56" t="s">
        <v>151</v>
      </c>
      <c r="D130" s="316" t="s">
        <v>151</v>
      </c>
      <c r="E130" s="89" t="s">
        <v>152</v>
      </c>
      <c r="F130" s="66">
        <v>6</v>
      </c>
      <c r="G130" s="124">
        <f t="shared" si="1"/>
        <v>6</v>
      </c>
      <c r="H130" s="298"/>
    </row>
    <row r="131" spans="1:8" ht="19.95" customHeight="1" x14ac:dyDescent="0.25">
      <c r="A131" s="79"/>
      <c r="B131" s="57" t="s">
        <v>95</v>
      </c>
      <c r="C131" s="56" t="s">
        <v>151</v>
      </c>
      <c r="D131" s="316"/>
      <c r="E131" s="89" t="s">
        <v>153</v>
      </c>
      <c r="F131" s="66">
        <v>6</v>
      </c>
      <c r="G131" s="124">
        <f t="shared" si="1"/>
        <v>6</v>
      </c>
      <c r="H131" s="298"/>
    </row>
    <row r="132" spans="1:8" ht="19.95" customHeight="1" x14ac:dyDescent="0.25">
      <c r="A132" s="79"/>
      <c r="B132" s="57" t="s">
        <v>95</v>
      </c>
      <c r="C132" s="56" t="s">
        <v>151</v>
      </c>
      <c r="D132" s="316"/>
      <c r="E132" s="89" t="s">
        <v>154</v>
      </c>
      <c r="F132" s="66">
        <v>6</v>
      </c>
      <c r="G132" s="124">
        <f t="shared" si="1"/>
        <v>6</v>
      </c>
      <c r="H132" s="298"/>
    </row>
    <row r="133" spans="1:8" ht="19.95" customHeight="1" x14ac:dyDescent="0.25">
      <c r="A133" s="79"/>
      <c r="B133" s="57" t="s">
        <v>95</v>
      </c>
      <c r="C133" s="56" t="s">
        <v>151</v>
      </c>
      <c r="D133" s="316"/>
      <c r="E133" s="93" t="s">
        <v>155</v>
      </c>
      <c r="F133" s="66">
        <v>7</v>
      </c>
      <c r="G133" s="124">
        <f t="shared" si="1"/>
        <v>7</v>
      </c>
      <c r="H133" s="298"/>
    </row>
    <row r="134" spans="1:8" ht="19.95" customHeight="1" x14ac:dyDescent="0.25">
      <c r="A134" s="79"/>
      <c r="B134" s="57" t="s">
        <v>95</v>
      </c>
      <c r="C134" s="56" t="s">
        <v>151</v>
      </c>
      <c r="D134" s="316"/>
      <c r="E134" s="93" t="s">
        <v>156</v>
      </c>
      <c r="F134" s="66">
        <v>7</v>
      </c>
      <c r="G134" s="124">
        <f t="shared" si="1"/>
        <v>7</v>
      </c>
      <c r="H134" s="298"/>
    </row>
    <row r="135" spans="1:8" ht="19.95" customHeight="1" x14ac:dyDescent="0.25">
      <c r="A135" s="79"/>
      <c r="B135" s="57" t="s">
        <v>95</v>
      </c>
      <c r="C135" s="56" t="s">
        <v>151</v>
      </c>
      <c r="D135" s="316"/>
      <c r="E135" s="93" t="s">
        <v>157</v>
      </c>
      <c r="F135" s="66">
        <v>7</v>
      </c>
      <c r="G135" s="124">
        <f t="shared" si="1"/>
        <v>7</v>
      </c>
      <c r="H135" s="298"/>
    </row>
    <row r="136" spans="1:8" ht="19.95" customHeight="1" x14ac:dyDescent="0.25">
      <c r="A136" s="79"/>
      <c r="B136" s="57" t="s">
        <v>95</v>
      </c>
      <c r="C136" s="56" t="s">
        <v>151</v>
      </c>
      <c r="D136" s="316" t="s">
        <v>158</v>
      </c>
      <c r="E136" s="89" t="s">
        <v>159</v>
      </c>
      <c r="F136" s="66">
        <v>1</v>
      </c>
      <c r="G136" s="124">
        <f t="shared" si="1"/>
        <v>1</v>
      </c>
      <c r="H136" s="298"/>
    </row>
    <row r="137" spans="1:8" ht="19.95" customHeight="1" x14ac:dyDescent="0.25">
      <c r="A137" s="79"/>
      <c r="B137" s="57" t="s">
        <v>95</v>
      </c>
      <c r="C137" s="56" t="s">
        <v>151</v>
      </c>
      <c r="D137" s="316"/>
      <c r="E137" s="89" t="s">
        <v>160</v>
      </c>
      <c r="F137" s="66">
        <v>1</v>
      </c>
      <c r="G137" s="124">
        <f t="shared" si="1"/>
        <v>1</v>
      </c>
      <c r="H137" s="298"/>
    </row>
    <row r="138" spans="1:8" ht="19.95" customHeight="1" x14ac:dyDescent="0.25">
      <c r="A138" s="79"/>
      <c r="B138" s="57" t="s">
        <v>95</v>
      </c>
      <c r="C138" s="56" t="s">
        <v>151</v>
      </c>
      <c r="D138" s="316"/>
      <c r="E138" s="89" t="s">
        <v>161</v>
      </c>
      <c r="F138" s="66">
        <v>1</v>
      </c>
      <c r="G138" s="124">
        <f t="shared" si="1"/>
        <v>1</v>
      </c>
      <c r="H138" s="298"/>
    </row>
    <row r="139" spans="1:8" ht="19.95" customHeight="1" x14ac:dyDescent="0.25">
      <c r="A139" s="79"/>
      <c r="B139" s="57" t="s">
        <v>95</v>
      </c>
      <c r="C139" s="56" t="s">
        <v>151</v>
      </c>
      <c r="D139" s="316"/>
      <c r="E139" s="89" t="s">
        <v>162</v>
      </c>
      <c r="F139" s="66">
        <v>1</v>
      </c>
      <c r="G139" s="124">
        <f t="shared" ref="G139:G202" si="2">F139</f>
        <v>1</v>
      </c>
      <c r="H139" s="298"/>
    </row>
    <row r="140" spans="1:8" ht="19.95" customHeight="1" x14ac:dyDescent="0.25">
      <c r="A140" s="79"/>
      <c r="B140" s="57" t="s">
        <v>95</v>
      </c>
      <c r="C140" s="56" t="s">
        <v>151</v>
      </c>
      <c r="D140" s="316"/>
      <c r="E140" s="89" t="s">
        <v>163</v>
      </c>
      <c r="F140" s="66">
        <v>1</v>
      </c>
      <c r="G140" s="124">
        <f t="shared" si="2"/>
        <v>1</v>
      </c>
      <c r="H140" s="298"/>
    </row>
    <row r="141" spans="1:8" ht="19.95" customHeight="1" x14ac:dyDescent="0.25">
      <c r="A141" s="79"/>
      <c r="B141" s="57" t="s">
        <v>95</v>
      </c>
      <c r="C141" s="56" t="s">
        <v>151</v>
      </c>
      <c r="D141" s="316"/>
      <c r="E141" s="89" t="s">
        <v>164</v>
      </c>
      <c r="F141" s="66">
        <v>1</v>
      </c>
      <c r="G141" s="124">
        <f t="shared" si="2"/>
        <v>1</v>
      </c>
      <c r="H141" s="298"/>
    </row>
    <row r="142" spans="1:8" ht="19.95" customHeight="1" x14ac:dyDescent="0.25">
      <c r="A142" s="79"/>
      <c r="B142" s="57" t="s">
        <v>95</v>
      </c>
      <c r="C142" s="56" t="s">
        <v>151</v>
      </c>
      <c r="D142" s="316"/>
      <c r="E142" s="89" t="s">
        <v>165</v>
      </c>
      <c r="F142" s="66">
        <v>1</v>
      </c>
      <c r="G142" s="124">
        <f t="shared" si="2"/>
        <v>1</v>
      </c>
      <c r="H142" s="298"/>
    </row>
    <row r="143" spans="1:8" ht="19.95" customHeight="1" x14ac:dyDescent="0.25">
      <c r="A143" s="79"/>
      <c r="B143" s="57" t="s">
        <v>95</v>
      </c>
      <c r="C143" s="56" t="s">
        <v>151</v>
      </c>
      <c r="D143" s="316"/>
      <c r="E143" s="89" t="s">
        <v>166</v>
      </c>
      <c r="F143" s="66">
        <v>1</v>
      </c>
      <c r="G143" s="124">
        <f t="shared" si="2"/>
        <v>1</v>
      </c>
      <c r="H143" s="298"/>
    </row>
    <row r="144" spans="1:8" ht="19.95" customHeight="1" x14ac:dyDescent="0.25">
      <c r="A144" s="79"/>
      <c r="B144" s="57" t="s">
        <v>95</v>
      </c>
      <c r="C144" s="56" t="s">
        <v>151</v>
      </c>
      <c r="D144" s="316"/>
      <c r="E144" s="89" t="s">
        <v>167</v>
      </c>
      <c r="F144" s="66">
        <v>1</v>
      </c>
      <c r="G144" s="124">
        <f t="shared" si="2"/>
        <v>1</v>
      </c>
      <c r="H144" s="298"/>
    </row>
    <row r="145" spans="1:8" ht="19.95" customHeight="1" x14ac:dyDescent="0.25">
      <c r="A145" s="79"/>
      <c r="B145" s="57" t="s">
        <v>95</v>
      </c>
      <c r="C145" s="56" t="s">
        <v>151</v>
      </c>
      <c r="D145" s="316" t="s">
        <v>168</v>
      </c>
      <c r="E145" s="242" t="s">
        <v>169</v>
      </c>
      <c r="F145" s="66">
        <v>3</v>
      </c>
      <c r="G145" s="124">
        <f t="shared" si="2"/>
        <v>3</v>
      </c>
      <c r="H145" s="298"/>
    </row>
    <row r="146" spans="1:8" ht="19.95" customHeight="1" x14ac:dyDescent="0.25">
      <c r="A146" s="79"/>
      <c r="B146" s="57" t="s">
        <v>95</v>
      </c>
      <c r="C146" s="56" t="s">
        <v>151</v>
      </c>
      <c r="D146" s="316"/>
      <c r="E146" s="89" t="s">
        <v>170</v>
      </c>
      <c r="F146" s="66">
        <v>3</v>
      </c>
      <c r="G146" s="124">
        <f t="shared" si="2"/>
        <v>3</v>
      </c>
      <c r="H146" s="298"/>
    </row>
    <row r="147" spans="1:8" ht="19.95" customHeight="1" x14ac:dyDescent="0.25">
      <c r="A147" s="79"/>
      <c r="B147" s="57" t="s">
        <v>95</v>
      </c>
      <c r="C147" s="56" t="s">
        <v>151</v>
      </c>
      <c r="D147" s="316"/>
      <c r="E147" s="91" t="s">
        <v>171</v>
      </c>
      <c r="F147" s="66">
        <v>3</v>
      </c>
      <c r="G147" s="124">
        <f t="shared" si="2"/>
        <v>3</v>
      </c>
      <c r="H147" s="298"/>
    </row>
    <row r="148" spans="1:8" ht="19.95" customHeight="1" x14ac:dyDescent="0.25">
      <c r="A148" s="79"/>
      <c r="B148" s="57" t="s">
        <v>95</v>
      </c>
      <c r="C148" s="56" t="s">
        <v>151</v>
      </c>
      <c r="D148" s="316"/>
      <c r="E148" s="91" t="s">
        <v>172</v>
      </c>
      <c r="F148" s="66">
        <v>3</v>
      </c>
      <c r="G148" s="124">
        <f t="shared" si="2"/>
        <v>3</v>
      </c>
      <c r="H148" s="298"/>
    </row>
    <row r="149" spans="1:8" ht="19.95" customHeight="1" x14ac:dyDescent="0.25">
      <c r="A149" s="79"/>
      <c r="B149" s="57" t="s">
        <v>95</v>
      </c>
      <c r="C149" s="56" t="s">
        <v>151</v>
      </c>
      <c r="D149" s="316"/>
      <c r="E149" s="91" t="s">
        <v>173</v>
      </c>
      <c r="F149" s="66">
        <v>3</v>
      </c>
      <c r="G149" s="124">
        <f t="shared" si="2"/>
        <v>3</v>
      </c>
      <c r="H149" s="298"/>
    </row>
    <row r="150" spans="1:8" ht="19.95" customHeight="1" x14ac:dyDescent="0.25">
      <c r="A150" s="79"/>
      <c r="B150" s="57" t="s">
        <v>95</v>
      </c>
      <c r="C150" s="56" t="s">
        <v>151</v>
      </c>
      <c r="D150" s="319" t="s">
        <v>174</v>
      </c>
      <c r="E150" s="91" t="s">
        <v>175</v>
      </c>
      <c r="F150" s="66">
        <v>3</v>
      </c>
      <c r="G150" s="124">
        <f t="shared" si="2"/>
        <v>3</v>
      </c>
      <c r="H150" s="298"/>
    </row>
    <row r="151" spans="1:8" ht="19.95" customHeight="1" x14ac:dyDescent="0.25">
      <c r="A151" s="79"/>
      <c r="B151" s="57" t="s">
        <v>95</v>
      </c>
      <c r="C151" s="56" t="s">
        <v>151</v>
      </c>
      <c r="D151" s="319"/>
      <c r="E151" s="91" t="s">
        <v>176</v>
      </c>
      <c r="F151" s="66">
        <v>3</v>
      </c>
      <c r="G151" s="124">
        <f t="shared" si="2"/>
        <v>3</v>
      </c>
      <c r="H151" s="298"/>
    </row>
    <row r="152" spans="1:8" ht="19.95" customHeight="1" x14ac:dyDescent="0.25">
      <c r="A152" s="79"/>
      <c r="B152" s="57" t="s">
        <v>95</v>
      </c>
      <c r="C152" s="56" t="s">
        <v>151</v>
      </c>
      <c r="D152" s="319"/>
      <c r="E152" s="91" t="s">
        <v>177</v>
      </c>
      <c r="F152" s="66">
        <v>3</v>
      </c>
      <c r="G152" s="124">
        <f t="shared" si="2"/>
        <v>3</v>
      </c>
      <c r="H152" s="298"/>
    </row>
    <row r="153" spans="1:8" ht="19.95" customHeight="1" x14ac:dyDescent="0.25">
      <c r="A153" s="79"/>
      <c r="B153" s="57" t="s">
        <v>95</v>
      </c>
      <c r="C153" s="56" t="s">
        <v>151</v>
      </c>
      <c r="D153" s="316" t="s">
        <v>178</v>
      </c>
      <c r="E153" s="90" t="s">
        <v>179</v>
      </c>
      <c r="F153" s="66">
        <v>3</v>
      </c>
      <c r="G153" s="124">
        <f t="shared" si="2"/>
        <v>3</v>
      </c>
      <c r="H153" s="298"/>
    </row>
    <row r="154" spans="1:8" ht="19.95" customHeight="1" x14ac:dyDescent="0.25">
      <c r="A154" s="79"/>
      <c r="B154" s="57" t="s">
        <v>95</v>
      </c>
      <c r="C154" s="56" t="s">
        <v>151</v>
      </c>
      <c r="D154" s="316"/>
      <c r="E154" s="91" t="s">
        <v>180</v>
      </c>
      <c r="F154" s="66">
        <v>3</v>
      </c>
      <c r="G154" s="124">
        <f t="shared" si="2"/>
        <v>3</v>
      </c>
      <c r="H154" s="298"/>
    </row>
    <row r="155" spans="1:8" ht="19.95" customHeight="1" x14ac:dyDescent="0.25">
      <c r="A155" s="79"/>
      <c r="B155" s="57" t="s">
        <v>95</v>
      </c>
      <c r="C155" s="56" t="s">
        <v>151</v>
      </c>
      <c r="D155" s="316"/>
      <c r="E155" s="91" t="s">
        <v>181</v>
      </c>
      <c r="F155" s="66">
        <v>3</v>
      </c>
      <c r="G155" s="124">
        <f t="shared" si="2"/>
        <v>3</v>
      </c>
      <c r="H155" s="298"/>
    </row>
    <row r="156" spans="1:8" ht="19.95" customHeight="1" x14ac:dyDescent="0.25">
      <c r="A156" s="79"/>
      <c r="B156" s="57" t="s">
        <v>95</v>
      </c>
      <c r="C156" s="56" t="s">
        <v>151</v>
      </c>
      <c r="D156" s="316"/>
      <c r="E156" s="91" t="s">
        <v>182</v>
      </c>
      <c r="F156" s="66">
        <v>3</v>
      </c>
      <c r="G156" s="124">
        <f t="shared" si="2"/>
        <v>3</v>
      </c>
      <c r="H156" s="298"/>
    </row>
    <row r="157" spans="1:8" ht="19.95" customHeight="1" x14ac:dyDescent="0.25">
      <c r="A157" s="79"/>
      <c r="B157" s="57" t="s">
        <v>95</v>
      </c>
      <c r="C157" s="56" t="s">
        <v>151</v>
      </c>
      <c r="D157" s="316"/>
      <c r="E157" s="91" t="s">
        <v>183</v>
      </c>
      <c r="F157" s="66">
        <v>3</v>
      </c>
      <c r="G157" s="124">
        <f t="shared" si="2"/>
        <v>3</v>
      </c>
      <c r="H157" s="298"/>
    </row>
    <row r="158" spans="1:8" ht="19.95" customHeight="1" x14ac:dyDescent="0.25">
      <c r="A158" s="79"/>
      <c r="B158" s="57" t="s">
        <v>95</v>
      </c>
      <c r="C158" s="56" t="s">
        <v>151</v>
      </c>
      <c r="D158" s="316"/>
      <c r="E158" s="91" t="s">
        <v>184</v>
      </c>
      <c r="F158" s="66">
        <v>3</v>
      </c>
      <c r="G158" s="124">
        <f t="shared" si="2"/>
        <v>3</v>
      </c>
      <c r="H158" s="298"/>
    </row>
    <row r="159" spans="1:8" ht="19.95" customHeight="1" x14ac:dyDescent="0.25">
      <c r="A159" s="79"/>
      <c r="B159" s="57" t="s">
        <v>95</v>
      </c>
      <c r="C159" s="56" t="s">
        <v>151</v>
      </c>
      <c r="D159" s="316"/>
      <c r="E159" s="91" t="s">
        <v>185</v>
      </c>
      <c r="F159" s="66">
        <v>3</v>
      </c>
      <c r="G159" s="124">
        <f t="shared" si="2"/>
        <v>3</v>
      </c>
      <c r="H159" s="298"/>
    </row>
    <row r="160" spans="1:8" ht="19.95" customHeight="1" x14ac:dyDescent="0.25">
      <c r="A160" s="79"/>
      <c r="B160" s="57" t="s">
        <v>95</v>
      </c>
      <c r="C160" s="56" t="s">
        <v>151</v>
      </c>
      <c r="D160" s="320" t="s">
        <v>186</v>
      </c>
      <c r="E160" s="91" t="s">
        <v>187</v>
      </c>
      <c r="F160" s="66">
        <v>3</v>
      </c>
      <c r="G160" s="124">
        <f t="shared" si="2"/>
        <v>3</v>
      </c>
      <c r="H160" s="298"/>
    </row>
    <row r="161" spans="1:8" ht="19.95" customHeight="1" x14ac:dyDescent="0.25">
      <c r="A161" s="79"/>
      <c r="B161" s="57" t="s">
        <v>95</v>
      </c>
      <c r="C161" s="56" t="s">
        <v>151</v>
      </c>
      <c r="D161" s="320"/>
      <c r="E161" s="92" t="s">
        <v>188</v>
      </c>
      <c r="F161" s="66">
        <v>3</v>
      </c>
      <c r="G161" s="124">
        <f t="shared" si="2"/>
        <v>3</v>
      </c>
      <c r="H161" s="298"/>
    </row>
    <row r="162" spans="1:8" ht="19.95" customHeight="1" x14ac:dyDescent="0.25">
      <c r="A162" s="79"/>
      <c r="B162" s="57" t="s">
        <v>95</v>
      </c>
      <c r="C162" s="56" t="s">
        <v>151</v>
      </c>
      <c r="D162" s="320"/>
      <c r="E162" s="92" t="s">
        <v>189</v>
      </c>
      <c r="F162" s="66">
        <v>3</v>
      </c>
      <c r="G162" s="124">
        <f t="shared" si="2"/>
        <v>3</v>
      </c>
      <c r="H162" s="298"/>
    </row>
    <row r="163" spans="1:8" ht="19.95" customHeight="1" x14ac:dyDescent="0.25">
      <c r="A163" s="79"/>
      <c r="B163" s="57" t="s">
        <v>95</v>
      </c>
      <c r="C163" s="56" t="s">
        <v>151</v>
      </c>
      <c r="D163" s="320"/>
      <c r="E163" s="89" t="s">
        <v>190</v>
      </c>
      <c r="F163" s="66">
        <v>3</v>
      </c>
      <c r="G163" s="124">
        <f t="shared" si="2"/>
        <v>3</v>
      </c>
      <c r="H163" s="298"/>
    </row>
    <row r="164" spans="1:8" ht="19.95" customHeight="1" x14ac:dyDescent="0.25">
      <c r="A164" s="79"/>
      <c r="B164" s="57" t="s">
        <v>95</v>
      </c>
      <c r="C164" s="56" t="s">
        <v>151</v>
      </c>
      <c r="D164" s="320"/>
      <c r="E164" s="91" t="s">
        <v>191</v>
      </c>
      <c r="F164" s="66">
        <v>3</v>
      </c>
      <c r="G164" s="124">
        <f t="shared" si="2"/>
        <v>3</v>
      </c>
      <c r="H164" s="298"/>
    </row>
    <row r="165" spans="1:8" ht="19.95" customHeight="1" x14ac:dyDescent="0.25">
      <c r="A165" s="79"/>
      <c r="B165" s="57" t="s">
        <v>95</v>
      </c>
      <c r="C165" s="56" t="s">
        <v>151</v>
      </c>
      <c r="D165" s="321" t="s">
        <v>192</v>
      </c>
      <c r="E165" s="91" t="s">
        <v>193</v>
      </c>
      <c r="F165" s="66">
        <v>3</v>
      </c>
      <c r="G165" s="124">
        <f t="shared" si="2"/>
        <v>3</v>
      </c>
      <c r="H165" s="298"/>
    </row>
    <row r="166" spans="1:8" ht="19.95" customHeight="1" x14ac:dyDescent="0.25">
      <c r="A166" s="79"/>
      <c r="B166" s="57" t="s">
        <v>95</v>
      </c>
      <c r="C166" s="56" t="s">
        <v>151</v>
      </c>
      <c r="D166" s="321"/>
      <c r="E166" s="92" t="s">
        <v>194</v>
      </c>
      <c r="F166" s="66">
        <v>3</v>
      </c>
      <c r="G166" s="124">
        <f t="shared" si="2"/>
        <v>3</v>
      </c>
      <c r="H166" s="298"/>
    </row>
    <row r="167" spans="1:8" ht="19.95" customHeight="1" x14ac:dyDescent="0.25">
      <c r="A167" s="79"/>
      <c r="B167" s="57" t="s">
        <v>95</v>
      </c>
      <c r="C167" s="56" t="s">
        <v>151</v>
      </c>
      <c r="D167" s="321"/>
      <c r="E167" s="92" t="s">
        <v>195</v>
      </c>
      <c r="F167" s="66">
        <v>3</v>
      </c>
      <c r="G167" s="124">
        <f t="shared" si="2"/>
        <v>3</v>
      </c>
      <c r="H167" s="298"/>
    </row>
    <row r="168" spans="1:8" ht="19.95" customHeight="1" x14ac:dyDescent="0.25">
      <c r="A168" s="79"/>
      <c r="B168" s="57" t="s">
        <v>95</v>
      </c>
      <c r="C168" s="56" t="s">
        <v>151</v>
      </c>
      <c r="D168" s="322" t="s">
        <v>196</v>
      </c>
      <c r="E168" s="91" t="s">
        <v>197</v>
      </c>
      <c r="F168" s="66">
        <v>4</v>
      </c>
      <c r="G168" s="124">
        <f t="shared" si="2"/>
        <v>4</v>
      </c>
      <c r="H168" s="298"/>
    </row>
    <row r="169" spans="1:8" ht="19.95" customHeight="1" x14ac:dyDescent="0.25">
      <c r="A169" s="79"/>
      <c r="B169" s="57" t="s">
        <v>95</v>
      </c>
      <c r="C169" s="56" t="s">
        <v>151</v>
      </c>
      <c r="D169" s="322"/>
      <c r="E169" s="91" t="s">
        <v>198</v>
      </c>
      <c r="F169" s="66">
        <v>4</v>
      </c>
      <c r="G169" s="124">
        <f t="shared" si="2"/>
        <v>4</v>
      </c>
      <c r="H169" s="298"/>
    </row>
    <row r="170" spans="1:8" ht="19.95" customHeight="1" x14ac:dyDescent="0.25">
      <c r="A170" s="79"/>
      <c r="B170" s="57" t="s">
        <v>95</v>
      </c>
      <c r="C170" s="56" t="s">
        <v>151</v>
      </c>
      <c r="D170" s="322"/>
      <c r="E170" s="90" t="s">
        <v>199</v>
      </c>
      <c r="F170" s="66">
        <v>4</v>
      </c>
      <c r="G170" s="124">
        <f t="shared" si="2"/>
        <v>4</v>
      </c>
      <c r="H170" s="298"/>
    </row>
    <row r="171" spans="1:8" ht="19.95" customHeight="1" x14ac:dyDescent="0.25">
      <c r="A171" s="79"/>
      <c r="B171" s="57" t="s">
        <v>95</v>
      </c>
      <c r="C171" s="56" t="s">
        <v>151</v>
      </c>
      <c r="D171" s="322"/>
      <c r="E171" s="90" t="s">
        <v>200</v>
      </c>
      <c r="F171" s="66">
        <v>4</v>
      </c>
      <c r="G171" s="124">
        <f t="shared" si="2"/>
        <v>4</v>
      </c>
      <c r="H171" s="298"/>
    </row>
    <row r="172" spans="1:8" ht="19.95" customHeight="1" x14ac:dyDescent="0.25">
      <c r="A172" s="79"/>
      <c r="B172" s="57" t="s">
        <v>95</v>
      </c>
      <c r="C172" s="56" t="s">
        <v>151</v>
      </c>
      <c r="D172" s="322"/>
      <c r="E172" s="90" t="s">
        <v>201</v>
      </c>
      <c r="F172" s="66">
        <v>4</v>
      </c>
      <c r="G172" s="124">
        <f t="shared" si="2"/>
        <v>4</v>
      </c>
      <c r="H172" s="298"/>
    </row>
    <row r="173" spans="1:8" ht="19.95" customHeight="1" x14ac:dyDescent="0.25">
      <c r="A173" s="79"/>
      <c r="B173" s="57" t="s">
        <v>95</v>
      </c>
      <c r="C173" s="56" t="s">
        <v>151</v>
      </c>
      <c r="D173" s="322"/>
      <c r="E173" s="90" t="s">
        <v>202</v>
      </c>
      <c r="F173" s="66">
        <v>4</v>
      </c>
      <c r="G173" s="124">
        <f t="shared" si="2"/>
        <v>4</v>
      </c>
      <c r="H173" s="298"/>
    </row>
    <row r="174" spans="1:8" ht="19.95" customHeight="1" x14ac:dyDescent="0.25">
      <c r="A174" s="79"/>
      <c r="B174" s="57" t="s">
        <v>95</v>
      </c>
      <c r="C174" s="56" t="s">
        <v>151</v>
      </c>
      <c r="D174" s="322" t="s">
        <v>203</v>
      </c>
      <c r="E174" s="90" t="s">
        <v>204</v>
      </c>
      <c r="F174" s="66">
        <v>4</v>
      </c>
      <c r="G174" s="124">
        <f t="shared" si="2"/>
        <v>4</v>
      </c>
      <c r="H174" s="298"/>
    </row>
    <row r="175" spans="1:8" ht="19.95" customHeight="1" x14ac:dyDescent="0.25">
      <c r="A175" s="79"/>
      <c r="B175" s="57" t="s">
        <v>95</v>
      </c>
      <c r="C175" s="56" t="s">
        <v>151</v>
      </c>
      <c r="D175" s="322"/>
      <c r="E175" s="91" t="s">
        <v>205</v>
      </c>
      <c r="F175" s="66">
        <v>4</v>
      </c>
      <c r="G175" s="124">
        <f t="shared" si="2"/>
        <v>4</v>
      </c>
      <c r="H175" s="298"/>
    </row>
    <row r="176" spans="1:8" ht="19.95" customHeight="1" x14ac:dyDescent="0.25">
      <c r="A176" s="79"/>
      <c r="B176" s="57" t="s">
        <v>95</v>
      </c>
      <c r="C176" s="56" t="s">
        <v>151</v>
      </c>
      <c r="D176" s="322"/>
      <c r="E176" s="90" t="s">
        <v>206</v>
      </c>
      <c r="F176" s="66">
        <v>4</v>
      </c>
      <c r="G176" s="124">
        <f t="shared" si="2"/>
        <v>4</v>
      </c>
      <c r="H176" s="298"/>
    </row>
    <row r="177" spans="1:8" ht="19.95" customHeight="1" x14ac:dyDescent="0.25">
      <c r="A177" s="79"/>
      <c r="B177" s="57" t="s">
        <v>95</v>
      </c>
      <c r="C177" s="56" t="s">
        <v>151</v>
      </c>
      <c r="D177" s="322"/>
      <c r="E177" s="90" t="s">
        <v>207</v>
      </c>
      <c r="F177" s="66">
        <v>4</v>
      </c>
      <c r="G177" s="124">
        <f t="shared" si="2"/>
        <v>4</v>
      </c>
      <c r="H177" s="298"/>
    </row>
    <row r="178" spans="1:8" ht="19.95" customHeight="1" x14ac:dyDescent="0.25">
      <c r="A178" s="79"/>
      <c r="B178" s="57" t="s">
        <v>95</v>
      </c>
      <c r="C178" s="56" t="s">
        <v>151</v>
      </c>
      <c r="D178" s="322"/>
      <c r="E178" s="90" t="s">
        <v>208</v>
      </c>
      <c r="F178" s="66">
        <v>4</v>
      </c>
      <c r="G178" s="124">
        <f t="shared" si="2"/>
        <v>4</v>
      </c>
      <c r="H178" s="298"/>
    </row>
    <row r="179" spans="1:8" ht="19.95" customHeight="1" x14ac:dyDescent="0.25">
      <c r="A179" s="79"/>
      <c r="B179" s="57" t="s">
        <v>95</v>
      </c>
      <c r="C179" s="56" t="s">
        <v>151</v>
      </c>
      <c r="D179" s="322" t="s">
        <v>151</v>
      </c>
      <c r="E179" s="92" t="s">
        <v>209</v>
      </c>
      <c r="F179" s="66">
        <v>4</v>
      </c>
      <c r="G179" s="124">
        <f t="shared" si="2"/>
        <v>4</v>
      </c>
      <c r="H179" s="298"/>
    </row>
    <row r="180" spans="1:8" ht="19.95" customHeight="1" x14ac:dyDescent="0.25">
      <c r="A180" s="79"/>
      <c r="B180" s="57" t="s">
        <v>95</v>
      </c>
      <c r="C180" s="56" t="s">
        <v>151</v>
      </c>
      <c r="D180" s="322"/>
      <c r="E180" s="92" t="s">
        <v>210</v>
      </c>
      <c r="F180" s="66">
        <v>4</v>
      </c>
      <c r="G180" s="124">
        <f t="shared" si="2"/>
        <v>4</v>
      </c>
      <c r="H180" s="298"/>
    </row>
    <row r="181" spans="1:8" ht="19.95" customHeight="1" x14ac:dyDescent="0.25">
      <c r="A181" s="79"/>
      <c r="B181" s="57" t="s">
        <v>95</v>
      </c>
      <c r="C181" s="56" t="s">
        <v>151</v>
      </c>
      <c r="D181" s="322"/>
      <c r="E181" s="92" t="s">
        <v>211</v>
      </c>
      <c r="F181" s="66">
        <v>4</v>
      </c>
      <c r="G181" s="124">
        <f t="shared" si="2"/>
        <v>4</v>
      </c>
      <c r="H181" s="298"/>
    </row>
    <row r="182" spans="1:8" ht="19.95" customHeight="1" x14ac:dyDescent="0.25">
      <c r="A182" s="79"/>
      <c r="B182" s="57" t="s">
        <v>95</v>
      </c>
      <c r="C182" s="56"/>
      <c r="D182" s="118" t="s">
        <v>212</v>
      </c>
      <c r="E182" s="72"/>
      <c r="F182" s="63"/>
      <c r="G182" s="124">
        <f t="shared" si="2"/>
        <v>0</v>
      </c>
      <c r="H182" s="298"/>
    </row>
    <row r="183" spans="1:8" ht="19.95" customHeight="1" x14ac:dyDescent="0.25">
      <c r="A183" s="79"/>
      <c r="B183" s="57" t="s">
        <v>95</v>
      </c>
      <c r="C183" s="56" t="s">
        <v>212</v>
      </c>
      <c r="D183" s="120"/>
      <c r="E183" s="93" t="s">
        <v>213</v>
      </c>
      <c r="F183" s="66">
        <v>7</v>
      </c>
      <c r="G183" s="124">
        <f t="shared" si="2"/>
        <v>7</v>
      </c>
      <c r="H183" s="298"/>
    </row>
    <row r="184" spans="1:8" ht="19.95" customHeight="1" x14ac:dyDescent="0.25">
      <c r="A184" s="79"/>
      <c r="B184" s="57" t="s">
        <v>95</v>
      </c>
      <c r="C184" s="56" t="s">
        <v>212</v>
      </c>
      <c r="D184" s="120"/>
      <c r="E184" s="93" t="s">
        <v>214</v>
      </c>
      <c r="F184" s="66">
        <v>7</v>
      </c>
      <c r="G184" s="124">
        <f t="shared" si="2"/>
        <v>7</v>
      </c>
      <c r="H184" s="298"/>
    </row>
    <row r="185" spans="1:8" ht="19.95" customHeight="1" x14ac:dyDescent="0.25">
      <c r="A185" s="79"/>
      <c r="B185" s="57" t="s">
        <v>95</v>
      </c>
      <c r="C185" s="56" t="s">
        <v>212</v>
      </c>
      <c r="D185" s="120"/>
      <c r="E185" s="93" t="s">
        <v>215</v>
      </c>
      <c r="F185" s="66">
        <v>7</v>
      </c>
      <c r="G185" s="124">
        <f t="shared" si="2"/>
        <v>7</v>
      </c>
      <c r="H185" s="298"/>
    </row>
    <row r="186" spans="1:8" ht="19.95" customHeight="1" x14ac:dyDescent="0.25">
      <c r="A186" s="79"/>
      <c r="B186" s="57" t="s">
        <v>95</v>
      </c>
      <c r="C186" s="56" t="s">
        <v>212</v>
      </c>
      <c r="D186" s="120"/>
      <c r="E186" s="93" t="s">
        <v>216</v>
      </c>
      <c r="F186" s="66">
        <v>7</v>
      </c>
      <c r="G186" s="124">
        <f t="shared" si="2"/>
        <v>7</v>
      </c>
      <c r="H186" s="298"/>
    </row>
    <row r="187" spans="1:8" ht="19.95" customHeight="1" x14ac:dyDescent="0.25">
      <c r="A187" s="79"/>
      <c r="B187" s="57" t="s">
        <v>95</v>
      </c>
      <c r="C187" s="56" t="s">
        <v>212</v>
      </c>
      <c r="D187" s="120"/>
      <c r="E187" s="93" t="s">
        <v>217</v>
      </c>
      <c r="F187" s="66">
        <v>7</v>
      </c>
      <c r="G187" s="124">
        <f t="shared" si="2"/>
        <v>7</v>
      </c>
      <c r="H187" s="298"/>
    </row>
    <row r="188" spans="1:8" ht="19.95" customHeight="1" x14ac:dyDescent="0.25">
      <c r="A188" s="79"/>
      <c r="B188" s="57" t="s">
        <v>95</v>
      </c>
      <c r="C188" s="56" t="s">
        <v>212</v>
      </c>
      <c r="D188" s="120"/>
      <c r="E188" s="93" t="s">
        <v>218</v>
      </c>
      <c r="F188" s="66">
        <v>7</v>
      </c>
      <c r="G188" s="124">
        <f t="shared" si="2"/>
        <v>7</v>
      </c>
      <c r="H188" s="298"/>
    </row>
    <row r="189" spans="1:8" ht="19.95" customHeight="1" x14ac:dyDescent="0.25">
      <c r="A189" s="79"/>
      <c r="B189" s="57" t="s">
        <v>95</v>
      </c>
      <c r="C189" s="56" t="s">
        <v>212</v>
      </c>
      <c r="D189" s="120"/>
      <c r="E189" s="93" t="s">
        <v>219</v>
      </c>
      <c r="F189" s="66">
        <v>7</v>
      </c>
      <c r="G189" s="124">
        <f t="shared" si="2"/>
        <v>7</v>
      </c>
      <c r="H189" s="298"/>
    </row>
    <row r="190" spans="1:8" ht="19.95" customHeight="1" x14ac:dyDescent="0.25">
      <c r="A190" s="79"/>
      <c r="B190" s="57" t="s">
        <v>95</v>
      </c>
      <c r="C190" s="56" t="s">
        <v>212</v>
      </c>
      <c r="D190" s="120"/>
      <c r="E190" s="93" t="s">
        <v>220</v>
      </c>
      <c r="F190" s="66">
        <v>7</v>
      </c>
      <c r="G190" s="124">
        <f t="shared" si="2"/>
        <v>7</v>
      </c>
      <c r="H190" s="298"/>
    </row>
    <row r="191" spans="1:8" ht="19.95" customHeight="1" x14ac:dyDescent="0.25">
      <c r="A191" s="79"/>
      <c r="B191" s="57" t="s">
        <v>95</v>
      </c>
      <c r="C191" s="56" t="s">
        <v>212</v>
      </c>
      <c r="D191" s="120"/>
      <c r="E191" s="93" t="s">
        <v>221</v>
      </c>
      <c r="F191" s="66">
        <v>7</v>
      </c>
      <c r="G191" s="124">
        <f t="shared" si="2"/>
        <v>7</v>
      </c>
      <c r="H191" s="298"/>
    </row>
    <row r="192" spans="1:8" ht="19.95" customHeight="1" x14ac:dyDescent="0.25">
      <c r="A192" s="79"/>
      <c r="B192" s="57" t="s">
        <v>95</v>
      </c>
      <c r="C192" s="56" t="s">
        <v>212</v>
      </c>
      <c r="D192" s="120"/>
      <c r="E192" s="93" t="s">
        <v>222</v>
      </c>
      <c r="F192" s="66">
        <v>7</v>
      </c>
      <c r="G192" s="124">
        <f t="shared" si="2"/>
        <v>7</v>
      </c>
      <c r="H192" s="298"/>
    </row>
    <row r="193" spans="1:8" ht="19.95" customHeight="1" x14ac:dyDescent="0.25">
      <c r="A193" s="79"/>
      <c r="B193" s="57" t="s">
        <v>95</v>
      </c>
      <c r="C193" s="56" t="s">
        <v>212</v>
      </c>
      <c r="D193" s="120"/>
      <c r="E193" s="93" t="s">
        <v>223</v>
      </c>
      <c r="F193" s="66">
        <v>7</v>
      </c>
      <c r="G193" s="124">
        <f t="shared" si="2"/>
        <v>7</v>
      </c>
      <c r="H193" s="298"/>
    </row>
    <row r="194" spans="1:8" ht="19.95" customHeight="1" x14ac:dyDescent="0.25">
      <c r="A194" s="79"/>
      <c r="B194" s="57" t="s">
        <v>95</v>
      </c>
      <c r="C194" s="56" t="s">
        <v>212</v>
      </c>
      <c r="D194" s="120"/>
      <c r="E194" s="93" t="s">
        <v>224</v>
      </c>
      <c r="F194" s="66">
        <v>7</v>
      </c>
      <c r="G194" s="124">
        <f t="shared" si="2"/>
        <v>7</v>
      </c>
      <c r="H194" s="298"/>
    </row>
    <row r="195" spans="1:8" ht="19.95" customHeight="1" x14ac:dyDescent="0.25">
      <c r="A195" s="79"/>
      <c r="B195" s="57" t="s">
        <v>95</v>
      </c>
      <c r="C195" s="56" t="s">
        <v>212</v>
      </c>
      <c r="D195" s="120"/>
      <c r="E195" s="92" t="s">
        <v>225</v>
      </c>
      <c r="F195" s="66">
        <v>3</v>
      </c>
      <c r="G195" s="124">
        <f t="shared" si="2"/>
        <v>3</v>
      </c>
      <c r="H195" s="46"/>
    </row>
    <row r="196" spans="1:8" ht="19.95" customHeight="1" x14ac:dyDescent="0.25">
      <c r="A196" s="79"/>
      <c r="B196" s="57" t="s">
        <v>95</v>
      </c>
      <c r="C196" s="56" t="s">
        <v>212</v>
      </c>
      <c r="D196" s="120"/>
      <c r="E196" s="92" t="s">
        <v>226</v>
      </c>
      <c r="F196" s="66">
        <v>3</v>
      </c>
      <c r="G196" s="124">
        <f t="shared" si="2"/>
        <v>3</v>
      </c>
      <c r="H196" s="46"/>
    </row>
    <row r="197" spans="1:8" ht="19.95" customHeight="1" x14ac:dyDescent="0.25">
      <c r="A197" s="79"/>
      <c r="B197" s="57" t="s">
        <v>95</v>
      </c>
      <c r="C197" s="56" t="s">
        <v>212</v>
      </c>
      <c r="D197" s="120"/>
      <c r="E197" s="92" t="s">
        <v>227</v>
      </c>
      <c r="F197" s="66">
        <v>3</v>
      </c>
      <c r="G197" s="124">
        <f t="shared" si="2"/>
        <v>3</v>
      </c>
      <c r="H197" s="46"/>
    </row>
    <row r="198" spans="1:8" ht="19.95" customHeight="1" x14ac:dyDescent="0.25">
      <c r="A198" s="79"/>
      <c r="B198" s="57" t="s">
        <v>95</v>
      </c>
      <c r="C198" s="56" t="s">
        <v>212</v>
      </c>
      <c r="D198" s="120"/>
      <c r="E198" s="92" t="s">
        <v>228</v>
      </c>
      <c r="F198" s="66">
        <v>3</v>
      </c>
      <c r="G198" s="124">
        <f t="shared" si="2"/>
        <v>3</v>
      </c>
      <c r="H198" s="46"/>
    </row>
    <row r="199" spans="1:8" ht="19.95" customHeight="1" x14ac:dyDescent="0.25">
      <c r="A199" s="79"/>
      <c r="B199" s="57" t="s">
        <v>95</v>
      </c>
      <c r="C199" s="56" t="s">
        <v>212</v>
      </c>
      <c r="D199" s="120"/>
      <c r="E199" s="92" t="s">
        <v>229</v>
      </c>
      <c r="F199" s="66">
        <v>3</v>
      </c>
      <c r="G199" s="124">
        <f t="shared" si="2"/>
        <v>3</v>
      </c>
      <c r="H199" s="46"/>
    </row>
    <row r="200" spans="1:8" ht="19.95" customHeight="1" x14ac:dyDescent="0.25">
      <c r="A200" s="79"/>
      <c r="B200" s="57" t="s">
        <v>95</v>
      </c>
      <c r="C200" s="56" t="s">
        <v>212</v>
      </c>
      <c r="D200" s="120"/>
      <c r="E200" s="92" t="s">
        <v>230</v>
      </c>
      <c r="F200" s="66">
        <v>3</v>
      </c>
      <c r="G200" s="124">
        <f t="shared" si="2"/>
        <v>3</v>
      </c>
      <c r="H200" s="46"/>
    </row>
    <row r="201" spans="1:8" ht="19.95" customHeight="1" x14ac:dyDescent="0.25">
      <c r="A201" s="79"/>
      <c r="B201" s="57" t="s">
        <v>95</v>
      </c>
      <c r="C201" s="56" t="s">
        <v>212</v>
      </c>
      <c r="D201" s="120"/>
      <c r="E201" s="92" t="s">
        <v>231</v>
      </c>
      <c r="F201" s="66">
        <v>3</v>
      </c>
      <c r="G201" s="124">
        <f t="shared" si="2"/>
        <v>3</v>
      </c>
      <c r="H201" s="46"/>
    </row>
    <row r="202" spans="1:8" ht="19.95" customHeight="1" x14ac:dyDescent="0.25">
      <c r="A202" s="79"/>
      <c r="B202" s="57" t="s">
        <v>95</v>
      </c>
      <c r="C202" s="56" t="s">
        <v>212</v>
      </c>
      <c r="D202" s="120"/>
      <c r="E202" s="92" t="s">
        <v>232</v>
      </c>
      <c r="F202" s="66">
        <v>3</v>
      </c>
      <c r="G202" s="124">
        <f t="shared" si="2"/>
        <v>3</v>
      </c>
      <c r="H202" s="46"/>
    </row>
    <row r="203" spans="1:8" ht="19.95" customHeight="1" x14ac:dyDescent="0.25">
      <c r="A203" s="79"/>
      <c r="B203" s="57" t="s">
        <v>95</v>
      </c>
      <c r="C203" s="56" t="s">
        <v>212</v>
      </c>
      <c r="D203" s="120"/>
      <c r="E203" s="92" t="s">
        <v>233</v>
      </c>
      <c r="F203" s="66">
        <v>3</v>
      </c>
      <c r="G203" s="124">
        <f t="shared" ref="G203:G266" si="3">F203</f>
        <v>3</v>
      </c>
      <c r="H203" s="46"/>
    </row>
    <row r="204" spans="1:8" ht="19.95" customHeight="1" x14ac:dyDescent="0.25">
      <c r="A204" s="79"/>
      <c r="B204" s="57" t="s">
        <v>95</v>
      </c>
      <c r="C204" s="56" t="s">
        <v>212</v>
      </c>
      <c r="D204" s="120"/>
      <c r="E204" s="91" t="s">
        <v>234</v>
      </c>
      <c r="F204" s="66">
        <v>3</v>
      </c>
      <c r="G204" s="124">
        <f t="shared" si="3"/>
        <v>3</v>
      </c>
      <c r="H204" s="46"/>
    </row>
    <row r="205" spans="1:8" ht="19.95" customHeight="1" x14ac:dyDescent="0.25">
      <c r="A205" s="79"/>
      <c r="B205" s="57" t="s">
        <v>95</v>
      </c>
      <c r="C205" s="56" t="s">
        <v>212</v>
      </c>
      <c r="D205" s="120"/>
      <c r="E205" s="91" t="s">
        <v>235</v>
      </c>
      <c r="F205" s="66">
        <v>3</v>
      </c>
      <c r="G205" s="124">
        <f t="shared" si="3"/>
        <v>3</v>
      </c>
      <c r="H205" s="46"/>
    </row>
    <row r="206" spans="1:8" ht="19.95" customHeight="1" thickBot="1" x14ac:dyDescent="0.3">
      <c r="A206" s="79"/>
      <c r="B206" s="243" t="s">
        <v>95</v>
      </c>
      <c r="C206" s="108" t="s">
        <v>212</v>
      </c>
      <c r="D206" s="120"/>
      <c r="E206" s="109" t="s">
        <v>236</v>
      </c>
      <c r="F206" s="110">
        <v>3</v>
      </c>
      <c r="G206" s="125">
        <f t="shared" si="3"/>
        <v>3</v>
      </c>
      <c r="H206" s="46"/>
    </row>
    <row r="207" spans="1:8" ht="19.95" customHeight="1" thickTop="1" x14ac:dyDescent="0.25">
      <c r="A207" s="79"/>
      <c r="B207" s="235" t="s">
        <v>237</v>
      </c>
      <c r="C207" s="111"/>
      <c r="D207" s="121" t="s">
        <v>238</v>
      </c>
      <c r="E207" s="112"/>
      <c r="F207" s="113"/>
      <c r="G207" s="126">
        <f t="shared" si="3"/>
        <v>0</v>
      </c>
      <c r="H207" s="34"/>
    </row>
    <row r="208" spans="1:8" ht="19.95" customHeight="1" x14ac:dyDescent="0.25">
      <c r="A208" s="79"/>
      <c r="B208" s="59" t="s">
        <v>237</v>
      </c>
      <c r="C208" s="58" t="s">
        <v>238</v>
      </c>
      <c r="D208" s="120"/>
      <c r="E208" s="89" t="s">
        <v>239</v>
      </c>
      <c r="F208" s="66">
        <v>2</v>
      </c>
      <c r="G208" s="124">
        <f t="shared" si="3"/>
        <v>2</v>
      </c>
      <c r="H208" s="34"/>
    </row>
    <row r="209" spans="1:9" ht="19.95" customHeight="1" x14ac:dyDescent="0.25">
      <c r="A209" s="79"/>
      <c r="B209" s="59" t="s">
        <v>237</v>
      </c>
      <c r="C209" s="58" t="s">
        <v>238</v>
      </c>
      <c r="D209" s="120"/>
      <c r="E209" s="89" t="s">
        <v>240</v>
      </c>
      <c r="F209" s="66">
        <v>2</v>
      </c>
      <c r="G209" s="124">
        <f t="shared" si="3"/>
        <v>2</v>
      </c>
      <c r="H209" s="34"/>
    </row>
    <row r="210" spans="1:9" ht="19.95" customHeight="1" x14ac:dyDescent="0.25">
      <c r="A210" s="79"/>
      <c r="B210" s="59" t="s">
        <v>237</v>
      </c>
      <c r="C210" s="58" t="s">
        <v>238</v>
      </c>
      <c r="D210" s="120"/>
      <c r="E210" s="89" t="s">
        <v>241</v>
      </c>
      <c r="F210" s="66">
        <v>2</v>
      </c>
      <c r="G210" s="124">
        <f t="shared" si="3"/>
        <v>2</v>
      </c>
      <c r="H210" s="34"/>
    </row>
    <row r="211" spans="1:9" ht="19.95" customHeight="1" x14ac:dyDescent="0.25">
      <c r="A211" s="79"/>
      <c r="B211" s="59" t="s">
        <v>237</v>
      </c>
      <c r="C211" s="58" t="s">
        <v>238</v>
      </c>
      <c r="D211" s="120"/>
      <c r="E211" s="89" t="s">
        <v>242</v>
      </c>
      <c r="F211" s="66">
        <v>2</v>
      </c>
      <c r="G211" s="124">
        <f t="shared" si="3"/>
        <v>2</v>
      </c>
      <c r="H211" s="34"/>
    </row>
    <row r="212" spans="1:9" ht="19.95" customHeight="1" x14ac:dyDescent="0.25">
      <c r="A212" s="79"/>
      <c r="B212" s="59" t="s">
        <v>237</v>
      </c>
      <c r="C212" s="58" t="s">
        <v>238</v>
      </c>
      <c r="D212" s="120"/>
      <c r="E212" s="89" t="s">
        <v>243</v>
      </c>
      <c r="F212" s="66">
        <v>2</v>
      </c>
      <c r="G212" s="124">
        <f t="shared" si="3"/>
        <v>2</v>
      </c>
      <c r="H212" s="34"/>
    </row>
    <row r="213" spans="1:9" ht="19.95" customHeight="1" x14ac:dyDescent="0.25">
      <c r="A213" s="79"/>
      <c r="B213" s="59" t="s">
        <v>237</v>
      </c>
      <c r="C213" s="58" t="s">
        <v>238</v>
      </c>
      <c r="D213" s="120"/>
      <c r="E213" s="89" t="s">
        <v>244</v>
      </c>
      <c r="F213" s="66">
        <v>2</v>
      </c>
      <c r="G213" s="124">
        <f t="shared" si="3"/>
        <v>2</v>
      </c>
      <c r="H213" s="34"/>
    </row>
    <row r="214" spans="1:9" ht="19.95" customHeight="1" x14ac:dyDescent="0.25">
      <c r="A214" s="79"/>
      <c r="B214" s="59" t="s">
        <v>237</v>
      </c>
      <c r="C214" s="58" t="s">
        <v>238</v>
      </c>
      <c r="D214" s="120"/>
      <c r="E214" s="89" t="s">
        <v>245</v>
      </c>
      <c r="F214" s="66">
        <v>2</v>
      </c>
      <c r="G214" s="124">
        <f t="shared" si="3"/>
        <v>2</v>
      </c>
      <c r="H214" s="34"/>
    </row>
    <row r="215" spans="1:9" ht="19.95" customHeight="1" x14ac:dyDescent="0.25">
      <c r="A215" s="79"/>
      <c r="B215" s="59" t="s">
        <v>237</v>
      </c>
      <c r="C215" s="58" t="s">
        <v>238</v>
      </c>
      <c r="D215" s="120"/>
      <c r="E215" s="89" t="s">
        <v>246</v>
      </c>
      <c r="F215" s="66">
        <v>2</v>
      </c>
      <c r="G215" s="124">
        <f t="shared" si="3"/>
        <v>2</v>
      </c>
      <c r="H215" s="34"/>
    </row>
    <row r="216" spans="1:9" ht="19.95" customHeight="1" x14ac:dyDescent="0.25">
      <c r="A216" s="79"/>
      <c r="B216" s="59" t="s">
        <v>237</v>
      </c>
      <c r="C216" s="58" t="s">
        <v>238</v>
      </c>
      <c r="D216" s="120"/>
      <c r="E216" s="89" t="s">
        <v>247</v>
      </c>
      <c r="F216" s="66">
        <v>2</v>
      </c>
      <c r="G216" s="124">
        <f t="shared" si="3"/>
        <v>2</v>
      </c>
      <c r="H216" s="34"/>
    </row>
    <row r="217" spans="1:9" ht="19.95" customHeight="1" x14ac:dyDescent="0.25">
      <c r="A217" s="79"/>
      <c r="B217" s="59" t="s">
        <v>237</v>
      </c>
      <c r="C217" s="58" t="s">
        <v>238</v>
      </c>
      <c r="D217" s="120"/>
      <c r="E217" s="89" t="s">
        <v>248</v>
      </c>
      <c r="F217" s="66">
        <v>2</v>
      </c>
      <c r="G217" s="124">
        <f t="shared" si="3"/>
        <v>2</v>
      </c>
      <c r="H217" s="34"/>
    </row>
    <row r="218" spans="1:9" ht="19.95" customHeight="1" x14ac:dyDescent="0.25">
      <c r="A218" s="79"/>
      <c r="B218" s="59" t="s">
        <v>237</v>
      </c>
      <c r="C218" s="58" t="s">
        <v>238</v>
      </c>
      <c r="D218" s="120"/>
      <c r="E218" s="89" t="s">
        <v>249</v>
      </c>
      <c r="F218" s="66"/>
      <c r="G218" s="124">
        <f t="shared" si="3"/>
        <v>0</v>
      </c>
      <c r="H218" s="34"/>
    </row>
    <row r="219" spans="1:9" ht="19.95" customHeight="1" x14ac:dyDescent="0.25">
      <c r="A219" s="79"/>
      <c r="B219" s="59" t="s">
        <v>237</v>
      </c>
      <c r="C219" s="58" t="s">
        <v>238</v>
      </c>
      <c r="D219" s="120"/>
      <c r="E219" s="89" t="s">
        <v>250</v>
      </c>
      <c r="F219" s="66">
        <v>2</v>
      </c>
      <c r="G219" s="124">
        <f t="shared" si="3"/>
        <v>2</v>
      </c>
      <c r="H219" s="300"/>
      <c r="I219" s="295" t="s">
        <v>251</v>
      </c>
    </row>
    <row r="220" spans="1:9" ht="19.95" customHeight="1" x14ac:dyDescent="0.25">
      <c r="A220" s="79"/>
      <c r="B220" s="59" t="s">
        <v>237</v>
      </c>
      <c r="C220" s="58" t="s">
        <v>238</v>
      </c>
      <c r="D220" s="120"/>
      <c r="E220" s="89" t="s">
        <v>252</v>
      </c>
      <c r="F220" s="66">
        <v>2</v>
      </c>
      <c r="G220" s="124">
        <f t="shared" si="3"/>
        <v>2</v>
      </c>
      <c r="H220" s="300"/>
      <c r="I220" s="295"/>
    </row>
    <row r="221" spans="1:9" ht="19.95" customHeight="1" x14ac:dyDescent="0.25">
      <c r="A221" s="79"/>
      <c r="B221" s="59" t="s">
        <v>237</v>
      </c>
      <c r="C221" s="58" t="s">
        <v>238</v>
      </c>
      <c r="D221" s="120"/>
      <c r="E221" s="89" t="s">
        <v>253</v>
      </c>
      <c r="F221" s="66">
        <v>2</v>
      </c>
      <c r="G221" s="124">
        <f t="shared" si="3"/>
        <v>2</v>
      </c>
      <c r="H221" s="300"/>
      <c r="I221" s="295"/>
    </row>
    <row r="222" spans="1:9" ht="19.95" customHeight="1" x14ac:dyDescent="0.25">
      <c r="A222" s="79"/>
      <c r="B222" s="59" t="s">
        <v>237</v>
      </c>
      <c r="C222" s="58" t="s">
        <v>238</v>
      </c>
      <c r="D222" s="120"/>
      <c r="E222" s="89" t="s">
        <v>254</v>
      </c>
      <c r="F222" s="66">
        <v>2</v>
      </c>
      <c r="G222" s="124">
        <f t="shared" si="3"/>
        <v>2</v>
      </c>
      <c r="H222" s="300"/>
      <c r="I222" s="295"/>
    </row>
    <row r="223" spans="1:9" ht="19.95" customHeight="1" x14ac:dyDescent="0.25">
      <c r="A223" s="79"/>
      <c r="B223" s="59" t="s">
        <v>237</v>
      </c>
      <c r="C223" s="58" t="s">
        <v>238</v>
      </c>
      <c r="D223" s="120"/>
      <c r="E223" s="89" t="s">
        <v>255</v>
      </c>
      <c r="F223" s="66">
        <v>2</v>
      </c>
      <c r="G223" s="124">
        <f t="shared" si="3"/>
        <v>2</v>
      </c>
      <c r="H223" s="300"/>
      <c r="I223" s="295"/>
    </row>
    <row r="224" spans="1:9" ht="19.95" customHeight="1" x14ac:dyDescent="0.25">
      <c r="A224" s="79"/>
      <c r="B224" s="59" t="s">
        <v>237</v>
      </c>
      <c r="C224" s="58" t="s">
        <v>238</v>
      </c>
      <c r="D224" s="120"/>
      <c r="E224" s="89" t="s">
        <v>256</v>
      </c>
      <c r="F224" s="66">
        <v>2</v>
      </c>
      <c r="G224" s="124">
        <f t="shared" si="3"/>
        <v>2</v>
      </c>
      <c r="H224" s="300"/>
      <c r="I224" s="295"/>
    </row>
    <row r="225" spans="1:9" ht="19.95" customHeight="1" x14ac:dyDescent="0.25">
      <c r="A225" s="79"/>
      <c r="B225" s="59" t="s">
        <v>237</v>
      </c>
      <c r="C225" s="58" t="s">
        <v>238</v>
      </c>
      <c r="D225" s="318" t="s">
        <v>257</v>
      </c>
      <c r="E225" s="95" t="s">
        <v>258</v>
      </c>
      <c r="F225" s="66">
        <v>3</v>
      </c>
      <c r="G225" s="124">
        <f t="shared" si="3"/>
        <v>3</v>
      </c>
      <c r="H225" s="300"/>
      <c r="I225" s="295"/>
    </row>
    <row r="226" spans="1:9" ht="19.95" customHeight="1" x14ac:dyDescent="0.25">
      <c r="A226" s="79"/>
      <c r="B226" s="59" t="s">
        <v>237</v>
      </c>
      <c r="C226" s="58" t="s">
        <v>238</v>
      </c>
      <c r="D226" s="318"/>
      <c r="E226" s="95" t="s">
        <v>259</v>
      </c>
      <c r="F226" s="66">
        <v>3</v>
      </c>
      <c r="G226" s="124">
        <f t="shared" si="3"/>
        <v>3</v>
      </c>
      <c r="H226" s="300"/>
      <c r="I226" s="295"/>
    </row>
    <row r="227" spans="1:9" ht="19.95" customHeight="1" x14ac:dyDescent="0.25">
      <c r="A227" s="79"/>
      <c r="B227" s="59" t="s">
        <v>237</v>
      </c>
      <c r="C227" s="58" t="s">
        <v>238</v>
      </c>
      <c r="D227" s="318"/>
      <c r="E227" s="95" t="s">
        <v>260</v>
      </c>
      <c r="F227" s="66">
        <v>3</v>
      </c>
      <c r="G227" s="124">
        <f t="shared" si="3"/>
        <v>3</v>
      </c>
      <c r="H227" s="300"/>
      <c r="I227" s="295"/>
    </row>
    <row r="228" spans="1:9" ht="19.95" customHeight="1" x14ac:dyDescent="0.25">
      <c r="A228" s="79"/>
      <c r="B228" s="59" t="s">
        <v>237</v>
      </c>
      <c r="C228" s="58" t="s">
        <v>238</v>
      </c>
      <c r="D228" s="318"/>
      <c r="E228" s="93" t="s">
        <v>261</v>
      </c>
      <c r="F228" s="66">
        <v>3</v>
      </c>
      <c r="G228" s="124">
        <f t="shared" si="3"/>
        <v>3</v>
      </c>
      <c r="H228" s="300"/>
      <c r="I228" s="295"/>
    </row>
    <row r="229" spans="1:9" ht="19.95" customHeight="1" x14ac:dyDescent="0.25">
      <c r="A229" s="79"/>
      <c r="B229" s="59" t="s">
        <v>237</v>
      </c>
      <c r="C229" s="58" t="s">
        <v>238</v>
      </c>
      <c r="D229" s="122" t="s">
        <v>262</v>
      </c>
      <c r="E229" s="89" t="s">
        <v>263</v>
      </c>
      <c r="F229" s="66">
        <v>3</v>
      </c>
      <c r="G229" s="124">
        <f t="shared" si="3"/>
        <v>3</v>
      </c>
      <c r="H229" s="300"/>
      <c r="I229" s="295"/>
    </row>
    <row r="230" spans="1:9" ht="19.95" customHeight="1" x14ac:dyDescent="0.25">
      <c r="A230" s="79"/>
      <c r="B230" s="59" t="s">
        <v>237</v>
      </c>
      <c r="C230" s="58" t="s">
        <v>238</v>
      </c>
      <c r="D230" s="122"/>
      <c r="E230" s="89" t="s">
        <v>264</v>
      </c>
      <c r="F230" s="66">
        <v>3</v>
      </c>
      <c r="G230" s="124">
        <f t="shared" si="3"/>
        <v>3</v>
      </c>
      <c r="H230" s="300"/>
      <c r="I230" s="295"/>
    </row>
    <row r="231" spans="1:9" ht="19.95" customHeight="1" x14ac:dyDescent="0.25">
      <c r="A231" s="79"/>
      <c r="B231" s="59" t="s">
        <v>237</v>
      </c>
      <c r="C231" s="58" t="s">
        <v>238</v>
      </c>
      <c r="D231" s="318" t="s">
        <v>265</v>
      </c>
      <c r="E231" s="89" t="s">
        <v>266</v>
      </c>
      <c r="F231" s="66">
        <v>5</v>
      </c>
      <c r="G231" s="124">
        <f t="shared" si="3"/>
        <v>5</v>
      </c>
      <c r="H231" s="300"/>
      <c r="I231" s="295"/>
    </row>
    <row r="232" spans="1:9" ht="19.95" customHeight="1" x14ac:dyDescent="0.25">
      <c r="A232" s="79"/>
      <c r="B232" s="59" t="s">
        <v>237</v>
      </c>
      <c r="C232" s="58" t="s">
        <v>238</v>
      </c>
      <c r="D232" s="318"/>
      <c r="E232" s="89" t="s">
        <v>267</v>
      </c>
      <c r="F232" s="66">
        <v>5</v>
      </c>
      <c r="G232" s="124">
        <f t="shared" si="3"/>
        <v>5</v>
      </c>
      <c r="H232" s="298"/>
      <c r="I232" s="295"/>
    </row>
    <row r="233" spans="1:9" ht="19.95" customHeight="1" x14ac:dyDescent="0.25">
      <c r="A233" s="79"/>
      <c r="B233" s="59" t="s">
        <v>237</v>
      </c>
      <c r="C233" s="58" t="s">
        <v>238</v>
      </c>
      <c r="D233" s="318"/>
      <c r="E233" s="89" t="s">
        <v>268</v>
      </c>
      <c r="F233" s="66">
        <v>5</v>
      </c>
      <c r="G233" s="124">
        <f t="shared" si="3"/>
        <v>5</v>
      </c>
      <c r="H233" s="298"/>
      <c r="I233" s="295"/>
    </row>
    <row r="234" spans="1:9" ht="19.95" customHeight="1" x14ac:dyDescent="0.25">
      <c r="A234" s="79"/>
      <c r="B234" s="59" t="s">
        <v>237</v>
      </c>
      <c r="C234" s="58" t="s">
        <v>238</v>
      </c>
      <c r="D234" s="121" t="s">
        <v>269</v>
      </c>
      <c r="E234" s="94"/>
      <c r="F234" s="47"/>
      <c r="G234" s="124">
        <f t="shared" si="3"/>
        <v>0</v>
      </c>
      <c r="H234" s="298"/>
      <c r="I234" s="295"/>
    </row>
    <row r="235" spans="1:9" ht="19.95" customHeight="1" x14ac:dyDescent="0.25">
      <c r="A235" s="79"/>
      <c r="B235" s="59" t="s">
        <v>237</v>
      </c>
      <c r="C235" s="58" t="s">
        <v>269</v>
      </c>
      <c r="D235" s="120"/>
      <c r="E235" s="89" t="s">
        <v>270</v>
      </c>
      <c r="F235" s="66">
        <v>5</v>
      </c>
      <c r="G235" s="124">
        <f t="shared" si="3"/>
        <v>5</v>
      </c>
      <c r="H235" s="298"/>
      <c r="I235" s="295"/>
    </row>
    <row r="236" spans="1:9" ht="19.95" customHeight="1" x14ac:dyDescent="0.25">
      <c r="A236" s="79"/>
      <c r="B236" s="59" t="s">
        <v>237</v>
      </c>
      <c r="C236" s="58" t="s">
        <v>269</v>
      </c>
      <c r="D236" s="120"/>
      <c r="E236" s="89" t="s">
        <v>271</v>
      </c>
      <c r="F236" s="86">
        <v>5</v>
      </c>
      <c r="G236" s="124">
        <f t="shared" si="3"/>
        <v>5</v>
      </c>
      <c r="H236" s="298"/>
      <c r="I236" s="295"/>
    </row>
    <row r="237" spans="1:9" ht="19.95" customHeight="1" x14ac:dyDescent="0.25">
      <c r="A237" s="79"/>
      <c r="B237" s="59" t="s">
        <v>237</v>
      </c>
      <c r="C237" s="58" t="s">
        <v>269</v>
      </c>
      <c r="D237" s="120"/>
      <c r="E237" s="89" t="s">
        <v>272</v>
      </c>
      <c r="F237" s="66">
        <v>5</v>
      </c>
      <c r="G237" s="124">
        <f t="shared" si="3"/>
        <v>5</v>
      </c>
      <c r="H237" s="298"/>
      <c r="I237" s="295"/>
    </row>
    <row r="238" spans="1:9" ht="19.95" customHeight="1" x14ac:dyDescent="0.25">
      <c r="A238" s="79"/>
      <c r="B238" s="59" t="s">
        <v>237</v>
      </c>
      <c r="C238" s="58" t="s">
        <v>269</v>
      </c>
      <c r="D238" s="120"/>
      <c r="E238" s="89" t="s">
        <v>273</v>
      </c>
      <c r="F238" s="86">
        <v>5</v>
      </c>
      <c r="G238" s="124">
        <f t="shared" si="3"/>
        <v>5</v>
      </c>
      <c r="H238" s="298"/>
      <c r="I238" s="295"/>
    </row>
    <row r="239" spans="1:9" ht="19.95" customHeight="1" x14ac:dyDescent="0.25">
      <c r="A239" s="79"/>
      <c r="B239" s="59" t="s">
        <v>237</v>
      </c>
      <c r="C239" s="58" t="s">
        <v>269</v>
      </c>
      <c r="D239" s="120"/>
      <c r="E239" s="89" t="s">
        <v>274</v>
      </c>
      <c r="F239" s="66">
        <v>5</v>
      </c>
      <c r="G239" s="124">
        <f t="shared" si="3"/>
        <v>5</v>
      </c>
      <c r="H239" s="298"/>
      <c r="I239" s="295"/>
    </row>
    <row r="240" spans="1:9" ht="19.95" customHeight="1" x14ac:dyDescent="0.25">
      <c r="A240" s="79"/>
      <c r="B240" s="59" t="s">
        <v>237</v>
      </c>
      <c r="C240" s="58" t="s">
        <v>269</v>
      </c>
      <c r="D240" s="120"/>
      <c r="E240" s="89" t="s">
        <v>275</v>
      </c>
      <c r="F240" s="86">
        <v>5</v>
      </c>
      <c r="G240" s="124">
        <f t="shared" si="3"/>
        <v>5</v>
      </c>
      <c r="H240" s="298"/>
      <c r="I240" s="295"/>
    </row>
    <row r="241" spans="1:9" ht="19.95" customHeight="1" x14ac:dyDescent="0.25">
      <c r="A241" s="79"/>
      <c r="B241" s="59" t="s">
        <v>237</v>
      </c>
      <c r="C241" s="58" t="s">
        <v>269</v>
      </c>
      <c r="D241" s="120"/>
      <c r="E241" s="89" t="s">
        <v>276</v>
      </c>
      <c r="F241" s="66">
        <v>3</v>
      </c>
      <c r="G241" s="124">
        <f t="shared" si="3"/>
        <v>3</v>
      </c>
      <c r="H241" s="298"/>
      <c r="I241" s="295"/>
    </row>
    <row r="242" spans="1:9" ht="19.95" customHeight="1" x14ac:dyDescent="0.25">
      <c r="A242" s="79"/>
      <c r="B242" s="59" t="s">
        <v>237</v>
      </c>
      <c r="C242" s="58" t="s">
        <v>269</v>
      </c>
      <c r="D242" s="120"/>
      <c r="E242" s="89" t="s">
        <v>277</v>
      </c>
      <c r="F242" s="86">
        <v>3</v>
      </c>
      <c r="G242" s="124">
        <f t="shared" si="3"/>
        <v>3</v>
      </c>
      <c r="H242" s="298"/>
      <c r="I242" s="295"/>
    </row>
    <row r="243" spans="1:9" ht="19.95" customHeight="1" x14ac:dyDescent="0.25">
      <c r="A243" s="79"/>
      <c r="B243" s="59" t="s">
        <v>237</v>
      </c>
      <c r="C243" s="58" t="s">
        <v>269</v>
      </c>
      <c r="D243" s="120"/>
      <c r="E243" s="89" t="s">
        <v>278</v>
      </c>
      <c r="F243" s="86">
        <v>3</v>
      </c>
      <c r="G243" s="124">
        <f t="shared" si="3"/>
        <v>3</v>
      </c>
      <c r="H243" s="298"/>
      <c r="I243" s="295"/>
    </row>
    <row r="244" spans="1:9" ht="19.95" customHeight="1" x14ac:dyDescent="0.25">
      <c r="A244" s="79"/>
      <c r="B244" s="59" t="s">
        <v>237</v>
      </c>
      <c r="C244" s="58" t="s">
        <v>269</v>
      </c>
      <c r="D244" s="120"/>
      <c r="E244" s="89" t="s">
        <v>279</v>
      </c>
      <c r="F244" s="86">
        <v>3</v>
      </c>
      <c r="G244" s="124">
        <f t="shared" si="3"/>
        <v>3</v>
      </c>
      <c r="H244" s="298"/>
      <c r="I244" s="295"/>
    </row>
    <row r="245" spans="1:9" s="45" customFormat="1" ht="19.95" customHeight="1" x14ac:dyDescent="0.25">
      <c r="A245" s="80"/>
      <c r="B245" s="59" t="s">
        <v>237</v>
      </c>
      <c r="C245" s="58" t="s">
        <v>269</v>
      </c>
      <c r="D245" s="120"/>
      <c r="E245" s="92"/>
      <c r="F245" s="86"/>
      <c r="G245" s="124">
        <f t="shared" si="3"/>
        <v>0</v>
      </c>
      <c r="H245" s="298"/>
      <c r="I245" s="295"/>
    </row>
    <row r="246" spans="1:9" ht="19.95" customHeight="1" x14ac:dyDescent="0.25">
      <c r="A246" s="79"/>
      <c r="B246" s="59" t="s">
        <v>237</v>
      </c>
      <c r="C246" s="58" t="s">
        <v>269</v>
      </c>
      <c r="D246" s="120"/>
      <c r="E246" s="92"/>
      <c r="F246" s="86"/>
      <c r="G246" s="124">
        <f t="shared" si="3"/>
        <v>0</v>
      </c>
      <c r="H246" s="298"/>
      <c r="I246" s="295"/>
    </row>
    <row r="247" spans="1:9" ht="19.95" customHeight="1" thickBot="1" x14ac:dyDescent="0.3">
      <c r="A247" s="79"/>
      <c r="B247" s="59" t="s">
        <v>237</v>
      </c>
      <c r="C247" s="114" t="s">
        <v>269</v>
      </c>
      <c r="D247" s="120"/>
      <c r="E247" s="109"/>
      <c r="F247" s="115"/>
      <c r="G247" s="125">
        <f t="shared" si="3"/>
        <v>0</v>
      </c>
      <c r="H247" s="298"/>
      <c r="I247" s="295"/>
    </row>
    <row r="248" spans="1:9" ht="19.95" customHeight="1" thickTop="1" x14ac:dyDescent="0.25">
      <c r="A248" s="79"/>
      <c r="B248" s="116" t="s">
        <v>280</v>
      </c>
      <c r="C248" s="117"/>
      <c r="D248" s="118" t="s">
        <v>280</v>
      </c>
      <c r="E248" s="105"/>
      <c r="F248" s="106"/>
      <c r="G248" s="126">
        <f t="shared" si="3"/>
        <v>0</v>
      </c>
      <c r="H248" s="34"/>
    </row>
    <row r="249" spans="1:9" ht="19.95" customHeight="1" x14ac:dyDescent="0.25">
      <c r="A249" s="79"/>
      <c r="B249" s="61" t="s">
        <v>280</v>
      </c>
      <c r="C249" s="60" t="s">
        <v>280</v>
      </c>
      <c r="D249" s="315" t="s">
        <v>281</v>
      </c>
      <c r="E249" s="89" t="s">
        <v>282</v>
      </c>
      <c r="F249" s="86">
        <v>2</v>
      </c>
      <c r="G249" s="124">
        <f t="shared" si="3"/>
        <v>2</v>
      </c>
      <c r="H249" s="300"/>
    </row>
    <row r="250" spans="1:9" ht="19.95" customHeight="1" x14ac:dyDescent="0.25">
      <c r="A250" s="79"/>
      <c r="B250" s="61" t="s">
        <v>280</v>
      </c>
      <c r="C250" s="60" t="s">
        <v>280</v>
      </c>
      <c r="D250" s="315"/>
      <c r="E250" s="89" t="s">
        <v>283</v>
      </c>
      <c r="F250" s="86">
        <v>2</v>
      </c>
      <c r="G250" s="124">
        <f t="shared" si="3"/>
        <v>2</v>
      </c>
      <c r="H250" s="300"/>
    </row>
    <row r="251" spans="1:9" ht="19.95" customHeight="1" x14ac:dyDescent="0.25">
      <c r="A251" s="79"/>
      <c r="B251" s="61" t="s">
        <v>280</v>
      </c>
      <c r="C251" s="60" t="s">
        <v>280</v>
      </c>
      <c r="D251" s="315"/>
      <c r="E251" s="89" t="s">
        <v>284</v>
      </c>
      <c r="F251" s="86">
        <v>2</v>
      </c>
      <c r="G251" s="124">
        <f t="shared" si="3"/>
        <v>2</v>
      </c>
      <c r="H251" s="300"/>
    </row>
    <row r="252" spans="1:9" ht="19.95" customHeight="1" x14ac:dyDescent="0.25">
      <c r="A252" s="79"/>
      <c r="B252" s="61" t="s">
        <v>280</v>
      </c>
      <c r="C252" s="60" t="s">
        <v>280</v>
      </c>
      <c r="D252" s="315"/>
      <c r="E252" s="89" t="s">
        <v>285</v>
      </c>
      <c r="F252" s="86">
        <v>2</v>
      </c>
      <c r="G252" s="124">
        <f t="shared" si="3"/>
        <v>2</v>
      </c>
      <c r="H252" s="300"/>
    </row>
    <row r="253" spans="1:9" ht="19.95" customHeight="1" x14ac:dyDescent="0.25">
      <c r="A253" s="79"/>
      <c r="B253" s="61" t="s">
        <v>280</v>
      </c>
      <c r="C253" s="60" t="s">
        <v>280</v>
      </c>
      <c r="D253" s="315"/>
      <c r="E253" s="89" t="s">
        <v>286</v>
      </c>
      <c r="F253" s="86">
        <v>2</v>
      </c>
      <c r="G253" s="124">
        <f t="shared" si="3"/>
        <v>2</v>
      </c>
      <c r="H253" s="300"/>
    </row>
    <row r="254" spans="1:9" ht="19.95" customHeight="1" x14ac:dyDescent="0.25">
      <c r="A254" s="79"/>
      <c r="B254" s="61" t="s">
        <v>280</v>
      </c>
      <c r="C254" s="60" t="s">
        <v>280</v>
      </c>
      <c r="D254" s="315"/>
      <c r="E254" s="89" t="s">
        <v>287</v>
      </c>
      <c r="F254" s="86">
        <v>2</v>
      </c>
      <c r="G254" s="124">
        <f t="shared" si="3"/>
        <v>2</v>
      </c>
      <c r="H254" s="300"/>
    </row>
    <row r="255" spans="1:9" ht="19.95" customHeight="1" x14ac:dyDescent="0.25">
      <c r="A255" s="79"/>
      <c r="B255" s="61" t="s">
        <v>280</v>
      </c>
      <c r="C255" s="60" t="s">
        <v>280</v>
      </c>
      <c r="D255" s="315"/>
      <c r="E255" s="89" t="s">
        <v>288</v>
      </c>
      <c r="F255" s="86">
        <v>2</v>
      </c>
      <c r="G255" s="124">
        <f t="shared" si="3"/>
        <v>2</v>
      </c>
      <c r="H255" s="300"/>
    </row>
    <row r="256" spans="1:9" ht="19.95" customHeight="1" x14ac:dyDescent="0.25">
      <c r="A256" s="79"/>
      <c r="B256" s="61" t="s">
        <v>280</v>
      </c>
      <c r="C256" s="60" t="s">
        <v>280</v>
      </c>
      <c r="D256" s="315"/>
      <c r="E256" s="89" t="s">
        <v>289</v>
      </c>
      <c r="F256" s="86">
        <v>2</v>
      </c>
      <c r="G256" s="124">
        <f t="shared" si="3"/>
        <v>2</v>
      </c>
      <c r="H256" s="300"/>
    </row>
    <row r="257" spans="1:8" ht="19.95" customHeight="1" x14ac:dyDescent="0.25">
      <c r="A257" s="79"/>
      <c r="B257" s="61" t="s">
        <v>280</v>
      </c>
      <c r="C257" s="60" t="s">
        <v>280</v>
      </c>
      <c r="D257" s="315" t="s">
        <v>290</v>
      </c>
      <c r="E257" s="96" t="s">
        <v>291</v>
      </c>
      <c r="F257" s="86">
        <v>3</v>
      </c>
      <c r="G257" s="124">
        <f t="shared" si="3"/>
        <v>3</v>
      </c>
      <c r="H257" s="300"/>
    </row>
    <row r="258" spans="1:8" ht="19.95" customHeight="1" x14ac:dyDescent="0.25">
      <c r="A258" s="79"/>
      <c r="B258" s="61" t="s">
        <v>280</v>
      </c>
      <c r="C258" s="60" t="s">
        <v>280</v>
      </c>
      <c r="D258" s="315"/>
      <c r="E258" s="96" t="s">
        <v>292</v>
      </c>
      <c r="F258" s="86">
        <v>3</v>
      </c>
      <c r="G258" s="124">
        <f t="shared" si="3"/>
        <v>3</v>
      </c>
      <c r="H258" s="300"/>
    </row>
    <row r="259" spans="1:8" ht="19.95" customHeight="1" x14ac:dyDescent="0.25">
      <c r="A259" s="79"/>
      <c r="B259" s="61" t="s">
        <v>280</v>
      </c>
      <c r="C259" s="60" t="s">
        <v>280</v>
      </c>
      <c r="D259" s="315"/>
      <c r="E259" s="96" t="s">
        <v>293</v>
      </c>
      <c r="F259" s="86">
        <v>3</v>
      </c>
      <c r="G259" s="124">
        <f t="shared" si="3"/>
        <v>3</v>
      </c>
      <c r="H259" s="300"/>
    </row>
    <row r="260" spans="1:8" ht="19.95" customHeight="1" x14ac:dyDescent="0.25">
      <c r="A260" s="79"/>
      <c r="B260" s="61" t="s">
        <v>280</v>
      </c>
      <c r="C260" s="60" t="s">
        <v>280</v>
      </c>
      <c r="D260" s="315"/>
      <c r="E260" s="96" t="s">
        <v>294</v>
      </c>
      <c r="F260" s="86">
        <v>3</v>
      </c>
      <c r="G260" s="124">
        <f t="shared" si="3"/>
        <v>3</v>
      </c>
      <c r="H260" s="300"/>
    </row>
    <row r="261" spans="1:8" ht="19.95" customHeight="1" x14ac:dyDescent="0.25">
      <c r="A261" s="79"/>
      <c r="B261" s="61" t="s">
        <v>280</v>
      </c>
      <c r="C261" s="60" t="s">
        <v>280</v>
      </c>
      <c r="D261" s="315"/>
      <c r="E261" s="96" t="s">
        <v>295</v>
      </c>
      <c r="F261" s="86">
        <v>3</v>
      </c>
      <c r="G261" s="124">
        <f t="shared" si="3"/>
        <v>3</v>
      </c>
      <c r="H261" s="300"/>
    </row>
    <row r="262" spans="1:8" ht="19.95" customHeight="1" x14ac:dyDescent="0.25">
      <c r="A262" s="79"/>
      <c r="B262" s="61" t="s">
        <v>280</v>
      </c>
      <c r="C262" s="60" t="s">
        <v>280</v>
      </c>
      <c r="D262" s="315"/>
      <c r="E262" s="96" t="s">
        <v>296</v>
      </c>
      <c r="F262" s="86">
        <v>3</v>
      </c>
      <c r="G262" s="124">
        <f t="shared" si="3"/>
        <v>3</v>
      </c>
      <c r="H262" s="300"/>
    </row>
    <row r="263" spans="1:8" ht="19.95" customHeight="1" x14ac:dyDescent="0.25">
      <c r="A263" s="79"/>
      <c r="B263" s="61" t="s">
        <v>280</v>
      </c>
      <c r="C263" s="60" t="s">
        <v>280</v>
      </c>
      <c r="D263" s="315"/>
      <c r="E263" s="96" t="s">
        <v>297</v>
      </c>
      <c r="F263" s="86">
        <v>3</v>
      </c>
      <c r="G263" s="124">
        <f t="shared" si="3"/>
        <v>3</v>
      </c>
      <c r="H263" s="300"/>
    </row>
    <row r="264" spans="1:8" ht="19.95" customHeight="1" x14ac:dyDescent="0.25">
      <c r="A264" s="79"/>
      <c r="B264" s="61" t="s">
        <v>280</v>
      </c>
      <c r="C264" s="60" t="s">
        <v>280</v>
      </c>
      <c r="D264" s="315"/>
      <c r="E264" s="96" t="s">
        <v>298</v>
      </c>
      <c r="F264" s="86">
        <v>3</v>
      </c>
      <c r="G264" s="124">
        <f t="shared" si="3"/>
        <v>3</v>
      </c>
      <c r="H264" s="300"/>
    </row>
    <row r="265" spans="1:8" ht="19.95" customHeight="1" x14ac:dyDescent="0.25">
      <c r="A265" s="79"/>
      <c r="B265" s="61" t="s">
        <v>280</v>
      </c>
      <c r="C265" s="60" t="s">
        <v>280</v>
      </c>
      <c r="D265" s="315"/>
      <c r="E265" s="96" t="s">
        <v>299</v>
      </c>
      <c r="F265" s="86">
        <v>3</v>
      </c>
      <c r="G265" s="124">
        <f t="shared" si="3"/>
        <v>3</v>
      </c>
      <c r="H265" s="300"/>
    </row>
    <row r="266" spans="1:8" ht="19.95" customHeight="1" x14ac:dyDescent="0.25">
      <c r="A266" s="79"/>
      <c r="B266" s="61" t="s">
        <v>280</v>
      </c>
      <c r="C266" s="60" t="s">
        <v>280</v>
      </c>
      <c r="D266" s="315"/>
      <c r="E266" s="96" t="s">
        <v>300</v>
      </c>
      <c r="F266" s="86">
        <v>3</v>
      </c>
      <c r="G266" s="124">
        <f t="shared" si="3"/>
        <v>3</v>
      </c>
      <c r="H266" s="300"/>
    </row>
    <row r="267" spans="1:8" ht="19.95" customHeight="1" x14ac:dyDescent="0.25">
      <c r="A267" s="79"/>
      <c r="B267" s="61" t="s">
        <v>280</v>
      </c>
      <c r="C267" s="60" t="s">
        <v>280</v>
      </c>
      <c r="D267" s="315"/>
      <c r="E267" s="91" t="s">
        <v>301</v>
      </c>
      <c r="F267" s="86">
        <v>3</v>
      </c>
      <c r="G267" s="124">
        <f t="shared" ref="G267:G310" si="4">F267</f>
        <v>3</v>
      </c>
      <c r="H267" s="300"/>
    </row>
    <row r="268" spans="1:8" ht="19.95" customHeight="1" x14ac:dyDescent="0.25">
      <c r="A268" s="79"/>
      <c r="B268" s="61" t="s">
        <v>280</v>
      </c>
      <c r="C268" s="60" t="s">
        <v>280</v>
      </c>
      <c r="D268" s="315"/>
      <c r="E268" s="91" t="s">
        <v>302</v>
      </c>
      <c r="F268" s="86">
        <v>3</v>
      </c>
      <c r="G268" s="124">
        <f t="shared" si="4"/>
        <v>3</v>
      </c>
      <c r="H268" s="300"/>
    </row>
    <row r="269" spans="1:8" ht="19.95" customHeight="1" x14ac:dyDescent="0.25">
      <c r="A269" s="79"/>
      <c r="B269" s="61" t="s">
        <v>280</v>
      </c>
      <c r="C269" s="60" t="s">
        <v>280</v>
      </c>
      <c r="D269" s="315"/>
      <c r="E269" s="97" t="s">
        <v>303</v>
      </c>
      <c r="F269" s="86">
        <v>3</v>
      </c>
      <c r="G269" s="124">
        <f t="shared" si="4"/>
        <v>3</v>
      </c>
      <c r="H269" s="300"/>
    </row>
    <row r="270" spans="1:8" ht="19.95" customHeight="1" x14ac:dyDescent="0.25">
      <c r="A270" s="79"/>
      <c r="B270" s="61" t="s">
        <v>280</v>
      </c>
      <c r="C270" s="60" t="s">
        <v>280</v>
      </c>
      <c r="D270" s="315"/>
      <c r="E270" s="91" t="s">
        <v>304</v>
      </c>
      <c r="F270" s="86">
        <v>3</v>
      </c>
      <c r="G270" s="124">
        <f t="shared" si="4"/>
        <v>3</v>
      </c>
      <c r="H270" s="300"/>
    </row>
    <row r="271" spans="1:8" ht="19.95" customHeight="1" x14ac:dyDescent="0.25">
      <c r="A271" s="79"/>
      <c r="B271" s="61" t="s">
        <v>280</v>
      </c>
      <c r="C271" s="60" t="s">
        <v>280</v>
      </c>
      <c r="D271" s="315" t="s">
        <v>305</v>
      </c>
      <c r="E271" s="91" t="s">
        <v>306</v>
      </c>
      <c r="F271" s="86">
        <v>3</v>
      </c>
      <c r="G271" s="124">
        <f t="shared" si="4"/>
        <v>3</v>
      </c>
      <c r="H271" s="300"/>
    </row>
    <row r="272" spans="1:8" ht="19.95" customHeight="1" x14ac:dyDescent="0.25">
      <c r="A272" s="79"/>
      <c r="B272" s="61" t="s">
        <v>280</v>
      </c>
      <c r="C272" s="60" t="s">
        <v>280</v>
      </c>
      <c r="D272" s="315"/>
      <c r="E272" s="91" t="s">
        <v>307</v>
      </c>
      <c r="F272" s="86">
        <v>3</v>
      </c>
      <c r="G272" s="124">
        <f t="shared" si="4"/>
        <v>3</v>
      </c>
      <c r="H272" s="300"/>
    </row>
    <row r="273" spans="1:8" ht="19.95" customHeight="1" x14ac:dyDescent="0.25">
      <c r="A273" s="79"/>
      <c r="B273" s="61" t="s">
        <v>280</v>
      </c>
      <c r="C273" s="60" t="s">
        <v>280</v>
      </c>
      <c r="D273" s="315"/>
      <c r="E273" s="91" t="s">
        <v>308</v>
      </c>
      <c r="F273" s="86">
        <v>3</v>
      </c>
      <c r="G273" s="124">
        <f t="shared" si="4"/>
        <v>3</v>
      </c>
      <c r="H273" s="300"/>
    </row>
    <row r="274" spans="1:8" ht="19.95" customHeight="1" x14ac:dyDescent="0.25">
      <c r="A274" s="79"/>
      <c r="B274" s="61" t="s">
        <v>280</v>
      </c>
      <c r="C274" s="60" t="s">
        <v>280</v>
      </c>
      <c r="D274" s="315"/>
      <c r="E274" s="91" t="s">
        <v>309</v>
      </c>
      <c r="F274" s="86">
        <v>3</v>
      </c>
      <c r="G274" s="124">
        <f t="shared" si="4"/>
        <v>3</v>
      </c>
      <c r="H274" s="300"/>
    </row>
    <row r="275" spans="1:8" ht="19.95" customHeight="1" x14ac:dyDescent="0.25">
      <c r="A275" s="79"/>
      <c r="B275" s="61" t="s">
        <v>280</v>
      </c>
      <c r="C275" s="60" t="s">
        <v>280</v>
      </c>
      <c r="D275" s="315" t="s">
        <v>310</v>
      </c>
      <c r="E275" s="91" t="s">
        <v>311</v>
      </c>
      <c r="F275" s="86">
        <v>3</v>
      </c>
      <c r="G275" s="124">
        <f t="shared" si="4"/>
        <v>3</v>
      </c>
      <c r="H275" s="300"/>
    </row>
    <row r="276" spans="1:8" ht="19.95" customHeight="1" x14ac:dyDescent="0.25">
      <c r="A276" s="79"/>
      <c r="B276" s="61" t="s">
        <v>280</v>
      </c>
      <c r="C276" s="60" t="s">
        <v>280</v>
      </c>
      <c r="D276" s="315"/>
      <c r="E276" s="91" t="s">
        <v>312</v>
      </c>
      <c r="F276" s="86">
        <v>3</v>
      </c>
      <c r="G276" s="124">
        <f t="shared" si="4"/>
        <v>3</v>
      </c>
      <c r="H276" s="300"/>
    </row>
    <row r="277" spans="1:8" ht="19.95" customHeight="1" x14ac:dyDescent="0.25">
      <c r="A277" s="79"/>
      <c r="B277" s="61" t="s">
        <v>280</v>
      </c>
      <c r="C277" s="60" t="s">
        <v>280</v>
      </c>
      <c r="D277" s="315"/>
      <c r="E277" s="97" t="s">
        <v>313</v>
      </c>
      <c r="F277" s="86">
        <v>3</v>
      </c>
      <c r="G277" s="124">
        <f t="shared" si="4"/>
        <v>3</v>
      </c>
      <c r="H277" s="300"/>
    </row>
    <row r="278" spans="1:8" ht="19.95" customHeight="1" x14ac:dyDescent="0.25">
      <c r="A278" s="79"/>
      <c r="B278" s="61" t="s">
        <v>280</v>
      </c>
      <c r="C278" s="60" t="s">
        <v>280</v>
      </c>
      <c r="D278" s="315"/>
      <c r="E278" s="97" t="s">
        <v>314</v>
      </c>
      <c r="F278" s="86">
        <v>3</v>
      </c>
      <c r="G278" s="124">
        <f t="shared" si="4"/>
        <v>3</v>
      </c>
      <c r="H278" s="300"/>
    </row>
    <row r="279" spans="1:8" ht="19.95" customHeight="1" x14ac:dyDescent="0.25">
      <c r="A279" s="79"/>
      <c r="B279" s="61" t="s">
        <v>280</v>
      </c>
      <c r="C279" s="60" t="s">
        <v>280</v>
      </c>
      <c r="D279" s="315"/>
      <c r="E279" s="97" t="s">
        <v>315</v>
      </c>
      <c r="F279" s="86">
        <v>3</v>
      </c>
      <c r="G279" s="124">
        <f t="shared" si="4"/>
        <v>3</v>
      </c>
      <c r="H279" s="300"/>
    </row>
    <row r="280" spans="1:8" ht="19.95" customHeight="1" x14ac:dyDescent="0.25">
      <c r="A280" s="79"/>
      <c r="B280" s="61" t="s">
        <v>280</v>
      </c>
      <c r="C280" s="60" t="s">
        <v>280</v>
      </c>
      <c r="D280" s="315"/>
      <c r="E280" s="97" t="s">
        <v>316</v>
      </c>
      <c r="F280" s="86">
        <v>3</v>
      </c>
      <c r="G280" s="124">
        <f t="shared" si="4"/>
        <v>3</v>
      </c>
      <c r="H280" s="300"/>
    </row>
    <row r="281" spans="1:8" ht="19.95" customHeight="1" x14ac:dyDescent="0.25">
      <c r="A281" s="79"/>
      <c r="B281" s="61" t="s">
        <v>280</v>
      </c>
      <c r="C281" s="60" t="s">
        <v>280</v>
      </c>
      <c r="D281" s="315"/>
      <c r="E281" s="91" t="s">
        <v>317</v>
      </c>
      <c r="F281" s="86">
        <v>3</v>
      </c>
      <c r="G281" s="124">
        <f t="shared" si="4"/>
        <v>3</v>
      </c>
      <c r="H281" s="300"/>
    </row>
    <row r="282" spans="1:8" ht="19.95" customHeight="1" x14ac:dyDescent="0.25">
      <c r="A282" s="79"/>
      <c r="B282" s="61" t="s">
        <v>280</v>
      </c>
      <c r="C282" s="60" t="s">
        <v>280</v>
      </c>
      <c r="D282" s="315"/>
      <c r="E282" s="91" t="s">
        <v>318</v>
      </c>
      <c r="F282" s="86">
        <v>3</v>
      </c>
      <c r="G282" s="124">
        <f t="shared" si="4"/>
        <v>3</v>
      </c>
      <c r="H282" s="300"/>
    </row>
    <row r="283" spans="1:8" ht="19.95" customHeight="1" x14ac:dyDescent="0.25">
      <c r="A283" s="79"/>
      <c r="B283" s="61" t="s">
        <v>280</v>
      </c>
      <c r="C283" s="60" t="s">
        <v>280</v>
      </c>
      <c r="D283" s="315" t="s">
        <v>319</v>
      </c>
      <c r="E283" s="97" t="s">
        <v>320</v>
      </c>
      <c r="F283" s="86">
        <v>3</v>
      </c>
      <c r="G283" s="124">
        <f t="shared" si="4"/>
        <v>3</v>
      </c>
      <c r="H283" s="300"/>
    </row>
    <row r="284" spans="1:8" ht="19.95" customHeight="1" x14ac:dyDescent="0.25">
      <c r="A284" s="79"/>
      <c r="B284" s="61" t="s">
        <v>280</v>
      </c>
      <c r="C284" s="60" t="s">
        <v>280</v>
      </c>
      <c r="D284" s="315"/>
      <c r="E284" s="97" t="s">
        <v>321</v>
      </c>
      <c r="F284" s="86">
        <v>3</v>
      </c>
      <c r="G284" s="124">
        <f t="shared" si="4"/>
        <v>3</v>
      </c>
      <c r="H284" s="300"/>
    </row>
    <row r="285" spans="1:8" ht="19.95" customHeight="1" x14ac:dyDescent="0.25">
      <c r="A285" s="79"/>
      <c r="B285" s="61" t="s">
        <v>280</v>
      </c>
      <c r="C285" s="60" t="s">
        <v>280</v>
      </c>
      <c r="D285" s="315"/>
      <c r="E285" s="97" t="s">
        <v>322</v>
      </c>
      <c r="F285" s="86">
        <v>3</v>
      </c>
      <c r="G285" s="124">
        <f t="shared" si="4"/>
        <v>3</v>
      </c>
      <c r="H285" s="300"/>
    </row>
    <row r="286" spans="1:8" ht="19.95" customHeight="1" x14ac:dyDescent="0.25">
      <c r="A286" s="79"/>
      <c r="B286" s="61" t="s">
        <v>280</v>
      </c>
      <c r="C286" s="60" t="s">
        <v>280</v>
      </c>
      <c r="D286" s="315"/>
      <c r="E286" s="97" t="s">
        <v>323</v>
      </c>
      <c r="F286" s="86">
        <v>3</v>
      </c>
      <c r="G286" s="124">
        <f t="shared" si="4"/>
        <v>3</v>
      </c>
      <c r="H286" s="300"/>
    </row>
    <row r="287" spans="1:8" ht="19.95" customHeight="1" x14ac:dyDescent="0.25">
      <c r="A287" s="79"/>
      <c r="B287" s="61" t="s">
        <v>280</v>
      </c>
      <c r="C287" s="60" t="s">
        <v>280</v>
      </c>
      <c r="D287" s="315" t="s">
        <v>324</v>
      </c>
      <c r="E287" s="89" t="s">
        <v>325</v>
      </c>
      <c r="F287" s="86">
        <v>3</v>
      </c>
      <c r="G287" s="124">
        <f t="shared" si="4"/>
        <v>3</v>
      </c>
      <c r="H287" s="300"/>
    </row>
    <row r="288" spans="1:8" ht="19.95" customHeight="1" x14ac:dyDescent="0.25">
      <c r="A288" s="79"/>
      <c r="B288" s="61" t="s">
        <v>280</v>
      </c>
      <c r="C288" s="60" t="s">
        <v>280</v>
      </c>
      <c r="D288" s="315"/>
      <c r="E288" s="98" t="s">
        <v>326</v>
      </c>
      <c r="F288" s="86">
        <v>3</v>
      </c>
      <c r="G288" s="124">
        <f t="shared" si="4"/>
        <v>3</v>
      </c>
      <c r="H288" s="300"/>
    </row>
    <row r="289" spans="1:8" ht="19.95" customHeight="1" x14ac:dyDescent="0.25">
      <c r="A289" s="79"/>
      <c r="B289" s="61" t="s">
        <v>280</v>
      </c>
      <c r="C289" s="60" t="s">
        <v>280</v>
      </c>
      <c r="D289" s="315"/>
      <c r="E289" s="97" t="s">
        <v>327</v>
      </c>
      <c r="F289" s="86">
        <v>3</v>
      </c>
      <c r="G289" s="124">
        <f t="shared" si="4"/>
        <v>3</v>
      </c>
      <c r="H289" s="300"/>
    </row>
    <row r="290" spans="1:8" ht="19.95" customHeight="1" x14ac:dyDescent="0.25">
      <c r="A290" s="79"/>
      <c r="B290" s="61" t="s">
        <v>280</v>
      </c>
      <c r="C290" s="60" t="s">
        <v>280</v>
      </c>
      <c r="D290" s="315"/>
      <c r="E290" s="97" t="s">
        <v>328</v>
      </c>
      <c r="F290" s="86">
        <v>3</v>
      </c>
      <c r="G290" s="124">
        <f t="shared" si="4"/>
        <v>3</v>
      </c>
      <c r="H290" s="300"/>
    </row>
    <row r="291" spans="1:8" ht="19.95" customHeight="1" x14ac:dyDescent="0.25">
      <c r="A291" s="79"/>
      <c r="B291" s="61" t="s">
        <v>280</v>
      </c>
      <c r="C291" s="60" t="s">
        <v>280</v>
      </c>
      <c r="D291" s="315"/>
      <c r="E291" s="97" t="s">
        <v>329</v>
      </c>
      <c r="F291" s="86">
        <v>3</v>
      </c>
      <c r="G291" s="124">
        <f t="shared" si="4"/>
        <v>3</v>
      </c>
      <c r="H291" s="300"/>
    </row>
    <row r="292" spans="1:8" ht="19.95" customHeight="1" x14ac:dyDescent="0.25">
      <c r="A292" s="79"/>
      <c r="B292" s="61" t="s">
        <v>280</v>
      </c>
      <c r="C292" s="60" t="s">
        <v>280</v>
      </c>
      <c r="D292" s="315"/>
      <c r="E292" s="97" t="s">
        <v>330</v>
      </c>
      <c r="F292" s="86">
        <v>3</v>
      </c>
      <c r="G292" s="124">
        <f t="shared" si="4"/>
        <v>3</v>
      </c>
      <c r="H292" s="300"/>
    </row>
    <row r="293" spans="1:8" ht="19.95" customHeight="1" x14ac:dyDescent="0.25">
      <c r="A293" s="79"/>
      <c r="B293" s="61" t="s">
        <v>280</v>
      </c>
      <c r="C293" s="60" t="s">
        <v>280</v>
      </c>
      <c r="D293" s="123"/>
      <c r="E293" s="89"/>
      <c r="F293" s="86">
        <v>3</v>
      </c>
      <c r="G293" s="124">
        <f t="shared" si="4"/>
        <v>3</v>
      </c>
      <c r="H293" s="300"/>
    </row>
    <row r="294" spans="1:8" ht="19.95" customHeight="1" x14ac:dyDescent="0.25">
      <c r="A294" s="79"/>
      <c r="B294" s="61" t="s">
        <v>280</v>
      </c>
      <c r="C294" s="60" t="s">
        <v>280</v>
      </c>
      <c r="D294" s="123"/>
      <c r="E294" s="89"/>
      <c r="F294" s="86">
        <v>3</v>
      </c>
      <c r="G294" s="124">
        <f t="shared" si="4"/>
        <v>3</v>
      </c>
      <c r="H294" s="300"/>
    </row>
    <row r="295" spans="1:8" ht="19.95" customHeight="1" x14ac:dyDescent="0.25">
      <c r="A295" s="79"/>
      <c r="B295" s="61" t="s">
        <v>280</v>
      </c>
      <c r="C295" s="60" t="s">
        <v>280</v>
      </c>
      <c r="D295" s="315" t="s">
        <v>310</v>
      </c>
      <c r="E295" s="89" t="s">
        <v>331</v>
      </c>
      <c r="F295" s="86">
        <v>5</v>
      </c>
      <c r="G295" s="124">
        <f t="shared" si="4"/>
        <v>5</v>
      </c>
      <c r="H295" s="300"/>
    </row>
    <row r="296" spans="1:8" ht="19.95" customHeight="1" x14ac:dyDescent="0.25">
      <c r="A296" s="79"/>
      <c r="B296" s="61" t="s">
        <v>280</v>
      </c>
      <c r="C296" s="60" t="s">
        <v>280</v>
      </c>
      <c r="D296" s="315"/>
      <c r="E296" s="89" t="s">
        <v>332</v>
      </c>
      <c r="F296" s="86">
        <v>5</v>
      </c>
      <c r="G296" s="124">
        <f t="shared" si="4"/>
        <v>5</v>
      </c>
      <c r="H296" s="300"/>
    </row>
    <row r="297" spans="1:8" ht="19.95" customHeight="1" x14ac:dyDescent="0.25">
      <c r="A297" s="79"/>
      <c r="B297" s="61" t="s">
        <v>280</v>
      </c>
      <c r="C297" s="60" t="s">
        <v>280</v>
      </c>
      <c r="D297" s="315"/>
      <c r="E297" s="89" t="s">
        <v>333</v>
      </c>
      <c r="F297" s="86">
        <v>5</v>
      </c>
      <c r="G297" s="124">
        <f t="shared" si="4"/>
        <v>5</v>
      </c>
      <c r="H297" s="300"/>
    </row>
    <row r="298" spans="1:8" ht="19.95" customHeight="1" x14ac:dyDescent="0.25">
      <c r="A298" s="79"/>
      <c r="B298" s="61" t="s">
        <v>280</v>
      </c>
      <c r="C298" s="60" t="s">
        <v>280</v>
      </c>
      <c r="D298" s="315"/>
      <c r="E298" s="89" t="s">
        <v>334</v>
      </c>
      <c r="F298" s="86">
        <v>5</v>
      </c>
      <c r="G298" s="124">
        <f t="shared" si="4"/>
        <v>5</v>
      </c>
      <c r="H298" s="300"/>
    </row>
    <row r="299" spans="1:8" ht="19.95" customHeight="1" x14ac:dyDescent="0.25">
      <c r="A299" s="79"/>
      <c r="B299" s="61" t="s">
        <v>280</v>
      </c>
      <c r="C299" s="60" t="s">
        <v>280</v>
      </c>
      <c r="D299" s="315"/>
      <c r="E299" s="89" t="s">
        <v>335</v>
      </c>
      <c r="F299" s="86">
        <v>5</v>
      </c>
      <c r="G299" s="124">
        <f t="shared" si="4"/>
        <v>5</v>
      </c>
      <c r="H299" s="300"/>
    </row>
    <row r="300" spans="1:8" ht="19.95" customHeight="1" x14ac:dyDescent="0.25">
      <c r="A300" s="79"/>
      <c r="B300" s="61" t="s">
        <v>280</v>
      </c>
      <c r="C300" s="60" t="s">
        <v>280</v>
      </c>
      <c r="D300" s="315"/>
      <c r="E300" s="89" t="s">
        <v>336</v>
      </c>
      <c r="F300" s="86">
        <v>5</v>
      </c>
      <c r="G300" s="124">
        <f t="shared" si="4"/>
        <v>5</v>
      </c>
      <c r="H300" s="300"/>
    </row>
    <row r="301" spans="1:8" ht="19.95" customHeight="1" x14ac:dyDescent="0.25">
      <c r="A301" s="79"/>
      <c r="B301" s="61" t="s">
        <v>280</v>
      </c>
      <c r="C301" s="60" t="s">
        <v>280</v>
      </c>
      <c r="D301" s="315"/>
      <c r="E301" s="89" t="s">
        <v>337</v>
      </c>
      <c r="F301" s="86">
        <v>5</v>
      </c>
      <c r="G301" s="124">
        <f t="shared" si="4"/>
        <v>5</v>
      </c>
      <c r="H301" s="300"/>
    </row>
    <row r="302" spans="1:8" ht="19.95" customHeight="1" x14ac:dyDescent="0.25">
      <c r="A302" s="79"/>
      <c r="B302" s="61" t="s">
        <v>280</v>
      </c>
      <c r="C302" s="60" t="s">
        <v>280</v>
      </c>
      <c r="D302" s="315"/>
      <c r="E302" s="89" t="s">
        <v>338</v>
      </c>
      <c r="F302" s="86">
        <v>5</v>
      </c>
      <c r="G302" s="124">
        <f t="shared" si="4"/>
        <v>5</v>
      </c>
      <c r="H302" s="300"/>
    </row>
    <row r="303" spans="1:8" ht="19.95" customHeight="1" x14ac:dyDescent="0.25">
      <c r="A303" s="79"/>
      <c r="B303" s="61" t="s">
        <v>280</v>
      </c>
      <c r="C303" s="60" t="s">
        <v>280</v>
      </c>
      <c r="D303" s="315"/>
      <c r="E303" s="89" t="s">
        <v>339</v>
      </c>
      <c r="F303" s="86">
        <v>5</v>
      </c>
      <c r="G303" s="124">
        <f t="shared" si="4"/>
        <v>5</v>
      </c>
      <c r="H303" s="300"/>
    </row>
    <row r="304" spans="1:8" ht="19.95" customHeight="1" x14ac:dyDescent="0.25">
      <c r="A304" s="79"/>
      <c r="B304" s="61" t="s">
        <v>280</v>
      </c>
      <c r="C304" s="60" t="s">
        <v>280</v>
      </c>
      <c r="D304" s="315"/>
      <c r="E304" s="89" t="s">
        <v>340</v>
      </c>
      <c r="F304" s="86">
        <v>5</v>
      </c>
      <c r="G304" s="124">
        <f t="shared" si="4"/>
        <v>5</v>
      </c>
      <c r="H304" s="300"/>
    </row>
    <row r="305" spans="1:8" ht="19.95" customHeight="1" x14ac:dyDescent="0.25">
      <c r="A305" s="79"/>
      <c r="B305" s="61" t="s">
        <v>280</v>
      </c>
      <c r="C305" s="60" t="s">
        <v>280</v>
      </c>
      <c r="D305" s="315"/>
      <c r="E305" s="89" t="s">
        <v>341</v>
      </c>
      <c r="F305" s="86">
        <v>6</v>
      </c>
      <c r="G305" s="124">
        <f t="shared" si="4"/>
        <v>6</v>
      </c>
      <c r="H305" s="49"/>
    </row>
    <row r="306" spans="1:8" ht="19.95" customHeight="1" x14ac:dyDescent="0.25">
      <c r="A306" s="79"/>
      <c r="B306" s="61" t="s">
        <v>280</v>
      </c>
      <c r="C306" s="60" t="s">
        <v>280</v>
      </c>
      <c r="D306" s="315"/>
      <c r="E306" s="89" t="s">
        <v>342</v>
      </c>
      <c r="F306" s="86">
        <v>6</v>
      </c>
      <c r="G306" s="124">
        <f t="shared" si="4"/>
        <v>6</v>
      </c>
      <c r="H306" s="49"/>
    </row>
    <row r="307" spans="1:8" ht="19.95" customHeight="1" x14ac:dyDescent="0.25">
      <c r="A307" s="79"/>
      <c r="B307" s="61" t="s">
        <v>280</v>
      </c>
      <c r="C307" s="60" t="s">
        <v>280</v>
      </c>
      <c r="D307" s="315"/>
      <c r="E307" s="89" t="s">
        <v>343</v>
      </c>
      <c r="F307" s="86">
        <v>6</v>
      </c>
      <c r="G307" s="124">
        <f t="shared" si="4"/>
        <v>6</v>
      </c>
      <c r="H307" s="49"/>
    </row>
    <row r="308" spans="1:8" ht="19.95" customHeight="1" x14ac:dyDescent="0.25">
      <c r="A308" s="79"/>
      <c r="B308" s="61" t="s">
        <v>280</v>
      </c>
      <c r="C308" s="60" t="s">
        <v>280</v>
      </c>
      <c r="D308" s="315"/>
      <c r="E308" s="89" t="s">
        <v>344</v>
      </c>
      <c r="F308" s="86">
        <v>6</v>
      </c>
      <c r="G308" s="124">
        <f t="shared" si="4"/>
        <v>6</v>
      </c>
      <c r="H308" s="34"/>
    </row>
    <row r="309" spans="1:8" ht="19.95" customHeight="1" x14ac:dyDescent="0.25">
      <c r="A309" s="79"/>
      <c r="B309" s="61" t="s">
        <v>280</v>
      </c>
      <c r="C309" s="60" t="s">
        <v>280</v>
      </c>
      <c r="D309" s="315"/>
      <c r="E309" s="89" t="s">
        <v>345</v>
      </c>
      <c r="F309" s="86">
        <v>6</v>
      </c>
      <c r="G309" s="124">
        <f t="shared" si="4"/>
        <v>6</v>
      </c>
      <c r="H309" s="34"/>
    </row>
    <row r="310" spans="1:8" ht="19.95" customHeight="1" thickBot="1" x14ac:dyDescent="0.3">
      <c r="A310" s="81"/>
      <c r="B310" s="82" t="s">
        <v>280</v>
      </c>
      <c r="C310" s="83" t="s">
        <v>280</v>
      </c>
      <c r="D310" s="317"/>
      <c r="E310" s="99" t="s">
        <v>346</v>
      </c>
      <c r="F310" s="87">
        <v>6</v>
      </c>
      <c r="G310" s="127">
        <f t="shared" si="4"/>
        <v>6</v>
      </c>
      <c r="H310" s="34"/>
    </row>
    <row r="311" spans="1:8" ht="18.600000000000001" thickTop="1" x14ac:dyDescent="0.25">
      <c r="F311" s="70"/>
    </row>
    <row r="312" spans="1:8" x14ac:dyDescent="0.25">
      <c r="F312" s="70"/>
    </row>
    <row r="313" spans="1:8" x14ac:dyDescent="0.25">
      <c r="F313" s="70"/>
    </row>
    <row r="314" spans="1:8" x14ac:dyDescent="0.25">
      <c r="F314" s="70"/>
    </row>
    <row r="315" spans="1:8" x14ac:dyDescent="0.25">
      <c r="F315" s="70"/>
    </row>
    <row r="316" spans="1:8" x14ac:dyDescent="0.25">
      <c r="F316" s="70"/>
    </row>
    <row r="317" spans="1:8" x14ac:dyDescent="0.25">
      <c r="F317" s="70"/>
    </row>
    <row r="318" spans="1:8" x14ac:dyDescent="0.25">
      <c r="F318" s="70"/>
    </row>
    <row r="319" spans="1:8" x14ac:dyDescent="0.25">
      <c r="F319" s="70"/>
    </row>
    <row r="320" spans="1:8" x14ac:dyDescent="0.25">
      <c r="F320" s="70"/>
    </row>
    <row r="321" spans="6:6" x14ac:dyDescent="0.25">
      <c r="F321" s="70"/>
    </row>
    <row r="322" spans="6:6" x14ac:dyDescent="0.25">
      <c r="F322" s="70"/>
    </row>
    <row r="323" spans="6:6" x14ac:dyDescent="0.25">
      <c r="F323" s="70"/>
    </row>
    <row r="324" spans="6:6" x14ac:dyDescent="0.25">
      <c r="F324" s="70"/>
    </row>
    <row r="325" spans="6:6" x14ac:dyDescent="0.25">
      <c r="F325" s="70"/>
    </row>
    <row r="326" spans="6:6" x14ac:dyDescent="0.25">
      <c r="F326" s="70"/>
    </row>
    <row r="327" spans="6:6" x14ac:dyDescent="0.25">
      <c r="F327" s="70"/>
    </row>
    <row r="328" spans="6:6" x14ac:dyDescent="0.25">
      <c r="F328" s="70"/>
    </row>
    <row r="329" spans="6:6" x14ac:dyDescent="0.25">
      <c r="F329" s="70"/>
    </row>
    <row r="330" spans="6:6" x14ac:dyDescent="0.25">
      <c r="F330" s="70"/>
    </row>
    <row r="331" spans="6:6" x14ac:dyDescent="0.25">
      <c r="F331" s="70"/>
    </row>
    <row r="369" spans="8:8" x14ac:dyDescent="0.25">
      <c r="H369" s="46"/>
    </row>
    <row r="370" spans="8:8" x14ac:dyDescent="0.25">
      <c r="H370" s="46"/>
    </row>
    <row r="371" spans="8:8" x14ac:dyDescent="0.25">
      <c r="H371" s="46"/>
    </row>
    <row r="372" spans="8:8" x14ac:dyDescent="0.25">
      <c r="H372" s="46"/>
    </row>
    <row r="373" spans="8:8" x14ac:dyDescent="0.25">
      <c r="H373" s="46"/>
    </row>
    <row r="374" spans="8:8" x14ac:dyDescent="0.25">
      <c r="H374" s="46"/>
    </row>
    <row r="375" spans="8:8" x14ac:dyDescent="0.25">
      <c r="H375" s="46"/>
    </row>
    <row r="376" spans="8:8" x14ac:dyDescent="0.25">
      <c r="H376" s="46"/>
    </row>
    <row r="377" spans="8:8" x14ac:dyDescent="0.25">
      <c r="H377" s="46"/>
    </row>
  </sheetData>
  <autoFilter ref="A4:G310" xr:uid="{00000000-0009-0000-0000-000001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41">
    <mergeCell ref="D10:D23"/>
    <mergeCell ref="D174:D178"/>
    <mergeCell ref="D179:D181"/>
    <mergeCell ref="D231:D233"/>
    <mergeCell ref="D57:D68"/>
    <mergeCell ref="D130:D135"/>
    <mergeCell ref="D136:D144"/>
    <mergeCell ref="D79:D95"/>
    <mergeCell ref="D96:D102"/>
    <mergeCell ref="D103:D107"/>
    <mergeCell ref="D113:D119"/>
    <mergeCell ref="D120:D126"/>
    <mergeCell ref="D108:D112"/>
    <mergeCell ref="D24:D35"/>
    <mergeCell ref="D249:D256"/>
    <mergeCell ref="D36:D56"/>
    <mergeCell ref="D295:D310"/>
    <mergeCell ref="D257:D270"/>
    <mergeCell ref="D271:D274"/>
    <mergeCell ref="D275:D282"/>
    <mergeCell ref="D283:D286"/>
    <mergeCell ref="D287:D292"/>
    <mergeCell ref="D225:D228"/>
    <mergeCell ref="D153:D159"/>
    <mergeCell ref="D145:D149"/>
    <mergeCell ref="D150:D152"/>
    <mergeCell ref="D160:D164"/>
    <mergeCell ref="D165:D167"/>
    <mergeCell ref="D69:D77"/>
    <mergeCell ref="D168:D173"/>
    <mergeCell ref="G4:G6"/>
    <mergeCell ref="D7:F7"/>
    <mergeCell ref="A1:F3"/>
    <mergeCell ref="A4:F6"/>
    <mergeCell ref="H1:I3"/>
    <mergeCell ref="H4:I6"/>
    <mergeCell ref="I10:I77"/>
    <mergeCell ref="H108:H194"/>
    <mergeCell ref="H219:H247"/>
    <mergeCell ref="I219:I247"/>
    <mergeCell ref="H249:H304"/>
  </mergeCells>
  <hyperlinks>
    <hyperlink ref="I219" r:id="rId1" xr:uid="{00000000-0004-0000-0100-000000000000}"/>
    <hyperlink ref="I111" r:id="rId2" xr:uid="{00000000-0004-0000-0100-000001000000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2005E"/>
  </sheetPr>
  <dimension ref="A1:S39"/>
  <sheetViews>
    <sheetView tabSelected="1" topLeftCell="A7" zoomScale="73" zoomScaleNormal="73" workbookViewId="0">
      <selection activeCell="B34" sqref="B34"/>
    </sheetView>
  </sheetViews>
  <sheetFormatPr baseColWidth="10" defaultColWidth="11.44140625" defaultRowHeight="13.8" x14ac:dyDescent="0.25"/>
  <cols>
    <col min="1" max="1" width="49.6640625" style="34" bestFit="1" customWidth="1"/>
    <col min="2" max="2" width="165.6640625" style="34" customWidth="1"/>
    <col min="3" max="3" width="8.6640625" style="161" customWidth="1"/>
    <col min="4" max="4" width="10.6640625" style="161" customWidth="1"/>
    <col min="5" max="5" width="8.6640625" style="161" customWidth="1"/>
    <col min="6" max="6" width="10.6640625" style="34" customWidth="1"/>
    <col min="7" max="16384" width="11.44140625" style="34"/>
  </cols>
  <sheetData>
    <row r="1" spans="1:19" ht="18" customHeight="1" x14ac:dyDescent="0.25">
      <c r="A1" s="128" t="s">
        <v>347</v>
      </c>
      <c r="B1" s="128"/>
      <c r="C1" s="158"/>
      <c r="D1" s="158"/>
      <c r="E1" s="158"/>
    </row>
    <row r="2" spans="1:19" ht="18" customHeight="1" x14ac:dyDescent="0.25">
      <c r="A2" s="129" t="s">
        <v>348</v>
      </c>
      <c r="B2" s="129"/>
      <c r="C2" s="159"/>
      <c r="D2" s="159"/>
      <c r="E2" s="159"/>
    </row>
    <row r="3" spans="1:19" ht="18" customHeight="1" x14ac:dyDescent="0.25">
      <c r="A3" s="129" t="s">
        <v>349</v>
      </c>
      <c r="B3" s="129"/>
      <c r="C3" s="159"/>
      <c r="D3" s="159"/>
      <c r="E3" s="159"/>
    </row>
    <row r="4" spans="1:19" ht="18" customHeight="1" x14ac:dyDescent="0.25">
      <c r="A4" s="129" t="s">
        <v>350</v>
      </c>
      <c r="B4" s="129"/>
      <c r="C4" s="159"/>
      <c r="D4" s="159"/>
      <c r="E4" s="159"/>
    </row>
    <row r="5" spans="1:19" ht="18" customHeight="1" x14ac:dyDescent="0.25">
      <c r="A5" s="129" t="s">
        <v>351</v>
      </c>
      <c r="B5" s="129"/>
      <c r="C5" s="159"/>
      <c r="D5" s="159"/>
      <c r="E5" s="159"/>
    </row>
    <row r="6" spans="1:19" ht="14.4" x14ac:dyDescent="0.25">
      <c r="B6" s="137"/>
      <c r="C6" s="160"/>
      <c r="D6" s="160"/>
      <c r="E6" s="160"/>
      <c r="F6" s="137"/>
    </row>
    <row r="7" spans="1:19" ht="19.95" customHeight="1" x14ac:dyDescent="0.25">
      <c r="A7" s="130" t="s">
        <v>528</v>
      </c>
    </row>
    <row r="8" spans="1:19" x14ac:dyDescent="0.25">
      <c r="A8" s="138"/>
    </row>
    <row r="9" spans="1:19" ht="19.95" customHeight="1" x14ac:dyDescent="0.25">
      <c r="A9" s="130" t="s">
        <v>529</v>
      </c>
      <c r="B9" s="130"/>
      <c r="C9" s="162"/>
      <c r="D9" s="162"/>
      <c r="E9" s="162"/>
      <c r="F9" s="130"/>
      <c r="P9" s="130"/>
      <c r="Q9" s="130"/>
      <c r="R9" s="130"/>
      <c r="S9" s="130"/>
    </row>
    <row r="10" spans="1:19" ht="26.25" customHeight="1" thickBot="1" x14ac:dyDescent="0.3">
      <c r="A10" s="130" t="s">
        <v>352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</row>
    <row r="11" spans="1:19" ht="24" customHeight="1" thickTop="1" thickBot="1" x14ac:dyDescent="0.3">
      <c r="A11" s="328" t="s">
        <v>20</v>
      </c>
      <c r="B11" s="329"/>
      <c r="C11" s="329"/>
      <c r="D11" s="329"/>
      <c r="E11" s="329"/>
      <c r="F11" s="330"/>
    </row>
    <row r="12" spans="1:19" ht="24" customHeight="1" thickBot="1" x14ac:dyDescent="0.3">
      <c r="A12" s="323" t="s">
        <v>353</v>
      </c>
      <c r="B12" s="324"/>
      <c r="C12" s="166" t="s">
        <v>354</v>
      </c>
      <c r="D12" s="167" t="s">
        <v>355</v>
      </c>
      <c r="E12" s="167" t="s">
        <v>356</v>
      </c>
      <c r="F12" s="134" t="s">
        <v>357</v>
      </c>
    </row>
    <row r="13" spans="1:19" ht="19.95" customHeight="1" x14ac:dyDescent="0.25">
      <c r="A13" s="325" t="s">
        <v>358</v>
      </c>
      <c r="B13" s="145" t="s">
        <v>359</v>
      </c>
      <c r="C13" s="150"/>
      <c r="D13" s="151"/>
      <c r="E13" s="151"/>
      <c r="F13" s="152"/>
    </row>
    <row r="14" spans="1:19" ht="19.95" customHeight="1" x14ac:dyDescent="0.25">
      <c r="A14" s="326"/>
      <c r="B14" s="135" t="s">
        <v>360</v>
      </c>
      <c r="C14" s="168"/>
      <c r="D14" s="169"/>
      <c r="E14" s="169"/>
      <c r="F14" s="124"/>
    </row>
    <row r="15" spans="1:19" ht="19.95" customHeight="1" x14ac:dyDescent="0.25">
      <c r="A15" s="326"/>
      <c r="B15" s="149" t="s">
        <v>361</v>
      </c>
      <c r="C15" s="146"/>
      <c r="D15" s="147"/>
      <c r="E15" s="147"/>
      <c r="F15" s="148"/>
    </row>
    <row r="16" spans="1:19" ht="19.95" customHeight="1" thickBot="1" x14ac:dyDescent="0.3">
      <c r="A16" s="327"/>
      <c r="B16" s="131" t="s">
        <v>362</v>
      </c>
      <c r="C16" s="170"/>
      <c r="D16" s="171"/>
      <c r="E16" s="171"/>
      <c r="F16" s="172"/>
    </row>
    <row r="17" spans="1:6" ht="19.95" customHeight="1" thickTop="1" thickBot="1" x14ac:dyDescent="0.3">
      <c r="A17" s="136" t="s">
        <v>363</v>
      </c>
      <c r="B17" s="154" t="s">
        <v>364</v>
      </c>
      <c r="C17" s="155"/>
      <c r="D17" s="156"/>
      <c r="E17" s="156"/>
      <c r="F17" s="157"/>
    </row>
    <row r="18" spans="1:6" ht="19.95" customHeight="1" thickTop="1" x14ac:dyDescent="0.25">
      <c r="A18" s="325" t="s">
        <v>365</v>
      </c>
      <c r="B18" s="145" t="s">
        <v>366</v>
      </c>
      <c r="C18" s="150"/>
      <c r="D18" s="151"/>
      <c r="E18" s="151"/>
      <c r="F18" s="152"/>
    </row>
    <row r="19" spans="1:6" ht="19.95" customHeight="1" x14ac:dyDescent="0.25">
      <c r="A19" s="326"/>
      <c r="B19" s="135" t="s">
        <v>367</v>
      </c>
      <c r="C19" s="168"/>
      <c r="D19" s="169"/>
      <c r="E19" s="169"/>
      <c r="F19" s="124"/>
    </row>
    <row r="20" spans="1:6" ht="19.95" customHeight="1" thickBot="1" x14ac:dyDescent="0.3">
      <c r="A20" s="327"/>
      <c r="B20" s="153" t="s">
        <v>368</v>
      </c>
      <c r="C20" s="146"/>
      <c r="D20" s="147"/>
      <c r="E20" s="147"/>
      <c r="F20" s="148"/>
    </row>
    <row r="21" spans="1:6" ht="18" customHeight="1" thickBot="1" x14ac:dyDescent="0.3">
      <c r="A21" s="139"/>
      <c r="B21" s="140"/>
      <c r="C21" s="163" t="s">
        <v>357</v>
      </c>
      <c r="D21" s="164"/>
      <c r="E21" s="164"/>
      <c r="F21" s="127"/>
    </row>
    <row r="22" spans="1:6" ht="16.2" customHeight="1" thickTop="1" thickBot="1" x14ac:dyDescent="0.3">
      <c r="A22" s="132"/>
      <c r="B22" s="133"/>
      <c r="C22" s="165"/>
    </row>
    <row r="23" spans="1:6" ht="24" customHeight="1" thickTop="1" thickBot="1" x14ac:dyDescent="0.3">
      <c r="A23" s="328" t="s">
        <v>96</v>
      </c>
      <c r="B23" s="329"/>
      <c r="C23" s="329"/>
      <c r="D23" s="329"/>
      <c r="E23" s="329"/>
      <c r="F23" s="330"/>
    </row>
    <row r="24" spans="1:6" ht="24" customHeight="1" thickBot="1" x14ac:dyDescent="0.3">
      <c r="A24" s="323" t="s">
        <v>353</v>
      </c>
      <c r="B24" s="324"/>
      <c r="C24" s="166" t="s">
        <v>354</v>
      </c>
      <c r="D24" s="167" t="s">
        <v>369</v>
      </c>
      <c r="E24" s="167" t="s">
        <v>356</v>
      </c>
      <c r="F24" s="134" t="s">
        <v>357</v>
      </c>
    </row>
    <row r="25" spans="1:6" ht="19.95" customHeight="1" x14ac:dyDescent="0.25">
      <c r="A25" s="142"/>
      <c r="B25" s="173" t="s">
        <v>370</v>
      </c>
      <c r="C25" s="150"/>
      <c r="D25" s="174"/>
      <c r="E25" s="174"/>
      <c r="F25" s="152"/>
    </row>
    <row r="26" spans="1:6" ht="19.95" customHeight="1" x14ac:dyDescent="0.25">
      <c r="A26" s="142"/>
      <c r="B26" s="144" t="s">
        <v>371</v>
      </c>
      <c r="C26" s="176"/>
      <c r="D26" s="177"/>
      <c r="E26" s="177"/>
      <c r="F26" s="124"/>
    </row>
    <row r="27" spans="1:6" ht="19.95" customHeight="1" thickBot="1" x14ac:dyDescent="0.3">
      <c r="A27" s="142"/>
      <c r="B27" s="183" t="s">
        <v>372</v>
      </c>
      <c r="C27" s="184"/>
      <c r="D27" s="185"/>
      <c r="E27" s="185"/>
      <c r="F27" s="186"/>
    </row>
    <row r="28" spans="1:6" ht="18" customHeight="1" thickBot="1" x14ac:dyDescent="0.3">
      <c r="A28" s="143"/>
      <c r="B28" s="180"/>
      <c r="C28" s="187" t="s">
        <v>357</v>
      </c>
      <c r="D28" s="182"/>
      <c r="E28" s="182"/>
      <c r="F28" s="141"/>
    </row>
    <row r="29" spans="1:6" ht="16.2" customHeight="1" thickTop="1" thickBot="1" x14ac:dyDescent="0.3">
      <c r="A29" s="133"/>
    </row>
    <row r="30" spans="1:6" ht="24" customHeight="1" thickTop="1" thickBot="1" x14ac:dyDescent="0.3">
      <c r="A30" s="328" t="s">
        <v>365</v>
      </c>
      <c r="B30" s="329"/>
      <c r="C30" s="329"/>
      <c r="D30" s="329"/>
      <c r="E30" s="329"/>
      <c r="F30" s="330"/>
    </row>
    <row r="31" spans="1:6" ht="24" customHeight="1" thickBot="1" x14ac:dyDescent="0.3">
      <c r="A31" s="323" t="s">
        <v>353</v>
      </c>
      <c r="B31" s="324"/>
      <c r="C31" s="166" t="s">
        <v>373</v>
      </c>
      <c r="D31" s="167" t="s">
        <v>369</v>
      </c>
      <c r="E31" s="167" t="s">
        <v>356</v>
      </c>
      <c r="F31" s="134" t="s">
        <v>357</v>
      </c>
    </row>
    <row r="32" spans="1:6" ht="19.95" customHeight="1" x14ac:dyDescent="0.25">
      <c r="A32" s="142"/>
      <c r="B32" s="173" t="s">
        <v>374</v>
      </c>
      <c r="C32" s="150"/>
      <c r="D32" s="178"/>
      <c r="E32" s="151"/>
      <c r="F32" s="152"/>
    </row>
    <row r="33" spans="1:6" ht="19.95" customHeight="1" x14ac:dyDescent="0.25">
      <c r="A33" s="142"/>
      <c r="B33" s="144" t="s">
        <v>375</v>
      </c>
      <c r="C33" s="168"/>
      <c r="D33" s="169"/>
      <c r="E33" s="169"/>
      <c r="F33" s="124"/>
    </row>
    <row r="34" spans="1:6" ht="19.95" customHeight="1" x14ac:dyDescent="0.25">
      <c r="A34" s="142"/>
      <c r="B34" s="175" t="s">
        <v>376</v>
      </c>
      <c r="C34" s="146"/>
      <c r="D34" s="147"/>
      <c r="E34" s="178"/>
      <c r="F34" s="148"/>
    </row>
    <row r="35" spans="1:6" ht="19.95" customHeight="1" x14ac:dyDescent="0.25">
      <c r="A35" s="142"/>
      <c r="B35" s="144" t="s">
        <v>377</v>
      </c>
      <c r="C35" s="168"/>
      <c r="D35" s="169"/>
      <c r="E35" s="169"/>
      <c r="F35" s="124"/>
    </row>
    <row r="36" spans="1:6" ht="19.95" customHeight="1" x14ac:dyDescent="0.25">
      <c r="A36" s="142"/>
      <c r="B36" s="175" t="s">
        <v>378</v>
      </c>
      <c r="C36" s="146"/>
      <c r="D36" s="147"/>
      <c r="E36" s="147"/>
      <c r="F36" s="148"/>
    </row>
    <row r="37" spans="1:6" ht="19.95" customHeight="1" thickBot="1" x14ac:dyDescent="0.3">
      <c r="A37" s="142"/>
      <c r="B37" s="179" t="s">
        <v>379</v>
      </c>
      <c r="C37" s="170"/>
      <c r="D37" s="34"/>
      <c r="E37" s="171"/>
      <c r="F37" s="172"/>
    </row>
    <row r="38" spans="1:6" ht="18" customHeight="1" thickBot="1" x14ac:dyDescent="0.3">
      <c r="A38" s="143"/>
      <c r="B38" s="180"/>
      <c r="C38" s="181" t="s">
        <v>357</v>
      </c>
      <c r="D38" s="182"/>
      <c r="E38" s="182"/>
      <c r="F38" s="141"/>
    </row>
    <row r="39" spans="1:6" ht="14.4" thickTop="1" x14ac:dyDescent="0.25"/>
  </sheetData>
  <mergeCells count="8">
    <mergeCell ref="A31:B31"/>
    <mergeCell ref="A18:A20"/>
    <mergeCell ref="A23:F23"/>
    <mergeCell ref="A11:F11"/>
    <mergeCell ref="A12:B12"/>
    <mergeCell ref="A13:A16"/>
    <mergeCell ref="A30:F30"/>
    <mergeCell ref="A24:B2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69B3E7"/>
  </sheetPr>
  <dimension ref="A1:G497"/>
  <sheetViews>
    <sheetView topLeftCell="A99" zoomScale="85" zoomScaleNormal="85" workbookViewId="0">
      <selection activeCell="G1" sqref="G1:G6"/>
    </sheetView>
  </sheetViews>
  <sheetFormatPr baseColWidth="10" defaultColWidth="11.44140625" defaultRowHeight="18" x14ac:dyDescent="0.25"/>
  <cols>
    <col min="1" max="1" width="30.6640625" style="189" customWidth="1"/>
    <col min="2" max="2" width="38.6640625" style="34" customWidth="1"/>
    <col min="3" max="3" width="30.6640625" style="67" customWidth="1"/>
    <col min="4" max="4" width="28.6640625" style="68" customWidth="1"/>
    <col min="5" max="5" width="140.6640625" style="190" customWidth="1"/>
    <col min="6" max="6" width="20.6640625" style="71" customWidth="1"/>
    <col min="7" max="7" width="50.6640625" style="198" customWidth="1"/>
    <col min="8" max="16384" width="11.44140625" style="34"/>
  </cols>
  <sheetData>
    <row r="1" spans="1:7" ht="13.95" customHeight="1" thickTop="1" x14ac:dyDescent="0.25">
      <c r="A1" s="343" t="s">
        <v>380</v>
      </c>
      <c r="B1" s="344"/>
      <c r="C1" s="344"/>
      <c r="D1" s="344"/>
      <c r="E1" s="344"/>
      <c r="F1" s="344"/>
      <c r="G1" s="338" t="s">
        <v>16</v>
      </c>
    </row>
    <row r="2" spans="1:7" ht="13.95" customHeight="1" x14ac:dyDescent="0.25">
      <c r="A2" s="345"/>
      <c r="B2" s="346"/>
      <c r="C2" s="346"/>
      <c r="D2" s="346"/>
      <c r="E2" s="346"/>
      <c r="F2" s="346"/>
      <c r="G2" s="334"/>
    </row>
    <row r="3" spans="1:7" ht="13.95" customHeight="1" thickBot="1" x14ac:dyDescent="0.3">
      <c r="A3" s="347"/>
      <c r="B3" s="348"/>
      <c r="C3" s="348"/>
      <c r="D3" s="348"/>
      <c r="E3" s="348"/>
      <c r="F3" s="348"/>
      <c r="G3" s="334"/>
    </row>
    <row r="4" spans="1:7" ht="13.95" customHeight="1" x14ac:dyDescent="0.25">
      <c r="A4" s="358" t="s">
        <v>381</v>
      </c>
      <c r="B4" s="359"/>
      <c r="C4" s="359"/>
      <c r="D4" s="360"/>
      <c r="E4" s="359"/>
      <c r="F4" s="359"/>
      <c r="G4" s="334" t="s">
        <v>19</v>
      </c>
    </row>
    <row r="5" spans="1:7" ht="13.95" customHeight="1" x14ac:dyDescent="0.25">
      <c r="A5" s="361"/>
      <c r="B5" s="362"/>
      <c r="C5" s="362"/>
      <c r="D5" s="363"/>
      <c r="E5" s="362"/>
      <c r="F5" s="362"/>
      <c r="G5" s="334"/>
    </row>
    <row r="6" spans="1:7" ht="13.95" customHeight="1" thickBot="1" x14ac:dyDescent="0.3">
      <c r="A6" s="364"/>
      <c r="B6" s="365"/>
      <c r="C6" s="365"/>
      <c r="D6" s="366"/>
      <c r="E6" s="365"/>
      <c r="F6" s="365"/>
      <c r="G6" s="334"/>
    </row>
    <row r="7" spans="1:7" s="62" customFormat="1" ht="19.95" customHeight="1" thickBot="1" x14ac:dyDescent="0.3">
      <c r="A7" s="201" t="s">
        <v>382</v>
      </c>
      <c r="B7" s="202" t="s">
        <v>383</v>
      </c>
      <c r="C7" s="202" t="s">
        <v>384</v>
      </c>
      <c r="D7" s="202" t="s">
        <v>385</v>
      </c>
      <c r="E7" s="202" t="s">
        <v>386</v>
      </c>
      <c r="F7" s="202" t="s">
        <v>387</v>
      </c>
      <c r="G7" s="203"/>
    </row>
    <row r="8" spans="1:7" ht="19.95" customHeight="1" thickTop="1" x14ac:dyDescent="0.25">
      <c r="A8" s="375" t="s">
        <v>388</v>
      </c>
      <c r="B8" s="55" t="str">
        <f>IF('Items sous domaines Sciences '!G10=1,'Items sous domaines Sciences '!B10,0)</f>
        <v>Mécanique</v>
      </c>
      <c r="C8" s="211" t="str">
        <f>IF('Items sous domaines Sciences '!G10=1,'Items sous domaines Sciences '!C10,0)</f>
        <v>Point</v>
      </c>
      <c r="D8" s="214" t="str">
        <f>IF('Items sous domaines Sciences '!G10=1,'Items sous domaines Sciences '!D10,0)</f>
        <v>Mécanique du point</v>
      </c>
      <c r="E8" s="214" t="str">
        <f>IF('Items sous domaines Sciences '!G10=1,'Items sous domaines Sciences '!E10,0)</f>
        <v>Distinguer les différents types de force (poids, réaction, frottements (statique et cinétique), tension...).</v>
      </c>
      <c r="F8" s="379" t="s">
        <v>389</v>
      </c>
      <c r="G8" s="336" t="s">
        <v>390</v>
      </c>
    </row>
    <row r="9" spans="1:7" ht="19.95" customHeight="1" x14ac:dyDescent="0.25">
      <c r="A9" s="375"/>
      <c r="B9" s="55" t="str">
        <f>IF('Items sous domaines Sciences '!G11=1,'Items sous domaines Sciences '!B11,0)</f>
        <v>Mécanique</v>
      </c>
      <c r="C9" s="212" t="str">
        <f>IF('Items sous domaines Sciences '!G11=1,'Items sous domaines Sciences '!C11,0)</f>
        <v>Point</v>
      </c>
      <c r="D9" s="215">
        <f>IF('Items sous domaines Sciences '!G11=1,'Items sous domaines Sciences '!D11,0)</f>
        <v>0</v>
      </c>
      <c r="E9" s="209" t="str">
        <f>IF('Items sous domaines Sciences '!G11=1,'Items sous domaines Sciences '!E11,0)</f>
        <v>Appliquer le PFD avec et sans frottements à un mouvement plan.</v>
      </c>
      <c r="F9" s="380"/>
      <c r="G9" s="368"/>
    </row>
    <row r="10" spans="1:7" ht="19.95" customHeight="1" x14ac:dyDescent="0.25">
      <c r="A10" s="375"/>
      <c r="B10" s="55" t="str">
        <f>IF('Items sous domaines Sciences '!G12=1,'Items sous domaines Sciences '!B12,0)</f>
        <v>Mécanique</v>
      </c>
      <c r="C10" s="213" t="str">
        <f>IF('Items sous domaines Sciences '!G12=1,'Items sous domaines Sciences '!C12,0)</f>
        <v>Point</v>
      </c>
      <c r="D10" s="216">
        <f>IF('Items sous domaines Sciences '!G12=1,'Items sous domaines Sciences '!D12,0)</f>
        <v>0</v>
      </c>
      <c r="E10" s="216" t="str">
        <f>IF('Items sous domaines Sciences '!G12=1,'Items sous domaines Sciences '!E12,0)</f>
        <v>Calculer le travail d'une force.</v>
      </c>
      <c r="F10" s="380"/>
      <c r="G10" s="368"/>
    </row>
    <row r="11" spans="1:7" ht="19.95" customHeight="1" x14ac:dyDescent="0.25">
      <c r="A11" s="375"/>
      <c r="B11" s="55" t="str">
        <f>IF('Items sous domaines Sciences '!G13=1,'Items sous domaines Sciences '!B13,0)</f>
        <v>Mécanique</v>
      </c>
      <c r="C11" s="195" t="str">
        <f>IF('Items sous domaines Sciences '!G13=1,'Items sous domaines Sciences '!C13,0)</f>
        <v>Point</v>
      </c>
      <c r="D11" s="215">
        <f>IF('Items sous domaines Sciences '!G13=1,'Items sous domaines Sciences '!D13,0)</f>
        <v>0</v>
      </c>
      <c r="E11" s="209" t="str">
        <f>IF('Items sous domaines Sciences '!G13=1,'Items sous domaines Sciences '!E13,0)</f>
        <v>Distinguer une force conservative et non conservative.</v>
      </c>
      <c r="F11" s="380"/>
      <c r="G11" s="369"/>
    </row>
    <row r="12" spans="1:7" ht="19.95" customHeight="1" x14ac:dyDescent="0.25">
      <c r="A12" s="375"/>
      <c r="B12" s="55" t="str">
        <f>IF('Items sous domaines Sciences '!G14=1,'Items sous domaines Sciences '!B14,0)</f>
        <v>Mécanique</v>
      </c>
      <c r="C12" s="213" t="str">
        <f>IF('Items sous domaines Sciences '!G14=1,'Items sous domaines Sciences '!C14,0)</f>
        <v>Point</v>
      </c>
      <c r="D12" s="216">
        <f>IF('Items sous domaines Sciences '!G14=1,'Items sous domaines Sciences '!D14,0)</f>
        <v>0</v>
      </c>
      <c r="E12" s="216" t="str">
        <f>IF('Items sous domaines Sciences '!G14=1,'Items sous domaines Sciences '!E14,0)</f>
        <v>Calculer une énergie mécanique, cinétique, potentielle.</v>
      </c>
      <c r="F12" s="380"/>
      <c r="G12" s="369"/>
    </row>
    <row r="13" spans="1:7" ht="19.95" customHeight="1" x14ac:dyDescent="0.25">
      <c r="A13" s="375"/>
      <c r="B13" s="55" t="str">
        <f>IF('Items sous domaines Sciences '!G15=1,'Items sous domaines Sciences '!B15,0)</f>
        <v>Mécanique</v>
      </c>
      <c r="C13" s="195" t="str">
        <f>IF('Items sous domaines Sciences '!G15=1,'Items sous domaines Sciences '!C15,0)</f>
        <v>Point</v>
      </c>
      <c r="D13" s="98">
        <f>IF('Items sous domaines Sciences '!G15=1,'Items sous domaines Sciences '!D15,0)</f>
        <v>0</v>
      </c>
      <c r="E13" s="209" t="str">
        <f>IF('Items sous domaines Sciences '!G15=1,'Items sous domaines Sciences '!E15,0)</f>
        <v>Appliquer le théorème de conservation de l'énergie mécanique.</v>
      </c>
      <c r="F13" s="380"/>
      <c r="G13" s="369"/>
    </row>
    <row r="14" spans="1:7" ht="19.95" customHeight="1" x14ac:dyDescent="0.25">
      <c r="A14" s="375"/>
      <c r="B14" s="55" t="str">
        <f>IF('Items sous domaines Sciences '!G16=1,'Items sous domaines Sciences '!B16,0)</f>
        <v>Mécanique</v>
      </c>
      <c r="C14" s="213" t="str">
        <f>IF('Items sous domaines Sciences '!G16=1,'Items sous domaines Sciences '!C16,0)</f>
        <v>Point</v>
      </c>
      <c r="D14" s="216">
        <f>IF('Items sous domaines Sciences '!G16=1,'Items sous domaines Sciences '!D16,0)</f>
        <v>0</v>
      </c>
      <c r="E14" s="216" t="str">
        <f>IF('Items sous domaines Sciences '!G16=1,'Items sous domaines Sciences '!E16,0)</f>
        <v>Appliquer le théorème de l'énergie cinétique.</v>
      </c>
      <c r="F14" s="380"/>
      <c r="G14" s="369"/>
    </row>
    <row r="15" spans="1:7" ht="19.95" customHeight="1" x14ac:dyDescent="0.25">
      <c r="A15" s="375"/>
      <c r="B15" s="55" t="str">
        <f>IF('Items sous domaines Sciences '!G17=1,'Items sous domaines Sciences '!B17,0)</f>
        <v>Mécanique</v>
      </c>
      <c r="C15" s="195" t="str">
        <f>IF('Items sous domaines Sciences '!G17=1,'Items sous domaines Sciences '!C17,0)</f>
        <v>Point</v>
      </c>
      <c r="D15" s="98">
        <f>IF('Items sous domaines Sciences '!G17=1,'Items sous domaines Sciences '!D17,0)</f>
        <v>0</v>
      </c>
      <c r="E15" s="209" t="str">
        <f>IF('Items sous domaines Sciences '!G17=1,'Items sous domaines Sciences '!E17,0)</f>
        <v>Établir les équations horaires (sans et avec frottements).</v>
      </c>
      <c r="F15" s="380"/>
      <c r="G15" s="368"/>
    </row>
    <row r="16" spans="1:7" ht="19.95" customHeight="1" x14ac:dyDescent="0.25">
      <c r="A16" s="375"/>
      <c r="B16" s="55" t="str">
        <f>IF('Items sous domaines Sciences '!G18=1,'Items sous domaines Sciences '!B18,0)</f>
        <v>Mécanique</v>
      </c>
      <c r="C16" s="213" t="str">
        <f>IF('Items sous domaines Sciences '!G18=1,'Items sous domaines Sciences '!C18,0)</f>
        <v>Point</v>
      </c>
      <c r="D16" s="216">
        <f>IF('Items sous domaines Sciences '!G18=1,'Items sous domaines Sciences '!D18,0)</f>
        <v>0</v>
      </c>
      <c r="E16" s="216" t="str">
        <f>IF('Items sous domaines Sciences '!G18=1,'Items sous domaines Sciences '!E18,0)</f>
        <v>Calculer le moment d’une force.</v>
      </c>
      <c r="F16" s="380"/>
      <c r="G16" s="368"/>
    </row>
    <row r="17" spans="1:7" ht="19.95" customHeight="1" x14ac:dyDescent="0.25">
      <c r="A17" s="375"/>
      <c r="B17" s="55" t="str">
        <f>IF('Items sous domaines Sciences '!G19=1,'Items sous domaines Sciences '!B19,0)</f>
        <v>Mécanique</v>
      </c>
      <c r="C17" s="195" t="str">
        <f>IF('Items sous domaines Sciences '!G19=1,'Items sous domaines Sciences '!C19,0)</f>
        <v>Point</v>
      </c>
      <c r="D17" s="98">
        <f>IF('Items sous domaines Sciences '!G19=1,'Items sous domaines Sciences '!D19,0)</f>
        <v>0</v>
      </c>
      <c r="E17" s="209" t="str">
        <f>IF('Items sous domaines Sciences '!G19=1,'Items sous domaines Sciences '!E19,0)</f>
        <v>Appliquer le PFD avec et sans frottements à un mouvement circulaire.</v>
      </c>
      <c r="F17" s="380"/>
      <c r="G17" s="368"/>
    </row>
    <row r="18" spans="1:7" ht="19.95" customHeight="1" thickBot="1" x14ac:dyDescent="0.3">
      <c r="A18" s="376"/>
      <c r="B18" s="55" t="str">
        <f>IF('Items sous domaines Sciences '!G20=1,'Items sous domaines Sciences '!B20,0)</f>
        <v>Mécanique</v>
      </c>
      <c r="C18" s="213" t="str">
        <f>IF('Items sous domaines Sciences '!G20=1,'Items sous domaines Sciences '!C20,0)</f>
        <v>Point</v>
      </c>
      <c r="D18" s="216">
        <f>IF('Items sous domaines Sciences '!G20=1,'Items sous domaines Sciences '!D20,0)</f>
        <v>0</v>
      </c>
      <c r="E18" s="216" t="str">
        <f>IF('Items sous domaines Sciences '!G20=1,'Items sous domaines Sciences '!E20,0)</f>
        <v>Établir une équation différentielle du 1er et 2ème ordre.</v>
      </c>
      <c r="F18" s="381"/>
      <c r="G18" s="370"/>
    </row>
    <row r="19" spans="1:7" customFormat="1" ht="17.399999999999999" hidden="1" customHeight="1" thickBot="1" x14ac:dyDescent="0.3">
      <c r="A19" s="377"/>
      <c r="B19">
        <f>IF('Items sous domaines Sciences '!G21=1,'Items sous domaines Sciences '!B21,0)</f>
        <v>0</v>
      </c>
      <c r="C19">
        <f>IF('Items sous domaines Sciences '!G21=1,'Items sous domaines Sciences '!C21,0)</f>
        <v>0</v>
      </c>
      <c r="D19">
        <f>IF('Items sous domaines Sciences '!G21=1,'Items sous domaines Sciences '!D21,0)</f>
        <v>0</v>
      </c>
      <c r="E19">
        <f>IF('Items sous domaines Sciences '!G21=1,'Items sous domaines Sciences '!E21,0)</f>
        <v>0</v>
      </c>
      <c r="F19" s="380"/>
      <c r="G19" s="371"/>
    </row>
    <row r="20" spans="1:7" customFormat="1" ht="17.399999999999999" hidden="1" customHeight="1" thickBot="1" x14ac:dyDescent="0.3">
      <c r="A20" s="377"/>
      <c r="B20" s="8">
        <f>IF('Items sous domaines Sciences '!G22=1,'Items sous domaines Sciences '!B22,0)</f>
        <v>0</v>
      </c>
      <c r="C20" s="8">
        <f>IF('Items sous domaines Sciences '!G22=1,'Items sous domaines Sciences '!C22,0)</f>
        <v>0</v>
      </c>
      <c r="D20" s="8">
        <f>IF('Items sous domaines Sciences '!G22=1,'Items sous domaines Sciences '!D22,0)</f>
        <v>0</v>
      </c>
      <c r="E20" s="8">
        <f>IF('Items sous domaines Sciences '!G22=1,'Items sous domaines Sciences '!E22,0)</f>
        <v>0</v>
      </c>
      <c r="F20" s="380"/>
      <c r="G20" s="371"/>
    </row>
    <row r="21" spans="1:7" customFormat="1" ht="17.399999999999999" hidden="1" customHeight="1" thickBot="1" x14ac:dyDescent="0.3">
      <c r="A21" s="377"/>
      <c r="B21" s="8">
        <f>IF('Items sous domaines Sciences '!G23=1,'Items sous domaines Sciences '!B23,0)</f>
        <v>0</v>
      </c>
      <c r="C21" s="8">
        <f>IF('Items sous domaines Sciences '!G23=1,'Items sous domaines Sciences '!C23,0)</f>
        <v>0</v>
      </c>
      <c r="D21" s="8">
        <f>IF('Items sous domaines Sciences '!G23=1,'Items sous domaines Sciences '!D23,0)</f>
        <v>0</v>
      </c>
      <c r="E21" s="8">
        <f>IF('Items sous domaines Sciences '!G23=1,'Items sous domaines Sciences '!E23,0)</f>
        <v>0</v>
      </c>
      <c r="F21" s="380"/>
      <c r="G21" s="371"/>
    </row>
    <row r="22" spans="1:7" customFormat="1" ht="17.399999999999999" hidden="1" customHeight="1" thickBot="1" x14ac:dyDescent="0.3">
      <c r="A22" s="377"/>
      <c r="B22" s="8">
        <f>IF('Items sous domaines Sciences '!G24=1,'Items sous domaines Sciences '!B24,0)</f>
        <v>0</v>
      </c>
      <c r="C22" s="8">
        <f>IF('Items sous domaines Sciences '!G24=1,'Items sous domaines Sciences '!C24,0)</f>
        <v>0</v>
      </c>
      <c r="D22" s="8">
        <f>IF('Items sous domaines Sciences '!G24=1,'Items sous domaines Sciences '!D24,0)</f>
        <v>0</v>
      </c>
      <c r="E22" s="8">
        <f>IF('Items sous domaines Sciences '!G24=1,'Items sous domaines Sciences '!E24,0)</f>
        <v>0</v>
      </c>
      <c r="F22" s="380"/>
      <c r="G22" s="371"/>
    </row>
    <row r="23" spans="1:7" customFormat="1" ht="17.399999999999999" hidden="1" customHeight="1" thickBot="1" x14ac:dyDescent="0.3">
      <c r="A23" s="378"/>
      <c r="B23" s="8">
        <f>IF('Items sous domaines Sciences '!G25=1,'Items sous domaines Sciences '!B25,0)</f>
        <v>0</v>
      </c>
      <c r="C23" s="8">
        <f>IF('Items sous domaines Sciences '!G25=1,'Items sous domaines Sciences '!C25,0)</f>
        <v>0</v>
      </c>
      <c r="D23" s="8">
        <f>IF('Items sous domaines Sciences '!G25=1,'Items sous domaines Sciences '!D25,0)</f>
        <v>0</v>
      </c>
      <c r="E23" s="8">
        <f>IF('Items sous domaines Sciences '!G25=1,'Items sous domaines Sciences '!E25,0)</f>
        <v>0</v>
      </c>
      <c r="F23" s="381"/>
      <c r="G23" s="371"/>
    </row>
    <row r="24" spans="1:7" customFormat="1" ht="17.399999999999999" hidden="1" customHeight="1" thickBot="1" x14ac:dyDescent="0.3">
      <c r="B24" s="8">
        <f>IF('Items sous domaines Sciences '!G26=1,'Items sous domaines Sciences '!B26,0)</f>
        <v>0</v>
      </c>
      <c r="C24" s="8">
        <f>IF('Items sous domaines Sciences '!G26=1,'Items sous domaines Sciences '!C26,0)</f>
        <v>0</v>
      </c>
      <c r="D24" s="8">
        <f>IF('Items sous domaines Sciences '!G26=1,'Items sous domaines Sciences '!D26,0)</f>
        <v>0</v>
      </c>
      <c r="E24" s="8">
        <f>IF('Items sous domaines Sciences '!G26=1,'Items sous domaines Sciences '!E26,0)</f>
        <v>0</v>
      </c>
      <c r="F24" t="e">
        <f>IF('Items sous domaines Sciences '!#REF!=1,'Items sous domaines Sciences '!#REF!,0)</f>
        <v>#REF!</v>
      </c>
    </row>
    <row r="25" spans="1:7" customFormat="1" ht="17.399999999999999" hidden="1" customHeight="1" thickBot="1" x14ac:dyDescent="0.3">
      <c r="B25" s="8">
        <f>IF('Items sous domaines Sciences '!G27=1,'Items sous domaines Sciences '!B27,0)</f>
        <v>0</v>
      </c>
      <c r="C25" s="8">
        <f>IF('Items sous domaines Sciences '!G27=1,'Items sous domaines Sciences '!C27,0)</f>
        <v>0</v>
      </c>
      <c r="D25" s="8">
        <f>IF('Items sous domaines Sciences '!G27=1,'Items sous domaines Sciences '!D27,0)</f>
        <v>0</v>
      </c>
      <c r="E25" s="8">
        <f>IF('Items sous domaines Sciences '!G27=1,'Items sous domaines Sciences '!E27,0)</f>
        <v>0</v>
      </c>
      <c r="F25">
        <f>IF('Items sous domaines Sciences '!G78=1,'Items sous domaines Sciences '!#REF!,0)</f>
        <v>0</v>
      </c>
    </row>
    <row r="26" spans="1:7" customFormat="1" ht="17.399999999999999" hidden="1" customHeight="1" thickBot="1" x14ac:dyDescent="0.3">
      <c r="A26" s="382" t="s">
        <v>391</v>
      </c>
      <c r="B26" s="8">
        <f>IF('Items sous domaines Sciences '!G28=1,'Items sous domaines Sciences '!B28,0)</f>
        <v>0</v>
      </c>
      <c r="C26" s="8">
        <f>IF('Items sous domaines Sciences '!G28=1,'Items sous domaines Sciences '!C28,0)</f>
        <v>0</v>
      </c>
      <c r="D26" s="8">
        <f>IF('Items sous domaines Sciences '!G28=1,'Items sous domaines Sciences '!D28,0)</f>
        <v>0</v>
      </c>
      <c r="E26" s="8">
        <f>IF('Items sous domaines Sciences '!G28=1,'Items sous domaines Sciences '!E28,0)</f>
        <v>0</v>
      </c>
      <c r="F26" s="339" t="s">
        <v>392</v>
      </c>
      <c r="G26" s="331" t="s">
        <v>393</v>
      </c>
    </row>
    <row r="27" spans="1:7" customFormat="1" ht="17.399999999999999" hidden="1" customHeight="1" thickBot="1" x14ac:dyDescent="0.3">
      <c r="A27" s="382"/>
      <c r="B27" s="8">
        <f>IF('Items sous domaines Sciences '!G29=1,'Items sous domaines Sciences '!B29,0)</f>
        <v>0</v>
      </c>
      <c r="C27" s="8">
        <f>IF('Items sous domaines Sciences '!G29=1,'Items sous domaines Sciences '!C29,0)</f>
        <v>0</v>
      </c>
      <c r="D27" s="8">
        <f>IF('Items sous domaines Sciences '!G29=1,'Items sous domaines Sciences '!D29,0)</f>
        <v>0</v>
      </c>
      <c r="E27" s="8">
        <f>IF('Items sous domaines Sciences '!G29=1,'Items sous domaines Sciences '!E29,0)</f>
        <v>0</v>
      </c>
      <c r="F27" s="340"/>
      <c r="G27" s="371"/>
    </row>
    <row r="28" spans="1:7" customFormat="1" ht="17.399999999999999" hidden="1" customHeight="1" thickBot="1" x14ac:dyDescent="0.3">
      <c r="A28" s="382"/>
      <c r="B28" s="8">
        <f>IF('Items sous domaines Sciences '!G30=1,'Items sous domaines Sciences '!B30,0)</f>
        <v>0</v>
      </c>
      <c r="C28" s="8">
        <f>IF('Items sous domaines Sciences '!G30=1,'Items sous domaines Sciences '!C30,0)</f>
        <v>0</v>
      </c>
      <c r="D28" s="8">
        <f>IF('Items sous domaines Sciences '!G30=1,'Items sous domaines Sciences '!D30,0)</f>
        <v>0</v>
      </c>
      <c r="E28" s="8">
        <f>IF('Items sous domaines Sciences '!G30=1,'Items sous domaines Sciences '!E30,0)</f>
        <v>0</v>
      </c>
      <c r="F28" s="340"/>
      <c r="G28" s="371"/>
    </row>
    <row r="29" spans="1:7" customFormat="1" ht="17.399999999999999" hidden="1" customHeight="1" thickBot="1" x14ac:dyDescent="0.3">
      <c r="A29" s="382"/>
      <c r="B29" s="8">
        <f>IF('Items sous domaines Sciences '!G31=1,'Items sous domaines Sciences '!B31,0)</f>
        <v>0</v>
      </c>
      <c r="C29" s="8">
        <f>IF('Items sous domaines Sciences '!G31=1,'Items sous domaines Sciences '!C31,0)</f>
        <v>0</v>
      </c>
      <c r="D29" s="8">
        <f>IF('Items sous domaines Sciences '!G31=1,'Items sous domaines Sciences '!D31,0)</f>
        <v>0</v>
      </c>
      <c r="E29" s="8">
        <f>IF('Items sous domaines Sciences '!G31=1,'Items sous domaines Sciences '!E31,0)</f>
        <v>0</v>
      </c>
      <c r="F29" s="341"/>
      <c r="G29" s="371"/>
    </row>
    <row r="30" spans="1:7" customFormat="1" ht="22.2" hidden="1" customHeight="1" thickBot="1" x14ac:dyDescent="0.3">
      <c r="A30" s="371"/>
      <c r="B30" s="8">
        <f>IF('Items sous domaines Sciences '!G32=1,'Items sous domaines Sciences '!B32,0)</f>
        <v>0</v>
      </c>
      <c r="C30" s="8">
        <f>IF('Items sous domaines Sciences '!G32=1,'Items sous domaines Sciences '!C32,0)</f>
        <v>0</v>
      </c>
      <c r="D30" s="8">
        <f>IF('Items sous domaines Sciences '!G32=1,'Items sous domaines Sciences '!D32,0)</f>
        <v>0</v>
      </c>
      <c r="E30" s="8">
        <f>IF('Items sous domaines Sciences '!G32=1,'Items sous domaines Sciences '!E32,0)</f>
        <v>0</v>
      </c>
      <c r="F30" s="342"/>
      <c r="G30" s="367"/>
    </row>
    <row r="31" spans="1:7" s="2" customFormat="1" ht="17.399999999999999" hidden="1" customHeight="1" thickBot="1" x14ac:dyDescent="0.3">
      <c r="A31" s="371"/>
      <c r="B31" s="8">
        <f>IF('Items sous domaines Sciences '!G33=1,'Items sous domaines Sciences '!B33,0)</f>
        <v>0</v>
      </c>
      <c r="C31" s="8">
        <f>IF('Items sous domaines Sciences '!G33=1,'Items sous domaines Sciences '!C33,0)</f>
        <v>0</v>
      </c>
      <c r="D31" s="8">
        <f>IF('Items sous domaines Sciences '!G33=1,'Items sous domaines Sciences '!D33,0)</f>
        <v>0</v>
      </c>
      <c r="E31" s="8">
        <f>IF('Items sous domaines Sciences '!G33=1,'Items sous domaines Sciences '!E33,0)</f>
        <v>0</v>
      </c>
      <c r="F31" s="342"/>
      <c r="G31" s="367"/>
    </row>
    <row r="32" spans="1:7" s="2" customFormat="1" ht="17.399999999999999" hidden="1" customHeight="1" thickBot="1" x14ac:dyDescent="0.3">
      <c r="A32" s="382"/>
      <c r="B32" s="8">
        <f>IF('Items sous domaines Sciences '!G34=1,'Items sous domaines Sciences '!B34,0)</f>
        <v>0</v>
      </c>
      <c r="C32" s="8">
        <f>IF('Items sous domaines Sciences '!G34=1,'Items sous domaines Sciences '!C34,0)</f>
        <v>0</v>
      </c>
      <c r="D32" s="8">
        <f>IF('Items sous domaines Sciences '!G34=1,'Items sous domaines Sciences '!D34,0)</f>
        <v>0</v>
      </c>
      <c r="E32" s="8">
        <f>IF('Items sous domaines Sciences '!G34=1,'Items sous domaines Sciences '!E34,0)</f>
        <v>0</v>
      </c>
      <c r="F32" s="339"/>
      <c r="G32" s="371"/>
    </row>
    <row r="33" spans="1:7" s="2" customFormat="1" ht="17.399999999999999" hidden="1" customHeight="1" thickBot="1" x14ac:dyDescent="0.3">
      <c r="A33" s="382"/>
      <c r="B33" s="8">
        <f>IF('Items sous domaines Sciences '!G35=1,'Items sous domaines Sciences '!B35,0)</f>
        <v>0</v>
      </c>
      <c r="C33" s="8">
        <f>IF('Items sous domaines Sciences '!G35=1,'Items sous domaines Sciences '!C35,0)</f>
        <v>0</v>
      </c>
      <c r="D33" s="8">
        <f>IF('Items sous domaines Sciences '!G35=1,'Items sous domaines Sciences '!D35,0)</f>
        <v>0</v>
      </c>
      <c r="E33" s="8">
        <f>IF('Items sous domaines Sciences '!G35=1,'Items sous domaines Sciences '!E35,0)</f>
        <v>0</v>
      </c>
      <c r="F33" s="340"/>
      <c r="G33" s="371"/>
    </row>
    <row r="34" spans="1:7" s="2" customFormat="1" ht="17.399999999999999" hidden="1" customHeight="1" thickBot="1" x14ac:dyDescent="0.3">
      <c r="A34" s="382"/>
      <c r="B34" s="8">
        <f>IF('Items sous domaines Sciences '!G36=1,'Items sous domaines Sciences '!B36,0)</f>
        <v>0</v>
      </c>
      <c r="C34" s="8">
        <f>IF('Items sous domaines Sciences '!G36=1,'Items sous domaines Sciences '!C36,0)</f>
        <v>0</v>
      </c>
      <c r="D34" s="8">
        <f>IF('Items sous domaines Sciences '!G36=1,'Items sous domaines Sciences '!D36,0)</f>
        <v>0</v>
      </c>
      <c r="E34" s="8">
        <f>IF('Items sous domaines Sciences '!G36=1,'Items sous domaines Sciences '!E36,0)</f>
        <v>0</v>
      </c>
      <c r="F34" s="340"/>
      <c r="G34" s="371"/>
    </row>
    <row r="35" spans="1:7" s="2" customFormat="1" ht="17.399999999999999" hidden="1" customHeight="1" thickBot="1" x14ac:dyDescent="0.3">
      <c r="A35" s="382"/>
      <c r="B35" s="8">
        <f>IF('Items sous domaines Sciences '!G37=1,'Items sous domaines Sciences '!B37,0)</f>
        <v>0</v>
      </c>
      <c r="C35" s="8">
        <f>IF('Items sous domaines Sciences '!G37=1,'Items sous domaines Sciences '!C37,0)</f>
        <v>0</v>
      </c>
      <c r="D35" s="8">
        <f>IF('Items sous domaines Sciences '!G37=1,'Items sous domaines Sciences '!D37,0)</f>
        <v>0</v>
      </c>
      <c r="E35" s="8">
        <f>IF('Items sous domaines Sciences '!G37=1,'Items sous domaines Sciences '!E37,0)</f>
        <v>0</v>
      </c>
      <c r="F35" s="340"/>
      <c r="G35" s="371"/>
    </row>
    <row r="36" spans="1:7" s="2" customFormat="1" ht="17.399999999999999" hidden="1" customHeight="1" thickBot="1" x14ac:dyDescent="0.3">
      <c r="A36" s="382"/>
      <c r="B36" s="8">
        <f>IF('Items sous domaines Sciences '!G38=1,'Items sous domaines Sciences '!B38,0)</f>
        <v>0</v>
      </c>
      <c r="C36" s="8">
        <f>IF('Items sous domaines Sciences '!G38=1,'Items sous domaines Sciences '!C38,0)</f>
        <v>0</v>
      </c>
      <c r="D36" s="8">
        <f>IF('Items sous domaines Sciences '!G38=1,'Items sous domaines Sciences '!D38,0)</f>
        <v>0</v>
      </c>
      <c r="E36" s="8">
        <f>IF('Items sous domaines Sciences '!G38=1,'Items sous domaines Sciences '!E38,0)</f>
        <v>0</v>
      </c>
      <c r="F36" s="340"/>
      <c r="G36" s="371"/>
    </row>
    <row r="37" spans="1:7" s="2" customFormat="1" ht="17.399999999999999" hidden="1" customHeight="1" thickBot="1" x14ac:dyDescent="0.3">
      <c r="A37" s="382"/>
      <c r="B37" s="8">
        <f>IF('Items sous domaines Sciences '!G39=1,'Items sous domaines Sciences '!B39,0)</f>
        <v>0</v>
      </c>
      <c r="C37" s="8">
        <f>IF('Items sous domaines Sciences '!G39=1,'Items sous domaines Sciences '!C39,0)</f>
        <v>0</v>
      </c>
      <c r="D37" s="8">
        <f>IF('Items sous domaines Sciences '!G39=1,'Items sous domaines Sciences '!D39,0)</f>
        <v>0</v>
      </c>
      <c r="E37" s="8">
        <f>IF('Items sous domaines Sciences '!G39=1,'Items sous domaines Sciences '!E39,0)</f>
        <v>0</v>
      </c>
      <c r="F37" s="340"/>
      <c r="G37" s="371"/>
    </row>
    <row r="38" spans="1:7" customFormat="1" ht="17.399999999999999" hidden="1" customHeight="1" thickBot="1" x14ac:dyDescent="0.3">
      <c r="A38" s="382"/>
      <c r="B38" s="8">
        <f>IF('Items sous domaines Sciences '!G40=1,'Items sous domaines Sciences '!B40,0)</f>
        <v>0</v>
      </c>
      <c r="C38" s="8">
        <f>IF('Items sous domaines Sciences '!G40=1,'Items sous domaines Sciences '!C40,0)</f>
        <v>0</v>
      </c>
      <c r="D38" s="8">
        <f>IF('Items sous domaines Sciences '!G40=1,'Items sous domaines Sciences '!D40,0)</f>
        <v>0</v>
      </c>
      <c r="E38" s="8">
        <f>IF('Items sous domaines Sciences '!G40=1,'Items sous domaines Sciences '!E40,0)</f>
        <v>0</v>
      </c>
      <c r="F38" s="341"/>
      <c r="G38" s="371"/>
    </row>
    <row r="39" spans="1:7" customFormat="1" ht="17.399999999999999" hidden="1" customHeight="1" thickBot="1" x14ac:dyDescent="0.3">
      <c r="B39" s="8">
        <f>IF('Items sous domaines Sciences '!G41=1,'Items sous domaines Sciences '!B41,0)</f>
        <v>0</v>
      </c>
      <c r="C39" s="8">
        <f>IF('Items sous domaines Sciences '!G41=1,'Items sous domaines Sciences '!C41,0)</f>
        <v>0</v>
      </c>
      <c r="D39" s="8">
        <f>IF('Items sous domaines Sciences '!G41=1,'Items sous domaines Sciences '!D41,0)</f>
        <v>0</v>
      </c>
      <c r="E39" s="8">
        <f>IF('Items sous domaines Sciences '!G41=1,'Items sous domaines Sciences '!E41,0)</f>
        <v>0</v>
      </c>
      <c r="F39">
        <f>IF('Items sous domaines Sciences '!G207=1,'Items sous domaines Sciences '!#REF!,0)</f>
        <v>0</v>
      </c>
    </row>
    <row r="40" spans="1:7" customFormat="1" ht="17.399999999999999" hidden="1" customHeight="1" thickBot="1" x14ac:dyDescent="0.3">
      <c r="A40" s="383" t="s">
        <v>394</v>
      </c>
      <c r="B40" s="8">
        <f>IF('Items sous domaines Sciences '!G42=1,'Items sous domaines Sciences '!B42,0)</f>
        <v>0</v>
      </c>
      <c r="C40" s="8">
        <f>IF('Items sous domaines Sciences '!G42=1,'Items sous domaines Sciences '!C42,0)</f>
        <v>0</v>
      </c>
      <c r="D40" s="8">
        <f>IF('Items sous domaines Sciences '!G42=1,'Items sous domaines Sciences '!D42,0)</f>
        <v>0</v>
      </c>
      <c r="E40" s="8">
        <f>IF('Items sous domaines Sciences '!G42=1,'Items sous domaines Sciences '!E42,0)</f>
        <v>0</v>
      </c>
      <c r="F40" s="339" t="s">
        <v>395</v>
      </c>
      <c r="G40" s="333" t="s">
        <v>396</v>
      </c>
    </row>
    <row r="41" spans="1:7" customFormat="1" ht="17.399999999999999" hidden="1" customHeight="1" thickBot="1" x14ac:dyDescent="0.3">
      <c r="A41" s="384"/>
      <c r="B41" s="8">
        <f>IF('Items sous domaines Sciences '!G43=1,'Items sous domaines Sciences '!B43,0)</f>
        <v>0</v>
      </c>
      <c r="C41" s="8">
        <f>IF('Items sous domaines Sciences '!G43=1,'Items sous domaines Sciences '!C43,0)</f>
        <v>0</v>
      </c>
      <c r="D41" s="8">
        <f>IF('Items sous domaines Sciences '!G43=1,'Items sous domaines Sciences '!D43,0)</f>
        <v>0</v>
      </c>
      <c r="E41" s="8">
        <f>IF('Items sous domaines Sciences '!G43=1,'Items sous domaines Sciences '!E43,0)</f>
        <v>0</v>
      </c>
      <c r="F41" s="340"/>
      <c r="G41" s="372"/>
    </row>
    <row r="42" spans="1:7" customFormat="1" ht="17.399999999999999" hidden="1" customHeight="1" thickBot="1" x14ac:dyDescent="0.3">
      <c r="A42" s="384"/>
      <c r="B42" s="8">
        <f>IF('Items sous domaines Sciences '!G44=1,'Items sous domaines Sciences '!B44,0)</f>
        <v>0</v>
      </c>
      <c r="C42" s="8">
        <f>IF('Items sous domaines Sciences '!G44=1,'Items sous domaines Sciences '!C44,0)</f>
        <v>0</v>
      </c>
      <c r="D42" s="8">
        <f>IF('Items sous domaines Sciences '!G44=1,'Items sous domaines Sciences '!D44,0)</f>
        <v>0</v>
      </c>
      <c r="E42" s="8">
        <f>IF('Items sous domaines Sciences '!G44=1,'Items sous domaines Sciences '!E44,0)</f>
        <v>0</v>
      </c>
      <c r="F42" s="340"/>
      <c r="G42" s="372"/>
    </row>
    <row r="43" spans="1:7" customFormat="1" ht="17.399999999999999" hidden="1" customHeight="1" thickBot="1" x14ac:dyDescent="0.3">
      <c r="A43" s="384"/>
      <c r="B43" s="8">
        <f>IF('Items sous domaines Sciences '!G45=1,'Items sous domaines Sciences '!B45,0)</f>
        <v>0</v>
      </c>
      <c r="C43" s="8">
        <f>IF('Items sous domaines Sciences '!G45=1,'Items sous domaines Sciences '!C45,0)</f>
        <v>0</v>
      </c>
      <c r="D43" s="8">
        <f>IF('Items sous domaines Sciences '!G45=1,'Items sous domaines Sciences '!D45,0)</f>
        <v>0</v>
      </c>
      <c r="E43" s="8">
        <f>IF('Items sous domaines Sciences '!G45=1,'Items sous domaines Sciences '!E45,0)</f>
        <v>0</v>
      </c>
      <c r="F43" s="340"/>
      <c r="G43" s="372"/>
    </row>
    <row r="44" spans="1:7" customFormat="1" ht="17.399999999999999" hidden="1" customHeight="1" thickBot="1" x14ac:dyDescent="0.3">
      <c r="A44" s="384"/>
      <c r="B44" s="8">
        <f>IF('Items sous domaines Sciences '!G46=1,'Items sous domaines Sciences '!B46,0)</f>
        <v>0</v>
      </c>
      <c r="C44" s="8">
        <f>IF('Items sous domaines Sciences '!G46=1,'Items sous domaines Sciences '!C46,0)</f>
        <v>0</v>
      </c>
      <c r="D44" s="8">
        <f>IF('Items sous domaines Sciences '!G46=1,'Items sous domaines Sciences '!D46,0)</f>
        <v>0</v>
      </c>
      <c r="E44" s="8">
        <f>IF('Items sous domaines Sciences '!G46=1,'Items sous domaines Sciences '!E46,0)</f>
        <v>0</v>
      </c>
      <c r="F44" s="340"/>
      <c r="G44" s="372"/>
    </row>
    <row r="45" spans="1:7" customFormat="1" ht="17.399999999999999" hidden="1" customHeight="1" thickBot="1" x14ac:dyDescent="0.3">
      <c r="A45" s="384"/>
      <c r="B45" s="8">
        <f>IF('Items sous domaines Sciences '!G47=1,'Items sous domaines Sciences '!B47,0)</f>
        <v>0</v>
      </c>
      <c r="C45" s="8">
        <f>IF('Items sous domaines Sciences '!G47=1,'Items sous domaines Sciences '!C47,0)</f>
        <v>0</v>
      </c>
      <c r="D45" s="8">
        <f>IF('Items sous domaines Sciences '!G47=1,'Items sous domaines Sciences '!D47,0)</f>
        <v>0</v>
      </c>
      <c r="E45" s="8">
        <f>IF('Items sous domaines Sciences '!G47=1,'Items sous domaines Sciences '!E47,0)</f>
        <v>0</v>
      </c>
      <c r="F45" s="340"/>
      <c r="G45" s="372"/>
    </row>
    <row r="46" spans="1:7" customFormat="1" ht="27.6" hidden="1" customHeight="1" thickBot="1" x14ac:dyDescent="0.3">
      <c r="A46" s="384"/>
      <c r="B46" s="8">
        <f>IF('Items sous domaines Sciences '!G48=1,'Items sous domaines Sciences '!B48,0)</f>
        <v>0</v>
      </c>
      <c r="C46" s="8">
        <f>IF('Items sous domaines Sciences '!G48=1,'Items sous domaines Sciences '!C48,0)</f>
        <v>0</v>
      </c>
      <c r="D46" s="8">
        <f>IF('Items sous domaines Sciences '!G48=1,'Items sous domaines Sciences '!D48,0)</f>
        <v>0</v>
      </c>
      <c r="E46" s="8">
        <f>IF('Items sous domaines Sciences '!G48=1,'Items sous domaines Sciences '!E48,0)</f>
        <v>0</v>
      </c>
      <c r="F46" s="340"/>
      <c r="G46" s="372"/>
    </row>
    <row r="47" spans="1:7" customFormat="1" ht="17.399999999999999" hidden="1" customHeight="1" thickBot="1" x14ac:dyDescent="0.3">
      <c r="A47" s="384"/>
      <c r="B47" s="8">
        <f>IF('Items sous domaines Sciences '!G49=1,'Items sous domaines Sciences '!B49,0)</f>
        <v>0</v>
      </c>
      <c r="C47" s="8">
        <f>IF('Items sous domaines Sciences '!G49=1,'Items sous domaines Sciences '!C49,0)</f>
        <v>0</v>
      </c>
      <c r="D47" s="8">
        <f>IF('Items sous domaines Sciences '!G49=1,'Items sous domaines Sciences '!D49,0)</f>
        <v>0</v>
      </c>
      <c r="E47" s="8">
        <f>IF('Items sous domaines Sciences '!G49=1,'Items sous domaines Sciences '!E49,0)</f>
        <v>0</v>
      </c>
      <c r="F47" s="340"/>
      <c r="G47" s="372"/>
    </row>
    <row r="48" spans="1:7" customFormat="1" ht="17.399999999999999" hidden="1" customHeight="1" thickBot="1" x14ac:dyDescent="0.3">
      <c r="A48" s="384"/>
      <c r="B48" s="8">
        <f>IF('Items sous domaines Sciences '!G50=1,'Items sous domaines Sciences '!B50,0)</f>
        <v>0</v>
      </c>
      <c r="C48" s="8">
        <f>IF('Items sous domaines Sciences '!G50=1,'Items sous domaines Sciences '!C50,0)</f>
        <v>0</v>
      </c>
      <c r="D48" s="8">
        <f>IF('Items sous domaines Sciences '!G50=1,'Items sous domaines Sciences '!D50,0)</f>
        <v>0</v>
      </c>
      <c r="E48" s="8">
        <f>IF('Items sous domaines Sciences '!G50=1,'Items sous domaines Sciences '!E50,0)</f>
        <v>0</v>
      </c>
      <c r="F48" s="340"/>
      <c r="G48" s="372"/>
    </row>
    <row r="49" spans="1:7" customFormat="1" ht="17.399999999999999" hidden="1" customHeight="1" thickBot="1" x14ac:dyDescent="0.3">
      <c r="A49" s="384"/>
      <c r="B49" s="8">
        <f>IF('Items sous domaines Sciences '!G51=1,'Items sous domaines Sciences '!B51,0)</f>
        <v>0</v>
      </c>
      <c r="C49" s="8">
        <f>IF('Items sous domaines Sciences '!G51=1,'Items sous domaines Sciences '!C51,0)</f>
        <v>0</v>
      </c>
      <c r="D49" s="8">
        <f>IF('Items sous domaines Sciences '!G51=1,'Items sous domaines Sciences '!D51,0)</f>
        <v>0</v>
      </c>
      <c r="E49" s="8">
        <f>IF('Items sous domaines Sciences '!G51=1,'Items sous domaines Sciences '!E51,0)</f>
        <v>0</v>
      </c>
      <c r="F49" s="340"/>
      <c r="G49" s="372"/>
    </row>
    <row r="50" spans="1:7" customFormat="1" ht="17.399999999999999" hidden="1" customHeight="1" thickBot="1" x14ac:dyDescent="0.3">
      <c r="A50" s="384"/>
      <c r="B50" s="8">
        <f>IF('Items sous domaines Sciences '!G52=1,'Items sous domaines Sciences '!B52,0)</f>
        <v>0</v>
      </c>
      <c r="C50" s="8">
        <f>IF('Items sous domaines Sciences '!G52=1,'Items sous domaines Sciences '!C52,0)</f>
        <v>0</v>
      </c>
      <c r="D50" s="8">
        <f>IF('Items sous domaines Sciences '!G52=1,'Items sous domaines Sciences '!D52,0)</f>
        <v>0</v>
      </c>
      <c r="E50" s="8">
        <f>IF('Items sous domaines Sciences '!G52=1,'Items sous domaines Sciences '!E52,0)</f>
        <v>0</v>
      </c>
      <c r="F50" s="340"/>
      <c r="G50" s="372"/>
    </row>
    <row r="51" spans="1:7" customFormat="1" ht="17.399999999999999" hidden="1" customHeight="1" thickBot="1" x14ac:dyDescent="0.3">
      <c r="A51" s="384"/>
      <c r="B51" s="8">
        <f>IF('Items sous domaines Sciences '!G53=1,'Items sous domaines Sciences '!B53,0)</f>
        <v>0</v>
      </c>
      <c r="C51" s="8">
        <f>IF('Items sous domaines Sciences '!G53=1,'Items sous domaines Sciences '!C53,0)</f>
        <v>0</v>
      </c>
      <c r="D51" s="8">
        <f>IF('Items sous domaines Sciences '!G53=1,'Items sous domaines Sciences '!D53,0)</f>
        <v>0</v>
      </c>
      <c r="E51" s="8">
        <f>IF('Items sous domaines Sciences '!G53=1,'Items sous domaines Sciences '!E53,0)</f>
        <v>0</v>
      </c>
      <c r="F51" s="340"/>
      <c r="G51" s="372"/>
    </row>
    <row r="52" spans="1:7" customFormat="1" ht="27.6" hidden="1" customHeight="1" thickBot="1" x14ac:dyDescent="0.3">
      <c r="A52" s="384"/>
      <c r="B52" s="8">
        <f>IF('Items sous domaines Sciences '!G54=1,'Items sous domaines Sciences '!B54,0)</f>
        <v>0</v>
      </c>
      <c r="C52" s="8">
        <f>IF('Items sous domaines Sciences '!G54=1,'Items sous domaines Sciences '!C54,0)</f>
        <v>0</v>
      </c>
      <c r="D52" s="8">
        <f>IF('Items sous domaines Sciences '!G54=1,'Items sous domaines Sciences '!D54,0)</f>
        <v>0</v>
      </c>
      <c r="E52" s="8">
        <f>IF('Items sous domaines Sciences '!G54=1,'Items sous domaines Sciences '!E54,0)</f>
        <v>0</v>
      </c>
      <c r="F52" s="340"/>
      <c r="G52" s="372"/>
    </row>
    <row r="53" spans="1:7" customFormat="1" ht="22.2" hidden="1" customHeight="1" thickBot="1" x14ac:dyDescent="0.3">
      <c r="A53" s="384"/>
      <c r="B53" s="8">
        <f>IF('Items sous domaines Sciences '!G55=1,'Items sous domaines Sciences '!B55,0)</f>
        <v>0</v>
      </c>
      <c r="C53" s="8">
        <f>IF('Items sous domaines Sciences '!G55=1,'Items sous domaines Sciences '!C55,0)</f>
        <v>0</v>
      </c>
      <c r="D53" s="8">
        <f>IF('Items sous domaines Sciences '!G55=1,'Items sous domaines Sciences '!D55,0)</f>
        <v>0</v>
      </c>
      <c r="E53" s="8">
        <f>IF('Items sous domaines Sciences '!G55=1,'Items sous domaines Sciences '!E55,0)</f>
        <v>0</v>
      </c>
      <c r="F53" s="340"/>
      <c r="G53" s="372"/>
    </row>
    <row r="54" spans="1:7" s="3" customFormat="1" ht="27.6" hidden="1" customHeight="1" thickBot="1" x14ac:dyDescent="0.3">
      <c r="A54" s="384"/>
      <c r="B54" s="8">
        <f>IF('Items sous domaines Sciences '!G56=1,'Items sous domaines Sciences '!B56,0)</f>
        <v>0</v>
      </c>
      <c r="C54" s="8">
        <f>IF('Items sous domaines Sciences '!G56=1,'Items sous domaines Sciences '!C56,0)</f>
        <v>0</v>
      </c>
      <c r="D54" s="8">
        <f>IF('Items sous domaines Sciences '!G56=1,'Items sous domaines Sciences '!D56,0)</f>
        <v>0</v>
      </c>
      <c r="E54" s="8">
        <f>IF('Items sous domaines Sciences '!G56=1,'Items sous domaines Sciences '!E56,0)</f>
        <v>0</v>
      </c>
      <c r="F54" s="340"/>
      <c r="G54" s="372"/>
    </row>
    <row r="55" spans="1:7" customFormat="1" ht="17.399999999999999" hidden="1" customHeight="1" thickBot="1" x14ac:dyDescent="0.3">
      <c r="A55" s="384"/>
      <c r="B55" s="8">
        <f>IF('Items sous domaines Sciences '!G57=1,'Items sous domaines Sciences '!B57,0)</f>
        <v>0</v>
      </c>
      <c r="C55" s="8">
        <f>IF('Items sous domaines Sciences '!G57=1,'Items sous domaines Sciences '!C57,0)</f>
        <v>0</v>
      </c>
      <c r="D55" s="8">
        <f>IF('Items sous domaines Sciences '!G57=1,'Items sous domaines Sciences '!D57,0)</f>
        <v>0</v>
      </c>
      <c r="E55" s="8">
        <f>IF('Items sous domaines Sciences '!G57=1,'Items sous domaines Sciences '!E57,0)</f>
        <v>0</v>
      </c>
      <c r="F55" s="340"/>
      <c r="G55" s="372"/>
    </row>
    <row r="56" spans="1:7" customFormat="1" ht="17.399999999999999" hidden="1" customHeight="1" thickBot="1" x14ac:dyDescent="0.3">
      <c r="A56" s="384"/>
      <c r="B56" s="8">
        <f>IF('Items sous domaines Sciences '!G58=1,'Items sous domaines Sciences '!B58,0)</f>
        <v>0</v>
      </c>
      <c r="C56" s="8">
        <f>IF('Items sous domaines Sciences '!G58=1,'Items sous domaines Sciences '!C58,0)</f>
        <v>0</v>
      </c>
      <c r="D56" s="8">
        <f>IF('Items sous domaines Sciences '!G58=1,'Items sous domaines Sciences '!D58,0)</f>
        <v>0</v>
      </c>
      <c r="E56" s="8">
        <f>IF('Items sous domaines Sciences '!G58=1,'Items sous domaines Sciences '!E58,0)</f>
        <v>0</v>
      </c>
      <c r="F56" s="341"/>
      <c r="G56" s="372"/>
    </row>
    <row r="57" spans="1:7" customFormat="1" ht="17.399999999999999" hidden="1" customHeight="1" thickBot="1" x14ac:dyDescent="0.3">
      <c r="A57" s="385"/>
      <c r="B57" s="8">
        <f>IF('Items sous domaines Sciences '!G59=1,'Items sous domaines Sciences '!B59,0)</f>
        <v>0</v>
      </c>
      <c r="C57" s="8">
        <f>IF('Items sous domaines Sciences '!G59=1,'Items sous domaines Sciences '!C59,0)</f>
        <v>0</v>
      </c>
      <c r="D57" s="8">
        <f>IF('Items sous domaines Sciences '!G59=1,'Items sous domaines Sciences '!D59,0)</f>
        <v>0</v>
      </c>
      <c r="E57" s="8">
        <f>IF('Items sous domaines Sciences '!G59=1,'Items sous domaines Sciences '!E59,0)</f>
        <v>0</v>
      </c>
      <c r="F57" t="e">
        <f>IF('Items sous domaines Sciences '!#REF!=1,'Items sous domaines Sciences '!#REF!,0)</f>
        <v>#REF!</v>
      </c>
    </row>
    <row r="58" spans="1:7" customFormat="1" ht="17.399999999999999" hidden="1" customHeight="1" thickBot="1" x14ac:dyDescent="0.3">
      <c r="B58" s="8">
        <f>IF('Items sous domaines Sciences '!G60=1,'Items sous domaines Sciences '!B60,0)</f>
        <v>0</v>
      </c>
      <c r="C58" s="8">
        <f>IF('Items sous domaines Sciences '!G60=1,'Items sous domaines Sciences '!C60,0)</f>
        <v>0</v>
      </c>
      <c r="D58" s="8">
        <f>IF('Items sous domaines Sciences '!G60=1,'Items sous domaines Sciences '!D60,0)</f>
        <v>0</v>
      </c>
      <c r="E58" s="8">
        <f>IF('Items sous domaines Sciences '!G60=1,'Items sous domaines Sciences '!E60,0)</f>
        <v>0</v>
      </c>
      <c r="F58" t="e">
        <f>IF('Items sous domaines Sciences '!#REF!=1,'Items sous domaines Sciences '!#REF!,0)</f>
        <v>#REF!</v>
      </c>
    </row>
    <row r="59" spans="1:7" customFormat="1" ht="17.399999999999999" hidden="1" customHeight="1" thickBot="1" x14ac:dyDescent="0.3">
      <c r="B59" s="8">
        <f>IF('Items sous domaines Sciences '!G61=1,'Items sous domaines Sciences '!B61,0)</f>
        <v>0</v>
      </c>
      <c r="C59" s="8">
        <f>IF('Items sous domaines Sciences '!G61=1,'Items sous domaines Sciences '!C61,0)</f>
        <v>0</v>
      </c>
      <c r="D59" s="8">
        <f>IF('Items sous domaines Sciences '!G61=1,'Items sous domaines Sciences '!D61,0)</f>
        <v>0</v>
      </c>
      <c r="E59" s="8">
        <f>IF('Items sous domaines Sciences '!G61=1,'Items sous domaines Sciences '!E61,0)</f>
        <v>0</v>
      </c>
      <c r="F59" t="e">
        <f>IF('Items sous domaines Sciences '!#REF!=1,'Items sous domaines Sciences '!#REF!,0)</f>
        <v>#REF!</v>
      </c>
    </row>
    <row r="60" spans="1:7" customFormat="1" ht="23.4" hidden="1" customHeight="1" thickBot="1" x14ac:dyDescent="0.3">
      <c r="B60" s="8">
        <f>IF('Items sous domaines Sciences '!G62=1,'Items sous domaines Sciences '!B62,0)</f>
        <v>0</v>
      </c>
      <c r="C60" s="8">
        <f>IF('Items sous domaines Sciences '!G62=1,'Items sous domaines Sciences '!C62,0)</f>
        <v>0</v>
      </c>
      <c r="D60" s="8">
        <f>IF('Items sous domaines Sciences '!G62=1,'Items sous domaines Sciences '!D62,0)</f>
        <v>0</v>
      </c>
      <c r="E60" s="8">
        <f>IF('Items sous domaines Sciences '!G62=1,'Items sous domaines Sciences '!E62,0)</f>
        <v>0</v>
      </c>
      <c r="F60" t="e">
        <f>IF('Items sous domaines Sciences '!#REF!=1,'Items sous domaines Sciences '!#REF!,0)</f>
        <v>#REF!</v>
      </c>
    </row>
    <row r="61" spans="1:7" customFormat="1" ht="43.95" hidden="1" customHeight="1" thickBot="1" x14ac:dyDescent="0.3">
      <c r="B61" s="8">
        <f>IF('Items sous domaines Sciences '!G63=1,'Items sous domaines Sciences '!B63,0)</f>
        <v>0</v>
      </c>
      <c r="C61" s="8">
        <f>IF('Items sous domaines Sciences '!G63=1,'Items sous domaines Sciences '!C63,0)</f>
        <v>0</v>
      </c>
      <c r="D61" s="8">
        <f>IF('Items sous domaines Sciences '!G63=1,'Items sous domaines Sciences '!D63,0)</f>
        <v>0</v>
      </c>
      <c r="E61" s="8">
        <f>IF('Items sous domaines Sciences '!G63=1,'Items sous domaines Sciences '!E63,0)</f>
        <v>0</v>
      </c>
      <c r="F61" t="e">
        <f>IF('Items sous domaines Sciences '!#REF!=1,'Items sous domaines Sciences '!#REF!,0)</f>
        <v>#REF!</v>
      </c>
    </row>
    <row r="62" spans="1:7" customFormat="1" ht="30" hidden="1" customHeight="1" thickBot="1" x14ac:dyDescent="0.3">
      <c r="B62" s="8">
        <f>IF('Items sous domaines Sciences '!G64=1,'Items sous domaines Sciences '!B64,0)</f>
        <v>0</v>
      </c>
      <c r="C62" s="8">
        <f>IF('Items sous domaines Sciences '!G64=1,'Items sous domaines Sciences '!C64,0)</f>
        <v>0</v>
      </c>
      <c r="D62" s="8">
        <f>IF('Items sous domaines Sciences '!G64=1,'Items sous domaines Sciences '!D64,0)</f>
        <v>0</v>
      </c>
      <c r="E62" s="8">
        <f>IF('Items sous domaines Sciences '!G64=1,'Items sous domaines Sciences '!E64,0)</f>
        <v>0</v>
      </c>
      <c r="F62">
        <f>IF('Items sous domaines Sciences '!G248=1,'Items sous domaines Sciences '!#REF!,0)</f>
        <v>0</v>
      </c>
    </row>
    <row r="63" spans="1:7" customFormat="1" ht="17.399999999999999" hidden="1" customHeight="1" thickBot="1" x14ac:dyDescent="0.3">
      <c r="A63" s="349" t="s">
        <v>397</v>
      </c>
      <c r="B63" s="8">
        <f>IF('Items sous domaines Sciences '!G65=1,'Items sous domaines Sciences '!B65,0)</f>
        <v>0</v>
      </c>
      <c r="C63" s="8">
        <f>IF('Items sous domaines Sciences '!G65=1,'Items sous domaines Sciences '!C65,0)</f>
        <v>0</v>
      </c>
      <c r="D63" s="8">
        <f>IF('Items sous domaines Sciences '!G65=1,'Items sous domaines Sciences '!D65,0)</f>
        <v>0</v>
      </c>
      <c r="E63" s="8">
        <f>IF('Items sous domaines Sciences '!G65=1,'Items sous domaines Sciences '!E65,0)</f>
        <v>0</v>
      </c>
      <c r="F63" s="339" t="s">
        <v>398</v>
      </c>
      <c r="G63" s="333" t="s">
        <v>399</v>
      </c>
    </row>
    <row r="64" spans="1:7" customFormat="1" ht="17.399999999999999" hidden="1" customHeight="1" thickBot="1" x14ac:dyDescent="0.3">
      <c r="A64" s="350"/>
      <c r="B64" s="8">
        <f>IF('Items sous domaines Sciences '!G66=1,'Items sous domaines Sciences '!B66,0)</f>
        <v>0</v>
      </c>
      <c r="C64" s="8">
        <f>IF('Items sous domaines Sciences '!G66=1,'Items sous domaines Sciences '!C66,0)</f>
        <v>0</v>
      </c>
      <c r="D64" s="8">
        <f>IF('Items sous domaines Sciences '!G66=1,'Items sous domaines Sciences '!D66,0)</f>
        <v>0</v>
      </c>
      <c r="E64" s="8">
        <f>IF('Items sous domaines Sciences '!G66=1,'Items sous domaines Sciences '!E66,0)</f>
        <v>0</v>
      </c>
      <c r="F64" s="340"/>
      <c r="G64" s="333"/>
    </row>
    <row r="65" spans="1:7" customFormat="1" ht="17.399999999999999" hidden="1" customHeight="1" thickBot="1" x14ac:dyDescent="0.3">
      <c r="A65" s="350"/>
      <c r="B65" s="8">
        <f>IF('Items sous domaines Sciences '!G67=1,'Items sous domaines Sciences '!B67,0)</f>
        <v>0</v>
      </c>
      <c r="C65" s="8">
        <f>IF('Items sous domaines Sciences '!G67=1,'Items sous domaines Sciences '!C67,0)</f>
        <v>0</v>
      </c>
      <c r="D65" s="8">
        <f>IF('Items sous domaines Sciences '!G67=1,'Items sous domaines Sciences '!D67,0)</f>
        <v>0</v>
      </c>
      <c r="E65" s="8">
        <f>IF('Items sous domaines Sciences '!G67=1,'Items sous domaines Sciences '!E67,0)</f>
        <v>0</v>
      </c>
      <c r="F65" s="340"/>
      <c r="G65" s="333"/>
    </row>
    <row r="66" spans="1:7" customFormat="1" ht="17.399999999999999" hidden="1" customHeight="1" thickBot="1" x14ac:dyDescent="0.3">
      <c r="A66" s="350"/>
      <c r="B66" s="8">
        <f>IF('Items sous domaines Sciences '!G68=1,'Items sous domaines Sciences '!B68,0)</f>
        <v>0</v>
      </c>
      <c r="C66" s="8">
        <f>IF('Items sous domaines Sciences '!G68=1,'Items sous domaines Sciences '!C68,0)</f>
        <v>0</v>
      </c>
      <c r="D66" s="8">
        <f>IF('Items sous domaines Sciences '!G68=1,'Items sous domaines Sciences '!D68,0)</f>
        <v>0</v>
      </c>
      <c r="E66" s="8">
        <f>IF('Items sous domaines Sciences '!G68=1,'Items sous domaines Sciences '!E68,0)</f>
        <v>0</v>
      </c>
      <c r="F66" s="340"/>
      <c r="G66" s="333"/>
    </row>
    <row r="67" spans="1:7" customFormat="1" ht="17.399999999999999" hidden="1" customHeight="1" thickBot="1" x14ac:dyDescent="0.3">
      <c r="A67" s="350"/>
      <c r="B67" s="8">
        <f>IF('Items sous domaines Sciences '!G69=1,'Items sous domaines Sciences '!B69,0)</f>
        <v>0</v>
      </c>
      <c r="C67" s="8">
        <f>IF('Items sous domaines Sciences '!G69=1,'Items sous domaines Sciences '!C69,0)</f>
        <v>0</v>
      </c>
      <c r="D67" s="8">
        <f>IF('Items sous domaines Sciences '!G69=1,'Items sous domaines Sciences '!D69,0)</f>
        <v>0</v>
      </c>
      <c r="E67" s="8">
        <f>IF('Items sous domaines Sciences '!G69=1,'Items sous domaines Sciences '!E69,0)</f>
        <v>0</v>
      </c>
      <c r="F67" s="340"/>
      <c r="G67" s="333"/>
    </row>
    <row r="68" spans="1:7" customFormat="1" ht="17.399999999999999" hidden="1" customHeight="1" thickBot="1" x14ac:dyDescent="0.3">
      <c r="A68" s="350"/>
      <c r="B68" s="8">
        <f>IF('Items sous domaines Sciences '!G70=1,'Items sous domaines Sciences '!B70,0)</f>
        <v>0</v>
      </c>
      <c r="C68" s="8">
        <f>IF('Items sous domaines Sciences '!G70=1,'Items sous domaines Sciences '!C70,0)</f>
        <v>0</v>
      </c>
      <c r="D68" s="8">
        <f>IF('Items sous domaines Sciences '!G70=1,'Items sous domaines Sciences '!D70,0)</f>
        <v>0</v>
      </c>
      <c r="E68" s="8">
        <f>IF('Items sous domaines Sciences '!G70=1,'Items sous domaines Sciences '!E70,0)</f>
        <v>0</v>
      </c>
      <c r="F68" s="340"/>
      <c r="G68" s="333"/>
    </row>
    <row r="69" spans="1:7" customFormat="1" ht="22.2" hidden="1" customHeight="1" thickBot="1" x14ac:dyDescent="0.3">
      <c r="A69" s="350"/>
      <c r="B69" s="8">
        <f>IF('Items sous domaines Sciences '!G71=1,'Items sous domaines Sciences '!B71,0)</f>
        <v>0</v>
      </c>
      <c r="C69" s="8">
        <f>IF('Items sous domaines Sciences '!G71=1,'Items sous domaines Sciences '!C71,0)</f>
        <v>0</v>
      </c>
      <c r="D69" s="8">
        <f>IF('Items sous domaines Sciences '!G71=1,'Items sous domaines Sciences '!D71,0)</f>
        <v>0</v>
      </c>
      <c r="E69" s="8">
        <f>IF('Items sous domaines Sciences '!G71=1,'Items sous domaines Sciences '!E71,0)</f>
        <v>0</v>
      </c>
      <c r="F69" s="340"/>
      <c r="G69" s="333"/>
    </row>
    <row r="70" spans="1:7" customFormat="1" ht="17.399999999999999" hidden="1" customHeight="1" thickBot="1" x14ac:dyDescent="0.3">
      <c r="A70" s="350"/>
      <c r="B70" s="8">
        <f>IF('Items sous domaines Sciences '!G72=1,'Items sous domaines Sciences '!B72,0)</f>
        <v>0</v>
      </c>
      <c r="C70" s="8">
        <f>IF('Items sous domaines Sciences '!G72=1,'Items sous domaines Sciences '!C72,0)</f>
        <v>0</v>
      </c>
      <c r="D70" s="8">
        <f>IF('Items sous domaines Sciences '!G72=1,'Items sous domaines Sciences '!D72,0)</f>
        <v>0</v>
      </c>
      <c r="E70" s="8">
        <f>IF('Items sous domaines Sciences '!G72=1,'Items sous domaines Sciences '!E72,0)</f>
        <v>0</v>
      </c>
      <c r="F70" s="340"/>
      <c r="G70" s="333"/>
    </row>
    <row r="71" spans="1:7" customFormat="1" ht="27.6" hidden="1" customHeight="1" thickBot="1" x14ac:dyDescent="0.3">
      <c r="A71" s="350"/>
      <c r="B71" s="8">
        <f>IF('Items sous domaines Sciences '!G73=1,'Items sous domaines Sciences '!B73,0)</f>
        <v>0</v>
      </c>
      <c r="C71" s="8">
        <f>IF('Items sous domaines Sciences '!G73=1,'Items sous domaines Sciences '!C73,0)</f>
        <v>0</v>
      </c>
      <c r="D71" s="8">
        <f>IF('Items sous domaines Sciences '!G73=1,'Items sous domaines Sciences '!D73,0)</f>
        <v>0</v>
      </c>
      <c r="E71" s="8">
        <f>IF('Items sous domaines Sciences '!G73=1,'Items sous domaines Sciences '!E73,0)</f>
        <v>0</v>
      </c>
      <c r="F71" s="340"/>
      <c r="G71" s="333"/>
    </row>
    <row r="72" spans="1:7" customFormat="1" ht="17.399999999999999" hidden="1" customHeight="1" thickBot="1" x14ac:dyDescent="0.3">
      <c r="A72" s="351"/>
      <c r="B72" s="8">
        <f>IF('Items sous domaines Sciences '!G74=1,'Items sous domaines Sciences '!B74,0)</f>
        <v>0</v>
      </c>
      <c r="C72" s="8">
        <f>IF('Items sous domaines Sciences '!G74=1,'Items sous domaines Sciences '!C74,0)</f>
        <v>0</v>
      </c>
      <c r="D72" s="8">
        <f>IF('Items sous domaines Sciences '!G74=1,'Items sous domaines Sciences '!D74,0)</f>
        <v>0</v>
      </c>
      <c r="E72" s="8">
        <f>IF('Items sous domaines Sciences '!G74=1,'Items sous domaines Sciences '!E74,0)</f>
        <v>0</v>
      </c>
      <c r="F72" s="341"/>
      <c r="G72" s="333"/>
    </row>
    <row r="73" spans="1:7" customFormat="1" ht="17.399999999999999" hidden="1" customHeight="1" thickBot="1" x14ac:dyDescent="0.3">
      <c r="B73" s="8">
        <f>IF('Items sous domaines Sciences '!G75=1,'Items sous domaines Sciences '!B75,0)</f>
        <v>0</v>
      </c>
      <c r="C73" s="8">
        <f>IF('Items sous domaines Sciences '!G75=1,'Items sous domaines Sciences '!C75,0)</f>
        <v>0</v>
      </c>
      <c r="D73" s="8">
        <f>IF('Items sous domaines Sciences '!G75=1,'Items sous domaines Sciences '!D75,0)</f>
        <v>0</v>
      </c>
      <c r="E73" s="8">
        <f>IF('Items sous domaines Sciences '!G75=1,'Items sous domaines Sciences '!E75,0)</f>
        <v>0</v>
      </c>
      <c r="F73">
        <f>IF('Items sous domaines Sciences '!G308=1,'Items sous domaines Sciences '!#REF!,0)</f>
        <v>0</v>
      </c>
    </row>
    <row r="74" spans="1:7" customFormat="1" ht="17.399999999999999" hidden="1" customHeight="1" thickBot="1" x14ac:dyDescent="0.3">
      <c r="B74" s="8">
        <f>IF('Items sous domaines Sciences '!G76=1,'Items sous domaines Sciences '!B76,0)</f>
        <v>0</v>
      </c>
      <c r="C74" s="8">
        <f>IF('Items sous domaines Sciences '!G76=1,'Items sous domaines Sciences '!C76,0)</f>
        <v>0</v>
      </c>
      <c r="D74" s="8">
        <f>IF('Items sous domaines Sciences '!G76=1,'Items sous domaines Sciences '!D76,0)</f>
        <v>0</v>
      </c>
      <c r="E74" s="8">
        <f>IF('Items sous domaines Sciences '!G76=1,'Items sous domaines Sciences '!E76,0)</f>
        <v>0</v>
      </c>
      <c r="F74">
        <f>IF('Items sous domaines Sciences '!G309=1,'Items sous domaines Sciences '!#REF!,0)</f>
        <v>0</v>
      </c>
    </row>
    <row r="75" spans="1:7" customFormat="1" ht="17.399999999999999" hidden="1" customHeight="1" thickBot="1" x14ac:dyDescent="0.3">
      <c r="B75" s="8">
        <f>IF('Items sous domaines Sciences '!G77=1,'Items sous domaines Sciences '!B77,0)</f>
        <v>0</v>
      </c>
      <c r="C75" s="8">
        <f>IF('Items sous domaines Sciences '!G77=1,'Items sous domaines Sciences '!C77,0)</f>
        <v>0</v>
      </c>
      <c r="D75" s="8">
        <f>IF('Items sous domaines Sciences '!G77=1,'Items sous domaines Sciences '!D77,0)</f>
        <v>0</v>
      </c>
      <c r="E75" s="8">
        <f>IF('Items sous domaines Sciences '!G77=1,'Items sous domaines Sciences '!E77,0)</f>
        <v>0</v>
      </c>
      <c r="F75">
        <f>IF('Items sous domaines Sciences '!G310=1,'Items sous domaines Sciences '!#REF!,0)</f>
        <v>0</v>
      </c>
    </row>
    <row r="76" spans="1:7" customFormat="1" ht="17.399999999999999" hidden="1" customHeight="1" thickBot="1" x14ac:dyDescent="0.3">
      <c r="B76" s="8">
        <f>IF('Items sous domaines Sciences '!G78=1,'Items sous domaines Sciences '!B78,0)</f>
        <v>0</v>
      </c>
      <c r="C76" s="8">
        <f>IF('Items sous domaines Sciences '!G78=1,'Items sous domaines Sciences '!C78,0)</f>
        <v>0</v>
      </c>
      <c r="D76" s="8">
        <f>IF('Items sous domaines Sciences '!G78=1,'Items sous domaines Sciences '!D78,0)</f>
        <v>0</v>
      </c>
      <c r="E76" s="8">
        <f>IF('Items sous domaines Sciences '!G78=1,'Items sous domaines Sciences '!E78,0)</f>
        <v>0</v>
      </c>
      <c r="F76" t="e">
        <f>IF('Items sous domaines Sciences '!#REF!=1,'Items sous domaines Sciences '!#REF!,0)</f>
        <v>#REF!</v>
      </c>
    </row>
    <row r="77" spans="1:7" ht="19.95" customHeight="1" thickTop="1" x14ac:dyDescent="0.25">
      <c r="A77" s="354" t="s">
        <v>400</v>
      </c>
      <c r="B77" s="57" t="str">
        <f>IF('Items sous domaines Sciences '!G79=1,'Items sous domaines Sciences '!B79,0)</f>
        <v>Electricité - Electromagnétisme</v>
      </c>
      <c r="C77" s="211" t="str">
        <f>IF('Items sous domaines Sciences '!G79=1,'Items sous domaines Sciences '!C79,0)</f>
        <v>Electricité</v>
      </c>
      <c r="D77" s="214" t="str">
        <f>IF('Items sous domaines Sciences '!G79=1,'Items sous domaines Sciences '!D79,0)</f>
        <v>Electricité - courant continu</v>
      </c>
      <c r="E77" s="214" t="str">
        <f>IF('Items sous domaines Sciences '!G79=1,'Items sous domaines Sciences '!E79,0)</f>
        <v>Identifier les différents composants d'un circuit électrique (générateur, résistance, diode, transistor…) (prérequis).</v>
      </c>
      <c r="F77" s="379" t="s">
        <v>401</v>
      </c>
      <c r="G77" s="204" t="s">
        <v>402</v>
      </c>
    </row>
    <row r="78" spans="1:7" ht="19.95" customHeight="1" x14ac:dyDescent="0.25">
      <c r="A78" s="355"/>
      <c r="B78" s="57" t="str">
        <f>IF('Items sous domaines Sciences '!G80=1,'Items sous domaines Sciences '!B80,0)</f>
        <v>Electricité - Electromagnétisme</v>
      </c>
      <c r="C78" s="196" t="str">
        <f>IF('Items sous domaines Sciences '!G80=1,'Items sous domaines Sciences '!C80,0)</f>
        <v>Electricité</v>
      </c>
      <c r="D78" s="197">
        <f>IF('Items sous domaines Sciences '!G80=1,'Items sous domaines Sciences '!D80,0)</f>
        <v>0</v>
      </c>
      <c r="E78" s="194" t="str">
        <f>IF('Items sous domaines Sciences '!G80=1,'Items sous domaines Sciences '!E80,0)</f>
        <v>Connaître les conventions (générateur et récepteur, sens du courant) (prérequis).</v>
      </c>
      <c r="F78" s="380"/>
      <c r="G78" s="205"/>
    </row>
    <row r="79" spans="1:7" ht="19.95" customHeight="1" x14ac:dyDescent="0.25">
      <c r="A79" s="355"/>
      <c r="B79" s="57" t="str">
        <f>IF('Items sous domaines Sciences '!G81=1,'Items sous domaines Sciences '!B81,0)</f>
        <v>Electricité - Electromagnétisme</v>
      </c>
      <c r="C79" s="213" t="str">
        <f>IF('Items sous domaines Sciences '!G81=1,'Items sous domaines Sciences '!C81,0)</f>
        <v>Electricité</v>
      </c>
      <c r="D79" s="216">
        <f>IF('Items sous domaines Sciences '!G81=1,'Items sous domaines Sciences '!D81,0)</f>
        <v>0</v>
      </c>
      <c r="E79" s="216" t="str">
        <f>IF('Items sous domaines Sciences '!G81=1,'Items sous domaines Sciences '!E81,0)</f>
        <v>Produire une mesure physique à l'aide de l'outil adapté (prérequis).</v>
      </c>
      <c r="F79" s="380"/>
      <c r="G79" s="205"/>
    </row>
    <row r="80" spans="1:7" ht="19.95" customHeight="1" x14ac:dyDescent="0.25">
      <c r="A80" s="355"/>
      <c r="B80" s="57" t="str">
        <f>IF('Items sous domaines Sciences '!G82=1,'Items sous domaines Sciences '!B82,0)</f>
        <v>Electricité - Electromagnétisme</v>
      </c>
      <c r="C80" s="196" t="str">
        <f>IF('Items sous domaines Sciences '!G82=1,'Items sous domaines Sciences '!C82,0)</f>
        <v>Electricité</v>
      </c>
      <c r="D80" s="197">
        <f>IF('Items sous domaines Sciences '!G82=1,'Items sous domaines Sciences '!D82,0)</f>
        <v>0</v>
      </c>
      <c r="E80" s="194" t="str">
        <f>IF('Items sous domaines Sciences '!G82=1,'Items sous domaines Sciences '!E82,0)</f>
        <v>Décrire la constitution et le fonctionnement d'une résistance.</v>
      </c>
      <c r="F80" s="380"/>
      <c r="G80" s="205"/>
    </row>
    <row r="81" spans="1:7" ht="19.95" customHeight="1" x14ac:dyDescent="0.25">
      <c r="A81" s="355"/>
      <c r="B81" s="57" t="str">
        <f>IF('Items sous domaines Sciences '!G83=1,'Items sous domaines Sciences '!B83,0)</f>
        <v>Electricité - Electromagnétisme</v>
      </c>
      <c r="C81" s="213" t="str">
        <f>IF('Items sous domaines Sciences '!G83=1,'Items sous domaines Sciences '!C83,0)</f>
        <v>Electricité</v>
      </c>
      <c r="D81" s="216">
        <f>IF('Items sous domaines Sciences '!G83=1,'Items sous domaines Sciences '!D83,0)</f>
        <v>0</v>
      </c>
      <c r="E81" s="216" t="str">
        <f>IF('Items sous domaines Sciences '!G83=1,'Items sous domaines Sciences '!E83,0)</f>
        <v>Expliquer la notion de différence de potentiel.</v>
      </c>
      <c r="F81" s="380"/>
      <c r="G81" s="205"/>
    </row>
    <row r="82" spans="1:7" ht="19.95" customHeight="1" x14ac:dyDescent="0.25">
      <c r="A82" s="355"/>
      <c r="B82" s="57" t="str">
        <f>IF('Items sous domaines Sciences '!G84=1,'Items sous domaines Sciences '!B84,0)</f>
        <v>Electricité - Electromagnétisme</v>
      </c>
      <c r="C82" s="196" t="str">
        <f>IF('Items sous domaines Sciences '!G84=1,'Items sous domaines Sciences '!C84,0)</f>
        <v>Electricité</v>
      </c>
      <c r="D82" s="197">
        <f>IF('Items sous domaines Sciences '!G84=1,'Items sous domaines Sciences '!D84,0)</f>
        <v>0</v>
      </c>
      <c r="E82" s="194" t="str">
        <f>IF('Items sous domaines Sciences '!G84=1,'Items sous domaines Sciences '!E84,0)</f>
        <v>Appliquer la loi d’Ohm.</v>
      </c>
      <c r="F82" s="380"/>
      <c r="G82" s="205"/>
    </row>
    <row r="83" spans="1:7" ht="19.95" customHeight="1" x14ac:dyDescent="0.25">
      <c r="A83" s="355"/>
      <c r="B83" s="57" t="str">
        <f>IF('Items sous domaines Sciences '!G85=1,'Items sous domaines Sciences '!B85,0)</f>
        <v>Electricité - Electromagnétisme</v>
      </c>
      <c r="C83" s="213" t="str">
        <f>IF('Items sous domaines Sciences '!G85=1,'Items sous domaines Sciences '!C85,0)</f>
        <v>Electricité</v>
      </c>
      <c r="D83" s="216">
        <f>IF('Items sous domaines Sciences '!G85=1,'Items sous domaines Sciences '!D85,0)</f>
        <v>0</v>
      </c>
      <c r="E83" s="216" t="str">
        <f>IF('Items sous domaines Sciences '!G85=1,'Items sous domaines Sciences '!E85,0)</f>
        <v>Appliquer les lois de Kirchhoff.</v>
      </c>
      <c r="F83" s="380"/>
      <c r="G83" s="205"/>
    </row>
    <row r="84" spans="1:7" ht="19.95" customHeight="1" x14ac:dyDescent="0.25">
      <c r="A84" s="355"/>
      <c r="B84" s="57" t="str">
        <f>IF('Items sous domaines Sciences '!G86=1,'Items sous domaines Sciences '!B86,0)</f>
        <v>Electricité - Electromagnétisme</v>
      </c>
      <c r="C84" s="196" t="str">
        <f>IF('Items sous domaines Sciences '!G86=1,'Items sous domaines Sciences '!C86,0)</f>
        <v>Electricité</v>
      </c>
      <c r="D84" s="197">
        <f>IF('Items sous domaines Sciences '!G86=1,'Items sous domaines Sciences '!D86,0)</f>
        <v>0</v>
      </c>
      <c r="E84" s="194" t="str">
        <f>IF('Items sous domaines Sciences '!G86=1,'Items sous domaines Sciences '!E86,0)</f>
        <v>Calculer une résistance équivalente.</v>
      </c>
      <c r="F84" s="380"/>
      <c r="G84" s="205"/>
    </row>
    <row r="85" spans="1:7" ht="19.95" customHeight="1" x14ac:dyDescent="0.25">
      <c r="A85" s="355"/>
      <c r="B85" s="57" t="str">
        <f>IF('Items sous domaines Sciences '!G87=1,'Items sous domaines Sciences '!B87,0)</f>
        <v>Electricité - Electromagnétisme</v>
      </c>
      <c r="C85" s="213" t="str">
        <f>IF('Items sous domaines Sciences '!G87=1,'Items sous domaines Sciences '!C87,0)</f>
        <v>Electricité</v>
      </c>
      <c r="D85" s="216">
        <f>IF('Items sous domaines Sciences '!G87=1,'Items sous domaines Sciences '!D87,0)</f>
        <v>0</v>
      </c>
      <c r="E85" s="216" t="str">
        <f>IF('Items sous domaines Sciences '!G87=1,'Items sous domaines Sciences '!E87,0)</f>
        <v>Appliquer le théorème de Thévenin.</v>
      </c>
      <c r="F85" s="380"/>
      <c r="G85" s="205"/>
    </row>
    <row r="86" spans="1:7" ht="19.95" customHeight="1" x14ac:dyDescent="0.25">
      <c r="A86" s="355"/>
      <c r="B86" s="57" t="str">
        <f>IF('Items sous domaines Sciences '!G88=1,'Items sous domaines Sciences '!B88,0)</f>
        <v>Electricité - Electromagnétisme</v>
      </c>
      <c r="C86" s="196" t="str">
        <f>IF('Items sous domaines Sciences '!G88=1,'Items sous domaines Sciences '!C88,0)</f>
        <v>Electricité</v>
      </c>
      <c r="D86" s="197">
        <f>IF('Items sous domaines Sciences '!G88=1,'Items sous domaines Sciences '!D88,0)</f>
        <v>0</v>
      </c>
      <c r="E86" s="194" t="str">
        <f>IF('Items sous domaines Sciences '!G88=1,'Items sous domaines Sciences '!E88,0)</f>
        <v>Appliquer le théorème du pont diviseur de tension.</v>
      </c>
      <c r="F86" s="380"/>
      <c r="G86" s="205"/>
    </row>
    <row r="87" spans="1:7" ht="19.95" customHeight="1" thickBot="1" x14ac:dyDescent="0.3">
      <c r="A87" s="355"/>
      <c r="B87" s="57" t="str">
        <f>IF('Items sous domaines Sciences '!G89=1,'Items sous domaines Sciences '!B89,0)</f>
        <v>Electricité - Electromagnétisme</v>
      </c>
      <c r="C87" s="213" t="str">
        <f>IF('Items sous domaines Sciences '!G89=1,'Items sous domaines Sciences '!C89,0)</f>
        <v>Electricité</v>
      </c>
      <c r="D87" s="216">
        <f>IF('Items sous domaines Sciences '!G89=1,'Items sous domaines Sciences '!D89,0)</f>
        <v>0</v>
      </c>
      <c r="E87" s="216" t="str">
        <f>IF('Items sous domaines Sciences '!G89=1,'Items sous domaines Sciences '!E89,0)</f>
        <v>Décrire le fonctionnement d’une jonction PN.</v>
      </c>
      <c r="F87" s="380"/>
      <c r="G87" s="205"/>
    </row>
    <row r="88" spans="1:7" ht="19.95" customHeight="1" thickTop="1" x14ac:dyDescent="0.25">
      <c r="A88" s="355"/>
      <c r="B88" s="57" t="str">
        <f>IF('Items sous domaines Sciences '!G90=1,'Items sous domaines Sciences '!B90,0)</f>
        <v>Electricité - Electromagnétisme</v>
      </c>
      <c r="C88" s="196" t="str">
        <f>IF('Items sous domaines Sciences '!G90=1,'Items sous domaines Sciences '!C90,0)</f>
        <v>Electricité</v>
      </c>
      <c r="D88" s="197">
        <f>IF('Items sous domaines Sciences '!G90=1,'Items sous domaines Sciences '!D90,0)</f>
        <v>0</v>
      </c>
      <c r="E88" s="194" t="str">
        <f>IF('Items sous domaines Sciences '!G90=1,'Items sous domaines Sciences '!E90,0)</f>
        <v>Décrire le fonctionnement d’une diode (caractéristique, polarisation directe et inverse).</v>
      </c>
      <c r="F88" s="379"/>
      <c r="G88" s="205"/>
    </row>
    <row r="89" spans="1:7" ht="19.95" customHeight="1" x14ac:dyDescent="0.25">
      <c r="A89" s="355"/>
      <c r="B89" s="57" t="str">
        <f>IF('Items sous domaines Sciences '!G91=1,'Items sous domaines Sciences '!B91,0)</f>
        <v>Electricité - Electromagnétisme</v>
      </c>
      <c r="C89" s="213" t="str">
        <f>IF('Items sous domaines Sciences '!G91=1,'Items sous domaines Sciences '!C91,0)</f>
        <v>Electricité</v>
      </c>
      <c r="D89" s="216">
        <f>IF('Items sous domaines Sciences '!G91=1,'Items sous domaines Sciences '!D91,0)</f>
        <v>0</v>
      </c>
      <c r="E89" s="216" t="str">
        <f>IF('Items sous domaines Sciences '!G91=1,'Items sous domaines Sciences '!E91,0)</f>
        <v>Décrire le fonctionnement d’un transistor (caractéristique, polarisations).</v>
      </c>
      <c r="F89" s="380"/>
      <c r="G89" s="336"/>
    </row>
    <row r="90" spans="1:7" ht="19.95" customHeight="1" x14ac:dyDescent="0.25">
      <c r="A90" s="355"/>
      <c r="B90" s="57" t="str">
        <f>IF('Items sous domaines Sciences '!G92=1,'Items sous domaines Sciences '!B92,0)</f>
        <v>Electricité - Electromagnétisme</v>
      </c>
      <c r="C90" s="196" t="str">
        <f>IF('Items sous domaines Sciences '!G92=1,'Items sous domaines Sciences '!C92,0)</f>
        <v>Electricité</v>
      </c>
      <c r="D90" s="197">
        <f>IF('Items sous domaines Sciences '!G92=1,'Items sous domaines Sciences '!D92,0)</f>
        <v>0</v>
      </c>
      <c r="E90" s="194" t="str">
        <f>IF('Items sous domaines Sciences '!G92=1,'Items sous domaines Sciences '!E92,0)</f>
        <v>Utiliser le transistor en mode commutation.</v>
      </c>
      <c r="F90" s="380"/>
      <c r="G90" s="373"/>
    </row>
    <row r="91" spans="1:7" ht="19.95" customHeight="1" x14ac:dyDescent="0.25">
      <c r="A91" s="355"/>
      <c r="B91" s="57" t="str">
        <f>IF('Items sous domaines Sciences '!G93=1,'Items sous domaines Sciences '!B93,0)</f>
        <v>Electricité - Electromagnétisme</v>
      </c>
      <c r="C91" s="213" t="str">
        <f>IF('Items sous domaines Sciences '!G93=1,'Items sous domaines Sciences '!C93,0)</f>
        <v>Electricité</v>
      </c>
      <c r="D91" s="216">
        <f>IF('Items sous domaines Sciences '!G93=1,'Items sous domaines Sciences '!D93,0)</f>
        <v>0</v>
      </c>
      <c r="E91" s="216" t="str">
        <f>IF('Items sous domaines Sciences '!G93=1,'Items sous domaines Sciences '!E93,0)</f>
        <v>Sélectionner les composants adéquats pour la conception d'un circuit électronique.</v>
      </c>
      <c r="F91" s="380"/>
      <c r="G91" s="373"/>
    </row>
    <row r="92" spans="1:7" ht="19.95" customHeight="1" x14ac:dyDescent="0.25">
      <c r="A92" s="355"/>
      <c r="B92" s="57" t="str">
        <f>IF('Items sous domaines Sciences '!G94=1,'Items sous domaines Sciences '!B94,0)</f>
        <v>Electricité - Electromagnétisme</v>
      </c>
      <c r="C92" s="196" t="str">
        <f>IF('Items sous domaines Sciences '!G94=1,'Items sous domaines Sciences '!C94,0)</f>
        <v>Electricité</v>
      </c>
      <c r="D92" s="197">
        <f>IF('Items sous domaines Sciences '!G94=1,'Items sous domaines Sciences '!D94,0)</f>
        <v>0</v>
      </c>
      <c r="E92" s="194" t="str">
        <f>IF('Items sous domaines Sciences '!G94=1,'Items sous domaines Sciences '!E94,0)</f>
        <v>Traduire une opération logique en schéma électronique simple à base de transistors.</v>
      </c>
      <c r="F92" s="380"/>
      <c r="G92" s="373"/>
    </row>
    <row r="93" spans="1:7" ht="19.95" customHeight="1" x14ac:dyDescent="0.25">
      <c r="A93" s="355"/>
      <c r="B93" s="57" t="str">
        <f>IF('Items sous domaines Sciences '!G95=1,'Items sous domaines Sciences '!B95,0)</f>
        <v>Electricité - Electromagnétisme</v>
      </c>
      <c r="C93" s="213" t="str">
        <f>IF('Items sous domaines Sciences '!G95=1,'Items sous domaines Sciences '!C95,0)</f>
        <v>Electricité</v>
      </c>
      <c r="D93" s="216">
        <f>IF('Items sous domaines Sciences '!G95=1,'Items sous domaines Sciences '!D95,0)</f>
        <v>0</v>
      </c>
      <c r="E93" s="216" t="str">
        <f>IF('Items sous domaines Sciences '!G95=1,'Items sous domaines Sciences '!E95,0)</f>
        <v>Appliquer le théorème de superposition.</v>
      </c>
      <c r="F93" s="380"/>
      <c r="G93" s="373"/>
    </row>
    <row r="94" spans="1:7" ht="19.95" customHeight="1" x14ac:dyDescent="0.25">
      <c r="A94" s="355"/>
      <c r="B94" s="57" t="str">
        <f>IF('Items sous domaines Sciences '!G96=1,'Items sous domaines Sciences '!B96,0)</f>
        <v>Electricité - Electromagnétisme</v>
      </c>
      <c r="C94" s="196" t="str">
        <f>IF('Items sous domaines Sciences '!G96=1,'Items sous domaines Sciences '!C96,0)</f>
        <v>Electricité</v>
      </c>
      <c r="D94" s="197" t="str">
        <f>IF('Items sous domaines Sciences '!G96=1,'Items sous domaines Sciences '!D96,0)</f>
        <v>Electricité - courant alternatif</v>
      </c>
      <c r="E94" s="194" t="str">
        <f>IF('Items sous domaines Sciences '!G96=1,'Items sous domaines Sciences '!E96,0)</f>
        <v>Expliquer le mécanisme de transformation d'une onde en signal électrique et inversement (principe du micro et du haut-parleur).</v>
      </c>
      <c r="F94" s="380"/>
      <c r="G94" s="373"/>
    </row>
    <row r="95" spans="1:7" ht="19.95" customHeight="1" x14ac:dyDescent="0.25">
      <c r="A95" s="355"/>
      <c r="B95" s="57" t="str">
        <f>IF('Items sous domaines Sciences '!G97=1,'Items sous domaines Sciences '!B97,0)</f>
        <v>Electricité - Electromagnétisme</v>
      </c>
      <c r="C95" s="213" t="str">
        <f>IF('Items sous domaines Sciences '!G97=1,'Items sous domaines Sciences '!C97,0)</f>
        <v>Electricité</v>
      </c>
      <c r="D95" s="216">
        <f>IF('Items sous domaines Sciences '!G97=1,'Items sous domaines Sciences '!D97,0)</f>
        <v>0</v>
      </c>
      <c r="E95" s="216" t="str">
        <f>IF('Items sous domaines Sciences '!G97=1,'Items sous domaines Sciences '!E97,0)</f>
        <v>Décrire les caractéristiques physiques d'un circuit et de ses composants soumis à un courant alternatif (inductance, capacité, impédance, phase, admittance).</v>
      </c>
      <c r="F95" s="380"/>
      <c r="G95" s="373"/>
    </row>
    <row r="96" spans="1:7" ht="19.95" customHeight="1" x14ac:dyDescent="0.25">
      <c r="A96" s="355"/>
      <c r="B96" s="57" t="str">
        <f>IF('Items sous domaines Sciences '!G98=1,'Items sous domaines Sciences '!B98,0)</f>
        <v>Electricité - Electromagnétisme</v>
      </c>
      <c r="C96" s="196" t="str">
        <f>IF('Items sous domaines Sciences '!G98=1,'Items sous domaines Sciences '!C98,0)</f>
        <v>Electricité</v>
      </c>
      <c r="D96" s="197">
        <f>IF('Items sous domaines Sciences '!G98=1,'Items sous domaines Sciences '!D98,0)</f>
        <v>0</v>
      </c>
      <c r="E96" s="194" t="str">
        <f>IF('Items sous domaines Sciences '!G98=1,'Items sous domaines Sciences '!E98,0)</f>
        <v>Représenter et manipuler les grandeurs électriques à l'aide des nombres complexes.</v>
      </c>
      <c r="F96" s="380"/>
      <c r="G96" s="373"/>
    </row>
    <row r="97" spans="1:7" ht="19.95" customHeight="1" x14ac:dyDescent="0.25">
      <c r="A97" s="355"/>
      <c r="B97" s="57" t="str">
        <f>IF('Items sous domaines Sciences '!G99=1,'Items sous domaines Sciences '!B99,0)</f>
        <v>Electricité - Electromagnétisme</v>
      </c>
      <c r="C97" s="213" t="str">
        <f>IF('Items sous domaines Sciences '!G99=1,'Items sous domaines Sciences '!C99,0)</f>
        <v>Electricité</v>
      </c>
      <c r="D97" s="216">
        <f>IF('Items sous domaines Sciences '!G99=1,'Items sous domaines Sciences '!D99,0)</f>
        <v>0</v>
      </c>
      <c r="E97" s="216" t="str">
        <f>IF('Items sous domaines Sciences '!G99=1,'Items sous domaines Sciences '!E99,0)</f>
        <v>Expliquer le principe de l'électromagnétisme dans le contexte d'une bobine.</v>
      </c>
      <c r="F97" s="380"/>
      <c r="G97" s="373"/>
    </row>
    <row r="98" spans="1:7" ht="19.95" customHeight="1" thickBot="1" x14ac:dyDescent="0.3">
      <c r="A98" s="355"/>
      <c r="B98" s="57" t="str">
        <f>IF('Items sous domaines Sciences '!G100=1,'Items sous domaines Sciences '!B100,0)</f>
        <v>Electricité - Electromagnétisme</v>
      </c>
      <c r="C98" s="196" t="str">
        <f>IF('Items sous domaines Sciences '!G100=1,'Items sous domaines Sciences '!C100,0)</f>
        <v>Electricité</v>
      </c>
      <c r="D98" s="197">
        <f>IF('Items sous domaines Sciences '!G100=1,'Items sous domaines Sciences '!D100,0)</f>
        <v>0</v>
      </c>
      <c r="E98" s="194" t="str">
        <f>IF('Items sous domaines Sciences '!G100=1,'Items sous domaines Sciences '!E100,0)</f>
        <v>Établir la fonction de transfert d'un système de type micro.</v>
      </c>
      <c r="F98" s="380"/>
      <c r="G98" s="336"/>
    </row>
    <row r="99" spans="1:7" ht="19.95" customHeight="1" thickTop="1" x14ac:dyDescent="0.25">
      <c r="A99" s="355"/>
      <c r="B99" s="57" t="str">
        <f>IF('Items sous domaines Sciences '!G101=1,'Items sous domaines Sciences '!B101,0)</f>
        <v>Electricité - Electromagnétisme</v>
      </c>
      <c r="C99" s="213" t="str">
        <f>IF('Items sous domaines Sciences '!G101=1,'Items sous domaines Sciences '!C101,0)</f>
        <v>Electricité</v>
      </c>
      <c r="D99" s="216">
        <f>IF('Items sous domaines Sciences '!G101=1,'Items sous domaines Sciences '!D101,0)</f>
        <v>0</v>
      </c>
      <c r="E99" s="216" t="str">
        <f>IF('Items sous domaines Sciences '!G101=1,'Items sous domaines Sciences '!E101,0)</f>
        <v>Interpréter une courbe de réponse fréquentielle.</v>
      </c>
      <c r="F99" s="379"/>
      <c r="G99" s="336"/>
    </row>
    <row r="100" spans="1:7" ht="19.95" customHeight="1" x14ac:dyDescent="0.25">
      <c r="A100" s="355"/>
      <c r="B100" s="57" t="str">
        <f>IF('Items sous domaines Sciences '!G102=1,'Items sous domaines Sciences '!B102,0)</f>
        <v>Electricité - Electromagnétisme</v>
      </c>
      <c r="C100" s="196" t="str">
        <f>IF('Items sous domaines Sciences '!G102=1,'Items sous domaines Sciences '!C102,0)</f>
        <v>Electricité</v>
      </c>
      <c r="D100" s="197">
        <f>IF('Items sous domaines Sciences '!G102=1,'Items sous domaines Sciences '!D102,0)</f>
        <v>0</v>
      </c>
      <c r="E100" s="194" t="str">
        <f>IF('Items sous domaines Sciences '!G102=1,'Items sous domaines Sciences '!E102,0)</f>
        <v>Analyser la qualité de la transmission du signal en calculant le rapport signal/bruit.</v>
      </c>
      <c r="F100" s="380"/>
      <c r="G100" s="373"/>
    </row>
    <row r="101" spans="1:7" ht="19.95" customHeight="1" x14ac:dyDescent="0.25">
      <c r="A101" s="355"/>
      <c r="B101" s="57" t="str">
        <f>IF('Items sous domaines Sciences '!G103=1,'Items sous domaines Sciences '!B103,0)</f>
        <v>Electricité - Electromagnétisme</v>
      </c>
      <c r="C101" s="213" t="str">
        <f>IF('Items sous domaines Sciences '!G103=1,'Items sous domaines Sciences '!C103,0)</f>
        <v>Electricité</v>
      </c>
      <c r="D101" s="216" t="str">
        <f>IF('Items sous domaines Sciences '!G103=1,'Items sous domaines Sciences '!D103,0)</f>
        <v>Electronique - montages</v>
      </c>
      <c r="E101" s="216" t="str">
        <f>IF('Items sous domaines Sciences '!G103=1,'Items sous domaines Sciences '!E103,0)</f>
        <v>Expliquer le comportement du condensateur dans un circuit (propriétés, charge/décharge, constante de temps).</v>
      </c>
      <c r="F101" s="380"/>
      <c r="G101" s="336"/>
    </row>
    <row r="102" spans="1:7" ht="19.95" customHeight="1" x14ac:dyDescent="0.25">
      <c r="A102" s="355"/>
      <c r="B102" s="57" t="str">
        <f>IF('Items sous domaines Sciences '!G104=1,'Items sous domaines Sciences '!B104,0)</f>
        <v>Electricité - Electromagnétisme</v>
      </c>
      <c r="C102" s="196" t="str">
        <f>IF('Items sous domaines Sciences '!G104=1,'Items sous domaines Sciences '!C104,0)</f>
        <v>Electricité</v>
      </c>
      <c r="D102" s="197">
        <f>IF('Items sous domaines Sciences '!G104=1,'Items sous domaines Sciences '!D104,0)</f>
        <v>0</v>
      </c>
      <c r="E102" s="194" t="str">
        <f>IF('Items sous domaines Sciences '!G104=1,'Items sous domaines Sciences '!E104,0)</f>
        <v>Expliquer le comportement d'une bobine dans un circuit (propriétés, résistance propre, inductance, constante de temps).</v>
      </c>
      <c r="F102" s="380"/>
      <c r="G102" s="373"/>
    </row>
    <row r="103" spans="1:7" ht="19.95" customHeight="1" x14ac:dyDescent="0.25">
      <c r="A103" s="355"/>
      <c r="B103" s="57" t="str">
        <f>IF('Items sous domaines Sciences '!G105=1,'Items sous domaines Sciences '!B105,0)</f>
        <v>Electricité - Electromagnétisme</v>
      </c>
      <c r="C103" s="213" t="str">
        <f>IF('Items sous domaines Sciences '!G105=1,'Items sous domaines Sciences '!C105,0)</f>
        <v>Electricité</v>
      </c>
      <c r="D103" s="216">
        <f>IF('Items sous domaines Sciences '!G105=1,'Items sous domaines Sciences '!D105,0)</f>
        <v>0</v>
      </c>
      <c r="E103" s="216" t="str">
        <f>IF('Items sous domaines Sciences '!G105=1,'Items sous domaines Sciences '!E105,0)</f>
        <v>Expérimenter différents filtres : RL, RC, RLC.</v>
      </c>
      <c r="F103" s="380"/>
      <c r="G103" s="336"/>
    </row>
    <row r="104" spans="1:7" ht="19.95" customHeight="1" x14ac:dyDescent="0.25">
      <c r="A104" s="355"/>
      <c r="B104" s="57" t="str">
        <f>IF('Items sous domaines Sciences '!G106=1,'Items sous domaines Sciences '!B106,0)</f>
        <v>Electricité - Electromagnétisme</v>
      </c>
      <c r="C104" s="196" t="str">
        <f>IF('Items sous domaines Sciences '!G106=1,'Items sous domaines Sciences '!C106,0)</f>
        <v>Electricité</v>
      </c>
      <c r="D104" s="197">
        <f>IF('Items sous domaines Sciences '!G106=1,'Items sous domaines Sciences '!D106,0)</f>
        <v>0</v>
      </c>
      <c r="E104" s="194" t="str">
        <f>IF('Items sous domaines Sciences '!G106=1,'Items sous domaines Sciences '!E106,0)</f>
        <v>Produire un diagramme de Bode.</v>
      </c>
      <c r="F104" s="380"/>
      <c r="G104" s="336"/>
    </row>
    <row r="105" spans="1:7" ht="19.95" customHeight="1" thickBot="1" x14ac:dyDescent="0.3">
      <c r="A105" s="356"/>
      <c r="B105" s="57" t="str">
        <f>IF('Items sous domaines Sciences '!G107=1,'Items sous domaines Sciences '!B107,0)</f>
        <v>Electricité - Electromagnétisme</v>
      </c>
      <c r="C105" s="213" t="str">
        <f>IF('Items sous domaines Sciences '!G107=1,'Items sous domaines Sciences '!C107,0)</f>
        <v>Electricité</v>
      </c>
      <c r="D105" s="216">
        <f>IF('Items sous domaines Sciences '!G107=1,'Items sous domaines Sciences '!D107,0)</f>
        <v>0</v>
      </c>
      <c r="E105" s="216" t="str">
        <f>IF('Items sous domaines Sciences '!G107=1,'Items sous domaines Sciences '!E107,0)</f>
        <v>Reconnaître les filtres passe-bas/haut/bande.</v>
      </c>
      <c r="F105" s="381"/>
      <c r="G105" s="337"/>
    </row>
    <row r="106" spans="1:7" customFormat="1" ht="17.7" hidden="1" customHeight="1" thickBot="1" x14ac:dyDescent="0.3">
      <c r="A106" s="357"/>
      <c r="B106" s="193">
        <f>IF('Items sous domaines Sciences '!G108=1,'Items sous domaines Sciences '!B108,0)</f>
        <v>0</v>
      </c>
      <c r="C106" s="196">
        <f>IF('Items sous domaines Sciences '!G108=1,'Items sous domaines Sciences '!C108,0)</f>
        <v>0</v>
      </c>
      <c r="D106" s="197">
        <f>IF('Items sous domaines Sciences '!G108=1,'Items sous domaines Sciences '!D108,0)</f>
        <v>0</v>
      </c>
      <c r="E106" s="194">
        <f>IF('Items sous domaines Sciences '!G108=1,'Items sous domaines Sciences '!E108,0)</f>
        <v>0</v>
      </c>
      <c r="F106" s="380"/>
      <c r="G106" s="331"/>
    </row>
    <row r="107" spans="1:7" customFormat="1" ht="17.7" hidden="1" customHeight="1" thickBot="1" x14ac:dyDescent="0.3">
      <c r="A107" s="357"/>
      <c r="B107" s="210">
        <f>IF('Items sous domaines Sciences '!G109=1,'Items sous domaines Sciences '!B109,0)</f>
        <v>0</v>
      </c>
      <c r="C107" s="213">
        <f>IF('Items sous domaines Sciences '!G109=1,'Items sous domaines Sciences '!C109,0)</f>
        <v>0</v>
      </c>
      <c r="D107" s="216">
        <f>IF('Items sous domaines Sciences '!G109=1,'Items sous domaines Sciences '!D109,0)</f>
        <v>0</v>
      </c>
      <c r="E107" s="216">
        <f>IF('Items sous domaines Sciences '!G109=1,'Items sous domaines Sciences '!E109,0)</f>
        <v>0</v>
      </c>
      <c r="F107" s="380"/>
      <c r="G107" s="331"/>
    </row>
    <row r="108" spans="1:7" customFormat="1" ht="22.2" hidden="1" customHeight="1" thickBot="1" x14ac:dyDescent="0.3">
      <c r="A108" s="357"/>
      <c r="B108" s="193">
        <f>IF('Items sous domaines Sciences '!G110=1,'Items sous domaines Sciences '!B110,0)</f>
        <v>0</v>
      </c>
      <c r="C108" s="196">
        <f>IF('Items sous domaines Sciences '!G110=1,'Items sous domaines Sciences '!C110,0)</f>
        <v>0</v>
      </c>
      <c r="D108" s="197">
        <f>IF('Items sous domaines Sciences '!G110=1,'Items sous domaines Sciences '!D110,0)</f>
        <v>0</v>
      </c>
      <c r="E108" s="194">
        <f>IF('Items sous domaines Sciences '!G110=1,'Items sous domaines Sciences '!E110,0)</f>
        <v>0</v>
      </c>
      <c r="F108" s="380"/>
      <c r="G108" s="331"/>
    </row>
    <row r="109" spans="1:7" customFormat="1" ht="17.7" hidden="1" customHeight="1" thickBot="1" x14ac:dyDescent="0.3">
      <c r="A109" s="357"/>
      <c r="B109" s="210">
        <f>IF('Items sous domaines Sciences '!G111=1,'Items sous domaines Sciences '!B111,0)</f>
        <v>0</v>
      </c>
      <c r="C109" s="213">
        <f>IF('Items sous domaines Sciences '!G111=1,'Items sous domaines Sciences '!C111,0)</f>
        <v>0</v>
      </c>
      <c r="D109" s="216">
        <f>IF('Items sous domaines Sciences '!G111=1,'Items sous domaines Sciences '!D111,0)</f>
        <v>0</v>
      </c>
      <c r="E109" s="216">
        <f>IF('Items sous domaines Sciences '!G111=1,'Items sous domaines Sciences '!E111,0)</f>
        <v>0</v>
      </c>
      <c r="F109" s="380"/>
    </row>
    <row r="110" spans="1:7" customFormat="1" ht="17.7" hidden="1" customHeight="1" thickBot="1" x14ac:dyDescent="0.3">
      <c r="A110" s="357"/>
      <c r="B110" s="193">
        <f>IF('Items sous domaines Sciences '!G112=1,'Items sous domaines Sciences '!B112,0)</f>
        <v>0</v>
      </c>
      <c r="C110" s="196">
        <f>IF('Items sous domaines Sciences '!G112=1,'Items sous domaines Sciences '!C112,0)</f>
        <v>0</v>
      </c>
      <c r="D110" s="197">
        <f>IF('Items sous domaines Sciences '!G112=1,'Items sous domaines Sciences '!D112,0)</f>
        <v>0</v>
      </c>
      <c r="E110" s="194">
        <f>IF('Items sous domaines Sciences '!G112=1,'Items sous domaines Sciences '!E112,0)</f>
        <v>0</v>
      </c>
      <c r="F110" s="379"/>
    </row>
    <row r="111" spans="1:7" customFormat="1" ht="17.7" hidden="1" customHeight="1" thickBot="1" x14ac:dyDescent="0.3">
      <c r="A111" s="357"/>
      <c r="B111" s="210">
        <f>IF('Items sous domaines Sciences '!G113=1,'Items sous domaines Sciences '!B113,0)</f>
        <v>0</v>
      </c>
      <c r="C111" s="213">
        <f>IF('Items sous domaines Sciences '!G113=1,'Items sous domaines Sciences '!C113,0)</f>
        <v>0</v>
      </c>
      <c r="D111" s="216">
        <f>IF('Items sous domaines Sciences '!G113=1,'Items sous domaines Sciences '!D113,0)</f>
        <v>0</v>
      </c>
      <c r="E111" s="216">
        <f>IF('Items sous domaines Sciences '!G113=1,'Items sous domaines Sciences '!E113,0)</f>
        <v>0</v>
      </c>
      <c r="F111" s="380"/>
    </row>
    <row r="112" spans="1:7" customFormat="1" ht="17.7" hidden="1" customHeight="1" thickBot="1" x14ac:dyDescent="0.3">
      <c r="A112" s="357"/>
      <c r="B112" s="193">
        <f>IF('Items sous domaines Sciences '!G114=1,'Items sous domaines Sciences '!B114,0)</f>
        <v>0</v>
      </c>
      <c r="C112" s="196">
        <f>IF('Items sous domaines Sciences '!G114=1,'Items sous domaines Sciences '!C114,0)</f>
        <v>0</v>
      </c>
      <c r="D112" s="197">
        <f>IF('Items sous domaines Sciences '!G114=1,'Items sous domaines Sciences '!D114,0)</f>
        <v>0</v>
      </c>
      <c r="E112" s="194">
        <f>IF('Items sous domaines Sciences '!G114=1,'Items sous domaines Sciences '!E114,0)</f>
        <v>0</v>
      </c>
      <c r="F112" s="380"/>
    </row>
    <row r="113" spans="1:7" customFormat="1" ht="17.7" hidden="1" customHeight="1" thickBot="1" x14ac:dyDescent="0.3">
      <c r="A113" s="357"/>
      <c r="B113" s="210">
        <f>IF('Items sous domaines Sciences '!G115=1,'Items sous domaines Sciences '!B115,0)</f>
        <v>0</v>
      </c>
      <c r="C113" s="213">
        <f>IF('Items sous domaines Sciences '!G115=1,'Items sous domaines Sciences '!C115,0)</f>
        <v>0</v>
      </c>
      <c r="D113" s="216">
        <f>IF('Items sous domaines Sciences '!G115=1,'Items sous domaines Sciences '!D115,0)</f>
        <v>0</v>
      </c>
      <c r="E113" s="216">
        <f>IF('Items sous domaines Sciences '!G115=1,'Items sous domaines Sciences '!E115,0)</f>
        <v>0</v>
      </c>
      <c r="F113" s="380"/>
      <c r="G113" s="333" t="s">
        <v>403</v>
      </c>
    </row>
    <row r="114" spans="1:7" customFormat="1" ht="17.7" hidden="1" customHeight="1" thickBot="1" x14ac:dyDescent="0.3">
      <c r="A114" s="357"/>
      <c r="B114" s="193">
        <f>IF('Items sous domaines Sciences '!G116=1,'Items sous domaines Sciences '!B116,0)</f>
        <v>0</v>
      </c>
      <c r="C114" s="196">
        <f>IF('Items sous domaines Sciences '!G116=1,'Items sous domaines Sciences '!C116,0)</f>
        <v>0</v>
      </c>
      <c r="D114" s="197">
        <f>IF('Items sous domaines Sciences '!G116=1,'Items sous domaines Sciences '!D116,0)</f>
        <v>0</v>
      </c>
      <c r="E114" s="194">
        <f>IF('Items sous domaines Sciences '!G116=1,'Items sous domaines Sciences '!E116,0)</f>
        <v>0</v>
      </c>
      <c r="F114" s="380"/>
      <c r="G114" s="333"/>
    </row>
    <row r="115" spans="1:7" customFormat="1" ht="26.25" hidden="1" customHeight="1" thickBot="1" x14ac:dyDescent="0.3">
      <c r="A115" s="357"/>
      <c r="B115" s="210">
        <f>IF('Items sous domaines Sciences '!G117=1,'Items sous domaines Sciences '!B117,0)</f>
        <v>0</v>
      </c>
      <c r="C115" s="213">
        <f>IF('Items sous domaines Sciences '!G117=1,'Items sous domaines Sciences '!C117,0)</f>
        <v>0</v>
      </c>
      <c r="D115" s="216">
        <f>IF('Items sous domaines Sciences '!G117=1,'Items sous domaines Sciences '!D117,0)</f>
        <v>0</v>
      </c>
      <c r="E115" s="216">
        <f>IF('Items sous domaines Sciences '!G117=1,'Items sous domaines Sciences '!E117,0)</f>
        <v>0</v>
      </c>
      <c r="F115" s="380"/>
      <c r="G115" s="333"/>
    </row>
    <row r="116" spans="1:7" customFormat="1" ht="17.7" hidden="1" customHeight="1" thickBot="1" x14ac:dyDescent="0.3">
      <c r="A116" s="357"/>
      <c r="B116" s="193">
        <f>IF('Items sous domaines Sciences '!G118=1,'Items sous domaines Sciences '!B118,0)</f>
        <v>0</v>
      </c>
      <c r="C116" s="196">
        <f>IF('Items sous domaines Sciences '!G118=1,'Items sous domaines Sciences '!C118,0)</f>
        <v>0</v>
      </c>
      <c r="D116" s="197">
        <f>IF('Items sous domaines Sciences '!G118=1,'Items sous domaines Sciences '!D118,0)</f>
        <v>0</v>
      </c>
      <c r="E116" s="194">
        <f>IF('Items sous domaines Sciences '!G118=1,'Items sous domaines Sciences '!E118,0)</f>
        <v>0</v>
      </c>
      <c r="F116" s="380"/>
      <c r="G116" s="333"/>
    </row>
    <row r="117" spans="1:7" customFormat="1" ht="17.7" hidden="1" customHeight="1" thickBot="1" x14ac:dyDescent="0.3">
      <c r="A117" s="357"/>
      <c r="B117" s="210">
        <f>IF('Items sous domaines Sciences '!G119=1,'Items sous domaines Sciences '!B119,0)</f>
        <v>0</v>
      </c>
      <c r="C117" s="213">
        <f>IF('Items sous domaines Sciences '!G119=1,'Items sous domaines Sciences '!C119,0)</f>
        <v>0</v>
      </c>
      <c r="D117" s="216">
        <f>IF('Items sous domaines Sciences '!G119=1,'Items sous domaines Sciences '!D119,0)</f>
        <v>0</v>
      </c>
      <c r="E117" s="216">
        <f>IF('Items sous domaines Sciences '!G119=1,'Items sous domaines Sciences '!E119,0)</f>
        <v>0</v>
      </c>
      <c r="F117" s="380"/>
      <c r="G117" s="333"/>
    </row>
    <row r="118" spans="1:7" customFormat="1" ht="17.7" hidden="1" customHeight="1" thickBot="1" x14ac:dyDescent="0.3">
      <c r="A118" s="357"/>
      <c r="B118" s="193">
        <f>IF('Items sous domaines Sciences '!G120=1,'Items sous domaines Sciences '!B120,0)</f>
        <v>0</v>
      </c>
      <c r="C118" s="196">
        <f>IF('Items sous domaines Sciences '!G120=1,'Items sous domaines Sciences '!C120,0)</f>
        <v>0</v>
      </c>
      <c r="D118" s="197">
        <f>IF('Items sous domaines Sciences '!G120=1,'Items sous domaines Sciences '!D120,0)</f>
        <v>0</v>
      </c>
      <c r="E118" s="194">
        <f>IF('Items sous domaines Sciences '!G120=1,'Items sous domaines Sciences '!E120,0)</f>
        <v>0</v>
      </c>
      <c r="F118" s="380"/>
      <c r="G118" s="333"/>
    </row>
    <row r="119" spans="1:7" customFormat="1" ht="17.7" hidden="1" customHeight="1" thickBot="1" x14ac:dyDescent="0.3">
      <c r="A119" s="357"/>
      <c r="B119" s="210">
        <f>IF('Items sous domaines Sciences '!G121=1,'Items sous domaines Sciences '!B121,0)</f>
        <v>0</v>
      </c>
      <c r="C119" s="213">
        <f>IF('Items sous domaines Sciences '!G121=1,'Items sous domaines Sciences '!C121,0)</f>
        <v>0</v>
      </c>
      <c r="D119" s="216">
        <f>IF('Items sous domaines Sciences '!G121=1,'Items sous domaines Sciences '!D121,0)</f>
        <v>0</v>
      </c>
      <c r="E119" s="216">
        <f>IF('Items sous domaines Sciences '!G121=1,'Items sous domaines Sciences '!E121,0)</f>
        <v>0</v>
      </c>
      <c r="F119" s="380"/>
      <c r="G119" s="333"/>
    </row>
    <row r="120" spans="1:7" customFormat="1" ht="17.7" hidden="1" customHeight="1" thickBot="1" x14ac:dyDescent="0.3">
      <c r="A120" s="357"/>
      <c r="B120" s="193">
        <f>IF('Items sous domaines Sciences '!G122=1,'Items sous domaines Sciences '!B122,0)</f>
        <v>0</v>
      </c>
      <c r="C120" s="196">
        <f>IF('Items sous domaines Sciences '!G122=1,'Items sous domaines Sciences '!C122,0)</f>
        <v>0</v>
      </c>
      <c r="D120" s="197">
        <f>IF('Items sous domaines Sciences '!G122=1,'Items sous domaines Sciences '!D122,0)</f>
        <v>0</v>
      </c>
      <c r="E120" s="194">
        <f>IF('Items sous domaines Sciences '!G122=1,'Items sous domaines Sciences '!E122,0)</f>
        <v>0</v>
      </c>
      <c r="F120" s="380"/>
      <c r="G120" s="333"/>
    </row>
    <row r="121" spans="1:7" customFormat="1" ht="17.7" hidden="1" customHeight="1" thickBot="1" x14ac:dyDescent="0.3">
      <c r="A121" s="357"/>
      <c r="B121" s="210">
        <f>IF('Items sous domaines Sciences '!G123=1,'Items sous domaines Sciences '!B123,0)</f>
        <v>0</v>
      </c>
      <c r="C121" s="213">
        <f>IF('Items sous domaines Sciences '!G123=1,'Items sous domaines Sciences '!C123,0)</f>
        <v>0</v>
      </c>
      <c r="D121" s="216">
        <f>IF('Items sous domaines Sciences '!G123=1,'Items sous domaines Sciences '!D123,0)</f>
        <v>0</v>
      </c>
      <c r="E121" s="216">
        <f>IF('Items sous domaines Sciences '!G123=1,'Items sous domaines Sciences '!E123,0)</f>
        <v>0</v>
      </c>
      <c r="F121" s="379"/>
      <c r="G121" s="333"/>
    </row>
    <row r="122" spans="1:7" customFormat="1" ht="17.7" hidden="1" customHeight="1" thickBot="1" x14ac:dyDescent="0.3">
      <c r="A122" s="357"/>
      <c r="B122" s="193">
        <f>IF('Items sous domaines Sciences '!G124=1,'Items sous domaines Sciences '!B124,0)</f>
        <v>0</v>
      </c>
      <c r="C122" s="196">
        <f>IF('Items sous domaines Sciences '!G124=1,'Items sous domaines Sciences '!C124,0)</f>
        <v>0</v>
      </c>
      <c r="D122" s="197">
        <f>IF('Items sous domaines Sciences '!G124=1,'Items sous domaines Sciences '!D124,0)</f>
        <v>0</v>
      </c>
      <c r="E122" s="194">
        <f>IF('Items sous domaines Sciences '!G124=1,'Items sous domaines Sciences '!E124,0)</f>
        <v>0</v>
      </c>
      <c r="F122" s="380"/>
      <c r="G122" s="333"/>
    </row>
    <row r="123" spans="1:7" customFormat="1" ht="17.7" hidden="1" customHeight="1" thickBot="1" x14ac:dyDescent="0.3">
      <c r="A123" s="357"/>
      <c r="B123" s="210">
        <f>IF('Items sous domaines Sciences '!G125=1,'Items sous domaines Sciences '!B125,0)</f>
        <v>0</v>
      </c>
      <c r="C123" s="213">
        <f>IF('Items sous domaines Sciences '!G125=1,'Items sous domaines Sciences '!C125,0)</f>
        <v>0</v>
      </c>
      <c r="D123" s="216">
        <f>IF('Items sous domaines Sciences '!G125=1,'Items sous domaines Sciences '!D125,0)</f>
        <v>0</v>
      </c>
      <c r="E123" s="216">
        <f>IF('Items sous domaines Sciences '!G125=1,'Items sous domaines Sciences '!E125,0)</f>
        <v>0</v>
      </c>
      <c r="F123" s="380"/>
      <c r="G123" s="333"/>
    </row>
    <row r="124" spans="1:7" customFormat="1" ht="17.7" hidden="1" customHeight="1" thickBot="1" x14ac:dyDescent="0.3">
      <c r="A124" s="357"/>
      <c r="B124" s="193">
        <f>IF('Items sous domaines Sciences '!G126=1,'Items sous domaines Sciences '!B126,0)</f>
        <v>0</v>
      </c>
      <c r="C124" s="196">
        <f>IF('Items sous domaines Sciences '!G126=1,'Items sous domaines Sciences '!C126,0)</f>
        <v>0</v>
      </c>
      <c r="D124" s="197">
        <f>IF('Items sous domaines Sciences '!G126=1,'Items sous domaines Sciences '!D126,0)</f>
        <v>0</v>
      </c>
      <c r="E124" s="194">
        <f>IF('Items sous domaines Sciences '!G126=1,'Items sous domaines Sciences '!E126,0)</f>
        <v>0</v>
      </c>
      <c r="F124" s="380"/>
      <c r="G124" s="333"/>
    </row>
    <row r="125" spans="1:7" customFormat="1" ht="17.7" hidden="1" customHeight="1" thickBot="1" x14ac:dyDescent="0.3">
      <c r="A125" s="357"/>
      <c r="B125" s="210">
        <f>IF('Items sous domaines Sciences '!G127=1,'Items sous domaines Sciences '!B127,0)</f>
        <v>0</v>
      </c>
      <c r="C125" s="213">
        <f>IF('Items sous domaines Sciences '!G127=1,'Items sous domaines Sciences '!C127,0)</f>
        <v>0</v>
      </c>
      <c r="D125" s="216">
        <f>IF('Items sous domaines Sciences '!G127=1,'Items sous domaines Sciences '!D127,0)</f>
        <v>0</v>
      </c>
      <c r="E125" s="216">
        <f>IF('Items sous domaines Sciences '!G127=1,'Items sous domaines Sciences '!E127,0)</f>
        <v>0</v>
      </c>
      <c r="F125" s="380"/>
      <c r="G125" s="333"/>
    </row>
    <row r="126" spans="1:7" customFormat="1" ht="17.7" hidden="1" customHeight="1" thickBot="1" x14ac:dyDescent="0.3">
      <c r="A126" s="357"/>
      <c r="B126" s="193">
        <f>IF('Items sous domaines Sciences '!G128=1,'Items sous domaines Sciences '!B128,0)</f>
        <v>0</v>
      </c>
      <c r="C126" s="196">
        <f>IF('Items sous domaines Sciences '!G128=1,'Items sous domaines Sciences '!C128,0)</f>
        <v>0</v>
      </c>
      <c r="D126" s="197">
        <f>IF('Items sous domaines Sciences '!G128=1,'Items sous domaines Sciences '!D128,0)</f>
        <v>0</v>
      </c>
      <c r="E126" s="194">
        <f>IF('Items sous domaines Sciences '!G128=1,'Items sous domaines Sciences '!E128,0)</f>
        <v>0</v>
      </c>
      <c r="F126" s="380"/>
      <c r="G126" s="333"/>
    </row>
    <row r="127" spans="1:7" customFormat="1" ht="17.7" hidden="1" customHeight="1" thickBot="1" x14ac:dyDescent="0.3">
      <c r="A127" s="357"/>
      <c r="B127" s="210">
        <f>IF('Items sous domaines Sciences '!G129=1,'Items sous domaines Sciences '!B129,0)</f>
        <v>0</v>
      </c>
      <c r="C127" s="213">
        <f>IF('Items sous domaines Sciences '!G129=1,'Items sous domaines Sciences '!C129,0)</f>
        <v>0</v>
      </c>
      <c r="D127" s="216">
        <f>IF('Items sous domaines Sciences '!G129=1,'Items sous domaines Sciences '!D129,0)</f>
        <v>0</v>
      </c>
      <c r="E127" s="216">
        <f>IF('Items sous domaines Sciences '!G129=1,'Items sous domaines Sciences '!E129,0)</f>
        <v>0</v>
      </c>
      <c r="F127" s="380"/>
      <c r="G127" s="333"/>
    </row>
    <row r="128" spans="1:7" customFormat="1" ht="17.7" hidden="1" customHeight="1" thickBot="1" x14ac:dyDescent="0.3">
      <c r="A128" s="357"/>
      <c r="B128" s="193">
        <f>IF('Items sous domaines Sciences '!G130=1,'Items sous domaines Sciences '!B130,0)</f>
        <v>0</v>
      </c>
      <c r="C128" s="196">
        <f>IF('Items sous domaines Sciences '!G130=1,'Items sous domaines Sciences '!C130,0)</f>
        <v>0</v>
      </c>
      <c r="D128" s="197">
        <f>IF('Items sous domaines Sciences '!G130=1,'Items sous domaines Sciences '!D130,0)</f>
        <v>0</v>
      </c>
      <c r="E128" s="194">
        <f>IF('Items sous domaines Sciences '!G130=1,'Items sous domaines Sciences '!E130,0)</f>
        <v>0</v>
      </c>
      <c r="F128" s="380"/>
    </row>
    <row r="129" spans="1:7" customFormat="1" ht="17.7" hidden="1" customHeight="1" thickBot="1" x14ac:dyDescent="0.3">
      <c r="A129" s="357"/>
      <c r="B129" s="210">
        <f>IF('Items sous domaines Sciences '!G131=1,'Items sous domaines Sciences '!B131,0)</f>
        <v>0</v>
      </c>
      <c r="C129" s="213">
        <f>IF('Items sous domaines Sciences '!G131=1,'Items sous domaines Sciences '!C131,0)</f>
        <v>0</v>
      </c>
      <c r="D129" s="216">
        <f>IF('Items sous domaines Sciences '!G131=1,'Items sous domaines Sciences '!D131,0)</f>
        <v>0</v>
      </c>
      <c r="E129" s="216">
        <f>IF('Items sous domaines Sciences '!G131=1,'Items sous domaines Sciences '!E131,0)</f>
        <v>0</v>
      </c>
      <c r="F129" s="380"/>
    </row>
    <row r="130" spans="1:7" customFormat="1" ht="17.7" hidden="1" customHeight="1" thickBot="1" x14ac:dyDescent="0.3">
      <c r="A130" s="357"/>
      <c r="B130" s="193">
        <f>IF('Items sous domaines Sciences '!G132=1,'Items sous domaines Sciences '!B132,0)</f>
        <v>0</v>
      </c>
      <c r="C130" s="196">
        <f>IF('Items sous domaines Sciences '!G132=1,'Items sous domaines Sciences '!C132,0)</f>
        <v>0</v>
      </c>
      <c r="D130" s="197">
        <f>IF('Items sous domaines Sciences '!G132=1,'Items sous domaines Sciences '!D132,0)</f>
        <v>0</v>
      </c>
      <c r="E130" s="194">
        <f>IF('Items sous domaines Sciences '!G132=1,'Items sous domaines Sciences '!E132,0)</f>
        <v>0</v>
      </c>
      <c r="F130" s="380"/>
    </row>
    <row r="131" spans="1:7" customFormat="1" ht="17.7" hidden="1" customHeight="1" thickBot="1" x14ac:dyDescent="0.3">
      <c r="A131" s="357"/>
      <c r="B131" s="210">
        <f>IF('Items sous domaines Sciences '!G133=1,'Items sous domaines Sciences '!B133,0)</f>
        <v>0</v>
      </c>
      <c r="C131" s="213">
        <f>IF('Items sous domaines Sciences '!G133=1,'Items sous domaines Sciences '!C133,0)</f>
        <v>0</v>
      </c>
      <c r="D131" s="216">
        <f>IF('Items sous domaines Sciences '!G133=1,'Items sous domaines Sciences '!D133,0)</f>
        <v>0</v>
      </c>
      <c r="E131" s="216">
        <f>IF('Items sous domaines Sciences '!G133=1,'Items sous domaines Sciences '!E133,0)</f>
        <v>0</v>
      </c>
      <c r="F131" s="380"/>
    </row>
    <row r="132" spans="1:7" customFormat="1" ht="17.7" hidden="1" customHeight="1" thickBot="1" x14ac:dyDescent="0.3">
      <c r="A132" s="357"/>
      <c r="B132" s="193">
        <f>IF('Items sous domaines Sciences '!G134=1,'Items sous domaines Sciences '!B134,0)</f>
        <v>0</v>
      </c>
      <c r="C132" s="196">
        <f>IF('Items sous domaines Sciences '!G134=1,'Items sous domaines Sciences '!C134,0)</f>
        <v>0</v>
      </c>
      <c r="D132" s="197">
        <f>IF('Items sous domaines Sciences '!G134=1,'Items sous domaines Sciences '!D134,0)</f>
        <v>0</v>
      </c>
      <c r="E132" s="194">
        <f>IF('Items sous domaines Sciences '!G134=1,'Items sous domaines Sciences '!E134,0)</f>
        <v>0</v>
      </c>
      <c r="F132" s="379"/>
    </row>
    <row r="133" spans="1:7" customFormat="1" ht="17.7" hidden="1" customHeight="1" thickBot="1" x14ac:dyDescent="0.3">
      <c r="A133" s="357"/>
      <c r="B133" s="210">
        <f>IF('Items sous domaines Sciences '!G135=1,'Items sous domaines Sciences '!B135,0)</f>
        <v>0</v>
      </c>
      <c r="C133" s="213">
        <f>IF('Items sous domaines Sciences '!G135=1,'Items sous domaines Sciences '!C135,0)</f>
        <v>0</v>
      </c>
      <c r="D133" s="216">
        <f>IF('Items sous domaines Sciences '!G135=1,'Items sous domaines Sciences '!D135,0)</f>
        <v>0</v>
      </c>
      <c r="E133" s="216">
        <f>IF('Items sous domaines Sciences '!G135=1,'Items sous domaines Sciences '!E135,0)</f>
        <v>0</v>
      </c>
      <c r="F133" s="380"/>
    </row>
    <row r="134" spans="1:7" ht="19.95" customHeight="1" thickTop="1" x14ac:dyDescent="0.25">
      <c r="A134" s="354"/>
      <c r="B134" s="57" t="str">
        <f>IF('Items sous domaines Sciences '!G136=1,'Items sous domaines Sciences '!B136,0)</f>
        <v>Electricité - Electromagnétisme</v>
      </c>
      <c r="C134" s="196" t="str">
        <f>IF('Items sous domaines Sciences '!G136=1,'Items sous domaines Sciences '!C136,0)</f>
        <v>Electromagnétisme</v>
      </c>
      <c r="D134" s="197" t="str">
        <f>IF('Items sous domaines Sciences '!G136=1,'Items sous domaines Sciences '!D136,0)</f>
        <v>Signal</v>
      </c>
      <c r="E134" s="194" t="str">
        <f>IF('Items sous domaines Sciences '!G136=1,'Items sous domaines Sciences '!E136,0)</f>
        <v>Décrire les caractéristiques physiques (période, fréquence, pulsation, amplitude, longueur d'onde, phase) d'une onde (grandeurs physiques et unités associées).</v>
      </c>
      <c r="F134" s="379"/>
      <c r="G134" s="335" t="s">
        <v>404</v>
      </c>
    </row>
    <row r="135" spans="1:7" ht="19.95" customHeight="1" x14ac:dyDescent="0.25">
      <c r="A135" s="355"/>
      <c r="B135" s="57" t="str">
        <f>IF('Items sous domaines Sciences '!G137=1,'Items sous domaines Sciences '!B137,0)</f>
        <v>Electricité - Electromagnétisme</v>
      </c>
      <c r="C135" s="213" t="str">
        <f>IF('Items sous domaines Sciences '!G137=1,'Items sous domaines Sciences '!C137,0)</f>
        <v>Electromagnétisme</v>
      </c>
      <c r="D135" s="216">
        <f>IF('Items sous domaines Sciences '!G137=1,'Items sous domaines Sciences '!D137,0)</f>
        <v>0</v>
      </c>
      <c r="E135" s="216" t="str">
        <f>IF('Items sous domaines Sciences '!G137=1,'Items sous domaines Sciences '!E137,0)</f>
        <v>Expliquer le phénomène de propagation d'une onde (atténuation, diffraction, réflexion).</v>
      </c>
      <c r="F135" s="380"/>
      <c r="G135" s="336"/>
    </row>
    <row r="136" spans="1:7" ht="19.95" customHeight="1" x14ac:dyDescent="0.25">
      <c r="A136" s="355"/>
      <c r="B136" s="57" t="str">
        <f>IF('Items sous domaines Sciences '!G138=1,'Items sous domaines Sciences '!B138,0)</f>
        <v>Electricité - Electromagnétisme</v>
      </c>
      <c r="C136" s="196" t="str">
        <f>IF('Items sous domaines Sciences '!G138=1,'Items sous domaines Sciences '!C138,0)</f>
        <v>Electromagnétisme</v>
      </c>
      <c r="D136" s="197">
        <f>IF('Items sous domaines Sciences '!G138=1,'Items sous domaines Sciences '!D138,0)</f>
        <v>0</v>
      </c>
      <c r="E136" s="194" t="str">
        <f>IF('Items sous domaines Sciences '!G138=1,'Items sous domaines Sciences '!E138,0)</f>
        <v>Représenter mathématiquement et graphiquement un signal périodique pur.</v>
      </c>
      <c r="F136" s="380"/>
      <c r="G136" s="336"/>
    </row>
    <row r="137" spans="1:7" ht="19.95" customHeight="1" x14ac:dyDescent="0.25">
      <c r="A137" s="355"/>
      <c r="B137" s="57" t="str">
        <f>IF('Items sous domaines Sciences '!G139=1,'Items sous domaines Sciences '!B139,0)</f>
        <v>Electricité - Electromagnétisme</v>
      </c>
      <c r="C137" s="213" t="str">
        <f>IF('Items sous domaines Sciences '!G139=1,'Items sous domaines Sciences '!C139,0)</f>
        <v>Electromagnétisme</v>
      </c>
      <c r="D137" s="216">
        <f>IF('Items sous domaines Sciences '!G139=1,'Items sous domaines Sciences '!D139,0)</f>
        <v>0</v>
      </c>
      <c r="E137" s="216" t="str">
        <f>IF('Items sous domaines Sciences '!G139=1,'Items sous domaines Sciences '!E139,0)</f>
        <v>Calculer la somme de plusieurs signaux périodiques purs.</v>
      </c>
      <c r="F137" s="380"/>
      <c r="G137" s="336"/>
    </row>
    <row r="138" spans="1:7" ht="19.95" customHeight="1" x14ac:dyDescent="0.25">
      <c r="A138" s="355"/>
      <c r="B138" s="57" t="str">
        <f>IF('Items sous domaines Sciences '!G140=1,'Items sous domaines Sciences '!B140,0)</f>
        <v>Electricité - Electromagnétisme</v>
      </c>
      <c r="C138" s="196" t="str">
        <f>IF('Items sous domaines Sciences '!G140=1,'Items sous domaines Sciences '!C140,0)</f>
        <v>Electromagnétisme</v>
      </c>
      <c r="D138" s="197">
        <f>IF('Items sous domaines Sciences '!G140=1,'Items sous domaines Sciences '!D140,0)</f>
        <v>0</v>
      </c>
      <c r="E138" s="194" t="str">
        <f>IF('Items sous domaines Sciences '!G140=1,'Items sous domaines Sciences '!E140,0)</f>
        <v xml:space="preserve">Rajouter son (bruit blanc, bruit rose, décibel,...) ? </v>
      </c>
      <c r="F138" s="380"/>
      <c r="G138" s="336"/>
    </row>
    <row r="139" spans="1:7" ht="19.95" customHeight="1" x14ac:dyDescent="0.25">
      <c r="A139" s="355"/>
      <c r="B139" s="57" t="str">
        <f>IF('Items sous domaines Sciences '!G141=1,'Items sous domaines Sciences '!B141,0)</f>
        <v>Electricité - Electromagnétisme</v>
      </c>
      <c r="C139" s="213" t="str">
        <f>IF('Items sous domaines Sciences '!G141=1,'Items sous domaines Sciences '!C141,0)</f>
        <v>Electromagnétisme</v>
      </c>
      <c r="D139" s="216">
        <f>IF('Items sous domaines Sciences '!G141=1,'Items sous domaines Sciences '!D141,0)</f>
        <v>0</v>
      </c>
      <c r="E139" s="216" t="str">
        <f>IF('Items sous domaines Sciences '!G141=1,'Items sous domaines Sciences '!E141,0)</f>
        <v>Expliquer les relations entre les grandeurs physiques associées à une onde.</v>
      </c>
      <c r="F139" s="380"/>
      <c r="G139" s="336"/>
    </row>
    <row r="140" spans="1:7" ht="19.95" customHeight="1" x14ac:dyDescent="0.25">
      <c r="A140" s="355"/>
      <c r="B140" s="57" t="str">
        <f>IF('Items sous domaines Sciences '!G142=1,'Items sous domaines Sciences '!B142,0)</f>
        <v>Electricité - Electromagnétisme</v>
      </c>
      <c r="C140" s="196" t="str">
        <f>IF('Items sous domaines Sciences '!G142=1,'Items sous domaines Sciences '!C142,0)</f>
        <v>Electromagnétisme</v>
      </c>
      <c r="D140" s="197">
        <f>IF('Items sous domaines Sciences '!G142=1,'Items sous domaines Sciences '!D142,0)</f>
        <v>0</v>
      </c>
      <c r="E140" s="194" t="str">
        <f>IF('Items sous domaines Sciences '!G142=1,'Items sous domaines Sciences '!E142,0)</f>
        <v>Estimer les caractéristiques (débit, ...) d'une liaison.</v>
      </c>
      <c r="F140" s="380"/>
      <c r="G140" s="336"/>
    </row>
    <row r="141" spans="1:7" ht="19.95" customHeight="1" x14ac:dyDescent="0.25">
      <c r="A141" s="355"/>
      <c r="B141" s="57" t="str">
        <f>IF('Items sous domaines Sciences '!G143=1,'Items sous domaines Sciences '!B143,0)</f>
        <v>Electricité - Electromagnétisme</v>
      </c>
      <c r="C141" s="213" t="str">
        <f>IF('Items sous domaines Sciences '!G143=1,'Items sous domaines Sciences '!C143,0)</f>
        <v>Electromagnétisme</v>
      </c>
      <c r="D141" s="216">
        <f>IF('Items sous domaines Sciences '!G143=1,'Items sous domaines Sciences '!D143,0)</f>
        <v>0</v>
      </c>
      <c r="E141" s="216" t="str">
        <f>IF('Items sous domaines Sciences '!G143=1,'Items sous domaines Sciences '!E143,0)</f>
        <v>Expliquer les différents principes de modulation et démodulation d'un signal analogique et numérique (amplitude, phase et fréquence).</v>
      </c>
      <c r="F141" s="380"/>
      <c r="G141" s="336"/>
    </row>
    <row r="142" spans="1:7" ht="19.95" customHeight="1" thickBot="1" x14ac:dyDescent="0.3">
      <c r="A142" s="356"/>
      <c r="B142" s="244" t="str">
        <f>IF('Items sous domaines Sciences '!G144=1,'Items sous domaines Sciences '!B144,0)</f>
        <v>Electricité - Electromagnétisme</v>
      </c>
      <c r="C142" s="206" t="str">
        <f>IF('Items sous domaines Sciences '!G144=1,'Items sous domaines Sciences '!C144,0)</f>
        <v>Electromagnétisme</v>
      </c>
      <c r="D142" s="207">
        <f>IF('Items sous domaines Sciences '!G144=1,'Items sous domaines Sciences '!D144,0)</f>
        <v>0</v>
      </c>
      <c r="E142" s="217" t="str">
        <f>IF('Items sous domaines Sciences '!G144=1,'Items sous domaines Sciences '!E144,0)</f>
        <v>Comparer les différents types de codages utilisés dans les transmissions en bande de base (NRZ, NRZI, Manchester, Bipolaire).</v>
      </c>
      <c r="F142" s="381"/>
      <c r="G142" s="337"/>
    </row>
    <row r="143" spans="1:7" customFormat="1" ht="17.7" hidden="1" customHeight="1" thickBot="1" x14ac:dyDescent="0.3">
      <c r="B143">
        <f>IF('Items sous domaines Sciences '!G145=1,'Items sous domaines Sciences '!B145,0)</f>
        <v>0</v>
      </c>
      <c r="C143">
        <f>IF('Items sous domaines Sciences '!G145=1,'Items sous domaines Sciences '!C145,0)</f>
        <v>0</v>
      </c>
      <c r="D143">
        <f>IF('Items sous domaines Sciences '!G145=1,'Items sous domaines Sciences '!D145,0)</f>
        <v>0</v>
      </c>
      <c r="E143">
        <f>IF('Items sous domaines Sciences '!G145=1,'Items sous domaines Sciences '!E145,0)</f>
        <v>0</v>
      </c>
      <c r="F143" t="e">
        <f>IF('Items sous domaines Sciences '!#REF!=1,'Items sous domaines Sciences '!#REF!,0)</f>
        <v>#REF!</v>
      </c>
    </row>
    <row r="144" spans="1:7" customFormat="1" ht="17.7" hidden="1" customHeight="1" thickBot="1" x14ac:dyDescent="0.3">
      <c r="B144" s="8">
        <f>IF('Items sous domaines Sciences '!G146=1,'Items sous domaines Sciences '!B146,0)</f>
        <v>0</v>
      </c>
      <c r="C144" s="8">
        <f>IF('Items sous domaines Sciences '!G146=1,'Items sous domaines Sciences '!C146,0)</f>
        <v>0</v>
      </c>
      <c r="D144" s="8">
        <f>IF('Items sous domaines Sciences '!G146=1,'Items sous domaines Sciences '!D146,0)</f>
        <v>0</v>
      </c>
      <c r="E144" s="8">
        <f>IF('Items sous domaines Sciences '!G146=1,'Items sous domaines Sciences '!E146,0)</f>
        <v>0</v>
      </c>
      <c r="F144" t="e">
        <f>IF('Items sous domaines Sciences '!#REF!=1,'Items sous domaines Sciences '!#REF!,0)</f>
        <v>#REF!</v>
      </c>
    </row>
    <row r="145" spans="1:7" customFormat="1" ht="17.7" hidden="1" customHeight="1" thickBot="1" x14ac:dyDescent="0.3">
      <c r="B145" s="8">
        <f>IF('Items sous domaines Sciences '!G147=1,'Items sous domaines Sciences '!B147,0)</f>
        <v>0</v>
      </c>
      <c r="C145" s="8">
        <f>IF('Items sous domaines Sciences '!G147=1,'Items sous domaines Sciences '!C147,0)</f>
        <v>0</v>
      </c>
      <c r="D145" s="8">
        <f>IF('Items sous domaines Sciences '!G147=1,'Items sous domaines Sciences '!D147,0)</f>
        <v>0</v>
      </c>
      <c r="E145" s="8">
        <f>IF('Items sous domaines Sciences '!G147=1,'Items sous domaines Sciences '!E147,0)</f>
        <v>0</v>
      </c>
      <c r="F145" t="e">
        <f>IF('Items sous domaines Sciences '!#REF!=1,'Items sous domaines Sciences '!#REF!,0)</f>
        <v>#REF!</v>
      </c>
    </row>
    <row r="146" spans="1:7" customFormat="1" ht="17.7" hidden="1" customHeight="1" thickBot="1" x14ac:dyDescent="0.3">
      <c r="B146" s="8">
        <f>IF('Items sous domaines Sciences '!G148=1,'Items sous domaines Sciences '!B148,0)</f>
        <v>0</v>
      </c>
      <c r="C146" s="8">
        <f>IF('Items sous domaines Sciences '!G148=1,'Items sous domaines Sciences '!C148,0)</f>
        <v>0</v>
      </c>
      <c r="D146" s="8">
        <f>IF('Items sous domaines Sciences '!G148=1,'Items sous domaines Sciences '!D148,0)</f>
        <v>0</v>
      </c>
      <c r="E146" s="8">
        <f>IF('Items sous domaines Sciences '!G148=1,'Items sous domaines Sciences '!E148,0)</f>
        <v>0</v>
      </c>
      <c r="F146" t="e">
        <f>IF('Items sous domaines Sciences '!#REF!=1,'Items sous domaines Sciences '!#REF!,0)</f>
        <v>#REF!</v>
      </c>
    </row>
    <row r="147" spans="1:7" customFormat="1" ht="17.7" hidden="1" customHeight="1" thickBot="1" x14ac:dyDescent="0.3">
      <c r="B147" s="8">
        <f>IF('Items sous domaines Sciences '!G149=1,'Items sous domaines Sciences '!B149,0)</f>
        <v>0</v>
      </c>
      <c r="C147" s="8">
        <f>IF('Items sous domaines Sciences '!G149=1,'Items sous domaines Sciences '!C149,0)</f>
        <v>0</v>
      </c>
      <c r="D147" s="8">
        <f>IF('Items sous domaines Sciences '!G149=1,'Items sous domaines Sciences '!D149,0)</f>
        <v>0</v>
      </c>
      <c r="E147" s="8">
        <f>IF('Items sous domaines Sciences '!G149=1,'Items sous domaines Sciences '!E149,0)</f>
        <v>0</v>
      </c>
      <c r="F147" t="e">
        <f>IF('Items sous domaines Sciences '!#REF!=1,'Items sous domaines Sciences '!#REF!,0)</f>
        <v>#REF!</v>
      </c>
    </row>
    <row r="148" spans="1:7" customFormat="1" ht="17.7" hidden="1" customHeight="1" thickBot="1" x14ac:dyDescent="0.3">
      <c r="B148" s="8">
        <f>IF('Items sous domaines Sciences '!G150=1,'Items sous domaines Sciences '!B150,0)</f>
        <v>0</v>
      </c>
      <c r="C148" s="8">
        <f>IF('Items sous domaines Sciences '!G150=1,'Items sous domaines Sciences '!C150,0)</f>
        <v>0</v>
      </c>
      <c r="D148" s="8">
        <f>IF('Items sous domaines Sciences '!G150=1,'Items sous domaines Sciences '!D150,0)</f>
        <v>0</v>
      </c>
      <c r="E148" s="8">
        <f>IF('Items sous domaines Sciences '!G150=1,'Items sous domaines Sciences '!E150,0)</f>
        <v>0</v>
      </c>
      <c r="F148" t="e">
        <f>IF('Items sous domaines Sciences '!#REF!=1,'Items sous domaines Sciences '!#REF!,0)</f>
        <v>#REF!</v>
      </c>
    </row>
    <row r="149" spans="1:7" customFormat="1" ht="17.7" hidden="1" customHeight="1" thickBot="1" x14ac:dyDescent="0.3">
      <c r="B149" s="8">
        <f>IF('Items sous domaines Sciences '!G151=1,'Items sous domaines Sciences '!B151,0)</f>
        <v>0</v>
      </c>
      <c r="C149" s="8">
        <f>IF('Items sous domaines Sciences '!G151=1,'Items sous domaines Sciences '!C151,0)</f>
        <v>0</v>
      </c>
      <c r="D149" s="8">
        <f>IF('Items sous domaines Sciences '!G151=1,'Items sous domaines Sciences '!D151,0)</f>
        <v>0</v>
      </c>
      <c r="E149" s="8">
        <f>IF('Items sous domaines Sciences '!G151=1,'Items sous domaines Sciences '!E151,0)</f>
        <v>0</v>
      </c>
      <c r="F149" t="e">
        <f>IF('Items sous domaines Sciences '!#REF!=1,'Items sous domaines Sciences '!#REF!,0)</f>
        <v>#REF!</v>
      </c>
    </row>
    <row r="150" spans="1:7" customFormat="1" ht="17.7" hidden="1" customHeight="1" thickBot="1" x14ac:dyDescent="0.3">
      <c r="B150" s="8">
        <f>IF('Items sous domaines Sciences '!G152=1,'Items sous domaines Sciences '!B152,0)</f>
        <v>0</v>
      </c>
      <c r="C150" s="8">
        <f>IF('Items sous domaines Sciences '!G152=1,'Items sous domaines Sciences '!C152,0)</f>
        <v>0</v>
      </c>
      <c r="D150" s="8">
        <f>IF('Items sous domaines Sciences '!G152=1,'Items sous domaines Sciences '!D152,0)</f>
        <v>0</v>
      </c>
      <c r="E150" s="8">
        <f>IF('Items sous domaines Sciences '!G152=1,'Items sous domaines Sciences '!E152,0)</f>
        <v>0</v>
      </c>
      <c r="F150" t="e">
        <f>IF('Items sous domaines Sciences '!#REF!=1,'Items sous domaines Sciences '!#REF!,0)</f>
        <v>#REF!</v>
      </c>
    </row>
    <row r="151" spans="1:7" customFormat="1" ht="17.7" hidden="1" customHeight="1" thickBot="1" x14ac:dyDescent="0.3">
      <c r="B151" s="8">
        <f>IF('Items sous domaines Sciences '!G153=1,'Items sous domaines Sciences '!B153,0)</f>
        <v>0</v>
      </c>
      <c r="C151" s="8">
        <f>IF('Items sous domaines Sciences '!G153=1,'Items sous domaines Sciences '!C153,0)</f>
        <v>0</v>
      </c>
      <c r="D151" s="8">
        <f>IF('Items sous domaines Sciences '!G153=1,'Items sous domaines Sciences '!D153,0)</f>
        <v>0</v>
      </c>
      <c r="E151" s="8">
        <f>IF('Items sous domaines Sciences '!G153=1,'Items sous domaines Sciences '!E153,0)</f>
        <v>0</v>
      </c>
      <c r="F151" t="e">
        <f>IF('Items sous domaines Sciences '!#REF!=1,'Items sous domaines Sciences '!#REF!,0)</f>
        <v>#REF!</v>
      </c>
    </row>
    <row r="152" spans="1:7" customFormat="1" ht="17.7" hidden="1" customHeight="1" thickBot="1" x14ac:dyDescent="0.3">
      <c r="B152" s="8">
        <f>IF('Items sous domaines Sciences '!G154=1,'Items sous domaines Sciences '!B154,0)</f>
        <v>0</v>
      </c>
      <c r="C152" s="8">
        <f>IF('Items sous domaines Sciences '!G154=1,'Items sous domaines Sciences '!C154,0)</f>
        <v>0</v>
      </c>
      <c r="D152" s="8">
        <f>IF('Items sous domaines Sciences '!G154=1,'Items sous domaines Sciences '!D154,0)</f>
        <v>0</v>
      </c>
      <c r="E152" s="8">
        <f>IF('Items sous domaines Sciences '!G154=1,'Items sous domaines Sciences '!E154,0)</f>
        <v>0</v>
      </c>
      <c r="F152" t="e">
        <f>IF('Items sous domaines Sciences '!#REF!=1,'Items sous domaines Sciences '!#REF!,0)</f>
        <v>#REF!</v>
      </c>
    </row>
    <row r="153" spans="1:7" customFormat="1" ht="17.7" hidden="1" customHeight="1" thickBot="1" x14ac:dyDescent="0.3">
      <c r="B153" s="8">
        <f>IF('Items sous domaines Sciences '!G155=1,'Items sous domaines Sciences '!B155,0)</f>
        <v>0</v>
      </c>
      <c r="C153" s="8">
        <f>IF('Items sous domaines Sciences '!G155=1,'Items sous domaines Sciences '!C155,0)</f>
        <v>0</v>
      </c>
      <c r="D153" s="8">
        <f>IF('Items sous domaines Sciences '!G155=1,'Items sous domaines Sciences '!D155,0)</f>
        <v>0</v>
      </c>
      <c r="E153" s="8">
        <f>IF('Items sous domaines Sciences '!G155=1,'Items sous domaines Sciences '!E155,0)</f>
        <v>0</v>
      </c>
      <c r="F153" t="e">
        <f>IF('Items sous domaines Sciences '!#REF!=1,'Items sous domaines Sciences '!#REF!,0)</f>
        <v>#REF!</v>
      </c>
    </row>
    <row r="154" spans="1:7" customFormat="1" ht="17.7" hidden="1" customHeight="1" thickBot="1" x14ac:dyDescent="0.3">
      <c r="B154" s="8">
        <f>IF('Items sous domaines Sciences '!G156=1,'Items sous domaines Sciences '!B156,0)</f>
        <v>0</v>
      </c>
      <c r="C154" s="8">
        <f>IF('Items sous domaines Sciences '!G156=1,'Items sous domaines Sciences '!C156,0)</f>
        <v>0</v>
      </c>
      <c r="D154" s="8">
        <f>IF('Items sous domaines Sciences '!G156=1,'Items sous domaines Sciences '!D156,0)</f>
        <v>0</v>
      </c>
      <c r="E154" s="8">
        <f>IF('Items sous domaines Sciences '!G156=1,'Items sous domaines Sciences '!E156,0)</f>
        <v>0</v>
      </c>
      <c r="F154" t="e">
        <f>IF('Items sous domaines Sciences '!#REF!=1,'Items sous domaines Sciences '!#REF!,0)</f>
        <v>#REF!</v>
      </c>
    </row>
    <row r="155" spans="1:7" customFormat="1" ht="17.7" hidden="1" customHeight="1" thickBot="1" x14ac:dyDescent="0.3">
      <c r="B155" s="8">
        <f>IF('Items sous domaines Sciences '!G157=1,'Items sous domaines Sciences '!B157,0)</f>
        <v>0</v>
      </c>
      <c r="C155" s="8">
        <f>IF('Items sous domaines Sciences '!G157=1,'Items sous domaines Sciences '!C157,0)</f>
        <v>0</v>
      </c>
      <c r="D155" s="8">
        <f>IF('Items sous domaines Sciences '!G157=1,'Items sous domaines Sciences '!D157,0)</f>
        <v>0</v>
      </c>
      <c r="E155" s="8">
        <f>IF('Items sous domaines Sciences '!G157=1,'Items sous domaines Sciences '!E157,0)</f>
        <v>0</v>
      </c>
      <c r="F155" t="e">
        <f>IF('Items sous domaines Sciences '!#REF!=1,'Items sous domaines Sciences '!#REF!,0)</f>
        <v>#REF!</v>
      </c>
    </row>
    <row r="156" spans="1:7" customFormat="1" ht="17.7" hidden="1" customHeight="1" thickBot="1" x14ac:dyDescent="0.3">
      <c r="B156" s="8">
        <f>IF('Items sous domaines Sciences '!G158=1,'Items sous domaines Sciences '!B158,0)</f>
        <v>0</v>
      </c>
      <c r="C156" s="8">
        <f>IF('Items sous domaines Sciences '!G158=1,'Items sous domaines Sciences '!C158,0)</f>
        <v>0</v>
      </c>
      <c r="D156" s="8">
        <f>IF('Items sous domaines Sciences '!G158=1,'Items sous domaines Sciences '!D158,0)</f>
        <v>0</v>
      </c>
      <c r="E156" s="8">
        <f>IF('Items sous domaines Sciences '!G158=1,'Items sous domaines Sciences '!E158,0)</f>
        <v>0</v>
      </c>
      <c r="F156" t="e">
        <f>IF('Items sous domaines Sciences '!#REF!=1,'Items sous domaines Sciences '!#REF!,0)</f>
        <v>#REF!</v>
      </c>
    </row>
    <row r="157" spans="1:7" customFormat="1" ht="17.7" hidden="1" customHeight="1" thickBot="1" x14ac:dyDescent="0.3">
      <c r="B157" s="8">
        <f>IF('Items sous domaines Sciences '!G159=1,'Items sous domaines Sciences '!B159,0)</f>
        <v>0</v>
      </c>
      <c r="C157" s="8">
        <f>IF('Items sous domaines Sciences '!G159=1,'Items sous domaines Sciences '!C159,0)</f>
        <v>0</v>
      </c>
      <c r="D157" s="8">
        <f>IF('Items sous domaines Sciences '!G159=1,'Items sous domaines Sciences '!D159,0)</f>
        <v>0</v>
      </c>
      <c r="E157" s="8">
        <f>IF('Items sous domaines Sciences '!G159=1,'Items sous domaines Sciences '!E159,0)</f>
        <v>0</v>
      </c>
      <c r="F157" t="e">
        <f>IF('Items sous domaines Sciences '!#REF!=1,'Items sous domaines Sciences '!#REF!,0)</f>
        <v>#REF!</v>
      </c>
    </row>
    <row r="158" spans="1:7" customFormat="1" ht="17.7" hidden="1" customHeight="1" thickBot="1" x14ac:dyDescent="0.3">
      <c r="A158" s="352" t="s">
        <v>405</v>
      </c>
      <c r="B158" s="8">
        <f>IF('Items sous domaines Sciences '!G160=1,'Items sous domaines Sciences '!B160,0)</f>
        <v>0</v>
      </c>
      <c r="C158" s="8">
        <f>IF('Items sous domaines Sciences '!G160=1,'Items sous domaines Sciences '!C160,0)</f>
        <v>0</v>
      </c>
      <c r="D158" s="8">
        <f>IF('Items sous domaines Sciences '!G160=1,'Items sous domaines Sciences '!D160,0)</f>
        <v>0</v>
      </c>
      <c r="E158" s="8">
        <f>IF('Items sous domaines Sciences '!G160=1,'Items sous domaines Sciences '!E160,0)</f>
        <v>0</v>
      </c>
      <c r="F158" s="339" t="s">
        <v>398</v>
      </c>
      <c r="G158" s="333" t="s">
        <v>406</v>
      </c>
    </row>
    <row r="159" spans="1:7" customFormat="1" ht="17.7" hidden="1" customHeight="1" thickBot="1" x14ac:dyDescent="0.3">
      <c r="A159" s="353"/>
      <c r="B159" s="8">
        <f>IF('Items sous domaines Sciences '!G161=1,'Items sous domaines Sciences '!B161,0)</f>
        <v>0</v>
      </c>
      <c r="C159" s="8">
        <f>IF('Items sous domaines Sciences '!G161=1,'Items sous domaines Sciences '!C161,0)</f>
        <v>0</v>
      </c>
      <c r="D159" s="8">
        <f>IF('Items sous domaines Sciences '!G161=1,'Items sous domaines Sciences '!D161,0)</f>
        <v>0</v>
      </c>
      <c r="E159" s="8">
        <f>IF('Items sous domaines Sciences '!G161=1,'Items sous domaines Sciences '!E161,0)</f>
        <v>0</v>
      </c>
      <c r="F159" s="340"/>
      <c r="G159" s="333"/>
    </row>
    <row r="160" spans="1:7" customFormat="1" ht="17.7" hidden="1" customHeight="1" thickBot="1" x14ac:dyDescent="0.3">
      <c r="A160" s="387" t="s">
        <v>407</v>
      </c>
      <c r="B160" s="8">
        <f>IF('Items sous domaines Sciences '!G162=1,'Items sous domaines Sciences '!B162,0)</f>
        <v>0</v>
      </c>
      <c r="C160" s="8">
        <f>IF('Items sous domaines Sciences '!G162=1,'Items sous domaines Sciences '!C162,0)</f>
        <v>0</v>
      </c>
      <c r="D160" s="8">
        <f>IF('Items sous domaines Sciences '!G162=1,'Items sous domaines Sciences '!D162,0)</f>
        <v>0</v>
      </c>
      <c r="E160" s="8">
        <f>IF('Items sous domaines Sciences '!G162=1,'Items sous domaines Sciences '!E162,0)</f>
        <v>0</v>
      </c>
      <c r="F160" s="340" t="s">
        <v>408</v>
      </c>
      <c r="G160" s="24" t="s">
        <v>409</v>
      </c>
    </row>
    <row r="161" spans="1:7" customFormat="1" ht="17.7" hidden="1" customHeight="1" thickBot="1" x14ac:dyDescent="0.3">
      <c r="A161" s="388"/>
      <c r="B161" s="8">
        <f>IF('Items sous domaines Sciences '!G163=1,'Items sous domaines Sciences '!B163,0)</f>
        <v>0</v>
      </c>
      <c r="C161" s="8">
        <f>IF('Items sous domaines Sciences '!G163=1,'Items sous domaines Sciences '!C163,0)</f>
        <v>0</v>
      </c>
      <c r="D161" s="8">
        <f>IF('Items sous domaines Sciences '!G163=1,'Items sous domaines Sciences '!D163,0)</f>
        <v>0</v>
      </c>
      <c r="E161" s="8">
        <f>IF('Items sous domaines Sciences '!G163=1,'Items sous domaines Sciences '!E163,0)</f>
        <v>0</v>
      </c>
      <c r="F161" s="340"/>
      <c r="G161" s="333" t="s">
        <v>406</v>
      </c>
    </row>
    <row r="162" spans="1:7" customFormat="1" ht="17.7" hidden="1" customHeight="1" thickBot="1" x14ac:dyDescent="0.3">
      <c r="A162" s="352" t="s">
        <v>405</v>
      </c>
      <c r="B162" s="8">
        <f>IF('Items sous domaines Sciences '!G164=1,'Items sous domaines Sciences '!B164,0)</f>
        <v>0</v>
      </c>
      <c r="C162" s="8">
        <f>IF('Items sous domaines Sciences '!G164=1,'Items sous domaines Sciences '!C164,0)</f>
        <v>0</v>
      </c>
      <c r="D162" s="8">
        <f>IF('Items sous domaines Sciences '!G164=1,'Items sous domaines Sciences '!D164,0)</f>
        <v>0</v>
      </c>
      <c r="E162" s="8">
        <f>IF('Items sous domaines Sciences '!G164=1,'Items sous domaines Sciences '!E164,0)</f>
        <v>0</v>
      </c>
      <c r="F162" s="340" t="s">
        <v>398</v>
      </c>
      <c r="G162" s="333"/>
    </row>
    <row r="163" spans="1:7" customFormat="1" ht="17.7" hidden="1" customHeight="1" thickBot="1" x14ac:dyDescent="0.3">
      <c r="A163" s="353"/>
      <c r="B163" s="8">
        <f>IF('Items sous domaines Sciences '!G165=1,'Items sous domaines Sciences '!B165,0)</f>
        <v>0</v>
      </c>
      <c r="C163" s="8">
        <f>IF('Items sous domaines Sciences '!G165=1,'Items sous domaines Sciences '!C165,0)</f>
        <v>0</v>
      </c>
      <c r="D163" s="8">
        <f>IF('Items sous domaines Sciences '!G165=1,'Items sous domaines Sciences '!D165,0)</f>
        <v>0</v>
      </c>
      <c r="E163" s="8">
        <f>IF('Items sous domaines Sciences '!G165=1,'Items sous domaines Sciences '!E165,0)</f>
        <v>0</v>
      </c>
      <c r="F163" s="340"/>
      <c r="G163" s="333"/>
    </row>
    <row r="164" spans="1:7" customFormat="1" ht="17.7" hidden="1" customHeight="1" thickBot="1" x14ac:dyDescent="0.3">
      <c r="A164" s="353"/>
      <c r="B164" s="8">
        <f>IF('Items sous domaines Sciences '!G166=1,'Items sous domaines Sciences '!B166,0)</f>
        <v>0</v>
      </c>
      <c r="C164" s="8">
        <f>IF('Items sous domaines Sciences '!G166=1,'Items sous domaines Sciences '!C166,0)</f>
        <v>0</v>
      </c>
      <c r="D164" s="8">
        <f>IF('Items sous domaines Sciences '!G166=1,'Items sous domaines Sciences '!D166,0)</f>
        <v>0</v>
      </c>
      <c r="E164" s="8">
        <f>IF('Items sous domaines Sciences '!G166=1,'Items sous domaines Sciences '!E166,0)</f>
        <v>0</v>
      </c>
      <c r="F164" s="340"/>
      <c r="G164" s="333"/>
    </row>
    <row r="165" spans="1:7" customFormat="1" ht="17.7" hidden="1" customHeight="1" thickBot="1" x14ac:dyDescent="0.3">
      <c r="A165" s="353"/>
      <c r="B165" s="8">
        <f>IF('Items sous domaines Sciences '!G167=1,'Items sous domaines Sciences '!B167,0)</f>
        <v>0</v>
      </c>
      <c r="C165" s="8">
        <f>IF('Items sous domaines Sciences '!G167=1,'Items sous domaines Sciences '!C167,0)</f>
        <v>0</v>
      </c>
      <c r="D165" s="8">
        <f>IF('Items sous domaines Sciences '!G167=1,'Items sous domaines Sciences '!D167,0)</f>
        <v>0</v>
      </c>
      <c r="E165" s="8">
        <f>IF('Items sous domaines Sciences '!G167=1,'Items sous domaines Sciences '!E167,0)</f>
        <v>0</v>
      </c>
      <c r="F165" s="340"/>
      <c r="G165" s="333"/>
    </row>
    <row r="166" spans="1:7" customFormat="1" ht="17.7" hidden="1" customHeight="1" thickBot="1" x14ac:dyDescent="0.3">
      <c r="A166" s="353"/>
      <c r="B166" s="8">
        <f>IF('Items sous domaines Sciences '!G168=1,'Items sous domaines Sciences '!B168,0)</f>
        <v>0</v>
      </c>
      <c r="C166" s="8">
        <f>IF('Items sous domaines Sciences '!G168=1,'Items sous domaines Sciences '!C168,0)</f>
        <v>0</v>
      </c>
      <c r="D166" s="8">
        <f>IF('Items sous domaines Sciences '!G168=1,'Items sous domaines Sciences '!D168,0)</f>
        <v>0</v>
      </c>
      <c r="E166" s="8">
        <f>IF('Items sous domaines Sciences '!G168=1,'Items sous domaines Sciences '!E168,0)</f>
        <v>0</v>
      </c>
      <c r="F166" s="340"/>
      <c r="G166" s="333"/>
    </row>
    <row r="167" spans="1:7" customFormat="1" ht="17.7" hidden="1" customHeight="1" thickBot="1" x14ac:dyDescent="0.3">
      <c r="A167" s="353"/>
      <c r="B167" s="8">
        <f>IF('Items sous domaines Sciences '!G169=1,'Items sous domaines Sciences '!B169,0)</f>
        <v>0</v>
      </c>
      <c r="C167" s="8">
        <f>IF('Items sous domaines Sciences '!G169=1,'Items sous domaines Sciences '!C169,0)</f>
        <v>0</v>
      </c>
      <c r="D167" s="8">
        <f>IF('Items sous domaines Sciences '!G169=1,'Items sous domaines Sciences '!D169,0)</f>
        <v>0</v>
      </c>
      <c r="E167" s="8">
        <f>IF('Items sous domaines Sciences '!G169=1,'Items sous domaines Sciences '!E169,0)</f>
        <v>0</v>
      </c>
      <c r="F167" s="340"/>
      <c r="G167" s="333"/>
    </row>
    <row r="168" spans="1:7" customFormat="1" ht="17.7" hidden="1" customHeight="1" thickBot="1" x14ac:dyDescent="0.3">
      <c r="A168" s="353"/>
      <c r="B168" s="8">
        <f>IF('Items sous domaines Sciences '!G170=1,'Items sous domaines Sciences '!B170,0)</f>
        <v>0</v>
      </c>
      <c r="C168" s="8">
        <f>IF('Items sous domaines Sciences '!G170=1,'Items sous domaines Sciences '!C170,0)</f>
        <v>0</v>
      </c>
      <c r="D168" s="8">
        <f>IF('Items sous domaines Sciences '!G170=1,'Items sous domaines Sciences '!D170,0)</f>
        <v>0</v>
      </c>
      <c r="E168" s="8">
        <f>IF('Items sous domaines Sciences '!G170=1,'Items sous domaines Sciences '!E170,0)</f>
        <v>0</v>
      </c>
      <c r="F168" s="340"/>
      <c r="G168" s="333"/>
    </row>
    <row r="169" spans="1:7" customFormat="1" ht="17.7" hidden="1" customHeight="1" thickBot="1" x14ac:dyDescent="0.3">
      <c r="A169" s="353"/>
      <c r="B169" s="8">
        <f>IF('Items sous domaines Sciences '!G171=1,'Items sous domaines Sciences '!B171,0)</f>
        <v>0</v>
      </c>
      <c r="C169" s="8">
        <f>IF('Items sous domaines Sciences '!G171=1,'Items sous domaines Sciences '!C171,0)</f>
        <v>0</v>
      </c>
      <c r="D169" s="8">
        <f>IF('Items sous domaines Sciences '!G171=1,'Items sous domaines Sciences '!D171,0)</f>
        <v>0</v>
      </c>
      <c r="E169" s="8">
        <f>IF('Items sous domaines Sciences '!G171=1,'Items sous domaines Sciences '!E171,0)</f>
        <v>0</v>
      </c>
      <c r="F169" s="340"/>
      <c r="G169" s="333"/>
    </row>
    <row r="170" spans="1:7" customFormat="1" ht="17.7" hidden="1" customHeight="1" thickBot="1" x14ac:dyDescent="0.3">
      <c r="A170" s="353"/>
      <c r="B170" s="8">
        <f>IF('Items sous domaines Sciences '!G172=1,'Items sous domaines Sciences '!B172,0)</f>
        <v>0</v>
      </c>
      <c r="C170" s="8">
        <f>IF('Items sous domaines Sciences '!G172=1,'Items sous domaines Sciences '!C172,0)</f>
        <v>0</v>
      </c>
      <c r="D170" s="8">
        <f>IF('Items sous domaines Sciences '!G172=1,'Items sous domaines Sciences '!D172,0)</f>
        <v>0</v>
      </c>
      <c r="E170" s="8">
        <f>IF('Items sous domaines Sciences '!G172=1,'Items sous domaines Sciences '!E172,0)</f>
        <v>0</v>
      </c>
      <c r="F170" s="340"/>
      <c r="G170" s="333"/>
    </row>
    <row r="171" spans="1:7" customFormat="1" ht="17.7" hidden="1" customHeight="1" thickBot="1" x14ac:dyDescent="0.3">
      <c r="A171" s="386"/>
      <c r="B171" s="8">
        <f>IF('Items sous domaines Sciences '!G173=1,'Items sous domaines Sciences '!B173,0)</f>
        <v>0</v>
      </c>
      <c r="C171" s="8">
        <f>IF('Items sous domaines Sciences '!G173=1,'Items sous domaines Sciences '!C173,0)</f>
        <v>0</v>
      </c>
      <c r="D171" s="8">
        <f>IF('Items sous domaines Sciences '!G173=1,'Items sous domaines Sciences '!D173,0)</f>
        <v>0</v>
      </c>
      <c r="E171" s="8">
        <f>IF('Items sous domaines Sciences '!G173=1,'Items sous domaines Sciences '!E173,0)</f>
        <v>0</v>
      </c>
      <c r="F171" s="340"/>
      <c r="G171" s="333"/>
    </row>
    <row r="172" spans="1:7" customFormat="1" ht="17.7" hidden="1" customHeight="1" thickBot="1" x14ac:dyDescent="0.3">
      <c r="A172" s="387" t="s">
        <v>407</v>
      </c>
      <c r="B172" s="8">
        <f>IF('Items sous domaines Sciences '!G174=1,'Items sous domaines Sciences '!B174,0)</f>
        <v>0</v>
      </c>
      <c r="C172" s="8">
        <f>IF('Items sous domaines Sciences '!G174=1,'Items sous domaines Sciences '!C174,0)</f>
        <v>0</v>
      </c>
      <c r="D172" s="8">
        <f>IF('Items sous domaines Sciences '!G174=1,'Items sous domaines Sciences '!D174,0)</f>
        <v>0</v>
      </c>
      <c r="E172" s="8">
        <f>IF('Items sous domaines Sciences '!G174=1,'Items sous domaines Sciences '!E174,0)</f>
        <v>0</v>
      </c>
      <c r="F172" s="340" t="s">
        <v>408</v>
      </c>
      <c r="G172" s="333" t="s">
        <v>409</v>
      </c>
    </row>
    <row r="173" spans="1:7" customFormat="1" ht="17.7" hidden="1" customHeight="1" thickBot="1" x14ac:dyDescent="0.3">
      <c r="A173" s="388"/>
      <c r="B173" s="8">
        <f>IF('Items sous domaines Sciences '!G175=1,'Items sous domaines Sciences '!B175,0)</f>
        <v>0</v>
      </c>
      <c r="C173" s="8">
        <f>IF('Items sous domaines Sciences '!G175=1,'Items sous domaines Sciences '!C175,0)</f>
        <v>0</v>
      </c>
      <c r="D173" s="8">
        <f>IF('Items sous domaines Sciences '!G175=1,'Items sous domaines Sciences '!D175,0)</f>
        <v>0</v>
      </c>
      <c r="E173" s="8">
        <f>IF('Items sous domaines Sciences '!G175=1,'Items sous domaines Sciences '!E175,0)</f>
        <v>0</v>
      </c>
      <c r="F173" s="340"/>
      <c r="G173" s="333"/>
    </row>
    <row r="174" spans="1:7" customFormat="1" ht="17.7" hidden="1" customHeight="1" thickBot="1" x14ac:dyDescent="0.3">
      <c r="A174" s="388"/>
      <c r="B174" s="8">
        <f>IF('Items sous domaines Sciences '!G176=1,'Items sous domaines Sciences '!B176,0)</f>
        <v>0</v>
      </c>
      <c r="C174" s="8">
        <f>IF('Items sous domaines Sciences '!G176=1,'Items sous domaines Sciences '!C176,0)</f>
        <v>0</v>
      </c>
      <c r="D174" s="8">
        <f>IF('Items sous domaines Sciences '!G176=1,'Items sous domaines Sciences '!D176,0)</f>
        <v>0</v>
      </c>
      <c r="E174" s="8">
        <f>IF('Items sous domaines Sciences '!G176=1,'Items sous domaines Sciences '!E176,0)</f>
        <v>0</v>
      </c>
      <c r="F174" s="340"/>
      <c r="G174" s="333"/>
    </row>
    <row r="175" spans="1:7" customFormat="1" ht="17.7" hidden="1" customHeight="1" thickBot="1" x14ac:dyDescent="0.3">
      <c r="A175" s="388"/>
      <c r="B175" s="8">
        <f>IF('Items sous domaines Sciences '!G177=1,'Items sous domaines Sciences '!B177,0)</f>
        <v>0</v>
      </c>
      <c r="C175" s="8">
        <f>IF('Items sous domaines Sciences '!G177=1,'Items sous domaines Sciences '!C177,0)</f>
        <v>0</v>
      </c>
      <c r="D175" s="8">
        <f>IF('Items sous domaines Sciences '!G177=1,'Items sous domaines Sciences '!D177,0)</f>
        <v>0</v>
      </c>
      <c r="E175" s="8">
        <f>IF('Items sous domaines Sciences '!G177=1,'Items sous domaines Sciences '!E177,0)</f>
        <v>0</v>
      </c>
      <c r="F175" s="340"/>
      <c r="G175" s="333"/>
    </row>
    <row r="176" spans="1:7" customFormat="1" ht="17.7" hidden="1" customHeight="1" thickBot="1" x14ac:dyDescent="0.3">
      <c r="A176" s="388"/>
      <c r="B176" s="8">
        <f>IF('Items sous domaines Sciences '!G178=1,'Items sous domaines Sciences '!B178,0)</f>
        <v>0</v>
      </c>
      <c r="C176" s="8">
        <f>IF('Items sous domaines Sciences '!G178=1,'Items sous domaines Sciences '!C178,0)</f>
        <v>0</v>
      </c>
      <c r="D176" s="8">
        <f>IF('Items sous domaines Sciences '!G178=1,'Items sous domaines Sciences '!D178,0)</f>
        <v>0</v>
      </c>
      <c r="E176" s="8">
        <f>IF('Items sous domaines Sciences '!G178=1,'Items sous domaines Sciences '!E178,0)</f>
        <v>0</v>
      </c>
      <c r="F176" s="340"/>
      <c r="G176" s="333"/>
    </row>
    <row r="177" spans="1:7" customFormat="1" ht="17.7" hidden="1" customHeight="1" thickBot="1" x14ac:dyDescent="0.3">
      <c r="A177" s="352" t="s">
        <v>405</v>
      </c>
      <c r="B177" s="8">
        <f>IF('Items sous domaines Sciences '!G179=1,'Items sous domaines Sciences '!B179,0)</f>
        <v>0</v>
      </c>
      <c r="C177" s="8">
        <f>IF('Items sous domaines Sciences '!G179=1,'Items sous domaines Sciences '!C179,0)</f>
        <v>0</v>
      </c>
      <c r="D177" s="8">
        <f>IF('Items sous domaines Sciences '!G179=1,'Items sous domaines Sciences '!D179,0)</f>
        <v>0</v>
      </c>
      <c r="E177" s="8">
        <f>IF('Items sous domaines Sciences '!G179=1,'Items sous domaines Sciences '!E179,0)</f>
        <v>0</v>
      </c>
      <c r="F177" s="340" t="s">
        <v>398</v>
      </c>
      <c r="G177" s="333" t="s">
        <v>406</v>
      </c>
    </row>
    <row r="178" spans="1:7" customFormat="1" ht="17.7" hidden="1" customHeight="1" thickBot="1" x14ac:dyDescent="0.3">
      <c r="A178" s="353"/>
      <c r="B178" s="8">
        <f>IF('Items sous domaines Sciences '!G180=1,'Items sous domaines Sciences '!B180,0)</f>
        <v>0</v>
      </c>
      <c r="C178" s="8">
        <f>IF('Items sous domaines Sciences '!G180=1,'Items sous domaines Sciences '!C180,0)</f>
        <v>0</v>
      </c>
      <c r="D178" s="8">
        <f>IF('Items sous domaines Sciences '!G180=1,'Items sous domaines Sciences '!D180,0)</f>
        <v>0</v>
      </c>
      <c r="E178" s="8">
        <f>IF('Items sous domaines Sciences '!G180=1,'Items sous domaines Sciences '!E180,0)</f>
        <v>0</v>
      </c>
      <c r="F178" s="340"/>
      <c r="G178" s="333"/>
    </row>
    <row r="179" spans="1:7" customFormat="1" ht="17.7" hidden="1" customHeight="1" thickBot="1" x14ac:dyDescent="0.3">
      <c r="A179" s="353"/>
      <c r="B179" s="8">
        <f>IF('Items sous domaines Sciences '!G181=1,'Items sous domaines Sciences '!B181,0)</f>
        <v>0</v>
      </c>
      <c r="C179" s="8">
        <f>IF('Items sous domaines Sciences '!G181=1,'Items sous domaines Sciences '!C181,0)</f>
        <v>0</v>
      </c>
      <c r="D179" s="8">
        <f>IF('Items sous domaines Sciences '!G181=1,'Items sous domaines Sciences '!D181,0)</f>
        <v>0</v>
      </c>
      <c r="E179" s="8">
        <f>IF('Items sous domaines Sciences '!G181=1,'Items sous domaines Sciences '!E181,0)</f>
        <v>0</v>
      </c>
      <c r="F179" s="340"/>
      <c r="G179" s="333"/>
    </row>
    <row r="180" spans="1:7" customFormat="1" ht="17.7" hidden="1" customHeight="1" thickBot="1" x14ac:dyDescent="0.3">
      <c r="A180" s="353"/>
      <c r="B180" s="8">
        <f>IF('Items sous domaines Sciences '!G182=1,'Items sous domaines Sciences '!B182,0)</f>
        <v>0</v>
      </c>
      <c r="C180" s="8">
        <f>IF('Items sous domaines Sciences '!G182=1,'Items sous domaines Sciences '!C182,0)</f>
        <v>0</v>
      </c>
      <c r="D180" s="8">
        <f>IF('Items sous domaines Sciences '!G182=1,'Items sous domaines Sciences '!D182,0)</f>
        <v>0</v>
      </c>
      <c r="E180" s="8">
        <f>IF('Items sous domaines Sciences '!G182=1,'Items sous domaines Sciences '!E182,0)</f>
        <v>0</v>
      </c>
      <c r="F180" s="340"/>
      <c r="G180" s="333"/>
    </row>
    <row r="181" spans="1:7" customFormat="1" ht="17.7" hidden="1" customHeight="1" thickBot="1" x14ac:dyDescent="0.3">
      <c r="A181" s="353"/>
      <c r="B181" s="8">
        <f>IF('Items sous domaines Sciences '!G183=1,'Items sous domaines Sciences '!B183,0)</f>
        <v>0</v>
      </c>
      <c r="C181" s="8">
        <f>IF('Items sous domaines Sciences '!G183=1,'Items sous domaines Sciences '!C183,0)</f>
        <v>0</v>
      </c>
      <c r="D181" s="8">
        <f>IF('Items sous domaines Sciences '!G183=1,'Items sous domaines Sciences '!D183,0)</f>
        <v>0</v>
      </c>
      <c r="E181" s="8">
        <f>IF('Items sous domaines Sciences '!G183=1,'Items sous domaines Sciences '!E183,0)</f>
        <v>0</v>
      </c>
      <c r="F181" s="340"/>
      <c r="G181" s="333"/>
    </row>
    <row r="182" spans="1:7" customFormat="1" ht="17.7" hidden="1" customHeight="1" thickBot="1" x14ac:dyDescent="0.3">
      <c r="A182" s="353"/>
      <c r="B182" s="8">
        <f>IF('Items sous domaines Sciences '!G184=1,'Items sous domaines Sciences '!B184,0)</f>
        <v>0</v>
      </c>
      <c r="C182" s="8">
        <f>IF('Items sous domaines Sciences '!G184=1,'Items sous domaines Sciences '!C184,0)</f>
        <v>0</v>
      </c>
      <c r="D182" s="8">
        <f>IF('Items sous domaines Sciences '!G184=1,'Items sous domaines Sciences '!D184,0)</f>
        <v>0</v>
      </c>
      <c r="E182" s="8">
        <f>IF('Items sous domaines Sciences '!G184=1,'Items sous domaines Sciences '!E184,0)</f>
        <v>0</v>
      </c>
      <c r="F182" s="340"/>
      <c r="G182" s="333"/>
    </row>
    <row r="183" spans="1:7" customFormat="1" ht="17.7" hidden="1" customHeight="1" thickBot="1" x14ac:dyDescent="0.3">
      <c r="A183" s="353"/>
      <c r="B183" s="8">
        <f>IF('Items sous domaines Sciences '!G185=1,'Items sous domaines Sciences '!B185,0)</f>
        <v>0</v>
      </c>
      <c r="C183" s="8">
        <f>IF('Items sous domaines Sciences '!G185=1,'Items sous domaines Sciences '!C185,0)</f>
        <v>0</v>
      </c>
      <c r="D183" s="8">
        <f>IF('Items sous domaines Sciences '!G185=1,'Items sous domaines Sciences '!D185,0)</f>
        <v>0</v>
      </c>
      <c r="E183" s="8">
        <f>IF('Items sous domaines Sciences '!G185=1,'Items sous domaines Sciences '!E185,0)</f>
        <v>0</v>
      </c>
      <c r="F183" s="340"/>
      <c r="G183" s="333"/>
    </row>
    <row r="184" spans="1:7" customFormat="1" ht="17.7" hidden="1" customHeight="1" thickBot="1" x14ac:dyDescent="0.3">
      <c r="A184" s="353"/>
      <c r="B184" s="8">
        <f>IF('Items sous domaines Sciences '!G186=1,'Items sous domaines Sciences '!B186,0)</f>
        <v>0</v>
      </c>
      <c r="C184" s="8">
        <f>IF('Items sous domaines Sciences '!G186=1,'Items sous domaines Sciences '!C186,0)</f>
        <v>0</v>
      </c>
      <c r="D184" s="8">
        <f>IF('Items sous domaines Sciences '!G186=1,'Items sous domaines Sciences '!D186,0)</f>
        <v>0</v>
      </c>
      <c r="E184" s="8">
        <f>IF('Items sous domaines Sciences '!G186=1,'Items sous domaines Sciences '!E186,0)</f>
        <v>0</v>
      </c>
      <c r="F184" s="340"/>
      <c r="G184" s="333"/>
    </row>
    <row r="185" spans="1:7" customFormat="1" ht="17.7" hidden="1" customHeight="1" thickBot="1" x14ac:dyDescent="0.3">
      <c r="A185" s="353"/>
      <c r="B185" s="8">
        <f>IF('Items sous domaines Sciences '!G187=1,'Items sous domaines Sciences '!B187,0)</f>
        <v>0</v>
      </c>
      <c r="C185" s="8">
        <f>IF('Items sous domaines Sciences '!G187=1,'Items sous domaines Sciences '!C187,0)</f>
        <v>0</v>
      </c>
      <c r="D185" s="8">
        <f>IF('Items sous domaines Sciences '!G187=1,'Items sous domaines Sciences '!D187,0)</f>
        <v>0</v>
      </c>
      <c r="E185" s="8">
        <f>IF('Items sous domaines Sciences '!G187=1,'Items sous domaines Sciences '!E187,0)</f>
        <v>0</v>
      </c>
      <c r="F185" s="340"/>
      <c r="G185" s="333"/>
    </row>
    <row r="186" spans="1:7" customFormat="1" ht="17.399999999999999" hidden="1" customHeight="1" thickBot="1" x14ac:dyDescent="0.3">
      <c r="A186" s="353"/>
      <c r="B186" s="8">
        <f>IF('Items sous domaines Sciences '!G188=1,'Items sous domaines Sciences '!B188,0)</f>
        <v>0</v>
      </c>
      <c r="C186" s="8">
        <f>IF('Items sous domaines Sciences '!G188=1,'Items sous domaines Sciences '!C188,0)</f>
        <v>0</v>
      </c>
      <c r="D186" s="8">
        <f>IF('Items sous domaines Sciences '!G188=1,'Items sous domaines Sciences '!D188,0)</f>
        <v>0</v>
      </c>
      <c r="E186" s="8">
        <f>IF('Items sous domaines Sciences '!G188=1,'Items sous domaines Sciences '!E188,0)</f>
        <v>0</v>
      </c>
      <c r="F186" s="340"/>
      <c r="G186" s="333"/>
    </row>
    <row r="187" spans="1:7" customFormat="1" ht="17.399999999999999" hidden="1" customHeight="1" thickBot="1" x14ac:dyDescent="0.3">
      <c r="A187" s="353"/>
      <c r="B187" s="8">
        <f>IF('Items sous domaines Sciences '!G189=1,'Items sous domaines Sciences '!B189,0)</f>
        <v>0</v>
      </c>
      <c r="C187" s="8">
        <f>IF('Items sous domaines Sciences '!G189=1,'Items sous domaines Sciences '!C189,0)</f>
        <v>0</v>
      </c>
      <c r="D187" s="8">
        <f>IF('Items sous domaines Sciences '!G189=1,'Items sous domaines Sciences '!D189,0)</f>
        <v>0</v>
      </c>
      <c r="E187" s="8">
        <f>IF('Items sous domaines Sciences '!G189=1,'Items sous domaines Sciences '!E189,0)</f>
        <v>0</v>
      </c>
      <c r="F187" s="340"/>
      <c r="G187" s="333"/>
    </row>
    <row r="188" spans="1:7" customFormat="1" ht="17.399999999999999" hidden="1" customHeight="1" thickBot="1" x14ac:dyDescent="0.3">
      <c r="A188" s="353"/>
      <c r="B188" s="8">
        <f>IF('Items sous domaines Sciences '!G190=1,'Items sous domaines Sciences '!B190,0)</f>
        <v>0</v>
      </c>
      <c r="C188" s="8">
        <f>IF('Items sous domaines Sciences '!G190=1,'Items sous domaines Sciences '!C190,0)</f>
        <v>0</v>
      </c>
      <c r="D188" s="8">
        <f>IF('Items sous domaines Sciences '!G190=1,'Items sous domaines Sciences '!D190,0)</f>
        <v>0</v>
      </c>
      <c r="E188" s="8">
        <f>IF('Items sous domaines Sciences '!G190=1,'Items sous domaines Sciences '!E190,0)</f>
        <v>0</v>
      </c>
      <c r="F188" s="340"/>
      <c r="G188" s="333"/>
    </row>
    <row r="189" spans="1:7" customFormat="1" ht="17.399999999999999" hidden="1" customHeight="1" thickBot="1" x14ac:dyDescent="0.3">
      <c r="A189" s="386"/>
      <c r="B189" s="8">
        <f>IF('Items sous domaines Sciences '!G191=1,'Items sous domaines Sciences '!B191,0)</f>
        <v>0</v>
      </c>
      <c r="C189" s="8">
        <f>IF('Items sous domaines Sciences '!G191=1,'Items sous domaines Sciences '!C191,0)</f>
        <v>0</v>
      </c>
      <c r="D189" s="8">
        <f>IF('Items sous domaines Sciences '!G191=1,'Items sous domaines Sciences '!D191,0)</f>
        <v>0</v>
      </c>
      <c r="E189" s="8">
        <f>IF('Items sous domaines Sciences '!G191=1,'Items sous domaines Sciences '!E191,0)</f>
        <v>0</v>
      </c>
      <c r="F189" s="341"/>
      <c r="G189" s="333"/>
    </row>
    <row r="190" spans="1:7" customFormat="1" ht="17.399999999999999" hidden="1" customHeight="1" thickBot="1" x14ac:dyDescent="0.3">
      <c r="B190" s="8">
        <f>IF('Items sous domaines Sciences '!G192=1,'Items sous domaines Sciences '!B192,0)</f>
        <v>0</v>
      </c>
      <c r="C190" s="8">
        <f>IF('Items sous domaines Sciences '!G192=1,'Items sous domaines Sciences '!C192,0)</f>
        <v>0</v>
      </c>
      <c r="D190" s="8">
        <f>IF('Items sous domaines Sciences '!G192=1,'Items sous domaines Sciences '!D192,0)</f>
        <v>0</v>
      </c>
      <c r="E190" s="8">
        <f>IF('Items sous domaines Sciences '!G192=1,'Items sous domaines Sciences '!E192,0)</f>
        <v>0</v>
      </c>
      <c r="F190" t="e">
        <f>IF('Items sous domaines Sciences '!#REF!=1,'Items sous domaines Sciences '!#REF!,0)</f>
        <v>#REF!</v>
      </c>
    </row>
    <row r="191" spans="1:7" customFormat="1" ht="17.399999999999999" hidden="1" customHeight="1" thickBot="1" x14ac:dyDescent="0.3">
      <c r="A191" s="394" t="s">
        <v>410</v>
      </c>
      <c r="B191" s="8">
        <f>IF('Items sous domaines Sciences '!G193=1,'Items sous domaines Sciences '!B193,0)</f>
        <v>0</v>
      </c>
      <c r="C191" s="8">
        <f>IF('Items sous domaines Sciences '!G193=1,'Items sous domaines Sciences '!C193,0)</f>
        <v>0</v>
      </c>
      <c r="D191" s="8">
        <f>IF('Items sous domaines Sciences '!G193=1,'Items sous domaines Sciences '!D193,0)</f>
        <v>0</v>
      </c>
      <c r="E191" s="8">
        <f>IF('Items sous domaines Sciences '!G193=1,'Items sous domaines Sciences '!E193,0)</f>
        <v>0</v>
      </c>
      <c r="F191" s="339" t="s">
        <v>411</v>
      </c>
      <c r="G191" s="333" t="s">
        <v>412</v>
      </c>
    </row>
    <row r="192" spans="1:7" customFormat="1" ht="17.399999999999999" hidden="1" customHeight="1" thickBot="1" x14ac:dyDescent="0.3">
      <c r="A192" s="395"/>
      <c r="B192" s="8">
        <f>IF('Items sous domaines Sciences '!G194=1,'Items sous domaines Sciences '!B194,0)</f>
        <v>0</v>
      </c>
      <c r="C192" s="8">
        <f>IF('Items sous domaines Sciences '!G194=1,'Items sous domaines Sciences '!C194,0)</f>
        <v>0</v>
      </c>
      <c r="D192" s="8">
        <f>IF('Items sous domaines Sciences '!G194=1,'Items sous domaines Sciences '!D194,0)</f>
        <v>0</v>
      </c>
      <c r="E192" s="8">
        <f>IF('Items sous domaines Sciences '!G194=1,'Items sous domaines Sciences '!E194,0)</f>
        <v>0</v>
      </c>
      <c r="F192" s="340"/>
      <c r="G192" s="333"/>
    </row>
    <row r="193" spans="1:7" customFormat="1" ht="17.399999999999999" hidden="1" customHeight="1" thickBot="1" x14ac:dyDescent="0.3">
      <c r="A193" s="392" t="s">
        <v>413</v>
      </c>
      <c r="B193" s="8">
        <f>IF('Items sous domaines Sciences '!G195=1,'Items sous domaines Sciences '!B195,0)</f>
        <v>0</v>
      </c>
      <c r="C193" s="8">
        <f>IF('Items sous domaines Sciences '!G195=1,'Items sous domaines Sciences '!C195,0)</f>
        <v>0</v>
      </c>
      <c r="D193" s="8">
        <f>IF('Items sous domaines Sciences '!G195=1,'Items sous domaines Sciences '!D195,0)</f>
        <v>0</v>
      </c>
      <c r="E193" s="8">
        <f>IF('Items sous domaines Sciences '!G195=1,'Items sous domaines Sciences '!E195,0)</f>
        <v>0</v>
      </c>
      <c r="F193" s="340" t="s">
        <v>414</v>
      </c>
      <c r="G193" s="333"/>
    </row>
    <row r="194" spans="1:7" customFormat="1" ht="17.399999999999999" hidden="1" customHeight="1" thickBot="1" x14ac:dyDescent="0.3">
      <c r="A194" s="392"/>
      <c r="B194" s="8">
        <f>IF('Items sous domaines Sciences '!G196=1,'Items sous domaines Sciences '!B196,0)</f>
        <v>0</v>
      </c>
      <c r="C194" s="8">
        <f>IF('Items sous domaines Sciences '!G196=1,'Items sous domaines Sciences '!C196,0)</f>
        <v>0</v>
      </c>
      <c r="D194" s="8">
        <f>IF('Items sous domaines Sciences '!G196=1,'Items sous domaines Sciences '!D196,0)</f>
        <v>0</v>
      </c>
      <c r="E194" s="8">
        <f>IF('Items sous domaines Sciences '!G196=1,'Items sous domaines Sciences '!E196,0)</f>
        <v>0</v>
      </c>
      <c r="F194" s="340"/>
      <c r="G194" s="333"/>
    </row>
    <row r="195" spans="1:7" customFormat="1" ht="17.399999999999999" hidden="1" customHeight="1" thickBot="1" x14ac:dyDescent="0.3">
      <c r="A195" s="392"/>
      <c r="B195" s="8">
        <f>IF('Items sous domaines Sciences '!G197=1,'Items sous domaines Sciences '!B197,0)</f>
        <v>0</v>
      </c>
      <c r="C195" s="8">
        <f>IF('Items sous domaines Sciences '!G197=1,'Items sous domaines Sciences '!C197,0)</f>
        <v>0</v>
      </c>
      <c r="D195" s="8">
        <f>IF('Items sous domaines Sciences '!G197=1,'Items sous domaines Sciences '!D197,0)</f>
        <v>0</v>
      </c>
      <c r="E195" s="8">
        <f>IF('Items sous domaines Sciences '!G197=1,'Items sous domaines Sciences '!E197,0)</f>
        <v>0</v>
      </c>
      <c r="F195" s="340"/>
      <c r="G195" s="333"/>
    </row>
    <row r="196" spans="1:7" customFormat="1" ht="17.399999999999999" hidden="1" customHeight="1" thickBot="1" x14ac:dyDescent="0.3">
      <c r="A196" s="392"/>
      <c r="B196" s="8">
        <f>IF('Items sous domaines Sciences '!G198=1,'Items sous domaines Sciences '!B198,0)</f>
        <v>0</v>
      </c>
      <c r="C196" s="8">
        <f>IF('Items sous domaines Sciences '!G198=1,'Items sous domaines Sciences '!C198,0)</f>
        <v>0</v>
      </c>
      <c r="D196" s="8">
        <f>IF('Items sous domaines Sciences '!G198=1,'Items sous domaines Sciences '!D198,0)</f>
        <v>0</v>
      </c>
      <c r="E196" s="8">
        <f>IF('Items sous domaines Sciences '!G198=1,'Items sous domaines Sciences '!E198,0)</f>
        <v>0</v>
      </c>
      <c r="F196" s="340"/>
      <c r="G196" s="333"/>
    </row>
    <row r="197" spans="1:7" customFormat="1" ht="17.399999999999999" hidden="1" customHeight="1" thickBot="1" x14ac:dyDescent="0.3">
      <c r="A197" s="392"/>
      <c r="B197" s="8">
        <f>IF('Items sous domaines Sciences '!G199=1,'Items sous domaines Sciences '!B199,0)</f>
        <v>0</v>
      </c>
      <c r="C197" s="8">
        <f>IF('Items sous domaines Sciences '!G199=1,'Items sous domaines Sciences '!C199,0)</f>
        <v>0</v>
      </c>
      <c r="D197" s="8">
        <f>IF('Items sous domaines Sciences '!G199=1,'Items sous domaines Sciences '!D199,0)</f>
        <v>0</v>
      </c>
      <c r="E197" s="8">
        <f>IF('Items sous domaines Sciences '!G199=1,'Items sous domaines Sciences '!E199,0)</f>
        <v>0</v>
      </c>
      <c r="F197" s="340"/>
      <c r="G197" s="333"/>
    </row>
    <row r="198" spans="1:7" customFormat="1" ht="17.399999999999999" hidden="1" customHeight="1" thickBot="1" x14ac:dyDescent="0.3">
      <c r="A198" s="392"/>
      <c r="B198" s="8">
        <f>IF('Items sous domaines Sciences '!G200=1,'Items sous domaines Sciences '!B200,0)</f>
        <v>0</v>
      </c>
      <c r="C198" s="8">
        <f>IF('Items sous domaines Sciences '!G200=1,'Items sous domaines Sciences '!C200,0)</f>
        <v>0</v>
      </c>
      <c r="D198" s="8">
        <f>IF('Items sous domaines Sciences '!G200=1,'Items sous domaines Sciences '!D200,0)</f>
        <v>0</v>
      </c>
      <c r="E198" s="8">
        <f>IF('Items sous domaines Sciences '!G200=1,'Items sous domaines Sciences '!E200,0)</f>
        <v>0</v>
      </c>
      <c r="F198" s="340"/>
      <c r="G198" s="333"/>
    </row>
    <row r="199" spans="1:7" customFormat="1" ht="17.399999999999999" hidden="1" customHeight="1" thickBot="1" x14ac:dyDescent="0.3">
      <c r="A199" s="392"/>
      <c r="B199" s="8">
        <f>IF('Items sous domaines Sciences '!G201=1,'Items sous domaines Sciences '!B201,0)</f>
        <v>0</v>
      </c>
      <c r="C199" s="8">
        <f>IF('Items sous domaines Sciences '!G201=1,'Items sous domaines Sciences '!C201,0)</f>
        <v>0</v>
      </c>
      <c r="D199" s="8">
        <f>IF('Items sous domaines Sciences '!G201=1,'Items sous domaines Sciences '!D201,0)</f>
        <v>0</v>
      </c>
      <c r="E199" s="8">
        <f>IF('Items sous domaines Sciences '!G201=1,'Items sous domaines Sciences '!E201,0)</f>
        <v>0</v>
      </c>
      <c r="F199" s="340"/>
      <c r="G199" s="333"/>
    </row>
    <row r="200" spans="1:7" customFormat="1" ht="17.399999999999999" hidden="1" customHeight="1" thickBot="1" x14ac:dyDescent="0.3">
      <c r="A200" s="392"/>
      <c r="B200" s="8">
        <f>IF('Items sous domaines Sciences '!G202=1,'Items sous domaines Sciences '!B202,0)</f>
        <v>0</v>
      </c>
      <c r="C200" s="8">
        <f>IF('Items sous domaines Sciences '!G202=1,'Items sous domaines Sciences '!C202,0)</f>
        <v>0</v>
      </c>
      <c r="D200" s="8">
        <f>IF('Items sous domaines Sciences '!G202=1,'Items sous domaines Sciences '!D202,0)</f>
        <v>0</v>
      </c>
      <c r="E200" s="8">
        <f>IF('Items sous domaines Sciences '!G202=1,'Items sous domaines Sciences '!E202,0)</f>
        <v>0</v>
      </c>
      <c r="F200" s="340"/>
      <c r="G200" s="333" t="s">
        <v>415</v>
      </c>
    </row>
    <row r="201" spans="1:7" customFormat="1" ht="17.399999999999999" hidden="1" customHeight="1" thickBot="1" x14ac:dyDescent="0.3">
      <c r="A201" s="392"/>
      <c r="B201" s="8">
        <f>IF('Items sous domaines Sciences '!G203=1,'Items sous domaines Sciences '!B203,0)</f>
        <v>0</v>
      </c>
      <c r="C201" s="8">
        <f>IF('Items sous domaines Sciences '!G203=1,'Items sous domaines Sciences '!C203,0)</f>
        <v>0</v>
      </c>
      <c r="D201" s="8">
        <f>IF('Items sous domaines Sciences '!G203=1,'Items sous domaines Sciences '!D203,0)</f>
        <v>0</v>
      </c>
      <c r="E201" s="8">
        <f>IF('Items sous domaines Sciences '!G203=1,'Items sous domaines Sciences '!E203,0)</f>
        <v>0</v>
      </c>
      <c r="F201" s="340"/>
      <c r="G201" s="333"/>
    </row>
    <row r="202" spans="1:7" customFormat="1" ht="17.399999999999999" hidden="1" customHeight="1" thickBot="1" x14ac:dyDescent="0.3">
      <c r="A202" s="392"/>
      <c r="B202" s="8">
        <f>IF('Items sous domaines Sciences '!G204=1,'Items sous domaines Sciences '!B204,0)</f>
        <v>0</v>
      </c>
      <c r="C202" s="8">
        <f>IF('Items sous domaines Sciences '!G204=1,'Items sous domaines Sciences '!C204,0)</f>
        <v>0</v>
      </c>
      <c r="D202" s="8">
        <f>IF('Items sous domaines Sciences '!G204=1,'Items sous domaines Sciences '!D204,0)</f>
        <v>0</v>
      </c>
      <c r="E202" s="8">
        <f>IF('Items sous domaines Sciences '!G204=1,'Items sous domaines Sciences '!E204,0)</f>
        <v>0</v>
      </c>
      <c r="F202" s="340"/>
      <c r="G202" s="333"/>
    </row>
    <row r="203" spans="1:7" customFormat="1" ht="17.399999999999999" hidden="1" customHeight="1" thickBot="1" x14ac:dyDescent="0.3">
      <c r="A203" s="392"/>
      <c r="B203" s="8">
        <f>IF('Items sous domaines Sciences '!G205=1,'Items sous domaines Sciences '!B205,0)</f>
        <v>0</v>
      </c>
      <c r="C203" s="8">
        <f>IF('Items sous domaines Sciences '!G205=1,'Items sous domaines Sciences '!C205,0)</f>
        <v>0</v>
      </c>
      <c r="D203" s="8">
        <f>IF('Items sous domaines Sciences '!G205=1,'Items sous domaines Sciences '!D205,0)</f>
        <v>0</v>
      </c>
      <c r="E203" s="8">
        <f>IF('Items sous domaines Sciences '!G205=1,'Items sous domaines Sciences '!E205,0)</f>
        <v>0</v>
      </c>
      <c r="F203" s="340"/>
      <c r="G203" s="333"/>
    </row>
    <row r="204" spans="1:7" customFormat="1" ht="17.399999999999999" hidden="1" customHeight="1" thickBot="1" x14ac:dyDescent="0.3">
      <c r="A204" s="392"/>
      <c r="B204" s="8">
        <f>IF('Items sous domaines Sciences '!G206=1,'Items sous domaines Sciences '!B206,0)</f>
        <v>0</v>
      </c>
      <c r="C204" s="8">
        <f>IF('Items sous domaines Sciences '!G206=1,'Items sous domaines Sciences '!C206,0)</f>
        <v>0</v>
      </c>
      <c r="D204" s="8">
        <f>IF('Items sous domaines Sciences '!G206=1,'Items sous domaines Sciences '!D206,0)</f>
        <v>0</v>
      </c>
      <c r="E204" s="8">
        <f>IF('Items sous domaines Sciences '!G206=1,'Items sous domaines Sciences '!E206,0)</f>
        <v>0</v>
      </c>
      <c r="F204" s="340"/>
      <c r="G204" s="333"/>
    </row>
    <row r="205" spans="1:7" customFormat="1" ht="17.399999999999999" hidden="1" customHeight="1" thickBot="1" x14ac:dyDescent="0.3">
      <c r="A205" s="392"/>
      <c r="B205" s="8">
        <f>IF('Items sous domaines Sciences '!G207=1,'Items sous domaines Sciences '!B207,0)</f>
        <v>0</v>
      </c>
      <c r="C205" s="8">
        <f>IF('Items sous domaines Sciences '!G207=1,'Items sous domaines Sciences '!C207,0)</f>
        <v>0</v>
      </c>
      <c r="D205" s="8">
        <f>IF('Items sous domaines Sciences '!G207=1,'Items sous domaines Sciences '!D207,0)</f>
        <v>0</v>
      </c>
      <c r="E205" s="8">
        <f>IF('Items sous domaines Sciences '!G207=1,'Items sous domaines Sciences '!E207,0)</f>
        <v>0</v>
      </c>
      <c r="F205" s="340"/>
      <c r="G205" s="333"/>
    </row>
    <row r="206" spans="1:7" customFormat="1" ht="17.399999999999999" hidden="1" customHeight="1" thickBot="1" x14ac:dyDescent="0.3">
      <c r="A206" s="392"/>
      <c r="B206" s="8">
        <f>IF('Items sous domaines Sciences '!G208=1,'Items sous domaines Sciences '!B208,0)</f>
        <v>0</v>
      </c>
      <c r="C206" s="8">
        <f>IF('Items sous domaines Sciences '!G208=1,'Items sous domaines Sciences '!C208,0)</f>
        <v>0</v>
      </c>
      <c r="D206" s="8">
        <f>IF('Items sous domaines Sciences '!G208=1,'Items sous domaines Sciences '!D208,0)</f>
        <v>0</v>
      </c>
      <c r="E206" s="8">
        <f>IF('Items sous domaines Sciences '!G208=1,'Items sous domaines Sciences '!E208,0)</f>
        <v>0</v>
      </c>
      <c r="F206" s="340"/>
      <c r="G206" s="333"/>
    </row>
    <row r="207" spans="1:7" customFormat="1" ht="17.399999999999999" hidden="1" customHeight="1" thickBot="1" x14ac:dyDescent="0.3">
      <c r="A207" s="392"/>
      <c r="B207" s="8">
        <f>IF('Items sous domaines Sciences '!G209=1,'Items sous domaines Sciences '!B209,0)</f>
        <v>0</v>
      </c>
      <c r="C207" s="8">
        <f>IF('Items sous domaines Sciences '!G209=1,'Items sous domaines Sciences '!C209,0)</f>
        <v>0</v>
      </c>
      <c r="D207" s="8">
        <f>IF('Items sous domaines Sciences '!G209=1,'Items sous domaines Sciences '!D209,0)</f>
        <v>0</v>
      </c>
      <c r="E207" s="8">
        <f>IF('Items sous domaines Sciences '!G209=1,'Items sous domaines Sciences '!E209,0)</f>
        <v>0</v>
      </c>
      <c r="F207" s="340"/>
      <c r="G207" s="333"/>
    </row>
    <row r="208" spans="1:7" customFormat="1" ht="17.399999999999999" hidden="1" customHeight="1" thickBot="1" x14ac:dyDescent="0.3">
      <c r="A208" s="392"/>
      <c r="B208" s="8">
        <f>IF('Items sous domaines Sciences '!G210=1,'Items sous domaines Sciences '!B210,0)</f>
        <v>0</v>
      </c>
      <c r="C208" s="8">
        <f>IF('Items sous domaines Sciences '!G210=1,'Items sous domaines Sciences '!C210,0)</f>
        <v>0</v>
      </c>
      <c r="D208" s="8">
        <f>IF('Items sous domaines Sciences '!G210=1,'Items sous domaines Sciences '!D210,0)</f>
        <v>0</v>
      </c>
      <c r="E208" s="8">
        <f>IF('Items sous domaines Sciences '!G210=1,'Items sous domaines Sciences '!E210,0)</f>
        <v>0</v>
      </c>
      <c r="F208" s="340"/>
      <c r="G208" s="333"/>
    </row>
    <row r="209" spans="1:7" customFormat="1" ht="17.399999999999999" hidden="1" customHeight="1" thickBot="1" x14ac:dyDescent="0.3">
      <c r="A209" s="392"/>
      <c r="B209" s="8">
        <f>IF('Items sous domaines Sciences '!G211=1,'Items sous domaines Sciences '!B211,0)</f>
        <v>0</v>
      </c>
      <c r="C209" s="8">
        <f>IF('Items sous domaines Sciences '!G211=1,'Items sous domaines Sciences '!C211,0)</f>
        <v>0</v>
      </c>
      <c r="D209" s="8">
        <f>IF('Items sous domaines Sciences '!G211=1,'Items sous domaines Sciences '!D211,0)</f>
        <v>0</v>
      </c>
      <c r="E209" s="8">
        <f>IF('Items sous domaines Sciences '!G211=1,'Items sous domaines Sciences '!E211,0)</f>
        <v>0</v>
      </c>
      <c r="F209" s="340"/>
      <c r="G209" s="333"/>
    </row>
    <row r="210" spans="1:7" customFormat="1" ht="17.399999999999999" hidden="1" customHeight="1" thickBot="1" x14ac:dyDescent="0.3">
      <c r="A210" s="393"/>
      <c r="B210" s="8">
        <f>IF('Items sous domaines Sciences '!G212=1,'Items sous domaines Sciences '!B212,0)</f>
        <v>0</v>
      </c>
      <c r="C210" s="8">
        <f>IF('Items sous domaines Sciences '!G212=1,'Items sous domaines Sciences '!C212,0)</f>
        <v>0</v>
      </c>
      <c r="D210" s="8">
        <f>IF('Items sous domaines Sciences '!G212=1,'Items sous domaines Sciences '!D212,0)</f>
        <v>0</v>
      </c>
      <c r="E210" s="8">
        <f>IF('Items sous domaines Sciences '!G212=1,'Items sous domaines Sciences '!E212,0)</f>
        <v>0</v>
      </c>
      <c r="F210" s="341"/>
      <c r="G210" s="333"/>
    </row>
    <row r="211" spans="1:7" customFormat="1" ht="17.399999999999999" hidden="1" customHeight="1" thickBot="1" x14ac:dyDescent="0.3">
      <c r="B211" s="8">
        <f>IF('Items sous domaines Sciences '!G213=1,'Items sous domaines Sciences '!B213,0)</f>
        <v>0</v>
      </c>
      <c r="C211" s="8">
        <f>IF('Items sous domaines Sciences '!G213=1,'Items sous domaines Sciences '!C213,0)</f>
        <v>0</v>
      </c>
      <c r="D211" s="8">
        <f>IF('Items sous domaines Sciences '!G213=1,'Items sous domaines Sciences '!D213,0)</f>
        <v>0</v>
      </c>
      <c r="E211" s="8">
        <f>IF('Items sous domaines Sciences '!G213=1,'Items sous domaines Sciences '!E213,0)</f>
        <v>0</v>
      </c>
      <c r="F211" t="e">
        <f>IF('Items sous domaines Sciences '!#REF!=1,'Items sous domaines Sciences '!#REF!,0)</f>
        <v>#REF!</v>
      </c>
    </row>
    <row r="212" spans="1:7" customFormat="1" ht="17.399999999999999" hidden="1" customHeight="1" thickBot="1" x14ac:dyDescent="0.3">
      <c r="B212" s="8">
        <f>IF('Items sous domaines Sciences '!G214=1,'Items sous domaines Sciences '!B214,0)</f>
        <v>0</v>
      </c>
      <c r="C212" s="8">
        <f>IF('Items sous domaines Sciences '!G214=1,'Items sous domaines Sciences '!C214,0)</f>
        <v>0</v>
      </c>
      <c r="D212" s="8">
        <f>IF('Items sous domaines Sciences '!G214=1,'Items sous domaines Sciences '!D214,0)</f>
        <v>0</v>
      </c>
      <c r="E212" s="8">
        <f>IF('Items sous domaines Sciences '!G214=1,'Items sous domaines Sciences '!E214,0)</f>
        <v>0</v>
      </c>
      <c r="F212" t="e">
        <f>IF('Items sous domaines Sciences '!#REF!=1,'Items sous domaines Sciences '!#REF!,0)</f>
        <v>#REF!</v>
      </c>
    </row>
    <row r="213" spans="1:7" customFormat="1" ht="17.399999999999999" hidden="1" customHeight="1" thickBot="1" x14ac:dyDescent="0.3">
      <c r="B213" s="8">
        <f>IF('Items sous domaines Sciences '!G215=1,'Items sous domaines Sciences '!B215,0)</f>
        <v>0</v>
      </c>
      <c r="C213" s="8">
        <f>IF('Items sous domaines Sciences '!G215=1,'Items sous domaines Sciences '!C215,0)</f>
        <v>0</v>
      </c>
      <c r="D213" s="8">
        <f>IF('Items sous domaines Sciences '!G215=1,'Items sous domaines Sciences '!D215,0)</f>
        <v>0</v>
      </c>
      <c r="E213" s="8">
        <f>IF('Items sous domaines Sciences '!G215=1,'Items sous domaines Sciences '!E215,0)</f>
        <v>0</v>
      </c>
      <c r="F213" t="e">
        <f>IF('Items sous domaines Sciences '!#REF!=1,'Items sous domaines Sciences '!#REF!,0)</f>
        <v>#REF!</v>
      </c>
    </row>
    <row r="214" spans="1:7" customFormat="1" ht="17.399999999999999" hidden="1" customHeight="1" thickBot="1" x14ac:dyDescent="0.3">
      <c r="B214" s="8">
        <f>IF('Items sous domaines Sciences '!G216=1,'Items sous domaines Sciences '!B216,0)</f>
        <v>0</v>
      </c>
      <c r="C214" s="8">
        <f>IF('Items sous domaines Sciences '!G216=1,'Items sous domaines Sciences '!C216,0)</f>
        <v>0</v>
      </c>
      <c r="D214" s="8">
        <f>IF('Items sous domaines Sciences '!G216=1,'Items sous domaines Sciences '!D216,0)</f>
        <v>0</v>
      </c>
      <c r="E214" s="8">
        <f>IF('Items sous domaines Sciences '!G216=1,'Items sous domaines Sciences '!E216,0)</f>
        <v>0</v>
      </c>
      <c r="F214" t="e">
        <f>IF('Items sous domaines Sciences '!#REF!=1,'Items sous domaines Sciences '!#REF!,0)</f>
        <v>#REF!</v>
      </c>
    </row>
    <row r="215" spans="1:7" customFormat="1" ht="17.399999999999999" hidden="1" customHeight="1" thickBot="1" x14ac:dyDescent="0.3">
      <c r="B215" s="8">
        <f>IF('Items sous domaines Sciences '!G217=1,'Items sous domaines Sciences '!B217,0)</f>
        <v>0</v>
      </c>
      <c r="C215" s="8">
        <f>IF('Items sous domaines Sciences '!G217=1,'Items sous domaines Sciences '!C217,0)</f>
        <v>0</v>
      </c>
      <c r="D215" s="8">
        <f>IF('Items sous domaines Sciences '!G217=1,'Items sous domaines Sciences '!D217,0)</f>
        <v>0</v>
      </c>
      <c r="E215" s="8">
        <f>IF('Items sous domaines Sciences '!G217=1,'Items sous domaines Sciences '!E217,0)</f>
        <v>0</v>
      </c>
      <c r="F215" t="e">
        <f>IF('Items sous domaines Sciences '!#REF!=1,'Items sous domaines Sciences '!#REF!,0)</f>
        <v>#REF!</v>
      </c>
    </row>
    <row r="216" spans="1:7" customFormat="1" ht="17.399999999999999" hidden="1" customHeight="1" thickBot="1" x14ac:dyDescent="0.3">
      <c r="B216" s="8">
        <f>IF('Items sous domaines Sciences '!G218=1,'Items sous domaines Sciences '!B218,0)</f>
        <v>0</v>
      </c>
      <c r="C216" s="8">
        <f>IF('Items sous domaines Sciences '!G218=1,'Items sous domaines Sciences '!C218,0)</f>
        <v>0</v>
      </c>
      <c r="D216" s="8">
        <f>IF('Items sous domaines Sciences '!G218=1,'Items sous domaines Sciences '!D218,0)</f>
        <v>0</v>
      </c>
      <c r="E216" s="8">
        <f>IF('Items sous domaines Sciences '!G218=1,'Items sous domaines Sciences '!E218,0)</f>
        <v>0</v>
      </c>
      <c r="F216" t="e">
        <f>IF('Items sous domaines Sciences '!#REF!=1,'Items sous domaines Sciences '!#REF!,0)</f>
        <v>#REF!</v>
      </c>
    </row>
    <row r="217" spans="1:7" customFormat="1" ht="17.399999999999999" hidden="1" customHeight="1" thickBot="1" x14ac:dyDescent="0.3">
      <c r="B217" s="8">
        <f>IF('Items sous domaines Sciences '!G219=1,'Items sous domaines Sciences '!B219,0)</f>
        <v>0</v>
      </c>
      <c r="C217" s="8">
        <f>IF('Items sous domaines Sciences '!G219=1,'Items sous domaines Sciences '!C219,0)</f>
        <v>0</v>
      </c>
      <c r="D217" s="8">
        <f>IF('Items sous domaines Sciences '!G219=1,'Items sous domaines Sciences '!D219,0)</f>
        <v>0</v>
      </c>
      <c r="E217" s="8">
        <f>IF('Items sous domaines Sciences '!G219=1,'Items sous domaines Sciences '!E219,0)</f>
        <v>0</v>
      </c>
      <c r="F217" t="e">
        <f>IF('Items sous domaines Sciences '!#REF!=1,'Items sous domaines Sciences '!#REF!,0)</f>
        <v>#REF!</v>
      </c>
    </row>
    <row r="218" spans="1:7" customFormat="1" ht="17.399999999999999" hidden="1" customHeight="1" thickBot="1" x14ac:dyDescent="0.3">
      <c r="B218" s="8">
        <f>IF('Items sous domaines Sciences '!G220=1,'Items sous domaines Sciences '!B220,0)</f>
        <v>0</v>
      </c>
      <c r="C218" s="8">
        <f>IF('Items sous domaines Sciences '!G220=1,'Items sous domaines Sciences '!C220,0)</f>
        <v>0</v>
      </c>
      <c r="D218" s="8">
        <f>IF('Items sous domaines Sciences '!G220=1,'Items sous domaines Sciences '!D220,0)</f>
        <v>0</v>
      </c>
      <c r="E218" s="8">
        <f>IF('Items sous domaines Sciences '!G220=1,'Items sous domaines Sciences '!E220,0)</f>
        <v>0</v>
      </c>
      <c r="F218" t="e">
        <f>IF('Items sous domaines Sciences '!#REF!=1,'Items sous domaines Sciences '!#REF!,0)</f>
        <v>#REF!</v>
      </c>
    </row>
    <row r="219" spans="1:7" customFormat="1" ht="17.399999999999999" hidden="1" customHeight="1" thickBot="1" x14ac:dyDescent="0.3">
      <c r="B219" s="8">
        <f>IF('Items sous domaines Sciences '!G221=1,'Items sous domaines Sciences '!B221,0)</f>
        <v>0</v>
      </c>
      <c r="C219" s="8">
        <f>IF('Items sous domaines Sciences '!G221=1,'Items sous domaines Sciences '!C221,0)</f>
        <v>0</v>
      </c>
      <c r="D219" s="8">
        <f>IF('Items sous domaines Sciences '!G221=1,'Items sous domaines Sciences '!D221,0)</f>
        <v>0</v>
      </c>
      <c r="E219" s="8">
        <f>IF('Items sous domaines Sciences '!G221=1,'Items sous domaines Sciences '!E221,0)</f>
        <v>0</v>
      </c>
      <c r="F219" t="e">
        <f>IF('Items sous domaines Sciences '!#REF!=1,'Items sous domaines Sciences '!#REF!,0)</f>
        <v>#REF!</v>
      </c>
    </row>
    <row r="220" spans="1:7" customFormat="1" ht="17.399999999999999" hidden="1" customHeight="1" thickBot="1" x14ac:dyDescent="0.3">
      <c r="B220" s="8">
        <f>IF('Items sous domaines Sciences '!G222=1,'Items sous domaines Sciences '!B222,0)</f>
        <v>0</v>
      </c>
      <c r="C220" s="8">
        <f>IF('Items sous domaines Sciences '!G222=1,'Items sous domaines Sciences '!C222,0)</f>
        <v>0</v>
      </c>
      <c r="D220" s="8">
        <f>IF('Items sous domaines Sciences '!G222=1,'Items sous domaines Sciences '!D222,0)</f>
        <v>0</v>
      </c>
      <c r="E220" s="8">
        <f>IF('Items sous domaines Sciences '!G222=1,'Items sous domaines Sciences '!E222,0)</f>
        <v>0</v>
      </c>
      <c r="F220" t="e">
        <f>IF('Items sous domaines Sciences '!#REF!=1,'Items sous domaines Sciences '!#REF!,0)</f>
        <v>#REF!</v>
      </c>
    </row>
    <row r="221" spans="1:7" customFormat="1" ht="17.399999999999999" hidden="1" customHeight="1" thickBot="1" x14ac:dyDescent="0.3">
      <c r="B221" s="8">
        <f>IF('Items sous domaines Sciences '!G223=1,'Items sous domaines Sciences '!B223,0)</f>
        <v>0</v>
      </c>
      <c r="C221" s="8">
        <f>IF('Items sous domaines Sciences '!G223=1,'Items sous domaines Sciences '!C223,0)</f>
        <v>0</v>
      </c>
      <c r="D221" s="8">
        <f>IF('Items sous domaines Sciences '!G223=1,'Items sous domaines Sciences '!D223,0)</f>
        <v>0</v>
      </c>
      <c r="E221" s="8">
        <f>IF('Items sous domaines Sciences '!G223=1,'Items sous domaines Sciences '!E223,0)</f>
        <v>0</v>
      </c>
      <c r="F221" t="e">
        <f>IF('Items sous domaines Sciences '!#REF!=1,'Items sous domaines Sciences '!#REF!,0)</f>
        <v>#REF!</v>
      </c>
    </row>
    <row r="222" spans="1:7" customFormat="1" ht="17.399999999999999" hidden="1" customHeight="1" thickBot="1" x14ac:dyDescent="0.3">
      <c r="B222" s="8">
        <f>IF('Items sous domaines Sciences '!G224=1,'Items sous domaines Sciences '!B224,0)</f>
        <v>0</v>
      </c>
      <c r="C222" s="8">
        <f>IF('Items sous domaines Sciences '!G224=1,'Items sous domaines Sciences '!C224,0)</f>
        <v>0</v>
      </c>
      <c r="D222" s="8">
        <f>IF('Items sous domaines Sciences '!G224=1,'Items sous domaines Sciences '!D224,0)</f>
        <v>0</v>
      </c>
      <c r="E222" s="8">
        <f>IF('Items sous domaines Sciences '!G224=1,'Items sous domaines Sciences '!E224,0)</f>
        <v>0</v>
      </c>
      <c r="F222" t="e">
        <f>IF('Items sous domaines Sciences '!#REF!=1,'Items sous domaines Sciences '!#REF!,0)</f>
        <v>#REF!</v>
      </c>
    </row>
    <row r="223" spans="1:7" customFormat="1" ht="17.399999999999999" hidden="1" customHeight="1" thickBot="1" x14ac:dyDescent="0.3">
      <c r="B223" s="8">
        <f>IF('Items sous domaines Sciences '!G225=1,'Items sous domaines Sciences '!B225,0)</f>
        <v>0</v>
      </c>
      <c r="C223" s="8">
        <f>IF('Items sous domaines Sciences '!G225=1,'Items sous domaines Sciences '!C225,0)</f>
        <v>0</v>
      </c>
      <c r="D223" s="8">
        <f>IF('Items sous domaines Sciences '!G225=1,'Items sous domaines Sciences '!D225,0)</f>
        <v>0</v>
      </c>
      <c r="E223" s="8">
        <f>IF('Items sous domaines Sciences '!G225=1,'Items sous domaines Sciences '!E225,0)</f>
        <v>0</v>
      </c>
      <c r="F223" t="e">
        <f>IF('Items sous domaines Sciences '!#REF!=1,'Items sous domaines Sciences '!#REF!,0)</f>
        <v>#REF!</v>
      </c>
    </row>
    <row r="224" spans="1:7" customFormat="1" ht="17.399999999999999" hidden="1" customHeight="1" thickBot="1" x14ac:dyDescent="0.3">
      <c r="B224" s="8">
        <f>IF('Items sous domaines Sciences '!G226=1,'Items sous domaines Sciences '!B226,0)</f>
        <v>0</v>
      </c>
      <c r="C224" s="8">
        <f>IF('Items sous domaines Sciences '!G226=1,'Items sous domaines Sciences '!C226,0)</f>
        <v>0</v>
      </c>
      <c r="D224" s="8">
        <f>IF('Items sous domaines Sciences '!G226=1,'Items sous domaines Sciences '!D226,0)</f>
        <v>0</v>
      </c>
      <c r="E224" s="8">
        <f>IF('Items sous domaines Sciences '!G226=1,'Items sous domaines Sciences '!E226,0)</f>
        <v>0</v>
      </c>
      <c r="F224" t="e">
        <f>IF('Items sous domaines Sciences '!#REF!=1,'Items sous domaines Sciences '!#REF!,0)</f>
        <v>#REF!</v>
      </c>
    </row>
    <row r="225" spans="1:6" customFormat="1" ht="17.399999999999999" hidden="1" customHeight="1" thickBot="1" x14ac:dyDescent="0.3">
      <c r="B225" s="8">
        <f>IF('Items sous domaines Sciences '!G227=1,'Items sous domaines Sciences '!B227,0)</f>
        <v>0</v>
      </c>
      <c r="C225" s="8">
        <f>IF('Items sous domaines Sciences '!G227=1,'Items sous domaines Sciences '!C227,0)</f>
        <v>0</v>
      </c>
      <c r="D225" s="8">
        <f>IF('Items sous domaines Sciences '!G227=1,'Items sous domaines Sciences '!D227,0)</f>
        <v>0</v>
      </c>
      <c r="E225" s="8">
        <f>IF('Items sous domaines Sciences '!G227=1,'Items sous domaines Sciences '!E227,0)</f>
        <v>0</v>
      </c>
      <c r="F225" t="e">
        <f>IF('Items sous domaines Sciences '!#REF!=1,'Items sous domaines Sciences '!#REF!,0)</f>
        <v>#REF!</v>
      </c>
    </row>
    <row r="226" spans="1:6" customFormat="1" ht="17.399999999999999" hidden="1" customHeight="1" thickBot="1" x14ac:dyDescent="0.3">
      <c r="B226" s="8">
        <f>IF('Items sous domaines Sciences '!G228=1,'Items sous domaines Sciences '!B228,0)</f>
        <v>0</v>
      </c>
      <c r="C226" s="8">
        <f>IF('Items sous domaines Sciences '!G228=1,'Items sous domaines Sciences '!C228,0)</f>
        <v>0</v>
      </c>
      <c r="D226" s="8">
        <f>IF('Items sous domaines Sciences '!G228=1,'Items sous domaines Sciences '!D228,0)</f>
        <v>0</v>
      </c>
      <c r="E226" s="8">
        <f>IF('Items sous domaines Sciences '!G228=1,'Items sous domaines Sciences '!E228,0)</f>
        <v>0</v>
      </c>
      <c r="F226" t="e">
        <f>IF('Items sous domaines Sciences '!#REF!=1,'Items sous domaines Sciences '!#REF!,0)</f>
        <v>#REF!</v>
      </c>
    </row>
    <row r="227" spans="1:6" customFormat="1" ht="17.399999999999999" hidden="1" customHeight="1" thickBot="1" x14ac:dyDescent="0.3">
      <c r="B227" s="8">
        <f>IF('Items sous domaines Sciences '!G229=1,'Items sous domaines Sciences '!B229,0)</f>
        <v>0</v>
      </c>
      <c r="C227" s="8">
        <f>IF('Items sous domaines Sciences '!G229=1,'Items sous domaines Sciences '!C229,0)</f>
        <v>0</v>
      </c>
      <c r="D227" s="8">
        <f>IF('Items sous domaines Sciences '!G229=1,'Items sous domaines Sciences '!D229,0)</f>
        <v>0</v>
      </c>
      <c r="E227" s="8">
        <f>IF('Items sous domaines Sciences '!G229=1,'Items sous domaines Sciences '!E229,0)</f>
        <v>0</v>
      </c>
      <c r="F227" t="e">
        <f>IF('Items sous domaines Sciences '!#REF!=1,'Items sous domaines Sciences '!#REF!,0)</f>
        <v>#REF!</v>
      </c>
    </row>
    <row r="228" spans="1:6" customFormat="1" ht="17.399999999999999" hidden="1" customHeight="1" thickBot="1" x14ac:dyDescent="0.3">
      <c r="B228" s="8">
        <f>IF('Items sous domaines Sciences '!G230=1,'Items sous domaines Sciences '!B230,0)</f>
        <v>0</v>
      </c>
      <c r="C228" s="8">
        <f>IF('Items sous domaines Sciences '!G230=1,'Items sous domaines Sciences '!C230,0)</f>
        <v>0</v>
      </c>
      <c r="D228" s="8">
        <f>IF('Items sous domaines Sciences '!G230=1,'Items sous domaines Sciences '!D230,0)</f>
        <v>0</v>
      </c>
      <c r="E228" s="8">
        <f>IF('Items sous domaines Sciences '!G230=1,'Items sous domaines Sciences '!E230,0)</f>
        <v>0</v>
      </c>
      <c r="F228" t="e">
        <f>IF('Items sous domaines Sciences '!#REF!=1,'Items sous domaines Sciences '!#REF!,0)</f>
        <v>#REF!</v>
      </c>
    </row>
    <row r="229" spans="1:6" customFormat="1" ht="17.399999999999999" hidden="1" customHeight="1" thickBot="1" x14ac:dyDescent="0.3">
      <c r="B229" s="8">
        <f>IF('Items sous domaines Sciences '!G231=1,'Items sous domaines Sciences '!B231,0)</f>
        <v>0</v>
      </c>
      <c r="C229" s="8">
        <f>IF('Items sous domaines Sciences '!G231=1,'Items sous domaines Sciences '!C231,0)</f>
        <v>0</v>
      </c>
      <c r="D229" s="8">
        <f>IF('Items sous domaines Sciences '!G231=1,'Items sous domaines Sciences '!D231,0)</f>
        <v>0</v>
      </c>
      <c r="E229" s="8">
        <f>IF('Items sous domaines Sciences '!G231=1,'Items sous domaines Sciences '!E231,0)</f>
        <v>0</v>
      </c>
      <c r="F229" t="e">
        <f>IF('Items sous domaines Sciences '!#REF!=1,'Items sous domaines Sciences '!#REF!,0)</f>
        <v>#REF!</v>
      </c>
    </row>
    <row r="230" spans="1:6" customFormat="1" ht="17.399999999999999" hidden="1" customHeight="1" thickBot="1" x14ac:dyDescent="0.3">
      <c r="B230" s="8">
        <f>IF('Items sous domaines Sciences '!G232=1,'Items sous domaines Sciences '!B232,0)</f>
        <v>0</v>
      </c>
      <c r="C230" s="8">
        <f>IF('Items sous domaines Sciences '!G232=1,'Items sous domaines Sciences '!C232,0)</f>
        <v>0</v>
      </c>
      <c r="D230" s="8">
        <f>IF('Items sous domaines Sciences '!G232=1,'Items sous domaines Sciences '!D232,0)</f>
        <v>0</v>
      </c>
      <c r="E230" s="8">
        <f>IF('Items sous domaines Sciences '!G232=1,'Items sous domaines Sciences '!E232,0)</f>
        <v>0</v>
      </c>
      <c r="F230" t="e">
        <f>IF('Items sous domaines Sciences '!#REF!=1,'Items sous domaines Sciences '!#REF!,0)</f>
        <v>#REF!</v>
      </c>
    </row>
    <row r="231" spans="1:6" customFormat="1" ht="17.399999999999999" hidden="1" customHeight="1" thickBot="1" x14ac:dyDescent="0.3">
      <c r="B231" s="8">
        <f>IF('Items sous domaines Sciences '!G233=1,'Items sous domaines Sciences '!B233,0)</f>
        <v>0</v>
      </c>
      <c r="C231" s="8">
        <f>IF('Items sous domaines Sciences '!G233=1,'Items sous domaines Sciences '!C233,0)</f>
        <v>0</v>
      </c>
      <c r="D231" s="8">
        <f>IF('Items sous domaines Sciences '!G233=1,'Items sous domaines Sciences '!D233,0)</f>
        <v>0</v>
      </c>
      <c r="E231" s="8">
        <f>IF('Items sous domaines Sciences '!G233=1,'Items sous domaines Sciences '!E233,0)</f>
        <v>0</v>
      </c>
      <c r="F231" t="e">
        <f>IF('Items sous domaines Sciences '!#REF!=1,'Items sous domaines Sciences '!#REF!,0)</f>
        <v>#REF!</v>
      </c>
    </row>
    <row r="232" spans="1:6" customFormat="1" ht="17.399999999999999" hidden="1" customHeight="1" thickBot="1" x14ac:dyDescent="0.3">
      <c r="B232" s="8">
        <f>IF('Items sous domaines Sciences '!G234=1,'Items sous domaines Sciences '!B234,0)</f>
        <v>0</v>
      </c>
      <c r="C232" s="8">
        <f>IF('Items sous domaines Sciences '!G234=1,'Items sous domaines Sciences '!C234,0)</f>
        <v>0</v>
      </c>
      <c r="D232" s="8">
        <f>IF('Items sous domaines Sciences '!G234=1,'Items sous domaines Sciences '!D234,0)</f>
        <v>0</v>
      </c>
      <c r="E232" s="8">
        <f>IF('Items sous domaines Sciences '!G234=1,'Items sous domaines Sciences '!E234,0)</f>
        <v>0</v>
      </c>
      <c r="F232" t="e">
        <f>IF('Items sous domaines Sciences '!#REF!=1,'Items sous domaines Sciences '!#REF!,0)</f>
        <v>#REF!</v>
      </c>
    </row>
    <row r="233" spans="1:6" customFormat="1" ht="17.399999999999999" hidden="1" customHeight="1" thickBot="1" x14ac:dyDescent="0.3">
      <c r="B233" s="8">
        <f>IF('Items sous domaines Sciences '!G235=1,'Items sous domaines Sciences '!B235,0)</f>
        <v>0</v>
      </c>
      <c r="C233" s="8">
        <f>IF('Items sous domaines Sciences '!G235=1,'Items sous domaines Sciences '!C235,0)</f>
        <v>0</v>
      </c>
      <c r="D233" s="8">
        <f>IF('Items sous domaines Sciences '!G235=1,'Items sous domaines Sciences '!D235,0)</f>
        <v>0</v>
      </c>
      <c r="E233" s="8">
        <f>IF('Items sous domaines Sciences '!G235=1,'Items sous domaines Sciences '!E235,0)</f>
        <v>0</v>
      </c>
      <c r="F233" t="e">
        <f>IF('Items sous domaines Sciences '!#REF!=1,'Items sous domaines Sciences '!#REF!,0)</f>
        <v>#REF!</v>
      </c>
    </row>
    <row r="234" spans="1:6" customFormat="1" ht="17.399999999999999" hidden="1" customHeight="1" thickBot="1" x14ac:dyDescent="0.3">
      <c r="A234" s="402" t="s">
        <v>397</v>
      </c>
      <c r="B234" s="8">
        <f>IF('Items sous domaines Sciences '!G236=1,'Items sous domaines Sciences '!B236,0)</f>
        <v>0</v>
      </c>
      <c r="C234" s="8">
        <f>IF('Items sous domaines Sciences '!G236=1,'Items sous domaines Sciences '!C236,0)</f>
        <v>0</v>
      </c>
      <c r="D234" s="8">
        <f>IF('Items sous domaines Sciences '!G236=1,'Items sous domaines Sciences '!D236,0)</f>
        <v>0</v>
      </c>
      <c r="E234" s="8">
        <f>IF('Items sous domaines Sciences '!G236=1,'Items sous domaines Sciences '!E236,0)</f>
        <v>0</v>
      </c>
      <c r="F234" t="e">
        <f>IF('Items sous domaines Sciences '!#REF!=1,'Items sous domaines Sciences '!#REF!,0)</f>
        <v>#REF!</v>
      </c>
    </row>
    <row r="235" spans="1:6" customFormat="1" ht="17.399999999999999" hidden="1" customHeight="1" thickBot="1" x14ac:dyDescent="0.3">
      <c r="A235" s="372"/>
      <c r="B235" s="8">
        <f>IF('Items sous domaines Sciences '!G237=1,'Items sous domaines Sciences '!B237,0)</f>
        <v>0</v>
      </c>
      <c r="C235" s="8">
        <f>IF('Items sous domaines Sciences '!G237=1,'Items sous domaines Sciences '!C237,0)</f>
        <v>0</v>
      </c>
      <c r="D235" s="8">
        <f>IF('Items sous domaines Sciences '!G237=1,'Items sous domaines Sciences '!D237,0)</f>
        <v>0</v>
      </c>
      <c r="E235" s="8">
        <f>IF('Items sous domaines Sciences '!G237=1,'Items sous domaines Sciences '!E237,0)</f>
        <v>0</v>
      </c>
      <c r="F235" t="e">
        <f>IF('Items sous domaines Sciences '!#REF!=1,'Items sous domaines Sciences '!#REF!,0)</f>
        <v>#REF!</v>
      </c>
    </row>
    <row r="236" spans="1:6" customFormat="1" ht="17.399999999999999" hidden="1" customHeight="1" thickBot="1" x14ac:dyDescent="0.3">
      <c r="A236" s="372"/>
      <c r="B236" s="8">
        <f>IF('Items sous domaines Sciences '!G238=1,'Items sous domaines Sciences '!B238,0)</f>
        <v>0</v>
      </c>
      <c r="C236" s="8">
        <f>IF('Items sous domaines Sciences '!G238=1,'Items sous domaines Sciences '!C238,0)</f>
        <v>0</v>
      </c>
      <c r="D236" s="8">
        <f>IF('Items sous domaines Sciences '!G238=1,'Items sous domaines Sciences '!D238,0)</f>
        <v>0</v>
      </c>
      <c r="E236" s="8">
        <f>IF('Items sous domaines Sciences '!G238=1,'Items sous domaines Sciences '!E238,0)</f>
        <v>0</v>
      </c>
      <c r="F236" t="e">
        <f>IF('Items sous domaines Sciences '!#REF!=1,'Items sous domaines Sciences '!#REF!,0)</f>
        <v>#REF!</v>
      </c>
    </row>
    <row r="237" spans="1:6" customFormat="1" ht="17.399999999999999" hidden="1" customHeight="1" thickBot="1" x14ac:dyDescent="0.3">
      <c r="A237" s="372"/>
      <c r="B237" s="8">
        <f>IF('Items sous domaines Sciences '!G239=1,'Items sous domaines Sciences '!B239,0)</f>
        <v>0</v>
      </c>
      <c r="C237" s="8">
        <f>IF('Items sous domaines Sciences '!G239=1,'Items sous domaines Sciences '!C239,0)</f>
        <v>0</v>
      </c>
      <c r="D237" s="8">
        <f>IF('Items sous domaines Sciences '!G239=1,'Items sous domaines Sciences '!D239,0)</f>
        <v>0</v>
      </c>
      <c r="E237" s="8">
        <f>IF('Items sous domaines Sciences '!G239=1,'Items sous domaines Sciences '!E239,0)</f>
        <v>0</v>
      </c>
      <c r="F237" t="e">
        <f>IF('Items sous domaines Sciences '!#REF!=1,'Items sous domaines Sciences '!#REF!,0)</f>
        <v>#REF!</v>
      </c>
    </row>
    <row r="238" spans="1:6" customFormat="1" ht="17.399999999999999" hidden="1" customHeight="1" thickBot="1" x14ac:dyDescent="0.3">
      <c r="A238" s="372"/>
      <c r="B238" s="8">
        <f>IF('Items sous domaines Sciences '!G240=1,'Items sous domaines Sciences '!B240,0)</f>
        <v>0</v>
      </c>
      <c r="C238" s="8">
        <f>IF('Items sous domaines Sciences '!G240=1,'Items sous domaines Sciences '!C240,0)</f>
        <v>0</v>
      </c>
      <c r="D238" s="8">
        <f>IF('Items sous domaines Sciences '!G240=1,'Items sous domaines Sciences '!D240,0)</f>
        <v>0</v>
      </c>
      <c r="E238" s="8">
        <f>IF('Items sous domaines Sciences '!G240=1,'Items sous domaines Sciences '!E240,0)</f>
        <v>0</v>
      </c>
      <c r="F238" t="e">
        <f>IF('Items sous domaines Sciences '!#REF!=1,'Items sous domaines Sciences '!#REF!,0)</f>
        <v>#REF!</v>
      </c>
    </row>
    <row r="239" spans="1:6" customFormat="1" ht="17.399999999999999" hidden="1" customHeight="1" thickBot="1" x14ac:dyDescent="0.3">
      <c r="A239" s="372"/>
      <c r="B239" s="8">
        <f>IF('Items sous domaines Sciences '!G241=1,'Items sous domaines Sciences '!B241,0)</f>
        <v>0</v>
      </c>
      <c r="C239" s="8">
        <f>IF('Items sous domaines Sciences '!G241=1,'Items sous domaines Sciences '!C241,0)</f>
        <v>0</v>
      </c>
      <c r="D239" s="8">
        <f>IF('Items sous domaines Sciences '!G241=1,'Items sous domaines Sciences '!D241,0)</f>
        <v>0</v>
      </c>
      <c r="E239" s="8">
        <f>IF('Items sous domaines Sciences '!G241=1,'Items sous domaines Sciences '!E241,0)</f>
        <v>0</v>
      </c>
      <c r="F239" t="e">
        <f>IF('Items sous domaines Sciences '!#REF!=1,'Items sous domaines Sciences '!#REF!,0)</f>
        <v>#REF!</v>
      </c>
    </row>
    <row r="240" spans="1:6" customFormat="1" ht="17.399999999999999" hidden="1" customHeight="1" thickBot="1" x14ac:dyDescent="0.3">
      <c r="A240" s="372"/>
      <c r="B240" s="8">
        <f>IF('Items sous domaines Sciences '!G242=1,'Items sous domaines Sciences '!B242,0)</f>
        <v>0</v>
      </c>
      <c r="C240" s="8">
        <f>IF('Items sous domaines Sciences '!G242=1,'Items sous domaines Sciences '!C242,0)</f>
        <v>0</v>
      </c>
      <c r="D240" s="8">
        <f>IF('Items sous domaines Sciences '!G242=1,'Items sous domaines Sciences '!D242,0)</f>
        <v>0</v>
      </c>
      <c r="E240" s="8">
        <f>IF('Items sous domaines Sciences '!G242=1,'Items sous domaines Sciences '!E242,0)</f>
        <v>0</v>
      </c>
      <c r="F240" t="e">
        <f>IF('Items sous domaines Sciences '!#REF!=1,'Items sous domaines Sciences '!#REF!,0)</f>
        <v>#REF!</v>
      </c>
    </row>
    <row r="241" spans="1:7" customFormat="1" ht="17.399999999999999" hidden="1" customHeight="1" thickBot="1" x14ac:dyDescent="0.3">
      <c r="A241" s="372"/>
      <c r="B241" s="8">
        <f>IF('Items sous domaines Sciences '!G243=1,'Items sous domaines Sciences '!B243,0)</f>
        <v>0</v>
      </c>
      <c r="C241" s="8">
        <f>IF('Items sous domaines Sciences '!G243=1,'Items sous domaines Sciences '!C243,0)</f>
        <v>0</v>
      </c>
      <c r="D241" s="8">
        <f>IF('Items sous domaines Sciences '!G243=1,'Items sous domaines Sciences '!D243,0)</f>
        <v>0</v>
      </c>
      <c r="E241" s="8">
        <f>IF('Items sous domaines Sciences '!G243=1,'Items sous domaines Sciences '!E243,0)</f>
        <v>0</v>
      </c>
      <c r="F241" t="e">
        <f>IF('Items sous domaines Sciences '!#REF!=1,'Items sous domaines Sciences '!#REF!,0)</f>
        <v>#REF!</v>
      </c>
    </row>
    <row r="242" spans="1:7" customFormat="1" ht="17.399999999999999" hidden="1" customHeight="1" thickBot="1" x14ac:dyDescent="0.3">
      <c r="A242" s="372"/>
      <c r="B242" s="8">
        <f>IF('Items sous domaines Sciences '!G244=1,'Items sous domaines Sciences '!B244,0)</f>
        <v>0</v>
      </c>
      <c r="C242" s="8">
        <f>IF('Items sous domaines Sciences '!G244=1,'Items sous domaines Sciences '!C244,0)</f>
        <v>0</v>
      </c>
      <c r="D242" s="8">
        <f>IF('Items sous domaines Sciences '!G244=1,'Items sous domaines Sciences '!D244,0)</f>
        <v>0</v>
      </c>
      <c r="E242" s="8">
        <f>IF('Items sous domaines Sciences '!G244=1,'Items sous domaines Sciences '!E244,0)</f>
        <v>0</v>
      </c>
      <c r="F242" t="e">
        <f>IF('Items sous domaines Sciences '!#REF!=1,'Items sous domaines Sciences '!#REF!,0)</f>
        <v>#REF!</v>
      </c>
    </row>
    <row r="243" spans="1:7" customFormat="1" ht="17.399999999999999" hidden="1" customHeight="1" thickBot="1" x14ac:dyDescent="0.3">
      <c r="A243" s="372"/>
      <c r="B243" s="8">
        <f>IF('Items sous domaines Sciences '!G245=1,'Items sous domaines Sciences '!B245,0)</f>
        <v>0</v>
      </c>
      <c r="C243" s="8">
        <f>IF('Items sous domaines Sciences '!G245=1,'Items sous domaines Sciences '!C245,0)</f>
        <v>0</v>
      </c>
      <c r="D243" s="8">
        <f>IF('Items sous domaines Sciences '!G245=1,'Items sous domaines Sciences '!D245,0)</f>
        <v>0</v>
      </c>
      <c r="E243" s="8">
        <f>IF('Items sous domaines Sciences '!G245=1,'Items sous domaines Sciences '!E245,0)</f>
        <v>0</v>
      </c>
      <c r="F243" t="e">
        <f>IF('Items sous domaines Sciences '!#REF!=1,'Items sous domaines Sciences '!#REF!,0)</f>
        <v>#REF!</v>
      </c>
    </row>
    <row r="244" spans="1:7" customFormat="1" ht="13.2" hidden="1" x14ac:dyDescent="0.25">
      <c r="A244" s="372"/>
      <c r="B244" s="8">
        <f>IF('Items sous domaines Sciences '!G246=1,'Items sous domaines Sciences '!B246,0)</f>
        <v>0</v>
      </c>
      <c r="C244" s="8">
        <f>IF('Items sous domaines Sciences '!G246=1,'Items sous domaines Sciences '!C246,0)</f>
        <v>0</v>
      </c>
      <c r="D244" s="8">
        <f>IF('Items sous domaines Sciences '!G246=1,'Items sous domaines Sciences '!D246,0)</f>
        <v>0</v>
      </c>
      <c r="E244" s="8">
        <f>IF('Items sous domaines Sciences '!G246=1,'Items sous domaines Sciences '!E246,0)</f>
        <v>0</v>
      </c>
      <c r="F244" t="e">
        <f>IF('Items sous domaines Sciences '!#REF!=1,'Items sous domaines Sciences '!#REF!,0)</f>
        <v>#REF!</v>
      </c>
    </row>
    <row r="245" spans="1:7" customFormat="1" ht="13.2" hidden="1" x14ac:dyDescent="0.25">
      <c r="A245" s="372"/>
      <c r="B245" s="8">
        <f>IF('Items sous domaines Sciences '!G247=1,'Items sous domaines Sciences '!B247,0)</f>
        <v>0</v>
      </c>
      <c r="C245" s="8">
        <f>IF('Items sous domaines Sciences '!G247=1,'Items sous domaines Sciences '!C247,0)</f>
        <v>0</v>
      </c>
      <c r="D245" s="8">
        <f>IF('Items sous domaines Sciences '!G247=1,'Items sous domaines Sciences '!D247,0)</f>
        <v>0</v>
      </c>
      <c r="E245" s="8">
        <f>IF('Items sous domaines Sciences '!G247=1,'Items sous domaines Sciences '!E247,0)</f>
        <v>0</v>
      </c>
      <c r="F245" t="e">
        <f>IF('Items sous domaines Sciences '!#REF!=1,'Items sous domaines Sciences '!#REF!,0)</f>
        <v>#REF!</v>
      </c>
    </row>
    <row r="246" spans="1:7" customFormat="1" ht="13.2" hidden="1" x14ac:dyDescent="0.25">
      <c r="A246" s="372"/>
      <c r="B246" s="8">
        <f>IF('Items sous domaines Sciences '!G248=1,'Items sous domaines Sciences '!B248,0)</f>
        <v>0</v>
      </c>
      <c r="C246" s="8">
        <f>IF('Items sous domaines Sciences '!G248=1,'Items sous domaines Sciences '!C248,0)</f>
        <v>0</v>
      </c>
      <c r="D246" s="8">
        <f>IF('Items sous domaines Sciences '!G248=1,'Items sous domaines Sciences '!D248,0)</f>
        <v>0</v>
      </c>
      <c r="E246" s="8">
        <f>IF('Items sous domaines Sciences '!G248=1,'Items sous domaines Sciences '!E248,0)</f>
        <v>0</v>
      </c>
      <c r="F246" t="e">
        <f>IF('Items sous domaines Sciences '!#REF!=1,'Items sous domaines Sciences '!#REF!,0)</f>
        <v>#REF!</v>
      </c>
    </row>
    <row r="247" spans="1:7" customFormat="1" ht="13.8" hidden="1" thickBot="1" x14ac:dyDescent="0.3">
      <c r="A247" s="385"/>
      <c r="B247" s="8">
        <f>IF('Items sous domaines Sciences '!G249=1,'Items sous domaines Sciences '!B249,0)</f>
        <v>0</v>
      </c>
      <c r="C247" s="8">
        <f>IF('Items sous domaines Sciences '!G249=1,'Items sous domaines Sciences '!C249,0)</f>
        <v>0</v>
      </c>
      <c r="D247" s="8">
        <f>IF('Items sous domaines Sciences '!G249=1,'Items sous domaines Sciences '!D249,0)</f>
        <v>0</v>
      </c>
      <c r="E247" s="8">
        <f>IF('Items sous domaines Sciences '!G249=1,'Items sous domaines Sciences '!E249,0)</f>
        <v>0</v>
      </c>
      <c r="F247" t="e">
        <f>IF('Items sous domaines Sciences '!#REF!=1,'Items sous domaines Sciences '!#REF!,0)</f>
        <v>#REF!</v>
      </c>
    </row>
    <row r="248" spans="1:7" customFormat="1" ht="13.2" hidden="1" x14ac:dyDescent="0.25">
      <c r="B248" s="8">
        <f>IF('Items sous domaines Sciences '!G250=1,'Items sous domaines Sciences '!B250,0)</f>
        <v>0</v>
      </c>
      <c r="C248" s="8">
        <f>IF('Items sous domaines Sciences '!G250=1,'Items sous domaines Sciences '!C250,0)</f>
        <v>0</v>
      </c>
      <c r="D248" s="8">
        <f>IF('Items sous domaines Sciences '!G250=1,'Items sous domaines Sciences '!D250,0)</f>
        <v>0</v>
      </c>
      <c r="E248" s="8">
        <f>IF('Items sous domaines Sciences '!G250=1,'Items sous domaines Sciences '!E250,0)</f>
        <v>0</v>
      </c>
      <c r="F248" t="e">
        <f>IF('Items sous domaines Sciences '!#REF!=1,'Items sous domaines Sciences '!#REF!,0)</f>
        <v>#REF!</v>
      </c>
    </row>
    <row r="249" spans="1:7" customFormat="1" ht="12.75" hidden="1" customHeight="1" thickBot="1" x14ac:dyDescent="0.3">
      <c r="A249" s="399" t="s">
        <v>416</v>
      </c>
      <c r="B249" s="8">
        <f>IF('Items sous domaines Sciences '!G251=1,'Items sous domaines Sciences '!B251,0)</f>
        <v>0</v>
      </c>
      <c r="C249" s="8">
        <f>IF('Items sous domaines Sciences '!G251=1,'Items sous domaines Sciences '!C251,0)</f>
        <v>0</v>
      </c>
      <c r="D249" s="8">
        <f>IF('Items sous domaines Sciences '!G251=1,'Items sous domaines Sciences '!D251,0)</f>
        <v>0</v>
      </c>
      <c r="E249" s="8">
        <f>IF('Items sous domaines Sciences '!G251=1,'Items sous domaines Sciences '!E251,0)</f>
        <v>0</v>
      </c>
      <c r="F249" s="339" t="s">
        <v>417</v>
      </c>
      <c r="G249" s="331" t="s">
        <v>418</v>
      </c>
    </row>
    <row r="250" spans="1:7" customFormat="1" ht="13.2" hidden="1" x14ac:dyDescent="0.25">
      <c r="A250" s="400"/>
      <c r="B250" s="8">
        <f>IF('Items sous domaines Sciences '!G252=1,'Items sous domaines Sciences '!B252,0)</f>
        <v>0</v>
      </c>
      <c r="C250" s="8">
        <f>IF('Items sous domaines Sciences '!G252=1,'Items sous domaines Sciences '!C252,0)</f>
        <v>0</v>
      </c>
      <c r="D250" s="8">
        <f>IF('Items sous domaines Sciences '!G252=1,'Items sous domaines Sciences '!D252,0)</f>
        <v>0</v>
      </c>
      <c r="E250" s="8">
        <f>IF('Items sous domaines Sciences '!G252=1,'Items sous domaines Sciences '!E252,0)</f>
        <v>0</v>
      </c>
      <c r="F250" s="340"/>
      <c r="G250" s="331"/>
    </row>
    <row r="251" spans="1:7" customFormat="1" ht="13.2" hidden="1" x14ac:dyDescent="0.25">
      <c r="A251" s="400"/>
      <c r="B251" s="8">
        <f>IF('Items sous domaines Sciences '!G253=1,'Items sous domaines Sciences '!B253,0)</f>
        <v>0</v>
      </c>
      <c r="C251" s="8">
        <f>IF('Items sous domaines Sciences '!G253=1,'Items sous domaines Sciences '!C253,0)</f>
        <v>0</v>
      </c>
      <c r="D251" s="8">
        <f>IF('Items sous domaines Sciences '!G253=1,'Items sous domaines Sciences '!D253,0)</f>
        <v>0</v>
      </c>
      <c r="E251" s="8">
        <f>IF('Items sous domaines Sciences '!G253=1,'Items sous domaines Sciences '!E253,0)</f>
        <v>0</v>
      </c>
      <c r="F251" s="340"/>
      <c r="G251" s="331"/>
    </row>
    <row r="252" spans="1:7" customFormat="1" ht="13.2" hidden="1" x14ac:dyDescent="0.25">
      <c r="A252" s="400"/>
      <c r="B252" s="8">
        <f>IF('Items sous domaines Sciences '!G254=1,'Items sous domaines Sciences '!B254,0)</f>
        <v>0</v>
      </c>
      <c r="C252" s="8">
        <f>IF('Items sous domaines Sciences '!G254=1,'Items sous domaines Sciences '!C254,0)</f>
        <v>0</v>
      </c>
      <c r="D252" s="8">
        <f>IF('Items sous domaines Sciences '!G254=1,'Items sous domaines Sciences '!D254,0)</f>
        <v>0</v>
      </c>
      <c r="E252" s="8">
        <f>IF('Items sous domaines Sciences '!G254=1,'Items sous domaines Sciences '!E254,0)</f>
        <v>0</v>
      </c>
      <c r="F252" s="340"/>
      <c r="G252" s="331"/>
    </row>
    <row r="253" spans="1:7" customFormat="1" ht="13.2" hidden="1" x14ac:dyDescent="0.25">
      <c r="A253" s="400"/>
      <c r="B253" s="8">
        <f>IF('Items sous domaines Sciences '!G255=1,'Items sous domaines Sciences '!B255,0)</f>
        <v>0</v>
      </c>
      <c r="C253" s="8">
        <f>IF('Items sous domaines Sciences '!G255=1,'Items sous domaines Sciences '!C255,0)</f>
        <v>0</v>
      </c>
      <c r="D253" s="8">
        <f>IF('Items sous domaines Sciences '!G255=1,'Items sous domaines Sciences '!D255,0)</f>
        <v>0</v>
      </c>
      <c r="E253" s="8">
        <f>IF('Items sous domaines Sciences '!G255=1,'Items sous domaines Sciences '!E255,0)</f>
        <v>0</v>
      </c>
      <c r="F253" s="340"/>
      <c r="G253" s="331"/>
    </row>
    <row r="254" spans="1:7" customFormat="1" ht="13.2" hidden="1" x14ac:dyDescent="0.25">
      <c r="A254" s="400"/>
      <c r="B254" s="8">
        <f>IF('Items sous domaines Sciences '!G256=1,'Items sous domaines Sciences '!B256,0)</f>
        <v>0</v>
      </c>
      <c r="C254" s="8">
        <f>IF('Items sous domaines Sciences '!G256=1,'Items sous domaines Sciences '!C256,0)</f>
        <v>0</v>
      </c>
      <c r="D254" s="8">
        <f>IF('Items sous domaines Sciences '!G256=1,'Items sous domaines Sciences '!D256,0)</f>
        <v>0</v>
      </c>
      <c r="E254" s="8">
        <f>IF('Items sous domaines Sciences '!G256=1,'Items sous domaines Sciences '!E256,0)</f>
        <v>0</v>
      </c>
      <c r="F254" s="340"/>
      <c r="G254" s="331"/>
    </row>
    <row r="255" spans="1:7" customFormat="1" ht="13.8" hidden="1" thickBot="1" x14ac:dyDescent="0.3">
      <c r="A255" s="401"/>
      <c r="B255" s="8">
        <f>IF('Items sous domaines Sciences '!G257=1,'Items sous domaines Sciences '!B257,0)</f>
        <v>0</v>
      </c>
      <c r="C255" s="8">
        <f>IF('Items sous domaines Sciences '!G257=1,'Items sous domaines Sciences '!C257,0)</f>
        <v>0</v>
      </c>
      <c r="D255" s="8">
        <f>IF('Items sous domaines Sciences '!G257=1,'Items sous domaines Sciences '!D257,0)</f>
        <v>0</v>
      </c>
      <c r="E255" s="8">
        <f>IF('Items sous domaines Sciences '!G257=1,'Items sous domaines Sciences '!E257,0)</f>
        <v>0</v>
      </c>
      <c r="F255" s="341"/>
      <c r="G255" s="331"/>
    </row>
    <row r="256" spans="1:7" customFormat="1" ht="12.75" hidden="1" customHeight="1" thickBot="1" x14ac:dyDescent="0.3">
      <c r="A256" s="367"/>
      <c r="B256" s="8">
        <f>IF('Items sous domaines Sciences '!G258=1,'Items sous domaines Sciences '!B258,0)</f>
        <v>0</v>
      </c>
      <c r="C256" s="8">
        <f>IF('Items sous domaines Sciences '!G258=1,'Items sous domaines Sciences '!C258,0)</f>
        <v>0</v>
      </c>
      <c r="D256" s="8">
        <f>IF('Items sous domaines Sciences '!G258=1,'Items sous domaines Sciences '!D258,0)</f>
        <v>0</v>
      </c>
      <c r="E256" s="8">
        <f>IF('Items sous domaines Sciences '!G258=1,'Items sous domaines Sciences '!E258,0)</f>
        <v>0</v>
      </c>
      <c r="F256" s="374"/>
      <c r="G256" s="332"/>
    </row>
    <row r="257" spans="1:7" customFormat="1" ht="16.95" hidden="1" customHeight="1" thickBot="1" x14ac:dyDescent="0.3">
      <c r="A257" s="367"/>
      <c r="B257" s="8">
        <f>IF('Items sous domaines Sciences '!G259=1,'Items sous domaines Sciences '!B259,0)</f>
        <v>0</v>
      </c>
      <c r="C257" s="8">
        <f>IF('Items sous domaines Sciences '!G259=1,'Items sous domaines Sciences '!C259,0)</f>
        <v>0</v>
      </c>
      <c r="D257" s="8">
        <f>IF('Items sous domaines Sciences '!G259=1,'Items sous domaines Sciences '!D259,0)</f>
        <v>0</v>
      </c>
      <c r="E257" s="8">
        <f>IF('Items sous domaines Sciences '!G259=1,'Items sous domaines Sciences '!E259,0)</f>
        <v>0</v>
      </c>
      <c r="F257" s="374"/>
      <c r="G257" s="332"/>
    </row>
    <row r="258" spans="1:7" customFormat="1" ht="13.2" hidden="1" x14ac:dyDescent="0.25">
      <c r="A258" s="399"/>
      <c r="B258" s="8">
        <f>IF('Items sous domaines Sciences '!G260=1,'Items sous domaines Sciences '!B260,0)</f>
        <v>0</v>
      </c>
      <c r="C258" s="8">
        <f>IF('Items sous domaines Sciences '!G260=1,'Items sous domaines Sciences '!C260,0)</f>
        <v>0</v>
      </c>
      <c r="D258" s="8">
        <f>IF('Items sous domaines Sciences '!G260=1,'Items sous domaines Sciences '!D260,0)</f>
        <v>0</v>
      </c>
      <c r="E258" s="8">
        <f>IF('Items sous domaines Sciences '!G260=1,'Items sous domaines Sciences '!E260,0)</f>
        <v>0</v>
      </c>
      <c r="F258" s="339"/>
      <c r="G258" s="331"/>
    </row>
    <row r="259" spans="1:7" customFormat="1" ht="13.8" hidden="1" thickBot="1" x14ac:dyDescent="0.3">
      <c r="A259" s="401"/>
      <c r="B259" s="8">
        <f>IF('Items sous domaines Sciences '!G261=1,'Items sous domaines Sciences '!B261,0)</f>
        <v>0</v>
      </c>
      <c r="C259" s="8">
        <f>IF('Items sous domaines Sciences '!G261=1,'Items sous domaines Sciences '!C261,0)</f>
        <v>0</v>
      </c>
      <c r="D259" s="8">
        <f>IF('Items sous domaines Sciences '!G261=1,'Items sous domaines Sciences '!D261,0)</f>
        <v>0</v>
      </c>
      <c r="E259" s="8">
        <f>IF('Items sous domaines Sciences '!G261=1,'Items sous domaines Sciences '!E261,0)</f>
        <v>0</v>
      </c>
      <c r="F259" s="341"/>
      <c r="G259" s="331"/>
    </row>
    <row r="260" spans="1:7" customFormat="1" ht="13.2" hidden="1" x14ac:dyDescent="0.25">
      <c r="B260" s="8">
        <f>IF('Items sous domaines Sciences '!G262=1,'Items sous domaines Sciences '!B262,0)</f>
        <v>0</v>
      </c>
      <c r="C260" s="8">
        <f>IF('Items sous domaines Sciences '!G262=1,'Items sous domaines Sciences '!C262,0)</f>
        <v>0</v>
      </c>
      <c r="D260" s="8">
        <f>IF('Items sous domaines Sciences '!G262=1,'Items sous domaines Sciences '!D262,0)</f>
        <v>0</v>
      </c>
      <c r="E260" s="8">
        <f>IF('Items sous domaines Sciences '!G262=1,'Items sous domaines Sciences '!E262,0)</f>
        <v>0</v>
      </c>
      <c r="F260" t="e">
        <f>IF('Items sous domaines Sciences '!#REF!=1,'Items sous domaines Sciences '!#REF!,0)</f>
        <v>#REF!</v>
      </c>
    </row>
    <row r="261" spans="1:7" customFormat="1" ht="13.2" hidden="1" x14ac:dyDescent="0.25">
      <c r="B261" s="8">
        <f>IF('Items sous domaines Sciences '!G263=1,'Items sous domaines Sciences '!B263,0)</f>
        <v>0</v>
      </c>
      <c r="C261" s="8">
        <f>IF('Items sous domaines Sciences '!G263=1,'Items sous domaines Sciences '!C263,0)</f>
        <v>0</v>
      </c>
      <c r="D261" s="8">
        <f>IF('Items sous domaines Sciences '!G263=1,'Items sous domaines Sciences '!D263,0)</f>
        <v>0</v>
      </c>
      <c r="E261" s="8">
        <f>IF('Items sous domaines Sciences '!G263=1,'Items sous domaines Sciences '!E263,0)</f>
        <v>0</v>
      </c>
      <c r="F261" t="e">
        <f>IF('Items sous domaines Sciences '!#REF!=1,'Items sous domaines Sciences '!#REF!,0)</f>
        <v>#REF!</v>
      </c>
    </row>
    <row r="262" spans="1:7" customFormat="1" ht="13.2" hidden="1" x14ac:dyDescent="0.25">
      <c r="B262" s="8">
        <f>IF('Items sous domaines Sciences '!G264=1,'Items sous domaines Sciences '!B264,0)</f>
        <v>0</v>
      </c>
      <c r="C262" s="8">
        <f>IF('Items sous domaines Sciences '!G264=1,'Items sous domaines Sciences '!C264,0)</f>
        <v>0</v>
      </c>
      <c r="D262" s="8">
        <f>IF('Items sous domaines Sciences '!G264=1,'Items sous domaines Sciences '!D264,0)</f>
        <v>0</v>
      </c>
      <c r="E262" s="8">
        <f>IF('Items sous domaines Sciences '!G264=1,'Items sous domaines Sciences '!E264,0)</f>
        <v>0</v>
      </c>
      <c r="F262" t="e">
        <f>IF('Items sous domaines Sciences '!#REF!=1,'Items sous domaines Sciences '!#REF!,0)</f>
        <v>#REF!</v>
      </c>
    </row>
    <row r="263" spans="1:7" customFormat="1" ht="13.2" hidden="1" x14ac:dyDescent="0.25">
      <c r="B263" s="8">
        <f>IF('Items sous domaines Sciences '!G265=1,'Items sous domaines Sciences '!B265,0)</f>
        <v>0</v>
      </c>
      <c r="C263" s="8">
        <f>IF('Items sous domaines Sciences '!G265=1,'Items sous domaines Sciences '!C265,0)</f>
        <v>0</v>
      </c>
      <c r="D263" s="8">
        <f>IF('Items sous domaines Sciences '!G265=1,'Items sous domaines Sciences '!D265,0)</f>
        <v>0</v>
      </c>
      <c r="E263" s="8">
        <f>IF('Items sous domaines Sciences '!G265=1,'Items sous domaines Sciences '!E265,0)</f>
        <v>0</v>
      </c>
      <c r="F263" t="e">
        <f>IF('Items sous domaines Sciences '!#REF!=1,'Items sous domaines Sciences '!#REF!,0)</f>
        <v>#REF!</v>
      </c>
    </row>
    <row r="264" spans="1:7" customFormat="1" ht="13.2" hidden="1" x14ac:dyDescent="0.25">
      <c r="B264" s="8">
        <f>IF('Items sous domaines Sciences '!G266=1,'Items sous domaines Sciences '!B266,0)</f>
        <v>0</v>
      </c>
      <c r="C264" s="8">
        <f>IF('Items sous domaines Sciences '!G266=1,'Items sous domaines Sciences '!C266,0)</f>
        <v>0</v>
      </c>
      <c r="D264" s="8">
        <f>IF('Items sous domaines Sciences '!G266=1,'Items sous domaines Sciences '!D266,0)</f>
        <v>0</v>
      </c>
      <c r="E264" s="8">
        <f>IF('Items sous domaines Sciences '!G266=1,'Items sous domaines Sciences '!E266,0)</f>
        <v>0</v>
      </c>
      <c r="F264" t="e">
        <f>IF('Items sous domaines Sciences '!#REF!=1,'Items sous domaines Sciences '!#REF!,0)</f>
        <v>#REF!</v>
      </c>
    </row>
    <row r="265" spans="1:7" customFormat="1" ht="13.2" hidden="1" x14ac:dyDescent="0.25">
      <c r="B265" s="8">
        <f>IF('Items sous domaines Sciences '!G267=1,'Items sous domaines Sciences '!B267,0)</f>
        <v>0</v>
      </c>
      <c r="C265" s="8">
        <f>IF('Items sous domaines Sciences '!G267=1,'Items sous domaines Sciences '!C267,0)</f>
        <v>0</v>
      </c>
      <c r="D265" s="8">
        <f>IF('Items sous domaines Sciences '!G267=1,'Items sous domaines Sciences '!D267,0)</f>
        <v>0</v>
      </c>
      <c r="E265" s="8">
        <f>IF('Items sous domaines Sciences '!G267=1,'Items sous domaines Sciences '!E267,0)</f>
        <v>0</v>
      </c>
      <c r="F265" t="e">
        <f>IF('Items sous domaines Sciences '!#REF!=1,'Items sous domaines Sciences '!#REF!,0)</f>
        <v>#REF!</v>
      </c>
    </row>
    <row r="266" spans="1:7" customFormat="1" ht="13.2" hidden="1" x14ac:dyDescent="0.25">
      <c r="B266" s="8">
        <f>IF('Items sous domaines Sciences '!G268=1,'Items sous domaines Sciences '!B268,0)</f>
        <v>0</v>
      </c>
      <c r="C266" s="8">
        <f>IF('Items sous domaines Sciences '!G268=1,'Items sous domaines Sciences '!C268,0)</f>
        <v>0</v>
      </c>
      <c r="D266" s="8">
        <f>IF('Items sous domaines Sciences '!G268=1,'Items sous domaines Sciences '!D268,0)</f>
        <v>0</v>
      </c>
      <c r="E266" s="8">
        <f>IF('Items sous domaines Sciences '!G268=1,'Items sous domaines Sciences '!E268,0)</f>
        <v>0</v>
      </c>
      <c r="F266" t="e">
        <f>IF('Items sous domaines Sciences '!#REF!=1,'Items sous domaines Sciences '!#REF!,0)</f>
        <v>#REF!</v>
      </c>
    </row>
    <row r="267" spans="1:7" customFormat="1" ht="13.2" hidden="1" x14ac:dyDescent="0.25">
      <c r="B267" s="8">
        <f>IF('Items sous domaines Sciences '!G269=1,'Items sous domaines Sciences '!B269,0)</f>
        <v>0</v>
      </c>
      <c r="C267" s="8">
        <f>IF('Items sous domaines Sciences '!G269=1,'Items sous domaines Sciences '!C269,0)</f>
        <v>0</v>
      </c>
      <c r="D267" s="8">
        <f>IF('Items sous domaines Sciences '!G269=1,'Items sous domaines Sciences '!D269,0)</f>
        <v>0</v>
      </c>
      <c r="E267" s="8">
        <f>IF('Items sous domaines Sciences '!G269=1,'Items sous domaines Sciences '!E269,0)</f>
        <v>0</v>
      </c>
      <c r="F267" t="e">
        <f>IF('Items sous domaines Sciences '!#REF!=1,'Items sous domaines Sciences '!#REF!,0)</f>
        <v>#REF!</v>
      </c>
    </row>
    <row r="268" spans="1:7" customFormat="1" ht="13.2" hidden="1" x14ac:dyDescent="0.25">
      <c r="B268" s="8">
        <f>IF('Items sous domaines Sciences '!G270=1,'Items sous domaines Sciences '!B270,0)</f>
        <v>0</v>
      </c>
      <c r="C268" s="8">
        <f>IF('Items sous domaines Sciences '!G270=1,'Items sous domaines Sciences '!C270,0)</f>
        <v>0</v>
      </c>
      <c r="D268" s="8">
        <f>IF('Items sous domaines Sciences '!G270=1,'Items sous domaines Sciences '!D270,0)</f>
        <v>0</v>
      </c>
      <c r="E268" s="8">
        <f>IF('Items sous domaines Sciences '!G270=1,'Items sous domaines Sciences '!E270,0)</f>
        <v>0</v>
      </c>
      <c r="F268" t="e">
        <f>IF('Items sous domaines Sciences '!#REF!=1,'Items sous domaines Sciences '!#REF!,0)</f>
        <v>#REF!</v>
      </c>
    </row>
    <row r="269" spans="1:7" customFormat="1" ht="13.2" hidden="1" x14ac:dyDescent="0.25">
      <c r="B269" s="8">
        <f>IF('Items sous domaines Sciences '!G271=1,'Items sous domaines Sciences '!B271,0)</f>
        <v>0</v>
      </c>
      <c r="C269" s="8">
        <f>IF('Items sous domaines Sciences '!G271=1,'Items sous domaines Sciences '!C271,0)</f>
        <v>0</v>
      </c>
      <c r="D269" s="8">
        <f>IF('Items sous domaines Sciences '!G271=1,'Items sous domaines Sciences '!D271,0)</f>
        <v>0</v>
      </c>
      <c r="E269" s="8">
        <f>IF('Items sous domaines Sciences '!G271=1,'Items sous domaines Sciences '!E271,0)</f>
        <v>0</v>
      </c>
      <c r="F269" t="e">
        <f>IF('Items sous domaines Sciences '!#REF!=1,'Items sous domaines Sciences '!#REF!,0)</f>
        <v>#REF!</v>
      </c>
    </row>
    <row r="270" spans="1:7" customFormat="1" ht="13.2" hidden="1" x14ac:dyDescent="0.25">
      <c r="B270" s="8">
        <f>IF('Items sous domaines Sciences '!G272=1,'Items sous domaines Sciences '!B272,0)</f>
        <v>0</v>
      </c>
      <c r="C270" s="8">
        <f>IF('Items sous domaines Sciences '!G272=1,'Items sous domaines Sciences '!C272,0)</f>
        <v>0</v>
      </c>
      <c r="D270" s="8">
        <f>IF('Items sous domaines Sciences '!G272=1,'Items sous domaines Sciences '!D272,0)</f>
        <v>0</v>
      </c>
      <c r="E270" s="8">
        <f>IF('Items sous domaines Sciences '!G272=1,'Items sous domaines Sciences '!E272,0)</f>
        <v>0</v>
      </c>
      <c r="F270" t="e">
        <f>IF('Items sous domaines Sciences '!#REF!=1,'Items sous domaines Sciences '!#REF!,0)</f>
        <v>#REF!</v>
      </c>
    </row>
    <row r="271" spans="1:7" customFormat="1" ht="13.2" hidden="1" x14ac:dyDescent="0.25">
      <c r="B271" s="8">
        <f>IF('Items sous domaines Sciences '!G273=1,'Items sous domaines Sciences '!B273,0)</f>
        <v>0</v>
      </c>
      <c r="C271" s="8">
        <f>IF('Items sous domaines Sciences '!G273=1,'Items sous domaines Sciences '!C273,0)</f>
        <v>0</v>
      </c>
      <c r="D271" s="8">
        <f>IF('Items sous domaines Sciences '!G273=1,'Items sous domaines Sciences '!D273,0)</f>
        <v>0</v>
      </c>
      <c r="E271" s="8">
        <f>IF('Items sous domaines Sciences '!G273=1,'Items sous domaines Sciences '!E273,0)</f>
        <v>0</v>
      </c>
      <c r="F271" t="e">
        <f>IF('Items sous domaines Sciences '!#REF!=1,'Items sous domaines Sciences '!#REF!,0)</f>
        <v>#REF!</v>
      </c>
    </row>
    <row r="272" spans="1:7" customFormat="1" ht="13.2" hidden="1" x14ac:dyDescent="0.25">
      <c r="B272" s="8">
        <f>IF('Items sous domaines Sciences '!G274=1,'Items sous domaines Sciences '!B274,0)</f>
        <v>0</v>
      </c>
      <c r="C272" s="8">
        <f>IF('Items sous domaines Sciences '!G274=1,'Items sous domaines Sciences '!C274,0)</f>
        <v>0</v>
      </c>
      <c r="D272" s="8">
        <f>IF('Items sous domaines Sciences '!G274=1,'Items sous domaines Sciences '!D274,0)</f>
        <v>0</v>
      </c>
      <c r="E272" s="8">
        <f>IF('Items sous domaines Sciences '!G274=1,'Items sous domaines Sciences '!E274,0)</f>
        <v>0</v>
      </c>
      <c r="F272" t="e">
        <f>IF('Items sous domaines Sciences '!#REF!=1,'Items sous domaines Sciences '!#REF!,0)</f>
        <v>#REF!</v>
      </c>
    </row>
    <row r="273" spans="1:7" customFormat="1" ht="13.2" hidden="1" x14ac:dyDescent="0.25">
      <c r="B273" s="8">
        <f>IF('Items sous domaines Sciences '!G275=1,'Items sous domaines Sciences '!B275,0)</f>
        <v>0</v>
      </c>
      <c r="C273" s="8">
        <f>IF('Items sous domaines Sciences '!G275=1,'Items sous domaines Sciences '!C275,0)</f>
        <v>0</v>
      </c>
      <c r="D273" s="8">
        <f>IF('Items sous domaines Sciences '!G275=1,'Items sous domaines Sciences '!D275,0)</f>
        <v>0</v>
      </c>
      <c r="E273" s="8">
        <f>IF('Items sous domaines Sciences '!G275=1,'Items sous domaines Sciences '!E275,0)</f>
        <v>0</v>
      </c>
      <c r="F273" t="e">
        <f>IF('Items sous domaines Sciences '!#REF!=1,'Items sous domaines Sciences '!#REF!,0)</f>
        <v>#REF!</v>
      </c>
    </row>
    <row r="274" spans="1:7" customFormat="1" ht="13.2" hidden="1" x14ac:dyDescent="0.25">
      <c r="B274" s="8">
        <f>IF('Items sous domaines Sciences '!G276=1,'Items sous domaines Sciences '!B276,0)</f>
        <v>0</v>
      </c>
      <c r="C274" s="8">
        <f>IF('Items sous domaines Sciences '!G276=1,'Items sous domaines Sciences '!C276,0)</f>
        <v>0</v>
      </c>
      <c r="D274" s="8">
        <f>IF('Items sous domaines Sciences '!G276=1,'Items sous domaines Sciences '!D276,0)</f>
        <v>0</v>
      </c>
      <c r="E274" s="8">
        <f>IF('Items sous domaines Sciences '!G276=1,'Items sous domaines Sciences '!E276,0)</f>
        <v>0</v>
      </c>
      <c r="F274" t="e">
        <f>IF('Items sous domaines Sciences '!#REF!=1,'Items sous domaines Sciences '!#REF!,0)</f>
        <v>#REF!</v>
      </c>
    </row>
    <row r="275" spans="1:7" customFormat="1" ht="13.2" hidden="1" x14ac:dyDescent="0.25">
      <c r="B275" s="8">
        <f>IF('Items sous domaines Sciences '!G277=1,'Items sous domaines Sciences '!B277,0)</f>
        <v>0</v>
      </c>
      <c r="C275" s="8">
        <f>IF('Items sous domaines Sciences '!G277=1,'Items sous domaines Sciences '!C277,0)</f>
        <v>0</v>
      </c>
      <c r="D275" s="8">
        <f>IF('Items sous domaines Sciences '!G277=1,'Items sous domaines Sciences '!D277,0)</f>
        <v>0</v>
      </c>
      <c r="E275" s="8">
        <f>IF('Items sous domaines Sciences '!G277=1,'Items sous domaines Sciences '!E277,0)</f>
        <v>0</v>
      </c>
      <c r="F275" t="e">
        <f>IF('Items sous domaines Sciences '!#REF!=1,'Items sous domaines Sciences '!#REF!,0)</f>
        <v>#REF!</v>
      </c>
    </row>
    <row r="276" spans="1:7" customFormat="1" ht="13.2" hidden="1" x14ac:dyDescent="0.25">
      <c r="B276" s="8">
        <f>IF('Items sous domaines Sciences '!G278=1,'Items sous domaines Sciences '!B278,0)</f>
        <v>0</v>
      </c>
      <c r="C276" s="8">
        <f>IF('Items sous domaines Sciences '!G278=1,'Items sous domaines Sciences '!C278,0)</f>
        <v>0</v>
      </c>
      <c r="D276" s="8">
        <f>IF('Items sous domaines Sciences '!G278=1,'Items sous domaines Sciences '!D278,0)</f>
        <v>0</v>
      </c>
      <c r="E276" s="8">
        <f>IF('Items sous domaines Sciences '!G278=1,'Items sous domaines Sciences '!E278,0)</f>
        <v>0</v>
      </c>
      <c r="F276" t="e">
        <f>IF('Items sous domaines Sciences '!#REF!=1,'Items sous domaines Sciences '!#REF!,0)</f>
        <v>#REF!</v>
      </c>
    </row>
    <row r="277" spans="1:7" customFormat="1" ht="13.2" hidden="1" x14ac:dyDescent="0.25">
      <c r="B277" s="8">
        <f>IF('Items sous domaines Sciences '!G279=1,'Items sous domaines Sciences '!B279,0)</f>
        <v>0</v>
      </c>
      <c r="C277" s="8">
        <f>IF('Items sous domaines Sciences '!G279=1,'Items sous domaines Sciences '!C279,0)</f>
        <v>0</v>
      </c>
      <c r="D277" s="8">
        <f>IF('Items sous domaines Sciences '!G279=1,'Items sous domaines Sciences '!D279,0)</f>
        <v>0</v>
      </c>
      <c r="E277" s="8">
        <f>IF('Items sous domaines Sciences '!G279=1,'Items sous domaines Sciences '!E279,0)</f>
        <v>0</v>
      </c>
      <c r="F277" t="e">
        <f>IF('Items sous domaines Sciences '!#REF!=1,'Items sous domaines Sciences '!#REF!,0)</f>
        <v>#REF!</v>
      </c>
    </row>
    <row r="278" spans="1:7" customFormat="1" ht="13.2" hidden="1" x14ac:dyDescent="0.25">
      <c r="B278" s="8">
        <f>IF('Items sous domaines Sciences '!G280=1,'Items sous domaines Sciences '!B280,0)</f>
        <v>0</v>
      </c>
      <c r="C278" s="8">
        <f>IF('Items sous domaines Sciences '!G280=1,'Items sous domaines Sciences '!C280,0)</f>
        <v>0</v>
      </c>
      <c r="D278" s="8">
        <f>IF('Items sous domaines Sciences '!G280=1,'Items sous domaines Sciences '!D280,0)</f>
        <v>0</v>
      </c>
      <c r="E278" s="8">
        <f>IF('Items sous domaines Sciences '!G280=1,'Items sous domaines Sciences '!E280,0)</f>
        <v>0</v>
      </c>
      <c r="F278" t="e">
        <f>IF('Items sous domaines Sciences '!#REF!=1,'Items sous domaines Sciences '!#REF!,0)</f>
        <v>#REF!</v>
      </c>
    </row>
    <row r="279" spans="1:7" customFormat="1" ht="13.2" hidden="1" x14ac:dyDescent="0.25">
      <c r="B279" s="8">
        <f>IF('Items sous domaines Sciences '!G281=1,'Items sous domaines Sciences '!B281,0)</f>
        <v>0</v>
      </c>
      <c r="C279" s="8">
        <f>IF('Items sous domaines Sciences '!G281=1,'Items sous domaines Sciences '!C281,0)</f>
        <v>0</v>
      </c>
      <c r="D279" s="8">
        <f>IF('Items sous domaines Sciences '!G281=1,'Items sous domaines Sciences '!D281,0)</f>
        <v>0</v>
      </c>
      <c r="E279" s="8">
        <f>IF('Items sous domaines Sciences '!G281=1,'Items sous domaines Sciences '!E281,0)</f>
        <v>0</v>
      </c>
      <c r="F279" t="e">
        <f>IF('Items sous domaines Sciences '!#REF!=1,'Items sous domaines Sciences '!#REF!,0)</f>
        <v>#REF!</v>
      </c>
    </row>
    <row r="280" spans="1:7" customFormat="1" ht="13.2" hidden="1" x14ac:dyDescent="0.25">
      <c r="B280" s="8">
        <f>IF('Items sous domaines Sciences '!G282=1,'Items sous domaines Sciences '!B282,0)</f>
        <v>0</v>
      </c>
      <c r="C280" s="8">
        <f>IF('Items sous domaines Sciences '!G282=1,'Items sous domaines Sciences '!C282,0)</f>
        <v>0</v>
      </c>
      <c r="D280" s="8">
        <f>IF('Items sous domaines Sciences '!G282=1,'Items sous domaines Sciences '!D282,0)</f>
        <v>0</v>
      </c>
      <c r="E280" s="8">
        <f>IF('Items sous domaines Sciences '!G282=1,'Items sous domaines Sciences '!E282,0)</f>
        <v>0</v>
      </c>
      <c r="F280" t="e">
        <f>IF('Items sous domaines Sciences '!#REF!=1,'Items sous domaines Sciences '!#REF!,0)</f>
        <v>#REF!</v>
      </c>
    </row>
    <row r="281" spans="1:7" customFormat="1" ht="13.2" hidden="1" x14ac:dyDescent="0.25">
      <c r="B281" s="8">
        <f>IF('Items sous domaines Sciences '!G283=1,'Items sous domaines Sciences '!B283,0)</f>
        <v>0</v>
      </c>
      <c r="C281" s="8">
        <f>IF('Items sous domaines Sciences '!G283=1,'Items sous domaines Sciences '!C283,0)</f>
        <v>0</v>
      </c>
      <c r="D281" s="8">
        <f>IF('Items sous domaines Sciences '!G283=1,'Items sous domaines Sciences '!D283,0)</f>
        <v>0</v>
      </c>
      <c r="E281" s="8">
        <f>IF('Items sous domaines Sciences '!G283=1,'Items sous domaines Sciences '!E283,0)</f>
        <v>0</v>
      </c>
      <c r="F281" t="e">
        <f>IF('Items sous domaines Sciences '!#REF!=1,'Items sous domaines Sciences '!#REF!,0)</f>
        <v>#REF!</v>
      </c>
    </row>
    <row r="282" spans="1:7" customFormat="1" ht="13.2" hidden="1" x14ac:dyDescent="0.25">
      <c r="B282" s="8">
        <f>IF('Items sous domaines Sciences '!G284=1,'Items sous domaines Sciences '!B284,0)</f>
        <v>0</v>
      </c>
      <c r="C282" s="8">
        <f>IF('Items sous domaines Sciences '!G284=1,'Items sous domaines Sciences '!C284,0)</f>
        <v>0</v>
      </c>
      <c r="D282" s="8">
        <f>IF('Items sous domaines Sciences '!G284=1,'Items sous domaines Sciences '!D284,0)</f>
        <v>0</v>
      </c>
      <c r="E282" s="8">
        <f>IF('Items sous domaines Sciences '!G284=1,'Items sous domaines Sciences '!E284,0)</f>
        <v>0</v>
      </c>
      <c r="F282" t="e">
        <f>IF('Items sous domaines Sciences '!#REF!=1,'Items sous domaines Sciences '!#REF!,0)</f>
        <v>#REF!</v>
      </c>
    </row>
    <row r="283" spans="1:7" customFormat="1" ht="13.2" hidden="1" x14ac:dyDescent="0.25">
      <c r="A283" s="391" t="s">
        <v>419</v>
      </c>
      <c r="B283" s="8">
        <f>IF('Items sous domaines Sciences '!G285=1,'Items sous domaines Sciences '!B285,0)</f>
        <v>0</v>
      </c>
      <c r="C283" s="8">
        <f>IF('Items sous domaines Sciences '!G285=1,'Items sous domaines Sciences '!C285,0)</f>
        <v>0</v>
      </c>
      <c r="D283" s="8">
        <f>IF('Items sous domaines Sciences '!G285=1,'Items sous domaines Sciences '!D285,0)</f>
        <v>0</v>
      </c>
      <c r="E283" s="8">
        <f>IF('Items sous domaines Sciences '!G285=1,'Items sous domaines Sciences '!E285,0)</f>
        <v>0</v>
      </c>
      <c r="F283" s="339" t="s">
        <v>408</v>
      </c>
      <c r="G283" s="333" t="s">
        <v>420</v>
      </c>
    </row>
    <row r="284" spans="1:7" customFormat="1" ht="13.2" hidden="1" x14ac:dyDescent="0.25">
      <c r="A284" s="391"/>
      <c r="B284" s="8">
        <f>IF('Items sous domaines Sciences '!G286=1,'Items sous domaines Sciences '!B286,0)</f>
        <v>0</v>
      </c>
      <c r="C284" s="8">
        <f>IF('Items sous domaines Sciences '!G286=1,'Items sous domaines Sciences '!C286,0)</f>
        <v>0</v>
      </c>
      <c r="D284" s="8">
        <f>IF('Items sous domaines Sciences '!G286=1,'Items sous domaines Sciences '!D286,0)</f>
        <v>0</v>
      </c>
      <c r="E284" s="8">
        <f>IF('Items sous domaines Sciences '!G286=1,'Items sous domaines Sciences '!E286,0)</f>
        <v>0</v>
      </c>
      <c r="F284" s="340"/>
      <c r="G284" s="333"/>
    </row>
    <row r="285" spans="1:7" customFormat="1" ht="17.399999999999999" hidden="1" customHeight="1" thickBot="1" x14ac:dyDescent="0.3">
      <c r="A285" s="391"/>
      <c r="B285" s="8">
        <f>IF('Items sous domaines Sciences '!G287=1,'Items sous domaines Sciences '!B287,0)</f>
        <v>0</v>
      </c>
      <c r="C285" s="8">
        <f>IF('Items sous domaines Sciences '!G287=1,'Items sous domaines Sciences '!C287,0)</f>
        <v>0</v>
      </c>
      <c r="D285" s="8">
        <f>IF('Items sous domaines Sciences '!G287=1,'Items sous domaines Sciences '!D287,0)</f>
        <v>0</v>
      </c>
      <c r="E285" s="8">
        <f>IF('Items sous domaines Sciences '!G287=1,'Items sous domaines Sciences '!E287,0)</f>
        <v>0</v>
      </c>
      <c r="F285" s="340"/>
      <c r="G285" s="333"/>
    </row>
    <row r="286" spans="1:7" customFormat="1" ht="17.399999999999999" hidden="1" customHeight="1" thickBot="1" x14ac:dyDescent="0.3">
      <c r="A286" s="391"/>
      <c r="B286" s="8">
        <f>IF('Items sous domaines Sciences '!G288=1,'Items sous domaines Sciences '!B288,0)</f>
        <v>0</v>
      </c>
      <c r="C286" s="8">
        <f>IF('Items sous domaines Sciences '!G288=1,'Items sous domaines Sciences '!C288,0)</f>
        <v>0</v>
      </c>
      <c r="D286" s="8">
        <f>IF('Items sous domaines Sciences '!G288=1,'Items sous domaines Sciences '!D288,0)</f>
        <v>0</v>
      </c>
      <c r="E286" s="8">
        <f>IF('Items sous domaines Sciences '!G288=1,'Items sous domaines Sciences '!E288,0)</f>
        <v>0</v>
      </c>
      <c r="F286" s="340"/>
      <c r="G286" s="333"/>
    </row>
    <row r="287" spans="1:7" customFormat="1" ht="17.399999999999999" hidden="1" customHeight="1" thickBot="1" x14ac:dyDescent="0.3">
      <c r="A287" s="391"/>
      <c r="B287" s="8">
        <f>IF('Items sous domaines Sciences '!G289=1,'Items sous domaines Sciences '!B289,0)</f>
        <v>0</v>
      </c>
      <c r="C287" s="8">
        <f>IF('Items sous domaines Sciences '!G289=1,'Items sous domaines Sciences '!C289,0)</f>
        <v>0</v>
      </c>
      <c r="D287" s="8">
        <f>IF('Items sous domaines Sciences '!G289=1,'Items sous domaines Sciences '!D289,0)</f>
        <v>0</v>
      </c>
      <c r="E287" s="8">
        <f>IF('Items sous domaines Sciences '!G289=1,'Items sous domaines Sciences '!E289,0)</f>
        <v>0</v>
      </c>
      <c r="F287" s="340"/>
      <c r="G287" s="333"/>
    </row>
    <row r="288" spans="1:7" customFormat="1" ht="17.399999999999999" hidden="1" customHeight="1" thickBot="1" x14ac:dyDescent="0.3">
      <c r="A288" s="391"/>
      <c r="B288" s="8">
        <f>IF('Items sous domaines Sciences '!G290=1,'Items sous domaines Sciences '!B290,0)</f>
        <v>0</v>
      </c>
      <c r="C288" s="8">
        <f>IF('Items sous domaines Sciences '!G290=1,'Items sous domaines Sciences '!C290,0)</f>
        <v>0</v>
      </c>
      <c r="D288" s="8">
        <f>IF('Items sous domaines Sciences '!G290=1,'Items sous domaines Sciences '!D290,0)</f>
        <v>0</v>
      </c>
      <c r="E288" s="8">
        <f>IF('Items sous domaines Sciences '!G290=1,'Items sous domaines Sciences '!E290,0)</f>
        <v>0</v>
      </c>
      <c r="F288" s="340"/>
      <c r="G288" s="333"/>
    </row>
    <row r="289" spans="1:7" customFormat="1" ht="17.399999999999999" hidden="1" customHeight="1" thickBot="1" x14ac:dyDescent="0.3">
      <c r="A289" s="391"/>
      <c r="B289" s="8">
        <f>IF('Items sous domaines Sciences '!G291=1,'Items sous domaines Sciences '!B291,0)</f>
        <v>0</v>
      </c>
      <c r="C289" s="8">
        <f>IF('Items sous domaines Sciences '!G291=1,'Items sous domaines Sciences '!C291,0)</f>
        <v>0</v>
      </c>
      <c r="D289" s="8">
        <f>IF('Items sous domaines Sciences '!G291=1,'Items sous domaines Sciences '!D291,0)</f>
        <v>0</v>
      </c>
      <c r="E289" s="8">
        <f>IF('Items sous domaines Sciences '!G291=1,'Items sous domaines Sciences '!E291,0)</f>
        <v>0</v>
      </c>
      <c r="F289" s="340"/>
      <c r="G289" s="333"/>
    </row>
    <row r="290" spans="1:7" customFormat="1" ht="17.399999999999999" hidden="1" customHeight="1" thickBot="1" x14ac:dyDescent="0.3">
      <c r="A290" s="391"/>
      <c r="B290" s="8">
        <f>IF('Items sous domaines Sciences '!G292=1,'Items sous domaines Sciences '!B292,0)</f>
        <v>0</v>
      </c>
      <c r="C290" s="8">
        <f>IF('Items sous domaines Sciences '!G292=1,'Items sous domaines Sciences '!C292,0)</f>
        <v>0</v>
      </c>
      <c r="D290" s="8">
        <f>IF('Items sous domaines Sciences '!G292=1,'Items sous domaines Sciences '!D292,0)</f>
        <v>0</v>
      </c>
      <c r="E290" s="8">
        <f>IF('Items sous domaines Sciences '!G292=1,'Items sous domaines Sciences '!E292,0)</f>
        <v>0</v>
      </c>
      <c r="F290" s="341"/>
      <c r="G290" s="333"/>
    </row>
    <row r="291" spans="1:7" customFormat="1" ht="17.399999999999999" hidden="1" customHeight="1" thickBot="1" x14ac:dyDescent="0.3">
      <c r="B291" s="8">
        <f>IF('Items sous domaines Sciences '!G293=1,'Items sous domaines Sciences '!B293,0)</f>
        <v>0</v>
      </c>
      <c r="C291" s="8">
        <f>IF('Items sous domaines Sciences '!G293=1,'Items sous domaines Sciences '!C293,0)</f>
        <v>0</v>
      </c>
      <c r="D291" s="8">
        <f>IF('Items sous domaines Sciences '!G293=1,'Items sous domaines Sciences '!D293,0)</f>
        <v>0</v>
      </c>
      <c r="E291" s="8">
        <f>IF('Items sous domaines Sciences '!G293=1,'Items sous domaines Sciences '!E293,0)</f>
        <v>0</v>
      </c>
      <c r="F291" t="e">
        <f>IF('Items sous domaines Sciences '!#REF!=1,'Items sous domaines Sciences '!#REF!,0)</f>
        <v>#REF!</v>
      </c>
    </row>
    <row r="292" spans="1:7" customFormat="1" ht="17.399999999999999" hidden="1" customHeight="1" thickBot="1" x14ac:dyDescent="0.3">
      <c r="B292" s="8">
        <f>IF('Items sous domaines Sciences '!G294=1,'Items sous domaines Sciences '!B294,0)</f>
        <v>0</v>
      </c>
      <c r="C292" s="8">
        <f>IF('Items sous domaines Sciences '!G294=1,'Items sous domaines Sciences '!C294,0)</f>
        <v>0</v>
      </c>
      <c r="D292" s="8">
        <f>IF('Items sous domaines Sciences '!G294=1,'Items sous domaines Sciences '!D294,0)</f>
        <v>0</v>
      </c>
      <c r="E292" s="8">
        <f>IF('Items sous domaines Sciences '!G294=1,'Items sous domaines Sciences '!E294,0)</f>
        <v>0</v>
      </c>
      <c r="F292" t="e">
        <f>IF('Items sous domaines Sciences '!#REF!=1,'Items sous domaines Sciences '!#REF!,0)</f>
        <v>#REF!</v>
      </c>
    </row>
    <row r="293" spans="1:7" customFormat="1" ht="17.399999999999999" hidden="1" customHeight="1" thickBot="1" x14ac:dyDescent="0.3">
      <c r="B293" s="8">
        <f>IF('Items sous domaines Sciences '!G295=1,'Items sous domaines Sciences '!B295,0)</f>
        <v>0</v>
      </c>
      <c r="C293" s="8">
        <f>IF('Items sous domaines Sciences '!G295=1,'Items sous domaines Sciences '!C295,0)</f>
        <v>0</v>
      </c>
      <c r="D293" s="8">
        <f>IF('Items sous domaines Sciences '!G295=1,'Items sous domaines Sciences '!D295,0)</f>
        <v>0</v>
      </c>
      <c r="E293" s="8">
        <f>IF('Items sous domaines Sciences '!G295=1,'Items sous domaines Sciences '!E295,0)</f>
        <v>0</v>
      </c>
      <c r="F293" t="e">
        <f>IF('Items sous domaines Sciences '!#REF!=1,'Items sous domaines Sciences '!#REF!,0)</f>
        <v>#REF!</v>
      </c>
    </row>
    <row r="294" spans="1:7" customFormat="1" ht="17.399999999999999" hidden="1" customHeight="1" thickBot="1" x14ac:dyDescent="0.3">
      <c r="B294" s="8">
        <f>IF('Items sous domaines Sciences '!G296=1,'Items sous domaines Sciences '!B296,0)</f>
        <v>0</v>
      </c>
      <c r="C294" s="8">
        <f>IF('Items sous domaines Sciences '!G296=1,'Items sous domaines Sciences '!C296,0)</f>
        <v>0</v>
      </c>
      <c r="D294" s="8">
        <f>IF('Items sous domaines Sciences '!G296=1,'Items sous domaines Sciences '!D296,0)</f>
        <v>0</v>
      </c>
      <c r="E294" s="8">
        <f>IF('Items sous domaines Sciences '!G296=1,'Items sous domaines Sciences '!E296,0)</f>
        <v>0</v>
      </c>
      <c r="F294" t="e">
        <f>IF('Items sous domaines Sciences '!#REF!=1,'Items sous domaines Sciences '!#REF!,0)</f>
        <v>#REF!</v>
      </c>
    </row>
    <row r="295" spans="1:7" customFormat="1" ht="17.399999999999999" hidden="1" customHeight="1" thickBot="1" x14ac:dyDescent="0.3">
      <c r="B295" s="8">
        <f>IF('Items sous domaines Sciences '!G297=1,'Items sous domaines Sciences '!B297,0)</f>
        <v>0</v>
      </c>
      <c r="C295" s="8">
        <f>IF('Items sous domaines Sciences '!G297=1,'Items sous domaines Sciences '!C297,0)</f>
        <v>0</v>
      </c>
      <c r="D295" s="8">
        <f>IF('Items sous domaines Sciences '!G297=1,'Items sous domaines Sciences '!D297,0)</f>
        <v>0</v>
      </c>
      <c r="E295" s="8">
        <f>IF('Items sous domaines Sciences '!G297=1,'Items sous domaines Sciences '!E297,0)</f>
        <v>0</v>
      </c>
      <c r="F295" t="e">
        <f>IF('Items sous domaines Sciences '!#REF!=1,'Items sous domaines Sciences '!#REF!,0)</f>
        <v>#REF!</v>
      </c>
    </row>
    <row r="296" spans="1:7" customFormat="1" ht="17.399999999999999" hidden="1" customHeight="1" thickBot="1" x14ac:dyDescent="0.3">
      <c r="B296" s="8">
        <f>IF('Items sous domaines Sciences '!G298=1,'Items sous domaines Sciences '!B298,0)</f>
        <v>0</v>
      </c>
      <c r="C296" s="8">
        <f>IF('Items sous domaines Sciences '!G298=1,'Items sous domaines Sciences '!C298,0)</f>
        <v>0</v>
      </c>
      <c r="D296" s="8">
        <f>IF('Items sous domaines Sciences '!G298=1,'Items sous domaines Sciences '!D298,0)</f>
        <v>0</v>
      </c>
      <c r="E296" s="8">
        <f>IF('Items sous domaines Sciences '!G298=1,'Items sous domaines Sciences '!E298,0)</f>
        <v>0</v>
      </c>
      <c r="F296" t="e">
        <f>IF('Items sous domaines Sciences '!#REF!=1,'Items sous domaines Sciences '!#REF!,0)</f>
        <v>#REF!</v>
      </c>
    </row>
    <row r="297" spans="1:7" customFormat="1" ht="17.399999999999999" hidden="1" customHeight="1" thickBot="1" x14ac:dyDescent="0.3">
      <c r="B297" s="8">
        <f>IF('Items sous domaines Sciences '!G299=1,'Items sous domaines Sciences '!B299,0)</f>
        <v>0</v>
      </c>
      <c r="C297" s="8">
        <f>IF('Items sous domaines Sciences '!G299=1,'Items sous domaines Sciences '!C299,0)</f>
        <v>0</v>
      </c>
      <c r="D297" s="8">
        <f>IF('Items sous domaines Sciences '!G299=1,'Items sous domaines Sciences '!D299,0)</f>
        <v>0</v>
      </c>
      <c r="E297" s="8">
        <f>IF('Items sous domaines Sciences '!G299=1,'Items sous domaines Sciences '!E299,0)</f>
        <v>0</v>
      </c>
      <c r="F297" t="e">
        <f>IF('Items sous domaines Sciences '!#REF!=1,'Items sous domaines Sciences '!#REF!,0)</f>
        <v>#REF!</v>
      </c>
    </row>
    <row r="298" spans="1:7" customFormat="1" ht="17.399999999999999" hidden="1" customHeight="1" thickBot="1" x14ac:dyDescent="0.3">
      <c r="B298" s="8">
        <f>IF('Items sous domaines Sciences '!G300=1,'Items sous domaines Sciences '!B300,0)</f>
        <v>0</v>
      </c>
      <c r="C298" s="8">
        <f>IF('Items sous domaines Sciences '!G300=1,'Items sous domaines Sciences '!C300,0)</f>
        <v>0</v>
      </c>
      <c r="D298" s="8">
        <f>IF('Items sous domaines Sciences '!G300=1,'Items sous domaines Sciences '!D300,0)</f>
        <v>0</v>
      </c>
      <c r="E298" s="8">
        <f>IF('Items sous domaines Sciences '!G300=1,'Items sous domaines Sciences '!E300,0)</f>
        <v>0</v>
      </c>
      <c r="F298" t="e">
        <f>IF('Items sous domaines Sciences '!#REF!=1,'Items sous domaines Sciences '!#REF!,0)</f>
        <v>#REF!</v>
      </c>
    </row>
    <row r="299" spans="1:7" customFormat="1" ht="17.399999999999999" hidden="1" customHeight="1" thickBot="1" x14ac:dyDescent="0.3">
      <c r="B299" s="8">
        <f>IF('Items sous domaines Sciences '!G301=1,'Items sous domaines Sciences '!B301,0)</f>
        <v>0</v>
      </c>
      <c r="C299" s="8">
        <f>IF('Items sous domaines Sciences '!G301=1,'Items sous domaines Sciences '!C301,0)</f>
        <v>0</v>
      </c>
      <c r="D299" s="8">
        <f>IF('Items sous domaines Sciences '!G301=1,'Items sous domaines Sciences '!D301,0)</f>
        <v>0</v>
      </c>
      <c r="E299" s="8">
        <f>IF('Items sous domaines Sciences '!G301=1,'Items sous domaines Sciences '!E301,0)</f>
        <v>0</v>
      </c>
      <c r="F299" t="e">
        <f>IF('Items sous domaines Sciences '!#REF!=1,'Items sous domaines Sciences '!#REF!,0)</f>
        <v>#REF!</v>
      </c>
    </row>
    <row r="300" spans="1:7" customFormat="1" ht="17.399999999999999" hidden="1" customHeight="1" thickBot="1" x14ac:dyDescent="0.3">
      <c r="B300" s="8">
        <f>IF('Items sous domaines Sciences '!G302=1,'Items sous domaines Sciences '!B302,0)</f>
        <v>0</v>
      </c>
      <c r="C300" s="8">
        <f>IF('Items sous domaines Sciences '!G302=1,'Items sous domaines Sciences '!C302,0)</f>
        <v>0</v>
      </c>
      <c r="D300" s="8">
        <f>IF('Items sous domaines Sciences '!G302=1,'Items sous domaines Sciences '!D302,0)</f>
        <v>0</v>
      </c>
      <c r="E300" s="8">
        <f>IF('Items sous domaines Sciences '!G302=1,'Items sous domaines Sciences '!E302,0)</f>
        <v>0</v>
      </c>
      <c r="F300" t="e">
        <f>IF('Items sous domaines Sciences '!#REF!=1,'Items sous domaines Sciences '!#REF!,0)</f>
        <v>#REF!</v>
      </c>
    </row>
    <row r="301" spans="1:7" customFormat="1" ht="17.399999999999999" hidden="1" customHeight="1" thickBot="1" x14ac:dyDescent="0.3">
      <c r="B301" s="8">
        <f>IF('Items sous domaines Sciences '!G303=1,'Items sous domaines Sciences '!B303,0)</f>
        <v>0</v>
      </c>
      <c r="C301" s="8">
        <f>IF('Items sous domaines Sciences '!G303=1,'Items sous domaines Sciences '!C303,0)</f>
        <v>0</v>
      </c>
      <c r="D301" s="8">
        <f>IF('Items sous domaines Sciences '!G303=1,'Items sous domaines Sciences '!D303,0)</f>
        <v>0</v>
      </c>
      <c r="E301" s="8">
        <f>IF('Items sous domaines Sciences '!G303=1,'Items sous domaines Sciences '!E303,0)</f>
        <v>0</v>
      </c>
      <c r="F301" t="e">
        <f>IF('Items sous domaines Sciences '!#REF!=1,'Items sous domaines Sciences '!#REF!,0)</f>
        <v>#REF!</v>
      </c>
    </row>
    <row r="302" spans="1:7" customFormat="1" ht="17.399999999999999" hidden="1" customHeight="1" thickBot="1" x14ac:dyDescent="0.3">
      <c r="B302" s="8">
        <f>IF('Items sous domaines Sciences '!G304=1,'Items sous domaines Sciences '!B304,0)</f>
        <v>0</v>
      </c>
      <c r="C302" s="8">
        <f>IF('Items sous domaines Sciences '!G304=1,'Items sous domaines Sciences '!C304,0)</f>
        <v>0</v>
      </c>
      <c r="D302" s="8">
        <f>IF('Items sous domaines Sciences '!G304=1,'Items sous domaines Sciences '!D304,0)</f>
        <v>0</v>
      </c>
      <c r="E302" s="8">
        <f>IF('Items sous domaines Sciences '!G304=1,'Items sous domaines Sciences '!E304,0)</f>
        <v>0</v>
      </c>
      <c r="F302" t="e">
        <f>IF('Items sous domaines Sciences '!#REF!=1,'Items sous domaines Sciences '!#REF!,0)</f>
        <v>#REF!</v>
      </c>
    </row>
    <row r="303" spans="1:7" customFormat="1" ht="17.399999999999999" hidden="1" customHeight="1" thickBot="1" x14ac:dyDescent="0.3">
      <c r="B303" s="8">
        <f>IF('Items sous domaines Sciences '!G305=1,'Items sous domaines Sciences '!B305,0)</f>
        <v>0</v>
      </c>
      <c r="C303" s="8">
        <f>IF('Items sous domaines Sciences '!G305=1,'Items sous domaines Sciences '!C305,0)</f>
        <v>0</v>
      </c>
      <c r="D303" s="8">
        <f>IF('Items sous domaines Sciences '!G305=1,'Items sous domaines Sciences '!D305,0)</f>
        <v>0</v>
      </c>
      <c r="E303" s="8">
        <f>IF('Items sous domaines Sciences '!G305=1,'Items sous domaines Sciences '!E305,0)</f>
        <v>0</v>
      </c>
      <c r="F303" t="e">
        <f>IF('Items sous domaines Sciences '!#REF!=1,'Items sous domaines Sciences '!#REF!,0)</f>
        <v>#REF!</v>
      </c>
    </row>
    <row r="304" spans="1:7" customFormat="1" ht="17.399999999999999" hidden="1" customHeight="1" thickBot="1" x14ac:dyDescent="0.3">
      <c r="B304" s="8">
        <f>IF('Items sous domaines Sciences '!G306=1,'Items sous domaines Sciences '!B306,0)</f>
        <v>0</v>
      </c>
      <c r="C304" s="8">
        <f>IF('Items sous domaines Sciences '!G306=1,'Items sous domaines Sciences '!C306,0)</f>
        <v>0</v>
      </c>
      <c r="D304" s="8">
        <f>IF('Items sous domaines Sciences '!G306=1,'Items sous domaines Sciences '!D306,0)</f>
        <v>0</v>
      </c>
      <c r="E304" s="8">
        <f>IF('Items sous domaines Sciences '!G306=1,'Items sous domaines Sciences '!E306,0)</f>
        <v>0</v>
      </c>
      <c r="F304" t="e">
        <f>IF('Items sous domaines Sciences '!#REF!=1,'Items sous domaines Sciences '!#REF!,0)</f>
        <v>#REF!</v>
      </c>
    </row>
    <row r="305" spans="1:7" customFormat="1" ht="17.399999999999999" hidden="1" customHeight="1" thickBot="1" x14ac:dyDescent="0.3">
      <c r="B305" s="8">
        <f>IF('Items sous domaines Sciences '!G307=1,'Items sous domaines Sciences '!B307,0)</f>
        <v>0</v>
      </c>
      <c r="C305" s="8">
        <f>IF('Items sous domaines Sciences '!G307=1,'Items sous domaines Sciences '!C307,0)</f>
        <v>0</v>
      </c>
      <c r="D305" s="8">
        <f>IF('Items sous domaines Sciences '!G307=1,'Items sous domaines Sciences '!D307,0)</f>
        <v>0</v>
      </c>
      <c r="E305" s="8">
        <f>IF('Items sous domaines Sciences '!G307=1,'Items sous domaines Sciences '!E307,0)</f>
        <v>0</v>
      </c>
      <c r="F305" t="e">
        <f>IF('Items sous domaines Sciences '!#REF!=1,'Items sous domaines Sciences '!#REF!,0)</f>
        <v>#REF!</v>
      </c>
    </row>
    <row r="306" spans="1:7" customFormat="1" ht="17.399999999999999" hidden="1" customHeight="1" thickBot="1" x14ac:dyDescent="0.3">
      <c r="B306" s="8">
        <f>IF('Items sous domaines Sciences '!G308=1,'Items sous domaines Sciences '!B308,0)</f>
        <v>0</v>
      </c>
      <c r="C306" s="8">
        <f>IF('Items sous domaines Sciences '!G308=1,'Items sous domaines Sciences '!C308,0)</f>
        <v>0</v>
      </c>
      <c r="D306" s="8">
        <f>IF('Items sous domaines Sciences '!G308=1,'Items sous domaines Sciences '!D308,0)</f>
        <v>0</v>
      </c>
      <c r="E306" s="8">
        <f>IF('Items sous domaines Sciences '!G308=1,'Items sous domaines Sciences '!E308,0)</f>
        <v>0</v>
      </c>
      <c r="F306" t="e">
        <f>IF('Items sous domaines Sciences '!#REF!=1,'Items sous domaines Sciences '!#REF!,0)</f>
        <v>#REF!</v>
      </c>
    </row>
    <row r="307" spans="1:7" customFormat="1" ht="17.399999999999999" hidden="1" customHeight="1" thickBot="1" x14ac:dyDescent="0.3">
      <c r="B307" s="8">
        <f>IF('Items sous domaines Sciences '!G309=1,'Items sous domaines Sciences '!B309,0)</f>
        <v>0</v>
      </c>
      <c r="C307" s="8">
        <f>IF('Items sous domaines Sciences '!G309=1,'Items sous domaines Sciences '!C309,0)</f>
        <v>0</v>
      </c>
      <c r="D307" s="8">
        <f>IF('Items sous domaines Sciences '!G309=1,'Items sous domaines Sciences '!D309,0)</f>
        <v>0</v>
      </c>
      <c r="E307" s="8">
        <f>IF('Items sous domaines Sciences '!G309=1,'Items sous domaines Sciences '!E309,0)</f>
        <v>0</v>
      </c>
      <c r="F307" t="e">
        <f>IF('Items sous domaines Sciences '!#REF!=1,'Items sous domaines Sciences '!#REF!,0)</f>
        <v>#REF!</v>
      </c>
    </row>
    <row r="308" spans="1:7" customFormat="1" ht="13.2" hidden="1" x14ac:dyDescent="0.25">
      <c r="B308" s="8">
        <f>IF('Items sous domaines Sciences '!G310=1,'Items sous domaines Sciences '!B310,0)</f>
        <v>0</v>
      </c>
      <c r="C308" s="8">
        <f>IF('Items sous domaines Sciences '!G310=1,'Items sous domaines Sciences '!C310,0)</f>
        <v>0</v>
      </c>
      <c r="D308" s="8">
        <f>IF('Items sous domaines Sciences '!G310=1,'Items sous domaines Sciences '!D310,0)</f>
        <v>0</v>
      </c>
      <c r="E308" s="8">
        <f>IF('Items sous domaines Sciences '!G310=1,'Items sous domaines Sciences '!E310,0)</f>
        <v>0</v>
      </c>
      <c r="F308" t="e">
        <f>IF('Items sous domaines Sciences '!#REF!=1,'Items sous domaines Sciences '!#REF!,0)</f>
        <v>#REF!</v>
      </c>
    </row>
    <row r="309" spans="1:7" customFormat="1" ht="13.2" hidden="1" x14ac:dyDescent="0.25">
      <c r="B309" s="8">
        <f>IF('Items sous domaines Sciences '!G311=1,'Items sous domaines Sciences '!B311,0)</f>
        <v>0</v>
      </c>
      <c r="C309" s="8">
        <f>IF('Items sous domaines Sciences '!G311=1,'Items sous domaines Sciences '!C311,0)</f>
        <v>0</v>
      </c>
      <c r="D309" s="8">
        <f>IF('Items sous domaines Sciences '!G311=1,'Items sous domaines Sciences '!D311,0)</f>
        <v>0</v>
      </c>
      <c r="E309" s="8">
        <f>IF('Items sous domaines Sciences '!G311=1,'Items sous domaines Sciences '!E311,0)</f>
        <v>0</v>
      </c>
      <c r="F309" t="e">
        <f>IF('Items sous domaines Sciences '!#REF!=1,'Items sous domaines Sciences '!#REF!,0)</f>
        <v>#REF!</v>
      </c>
    </row>
    <row r="310" spans="1:7" customFormat="1" ht="13.2" hidden="1" x14ac:dyDescent="0.25">
      <c r="B310" s="8">
        <f>IF('Items sous domaines Sciences '!G312=1,'Items sous domaines Sciences '!B312,0)</f>
        <v>0</v>
      </c>
      <c r="C310" s="8">
        <f>IF('Items sous domaines Sciences '!G312=1,'Items sous domaines Sciences '!C312,0)</f>
        <v>0</v>
      </c>
      <c r="D310" s="8">
        <f>IF('Items sous domaines Sciences '!G312=1,'Items sous domaines Sciences '!D312,0)</f>
        <v>0</v>
      </c>
      <c r="E310" s="8">
        <f>IF('Items sous domaines Sciences '!G312=1,'Items sous domaines Sciences '!E312,0)</f>
        <v>0</v>
      </c>
      <c r="F310" t="e">
        <f>IF('Items sous domaines Sciences '!#REF!=1,'Items sous domaines Sciences '!#REF!,0)</f>
        <v>#REF!</v>
      </c>
    </row>
    <row r="311" spans="1:7" customFormat="1" ht="13.2" hidden="1" x14ac:dyDescent="0.25">
      <c r="A311" s="396" t="s">
        <v>421</v>
      </c>
      <c r="B311" s="8">
        <f>IF('Items sous domaines Sciences '!G313=1,'Items sous domaines Sciences '!B313,0)</f>
        <v>0</v>
      </c>
      <c r="C311" s="8">
        <f>IF('Items sous domaines Sciences '!G313=1,'Items sous domaines Sciences '!C313,0)</f>
        <v>0</v>
      </c>
      <c r="D311" s="8">
        <f>IF('Items sous domaines Sciences '!G313=1,'Items sous domaines Sciences '!D313,0)</f>
        <v>0</v>
      </c>
      <c r="E311" s="8">
        <f>IF('Items sous domaines Sciences '!G313=1,'Items sous domaines Sciences '!E313,0)</f>
        <v>0</v>
      </c>
      <c r="F311" s="339" t="s">
        <v>398</v>
      </c>
      <c r="G311" s="333" t="s">
        <v>422</v>
      </c>
    </row>
    <row r="312" spans="1:7" customFormat="1" ht="13.2" hidden="1" x14ac:dyDescent="0.25">
      <c r="A312" s="397"/>
      <c r="B312" s="8">
        <f>IF('Items sous domaines Sciences '!G314=1,'Items sous domaines Sciences '!B314,0)</f>
        <v>0</v>
      </c>
      <c r="C312" s="8">
        <f>IF('Items sous domaines Sciences '!G314=1,'Items sous domaines Sciences '!C314,0)</f>
        <v>0</v>
      </c>
      <c r="D312" s="8">
        <f>IF('Items sous domaines Sciences '!G314=1,'Items sous domaines Sciences '!D314,0)</f>
        <v>0</v>
      </c>
      <c r="E312" s="8">
        <f>IF('Items sous domaines Sciences '!G314=1,'Items sous domaines Sciences '!E314,0)</f>
        <v>0</v>
      </c>
      <c r="F312" s="340"/>
      <c r="G312" s="333"/>
    </row>
    <row r="313" spans="1:7" customFormat="1" ht="13.2" hidden="1" x14ac:dyDescent="0.25">
      <c r="A313" s="397"/>
      <c r="B313" s="8">
        <f>IF('Items sous domaines Sciences '!G315=1,'Items sous domaines Sciences '!B315,0)</f>
        <v>0</v>
      </c>
      <c r="C313" s="8">
        <f>IF('Items sous domaines Sciences '!G315=1,'Items sous domaines Sciences '!C315,0)</f>
        <v>0</v>
      </c>
      <c r="D313" s="8">
        <f>IF('Items sous domaines Sciences '!G315=1,'Items sous domaines Sciences '!D315,0)</f>
        <v>0</v>
      </c>
      <c r="E313" s="8">
        <f>IF('Items sous domaines Sciences '!G315=1,'Items sous domaines Sciences '!E315,0)</f>
        <v>0</v>
      </c>
      <c r="F313" s="340"/>
      <c r="G313" s="333"/>
    </row>
    <row r="314" spans="1:7" customFormat="1" ht="13.2" hidden="1" x14ac:dyDescent="0.25">
      <c r="A314" s="397"/>
      <c r="B314" s="8">
        <f>IF('Items sous domaines Sciences '!G316=1,'Items sous domaines Sciences '!B316,0)</f>
        <v>0</v>
      </c>
      <c r="C314" s="8">
        <f>IF('Items sous domaines Sciences '!G316=1,'Items sous domaines Sciences '!C316,0)</f>
        <v>0</v>
      </c>
      <c r="D314" s="8">
        <f>IF('Items sous domaines Sciences '!G316=1,'Items sous domaines Sciences '!D316,0)</f>
        <v>0</v>
      </c>
      <c r="E314" s="8">
        <f>IF('Items sous domaines Sciences '!G316=1,'Items sous domaines Sciences '!E316,0)</f>
        <v>0</v>
      </c>
      <c r="F314" s="340"/>
      <c r="G314" s="333"/>
    </row>
    <row r="315" spans="1:7" customFormat="1" ht="13.2" hidden="1" x14ac:dyDescent="0.25">
      <c r="A315" s="397"/>
      <c r="B315" s="8">
        <f>IF('Items sous domaines Sciences '!G317=1,'Items sous domaines Sciences '!B317,0)</f>
        <v>0</v>
      </c>
      <c r="C315" s="8">
        <f>IF('Items sous domaines Sciences '!G317=1,'Items sous domaines Sciences '!C317,0)</f>
        <v>0</v>
      </c>
      <c r="D315" s="8">
        <f>IF('Items sous domaines Sciences '!G317=1,'Items sous domaines Sciences '!D317,0)</f>
        <v>0</v>
      </c>
      <c r="E315" s="8">
        <f>IF('Items sous domaines Sciences '!G317=1,'Items sous domaines Sciences '!E317,0)</f>
        <v>0</v>
      </c>
      <c r="F315" s="340"/>
      <c r="G315" s="333"/>
    </row>
    <row r="316" spans="1:7" customFormat="1" ht="13.2" hidden="1" x14ac:dyDescent="0.25">
      <c r="A316" s="397"/>
      <c r="B316" s="8">
        <f>IF('Items sous domaines Sciences '!G318=1,'Items sous domaines Sciences '!B318,0)</f>
        <v>0</v>
      </c>
      <c r="C316" s="8">
        <f>IF('Items sous domaines Sciences '!G318=1,'Items sous domaines Sciences '!C318,0)</f>
        <v>0</v>
      </c>
      <c r="D316" s="8">
        <f>IF('Items sous domaines Sciences '!G318=1,'Items sous domaines Sciences '!D318,0)</f>
        <v>0</v>
      </c>
      <c r="E316" s="8">
        <f>IF('Items sous domaines Sciences '!G318=1,'Items sous domaines Sciences '!E318,0)</f>
        <v>0</v>
      </c>
      <c r="F316" s="340"/>
      <c r="G316" s="333"/>
    </row>
    <row r="317" spans="1:7" customFormat="1" ht="13.2" hidden="1" x14ac:dyDescent="0.25">
      <c r="A317" s="397"/>
      <c r="B317" s="8">
        <f>IF('Items sous domaines Sciences '!G319=1,'Items sous domaines Sciences '!B319,0)</f>
        <v>0</v>
      </c>
      <c r="C317" s="8">
        <f>IF('Items sous domaines Sciences '!G319=1,'Items sous domaines Sciences '!C319,0)</f>
        <v>0</v>
      </c>
      <c r="D317" s="8">
        <f>IF('Items sous domaines Sciences '!G319=1,'Items sous domaines Sciences '!D319,0)</f>
        <v>0</v>
      </c>
      <c r="E317" s="8">
        <f>IF('Items sous domaines Sciences '!G319=1,'Items sous domaines Sciences '!E319,0)</f>
        <v>0</v>
      </c>
      <c r="F317" s="340"/>
      <c r="G317" s="333"/>
    </row>
    <row r="318" spans="1:7" customFormat="1" ht="13.2" hidden="1" x14ac:dyDescent="0.25">
      <c r="A318" s="397"/>
      <c r="B318" s="8">
        <f>IF('Items sous domaines Sciences '!G320=1,'Items sous domaines Sciences '!B320,0)</f>
        <v>0</v>
      </c>
      <c r="C318" s="8">
        <f>IF('Items sous domaines Sciences '!G320=1,'Items sous domaines Sciences '!C320,0)</f>
        <v>0</v>
      </c>
      <c r="D318" s="8">
        <f>IF('Items sous domaines Sciences '!G320=1,'Items sous domaines Sciences '!D320,0)</f>
        <v>0</v>
      </c>
      <c r="E318" s="8">
        <f>IF('Items sous domaines Sciences '!G320=1,'Items sous domaines Sciences '!E320,0)</f>
        <v>0</v>
      </c>
      <c r="F318" s="340"/>
      <c r="G318" s="333"/>
    </row>
    <row r="319" spans="1:7" customFormat="1" ht="13.2" hidden="1" x14ac:dyDescent="0.25">
      <c r="A319" s="397"/>
      <c r="B319" s="8">
        <f>IF('Items sous domaines Sciences '!G321=1,'Items sous domaines Sciences '!B321,0)</f>
        <v>0</v>
      </c>
      <c r="C319" s="8">
        <f>IF('Items sous domaines Sciences '!G321=1,'Items sous domaines Sciences '!C321,0)</f>
        <v>0</v>
      </c>
      <c r="D319" s="8">
        <f>IF('Items sous domaines Sciences '!G321=1,'Items sous domaines Sciences '!D321,0)</f>
        <v>0</v>
      </c>
      <c r="E319" s="8">
        <f>IF('Items sous domaines Sciences '!G321=1,'Items sous domaines Sciences '!E321,0)</f>
        <v>0</v>
      </c>
      <c r="F319" s="340"/>
      <c r="G319" s="333"/>
    </row>
    <row r="320" spans="1:7" customFormat="1" ht="13.2" hidden="1" x14ac:dyDescent="0.25">
      <c r="A320" s="397"/>
      <c r="B320" s="8">
        <f>IF('Items sous domaines Sciences '!G322=1,'Items sous domaines Sciences '!B322,0)</f>
        <v>0</v>
      </c>
      <c r="C320" s="8">
        <f>IF('Items sous domaines Sciences '!G322=1,'Items sous domaines Sciences '!C322,0)</f>
        <v>0</v>
      </c>
      <c r="D320" s="8">
        <f>IF('Items sous domaines Sciences '!G322=1,'Items sous domaines Sciences '!D322,0)</f>
        <v>0</v>
      </c>
      <c r="E320" s="8">
        <f>IF('Items sous domaines Sciences '!G322=1,'Items sous domaines Sciences '!E322,0)</f>
        <v>0</v>
      </c>
      <c r="F320" s="340"/>
      <c r="G320" s="333"/>
    </row>
    <row r="321" spans="1:7" customFormat="1" ht="13.8" hidden="1" thickBot="1" x14ac:dyDescent="0.3">
      <c r="A321" s="398"/>
      <c r="B321" s="8">
        <f>IF('Items sous domaines Sciences '!G323=1,'Items sous domaines Sciences '!B323,0)</f>
        <v>0</v>
      </c>
      <c r="C321" s="8">
        <f>IF('Items sous domaines Sciences '!G323=1,'Items sous domaines Sciences '!C323,0)</f>
        <v>0</v>
      </c>
      <c r="D321" s="8">
        <f>IF('Items sous domaines Sciences '!G323=1,'Items sous domaines Sciences '!D323,0)</f>
        <v>0</v>
      </c>
      <c r="E321" s="8">
        <f>IF('Items sous domaines Sciences '!G323=1,'Items sous domaines Sciences '!E323,0)</f>
        <v>0</v>
      </c>
      <c r="F321" s="341"/>
      <c r="G321" s="333"/>
    </row>
    <row r="322" spans="1:7" customFormat="1" ht="13.2" hidden="1" x14ac:dyDescent="0.25">
      <c r="B322" s="8">
        <f>IF('Items sous domaines Sciences '!G324=1,'Items sous domaines Sciences '!B324,0)</f>
        <v>0</v>
      </c>
      <c r="C322" s="8">
        <f>IF('Items sous domaines Sciences '!G324=1,'Items sous domaines Sciences '!C324,0)</f>
        <v>0</v>
      </c>
      <c r="D322" s="8">
        <f>IF('Items sous domaines Sciences '!G324=1,'Items sous domaines Sciences '!D324,0)</f>
        <v>0</v>
      </c>
      <c r="E322" s="8">
        <f>IF('Items sous domaines Sciences '!G324=1,'Items sous domaines Sciences '!E324,0)</f>
        <v>0</v>
      </c>
      <c r="F322" t="e">
        <f>IF('Items sous domaines Sciences '!#REF!=1,'Items sous domaines Sciences '!#REF!,0)</f>
        <v>#REF!</v>
      </c>
    </row>
    <row r="323" spans="1:7" customFormat="1" ht="13.2" hidden="1" x14ac:dyDescent="0.25">
      <c r="B323" s="8">
        <f>IF('Items sous domaines Sciences '!G325=1,'Items sous domaines Sciences '!B325,0)</f>
        <v>0</v>
      </c>
      <c r="C323" s="8">
        <f>IF('Items sous domaines Sciences '!G325=1,'Items sous domaines Sciences '!C325,0)</f>
        <v>0</v>
      </c>
      <c r="D323" s="8">
        <f>IF('Items sous domaines Sciences '!G325=1,'Items sous domaines Sciences '!D325,0)</f>
        <v>0</v>
      </c>
      <c r="E323" s="8">
        <f>IF('Items sous domaines Sciences '!G325=1,'Items sous domaines Sciences '!E325,0)</f>
        <v>0</v>
      </c>
      <c r="F323" t="e">
        <f>IF('Items sous domaines Sciences '!#REF!=1,'Items sous domaines Sciences '!#REF!,0)</f>
        <v>#REF!</v>
      </c>
    </row>
    <row r="324" spans="1:7" customFormat="1" ht="13.2" hidden="1" x14ac:dyDescent="0.25">
      <c r="B324" s="8">
        <f>IF('Items sous domaines Sciences '!G326=1,'Items sous domaines Sciences '!B326,0)</f>
        <v>0</v>
      </c>
      <c r="C324" s="8">
        <f>IF('Items sous domaines Sciences '!G326=1,'Items sous domaines Sciences '!C326,0)</f>
        <v>0</v>
      </c>
      <c r="D324" s="8">
        <f>IF('Items sous domaines Sciences '!G326=1,'Items sous domaines Sciences '!D326,0)</f>
        <v>0</v>
      </c>
      <c r="E324" s="8">
        <f>IF('Items sous domaines Sciences '!G326=1,'Items sous domaines Sciences '!E326,0)</f>
        <v>0</v>
      </c>
      <c r="F324" t="e">
        <f>IF('Items sous domaines Sciences '!#REF!=1,'Items sous domaines Sciences '!#REF!,0)</f>
        <v>#REF!</v>
      </c>
    </row>
    <row r="325" spans="1:7" customFormat="1" ht="13.2" hidden="1" x14ac:dyDescent="0.25">
      <c r="B325" s="8">
        <f>IF('Items sous domaines Sciences '!G327=1,'Items sous domaines Sciences '!B327,0)</f>
        <v>0</v>
      </c>
      <c r="C325" s="8">
        <f>IF('Items sous domaines Sciences '!G327=1,'Items sous domaines Sciences '!C327,0)</f>
        <v>0</v>
      </c>
      <c r="D325" s="8">
        <f>IF('Items sous domaines Sciences '!G327=1,'Items sous domaines Sciences '!D327,0)</f>
        <v>0</v>
      </c>
      <c r="E325" s="8">
        <f>IF('Items sous domaines Sciences '!G327=1,'Items sous domaines Sciences '!E327,0)</f>
        <v>0</v>
      </c>
      <c r="F325" t="e">
        <f>IF('Items sous domaines Sciences '!#REF!=1,'Items sous domaines Sciences '!#REF!,0)</f>
        <v>#REF!</v>
      </c>
    </row>
    <row r="326" spans="1:7" customFormat="1" ht="13.2" hidden="1" x14ac:dyDescent="0.25">
      <c r="B326" s="8">
        <f>IF('Items sous domaines Sciences '!G328=1,'Items sous domaines Sciences '!B328,0)</f>
        <v>0</v>
      </c>
      <c r="C326" s="8">
        <f>IF('Items sous domaines Sciences '!G328=1,'Items sous domaines Sciences '!C328,0)</f>
        <v>0</v>
      </c>
      <c r="D326" s="8">
        <f>IF('Items sous domaines Sciences '!G328=1,'Items sous domaines Sciences '!D328,0)</f>
        <v>0</v>
      </c>
      <c r="E326" s="8">
        <f>IF('Items sous domaines Sciences '!G328=1,'Items sous domaines Sciences '!E328,0)</f>
        <v>0</v>
      </c>
      <c r="F326" t="e">
        <f>IF('Items sous domaines Sciences '!#REF!=1,'Items sous domaines Sciences '!#REF!,0)</f>
        <v>#REF!</v>
      </c>
    </row>
    <row r="327" spans="1:7" customFormat="1" ht="13.2" hidden="1" x14ac:dyDescent="0.25">
      <c r="B327" s="8">
        <f>IF('Items sous domaines Sciences '!G329=1,'Items sous domaines Sciences '!B329,0)</f>
        <v>0</v>
      </c>
      <c r="C327" s="8">
        <f>IF('Items sous domaines Sciences '!G329=1,'Items sous domaines Sciences '!C329,0)</f>
        <v>0</v>
      </c>
      <c r="D327" s="8">
        <f>IF('Items sous domaines Sciences '!G329=1,'Items sous domaines Sciences '!D329,0)</f>
        <v>0</v>
      </c>
      <c r="E327" s="8">
        <f>IF('Items sous domaines Sciences '!G329=1,'Items sous domaines Sciences '!E329,0)</f>
        <v>0</v>
      </c>
      <c r="F327" t="e">
        <f>IF('Items sous domaines Sciences '!#REF!=1,'Items sous domaines Sciences '!#REF!,0)</f>
        <v>#REF!</v>
      </c>
    </row>
    <row r="328" spans="1:7" customFormat="1" ht="13.2" hidden="1" x14ac:dyDescent="0.25">
      <c r="B328" s="8">
        <f>IF('Items sous domaines Sciences '!G330=1,'Items sous domaines Sciences '!B330,0)</f>
        <v>0</v>
      </c>
      <c r="C328" s="8">
        <f>IF('Items sous domaines Sciences '!G330=1,'Items sous domaines Sciences '!C330,0)</f>
        <v>0</v>
      </c>
      <c r="D328" s="8">
        <f>IF('Items sous domaines Sciences '!G330=1,'Items sous domaines Sciences '!D330,0)</f>
        <v>0</v>
      </c>
      <c r="E328" s="8">
        <f>IF('Items sous domaines Sciences '!G330=1,'Items sous domaines Sciences '!E330,0)</f>
        <v>0</v>
      </c>
      <c r="F328" t="e">
        <f>IF('Items sous domaines Sciences '!#REF!=1,'Items sous domaines Sciences '!#REF!,0)</f>
        <v>#REF!</v>
      </c>
    </row>
    <row r="329" spans="1:7" customFormat="1" ht="13.2" hidden="1" x14ac:dyDescent="0.25">
      <c r="B329" s="8">
        <f>IF('Items sous domaines Sciences '!G331=1,'Items sous domaines Sciences '!B331,0)</f>
        <v>0</v>
      </c>
      <c r="C329" s="8">
        <f>IF('Items sous domaines Sciences '!G331=1,'Items sous domaines Sciences '!C331,0)</f>
        <v>0</v>
      </c>
      <c r="D329" s="8">
        <f>IF('Items sous domaines Sciences '!G331=1,'Items sous domaines Sciences '!D331,0)</f>
        <v>0</v>
      </c>
      <c r="E329" s="8">
        <f>IF('Items sous domaines Sciences '!G331=1,'Items sous domaines Sciences '!E331,0)</f>
        <v>0</v>
      </c>
      <c r="F329" t="e">
        <f>IF('Items sous domaines Sciences '!#REF!=1,'Items sous domaines Sciences '!#REF!,0)</f>
        <v>#REF!</v>
      </c>
    </row>
    <row r="330" spans="1:7" customFormat="1" ht="13.2" hidden="1" x14ac:dyDescent="0.25">
      <c r="B330" s="8">
        <f>IF('Items sous domaines Sciences '!G332=1,'Items sous domaines Sciences '!B332,0)</f>
        <v>0</v>
      </c>
      <c r="C330" s="8">
        <f>IF('Items sous domaines Sciences '!G332=1,'Items sous domaines Sciences '!C332,0)</f>
        <v>0</v>
      </c>
      <c r="D330" s="8">
        <f>IF('Items sous domaines Sciences '!G332=1,'Items sous domaines Sciences '!D332,0)</f>
        <v>0</v>
      </c>
      <c r="E330" s="8">
        <f>IF('Items sous domaines Sciences '!G332=1,'Items sous domaines Sciences '!E332,0)</f>
        <v>0</v>
      </c>
      <c r="F330" t="e">
        <f>IF('Items sous domaines Sciences '!#REF!=1,'Items sous domaines Sciences '!#REF!,0)</f>
        <v>#REF!</v>
      </c>
    </row>
    <row r="331" spans="1:7" customFormat="1" ht="13.2" hidden="1" x14ac:dyDescent="0.25">
      <c r="B331" s="8">
        <f>IF('Items sous domaines Sciences '!G333=1,'Items sous domaines Sciences '!B333,0)</f>
        <v>0</v>
      </c>
      <c r="C331" s="8">
        <f>IF('Items sous domaines Sciences '!G333=1,'Items sous domaines Sciences '!C333,0)</f>
        <v>0</v>
      </c>
      <c r="D331" s="8">
        <f>IF('Items sous domaines Sciences '!G333=1,'Items sous domaines Sciences '!D333,0)</f>
        <v>0</v>
      </c>
      <c r="E331" s="8">
        <f>IF('Items sous domaines Sciences '!G333=1,'Items sous domaines Sciences '!E333,0)</f>
        <v>0</v>
      </c>
      <c r="F331" t="e">
        <f>IF('Items sous domaines Sciences '!#REF!=1,'Items sous domaines Sciences '!#REF!,0)</f>
        <v>#REF!</v>
      </c>
    </row>
    <row r="332" spans="1:7" customFormat="1" ht="13.2" hidden="1" x14ac:dyDescent="0.25">
      <c r="B332" s="8">
        <f>IF('Items sous domaines Sciences '!G334=1,'Items sous domaines Sciences '!B334,0)</f>
        <v>0</v>
      </c>
      <c r="C332" s="8">
        <f>IF('Items sous domaines Sciences '!G334=1,'Items sous domaines Sciences '!C334,0)</f>
        <v>0</v>
      </c>
      <c r="D332" s="8">
        <f>IF('Items sous domaines Sciences '!G334=1,'Items sous domaines Sciences '!D334,0)</f>
        <v>0</v>
      </c>
      <c r="E332" s="8">
        <f>IF('Items sous domaines Sciences '!G334=1,'Items sous domaines Sciences '!E334,0)</f>
        <v>0</v>
      </c>
      <c r="F332" t="e">
        <f>IF('Items sous domaines Sciences '!#REF!=1,'Items sous domaines Sciences '!#REF!,0)</f>
        <v>#REF!</v>
      </c>
    </row>
    <row r="333" spans="1:7" customFormat="1" ht="13.2" hidden="1" x14ac:dyDescent="0.25">
      <c r="B333" s="8">
        <f>IF('Items sous domaines Sciences '!G335=1,'Items sous domaines Sciences '!B335,0)</f>
        <v>0</v>
      </c>
      <c r="C333" s="8">
        <f>IF('Items sous domaines Sciences '!G335=1,'Items sous domaines Sciences '!C335,0)</f>
        <v>0</v>
      </c>
      <c r="D333" s="8">
        <f>IF('Items sous domaines Sciences '!G335=1,'Items sous domaines Sciences '!D335,0)</f>
        <v>0</v>
      </c>
      <c r="E333" s="8">
        <f>IF('Items sous domaines Sciences '!G335=1,'Items sous domaines Sciences '!E335,0)</f>
        <v>0</v>
      </c>
      <c r="F333" t="e">
        <f>IF('Items sous domaines Sciences '!#REF!=1,'Items sous domaines Sciences '!#REF!,0)</f>
        <v>#REF!</v>
      </c>
    </row>
    <row r="334" spans="1:7" customFormat="1" ht="13.2" hidden="1" x14ac:dyDescent="0.25">
      <c r="B334" s="8">
        <f>IF('Items sous domaines Sciences '!G336=1,'Items sous domaines Sciences '!B336,0)</f>
        <v>0</v>
      </c>
      <c r="C334" s="8">
        <f>IF('Items sous domaines Sciences '!G336=1,'Items sous domaines Sciences '!C336,0)</f>
        <v>0</v>
      </c>
      <c r="D334" s="8">
        <f>IF('Items sous domaines Sciences '!G336=1,'Items sous domaines Sciences '!D336,0)</f>
        <v>0</v>
      </c>
      <c r="E334" s="8">
        <f>IF('Items sous domaines Sciences '!G336=1,'Items sous domaines Sciences '!E336,0)</f>
        <v>0</v>
      </c>
      <c r="F334" t="e">
        <f>IF('Items sous domaines Sciences '!#REF!=1,'Items sous domaines Sciences '!#REF!,0)</f>
        <v>#REF!</v>
      </c>
    </row>
    <row r="335" spans="1:7" customFormat="1" ht="13.2" hidden="1" x14ac:dyDescent="0.25">
      <c r="B335" s="8">
        <f>IF('Items sous domaines Sciences '!G337=1,'Items sous domaines Sciences '!B337,0)</f>
        <v>0</v>
      </c>
      <c r="C335" s="8">
        <f>IF('Items sous domaines Sciences '!G337=1,'Items sous domaines Sciences '!C337,0)</f>
        <v>0</v>
      </c>
      <c r="D335" s="8">
        <f>IF('Items sous domaines Sciences '!G337=1,'Items sous domaines Sciences '!D337,0)</f>
        <v>0</v>
      </c>
      <c r="E335" s="8">
        <f>IF('Items sous domaines Sciences '!G337=1,'Items sous domaines Sciences '!E337,0)</f>
        <v>0</v>
      </c>
      <c r="F335" t="e">
        <f>IF('Items sous domaines Sciences '!#REF!=1,'Items sous domaines Sciences '!#REF!,0)</f>
        <v>#REF!</v>
      </c>
    </row>
    <row r="336" spans="1:7" customFormat="1" ht="13.2" hidden="1" x14ac:dyDescent="0.25">
      <c r="B336" s="8">
        <f>IF('Items sous domaines Sciences '!G338=1,'Items sous domaines Sciences '!B338,0)</f>
        <v>0</v>
      </c>
      <c r="C336" s="8">
        <f>IF('Items sous domaines Sciences '!G338=1,'Items sous domaines Sciences '!C338,0)</f>
        <v>0</v>
      </c>
      <c r="D336" s="8">
        <f>IF('Items sous domaines Sciences '!G338=1,'Items sous domaines Sciences '!D338,0)</f>
        <v>0</v>
      </c>
      <c r="E336" s="8">
        <f>IF('Items sous domaines Sciences '!G338=1,'Items sous domaines Sciences '!E338,0)</f>
        <v>0</v>
      </c>
      <c r="F336" t="e">
        <f>IF('Items sous domaines Sciences '!#REF!=1,'Items sous domaines Sciences '!#REF!,0)</f>
        <v>#REF!</v>
      </c>
    </row>
    <row r="337" spans="1:7" customFormat="1" ht="17.399999999999999" hidden="1" customHeight="1" thickBot="1" x14ac:dyDescent="0.3">
      <c r="B337" s="8">
        <f>IF('Items sous domaines Sciences '!G339=1,'Items sous domaines Sciences '!B339,0)</f>
        <v>0</v>
      </c>
      <c r="C337" s="8">
        <f>IF('Items sous domaines Sciences '!G339=1,'Items sous domaines Sciences '!C339,0)</f>
        <v>0</v>
      </c>
      <c r="D337" s="8">
        <f>IF('Items sous domaines Sciences '!G339=1,'Items sous domaines Sciences '!D339,0)</f>
        <v>0</v>
      </c>
      <c r="E337" s="8">
        <f>IF('Items sous domaines Sciences '!G339=1,'Items sous domaines Sciences '!E339,0)</f>
        <v>0</v>
      </c>
      <c r="F337" t="e">
        <f>IF('Items sous domaines Sciences '!#REF!=1,'Items sous domaines Sciences '!#REF!,0)</f>
        <v>#REF!</v>
      </c>
    </row>
    <row r="338" spans="1:7" customFormat="1" ht="17.399999999999999" hidden="1" customHeight="1" thickBot="1" x14ac:dyDescent="0.3">
      <c r="B338" s="8">
        <f>IF('Items sous domaines Sciences '!G340=1,'Items sous domaines Sciences '!B340,0)</f>
        <v>0</v>
      </c>
      <c r="C338" s="8">
        <f>IF('Items sous domaines Sciences '!G340=1,'Items sous domaines Sciences '!C340,0)</f>
        <v>0</v>
      </c>
      <c r="D338" s="8">
        <f>IF('Items sous domaines Sciences '!G340=1,'Items sous domaines Sciences '!D340,0)</f>
        <v>0</v>
      </c>
      <c r="E338" s="8">
        <f>IF('Items sous domaines Sciences '!G340=1,'Items sous domaines Sciences '!E340,0)</f>
        <v>0</v>
      </c>
      <c r="F338" t="e">
        <f>IF('Items sous domaines Sciences '!#REF!=1,'Items sous domaines Sciences '!#REF!,0)</f>
        <v>#REF!</v>
      </c>
    </row>
    <row r="339" spans="1:7" customFormat="1" ht="17.399999999999999" hidden="1" customHeight="1" thickBot="1" x14ac:dyDescent="0.3">
      <c r="B339" s="8">
        <f>IF('Items sous domaines Sciences '!G341=1,'Items sous domaines Sciences '!B341,0)</f>
        <v>0</v>
      </c>
      <c r="C339" s="8">
        <f>IF('Items sous domaines Sciences '!G341=1,'Items sous domaines Sciences '!C341,0)</f>
        <v>0</v>
      </c>
      <c r="D339" s="8">
        <f>IF('Items sous domaines Sciences '!G341=1,'Items sous domaines Sciences '!D341,0)</f>
        <v>0</v>
      </c>
      <c r="E339" s="8">
        <f>IF('Items sous domaines Sciences '!G341=1,'Items sous domaines Sciences '!E341,0)</f>
        <v>0</v>
      </c>
      <c r="F339" t="e">
        <f>IF('Items sous domaines Sciences '!#REF!=1,'Items sous domaines Sciences '!#REF!,0)</f>
        <v>#REF!</v>
      </c>
    </row>
    <row r="340" spans="1:7" customFormat="1" ht="17.399999999999999" hidden="1" customHeight="1" thickBot="1" x14ac:dyDescent="0.3">
      <c r="B340" s="8">
        <f>IF('Items sous domaines Sciences '!G342=1,'Items sous domaines Sciences '!B342,0)</f>
        <v>0</v>
      </c>
      <c r="C340" s="8">
        <f>IF('Items sous domaines Sciences '!G342=1,'Items sous domaines Sciences '!C342,0)</f>
        <v>0</v>
      </c>
      <c r="D340" s="8">
        <f>IF('Items sous domaines Sciences '!G342=1,'Items sous domaines Sciences '!D342,0)</f>
        <v>0</v>
      </c>
      <c r="E340" s="8">
        <f>IF('Items sous domaines Sciences '!G342=1,'Items sous domaines Sciences '!E342,0)</f>
        <v>0</v>
      </c>
      <c r="F340" t="e">
        <f>IF('Items sous domaines Sciences '!#REF!=1,'Items sous domaines Sciences '!#REF!,0)</f>
        <v>#REF!</v>
      </c>
    </row>
    <row r="341" spans="1:7" customFormat="1" ht="17.399999999999999" hidden="1" customHeight="1" thickBot="1" x14ac:dyDescent="0.3">
      <c r="B341" s="8">
        <f>IF('Items sous domaines Sciences '!G343=1,'Items sous domaines Sciences '!B343,0)</f>
        <v>0</v>
      </c>
      <c r="C341" s="8">
        <f>IF('Items sous domaines Sciences '!G343=1,'Items sous domaines Sciences '!C343,0)</f>
        <v>0</v>
      </c>
      <c r="D341" s="8">
        <f>IF('Items sous domaines Sciences '!G343=1,'Items sous domaines Sciences '!D343,0)</f>
        <v>0</v>
      </c>
      <c r="E341" s="8">
        <f>IF('Items sous domaines Sciences '!G343=1,'Items sous domaines Sciences '!E343,0)</f>
        <v>0</v>
      </c>
      <c r="F341" t="e">
        <f>IF('Items sous domaines Sciences '!#REF!=1,'Items sous domaines Sciences '!#REF!,0)</f>
        <v>#REF!</v>
      </c>
    </row>
    <row r="342" spans="1:7" customFormat="1" ht="17.399999999999999" hidden="1" customHeight="1" thickBot="1" x14ac:dyDescent="0.3">
      <c r="B342" s="8">
        <f>IF('Items sous domaines Sciences '!G344=1,'Items sous domaines Sciences '!B344,0)</f>
        <v>0</v>
      </c>
      <c r="C342" s="8">
        <f>IF('Items sous domaines Sciences '!G344=1,'Items sous domaines Sciences '!C344,0)</f>
        <v>0</v>
      </c>
      <c r="D342" s="8">
        <f>IF('Items sous domaines Sciences '!G344=1,'Items sous domaines Sciences '!D344,0)</f>
        <v>0</v>
      </c>
      <c r="E342" s="8">
        <f>IF('Items sous domaines Sciences '!G344=1,'Items sous domaines Sciences '!E344,0)</f>
        <v>0</v>
      </c>
      <c r="F342" t="e">
        <f>IF('Items sous domaines Sciences '!#REF!=1,'Items sous domaines Sciences '!#REF!,0)</f>
        <v>#REF!</v>
      </c>
    </row>
    <row r="343" spans="1:7" customFormat="1" ht="17.399999999999999" hidden="1" customHeight="1" thickBot="1" x14ac:dyDescent="0.3">
      <c r="A343" s="389" t="s">
        <v>423</v>
      </c>
      <c r="B343" s="8">
        <f>IF('Items sous domaines Sciences '!G345=1,'Items sous domaines Sciences '!B345,0)</f>
        <v>0</v>
      </c>
      <c r="C343" s="8">
        <f>IF('Items sous domaines Sciences '!G345=1,'Items sous domaines Sciences '!C345,0)</f>
        <v>0</v>
      </c>
      <c r="D343" s="8">
        <f>IF('Items sous domaines Sciences '!G345=1,'Items sous domaines Sciences '!D345,0)</f>
        <v>0</v>
      </c>
      <c r="E343" s="8">
        <f>IF('Items sous domaines Sciences '!G345=1,'Items sous domaines Sciences '!E345,0)</f>
        <v>0</v>
      </c>
      <c r="F343" s="339" t="s">
        <v>398</v>
      </c>
      <c r="G343" s="331" t="s">
        <v>424</v>
      </c>
    </row>
    <row r="344" spans="1:7" customFormat="1" ht="17.399999999999999" hidden="1" customHeight="1" thickBot="1" x14ac:dyDescent="0.3">
      <c r="A344" s="390"/>
      <c r="B344" s="8">
        <f>IF('Items sous domaines Sciences '!G346=1,'Items sous domaines Sciences '!B346,0)</f>
        <v>0</v>
      </c>
      <c r="C344" s="8">
        <f>IF('Items sous domaines Sciences '!G346=1,'Items sous domaines Sciences '!C346,0)</f>
        <v>0</v>
      </c>
      <c r="D344" s="8">
        <f>IF('Items sous domaines Sciences '!G346=1,'Items sous domaines Sciences '!D346,0)</f>
        <v>0</v>
      </c>
      <c r="E344" s="8">
        <f>IF('Items sous domaines Sciences '!G346=1,'Items sous domaines Sciences '!E346,0)</f>
        <v>0</v>
      </c>
      <c r="F344" s="340"/>
      <c r="G344" s="331"/>
    </row>
    <row r="345" spans="1:7" customFormat="1" ht="17.399999999999999" hidden="1" customHeight="1" thickBot="1" x14ac:dyDescent="0.3">
      <c r="A345" s="390"/>
      <c r="B345" s="8">
        <f>IF('Items sous domaines Sciences '!G347=1,'Items sous domaines Sciences '!B347,0)</f>
        <v>0</v>
      </c>
      <c r="C345" s="8">
        <f>IF('Items sous domaines Sciences '!G347=1,'Items sous domaines Sciences '!C347,0)</f>
        <v>0</v>
      </c>
      <c r="D345" s="8">
        <f>IF('Items sous domaines Sciences '!G347=1,'Items sous domaines Sciences '!D347,0)</f>
        <v>0</v>
      </c>
      <c r="E345" s="8">
        <f>IF('Items sous domaines Sciences '!G347=1,'Items sous domaines Sciences '!E347,0)</f>
        <v>0</v>
      </c>
      <c r="F345" s="340"/>
      <c r="G345" s="331"/>
    </row>
    <row r="346" spans="1:7" customFormat="1" ht="17.399999999999999" hidden="1" customHeight="1" thickBot="1" x14ac:dyDescent="0.3">
      <c r="A346" s="390"/>
      <c r="B346" s="8">
        <f>IF('Items sous domaines Sciences '!G348=1,'Items sous domaines Sciences '!B348,0)</f>
        <v>0</v>
      </c>
      <c r="C346" s="8">
        <f>IF('Items sous domaines Sciences '!G348=1,'Items sous domaines Sciences '!C348,0)</f>
        <v>0</v>
      </c>
      <c r="D346" s="8">
        <f>IF('Items sous domaines Sciences '!G348=1,'Items sous domaines Sciences '!D348,0)</f>
        <v>0</v>
      </c>
      <c r="E346" s="8">
        <f>IF('Items sous domaines Sciences '!G348=1,'Items sous domaines Sciences '!E348,0)</f>
        <v>0</v>
      </c>
      <c r="F346" s="340"/>
      <c r="G346" s="331"/>
    </row>
    <row r="347" spans="1:7" customFormat="1" ht="17.399999999999999" hidden="1" customHeight="1" thickBot="1" x14ac:dyDescent="0.3">
      <c r="A347" s="390"/>
      <c r="B347" s="8">
        <f>IF('Items sous domaines Sciences '!G349=1,'Items sous domaines Sciences '!B349,0)</f>
        <v>0</v>
      </c>
      <c r="C347" s="8">
        <f>IF('Items sous domaines Sciences '!G349=1,'Items sous domaines Sciences '!C349,0)</f>
        <v>0</v>
      </c>
      <c r="D347" s="8">
        <f>IF('Items sous domaines Sciences '!G349=1,'Items sous domaines Sciences '!D349,0)</f>
        <v>0</v>
      </c>
      <c r="E347" s="8">
        <f>IF('Items sous domaines Sciences '!G349=1,'Items sous domaines Sciences '!E349,0)</f>
        <v>0</v>
      </c>
      <c r="F347" s="340"/>
      <c r="G347" s="331"/>
    </row>
    <row r="348" spans="1:7" customFormat="1" ht="13.2" hidden="1" x14ac:dyDescent="0.25">
      <c r="A348" s="390"/>
      <c r="B348" s="8">
        <f>IF('Items sous domaines Sciences '!G350=1,'Items sous domaines Sciences '!B350,0)</f>
        <v>0</v>
      </c>
      <c r="C348" s="8">
        <f>IF('Items sous domaines Sciences '!G350=1,'Items sous domaines Sciences '!C350,0)</f>
        <v>0</v>
      </c>
      <c r="D348" s="8">
        <f>IF('Items sous domaines Sciences '!G350=1,'Items sous domaines Sciences '!D350,0)</f>
        <v>0</v>
      </c>
      <c r="E348" s="8">
        <f>IF('Items sous domaines Sciences '!G350=1,'Items sous domaines Sciences '!E350,0)</f>
        <v>0</v>
      </c>
      <c r="F348" s="340"/>
      <c r="G348" s="331"/>
    </row>
    <row r="349" spans="1:7" customFormat="1" ht="13.2" hidden="1" x14ac:dyDescent="0.25">
      <c r="A349" s="390"/>
      <c r="B349" s="8">
        <f>IF('Items sous domaines Sciences '!G351=1,'Items sous domaines Sciences '!B351,0)</f>
        <v>0</v>
      </c>
      <c r="C349" s="8">
        <f>IF('Items sous domaines Sciences '!G351=1,'Items sous domaines Sciences '!C351,0)</f>
        <v>0</v>
      </c>
      <c r="D349" s="8">
        <f>IF('Items sous domaines Sciences '!G351=1,'Items sous domaines Sciences '!D351,0)</f>
        <v>0</v>
      </c>
      <c r="E349" s="8">
        <f>IF('Items sous domaines Sciences '!G351=1,'Items sous domaines Sciences '!E351,0)</f>
        <v>0</v>
      </c>
      <c r="F349" s="340"/>
      <c r="G349" s="331"/>
    </row>
    <row r="350" spans="1:7" customFormat="1" ht="13.2" hidden="1" x14ac:dyDescent="0.25">
      <c r="A350" s="390"/>
      <c r="B350" s="8">
        <f>IF('Items sous domaines Sciences '!G352=1,'Items sous domaines Sciences '!B352,0)</f>
        <v>0</v>
      </c>
      <c r="C350" s="8">
        <f>IF('Items sous domaines Sciences '!G352=1,'Items sous domaines Sciences '!C352,0)</f>
        <v>0</v>
      </c>
      <c r="D350" s="8">
        <f>IF('Items sous domaines Sciences '!G352=1,'Items sous domaines Sciences '!D352,0)</f>
        <v>0</v>
      </c>
      <c r="E350" s="8">
        <f>IF('Items sous domaines Sciences '!G352=1,'Items sous domaines Sciences '!E352,0)</f>
        <v>0</v>
      </c>
      <c r="F350" s="340"/>
      <c r="G350" s="331"/>
    </row>
    <row r="351" spans="1:7" customFormat="1" ht="13.8" hidden="1" thickBot="1" x14ac:dyDescent="0.3">
      <c r="A351" s="390"/>
      <c r="B351" s="8">
        <f>IF('Items sous domaines Sciences '!G353=1,'Items sous domaines Sciences '!B353,0)</f>
        <v>0</v>
      </c>
      <c r="C351" s="8">
        <f>IF('Items sous domaines Sciences '!G353=1,'Items sous domaines Sciences '!C353,0)</f>
        <v>0</v>
      </c>
      <c r="D351" s="8">
        <f>IF('Items sous domaines Sciences '!G353=1,'Items sous domaines Sciences '!D353,0)</f>
        <v>0</v>
      </c>
      <c r="E351" s="8">
        <f>IF('Items sous domaines Sciences '!G353=1,'Items sous domaines Sciences '!E353,0)</f>
        <v>0</v>
      </c>
      <c r="F351" s="341"/>
      <c r="G351" s="331"/>
    </row>
    <row r="352" spans="1:7" customFormat="1" ht="13.5" hidden="1" customHeight="1" thickBot="1" x14ac:dyDescent="0.3">
      <c r="A352" s="372"/>
      <c r="B352" s="8">
        <f>IF('Items sous domaines Sciences '!G354=1,'Items sous domaines Sciences '!B354,0)</f>
        <v>0</v>
      </c>
      <c r="C352" s="8">
        <f>IF('Items sous domaines Sciences '!G354=1,'Items sous domaines Sciences '!C354,0)</f>
        <v>0</v>
      </c>
      <c r="D352" s="8">
        <f>IF('Items sous domaines Sciences '!G354=1,'Items sous domaines Sciences '!D354,0)</f>
        <v>0</v>
      </c>
      <c r="E352" s="8">
        <f>IF('Items sous domaines Sciences '!G354=1,'Items sous domaines Sciences '!E354,0)</f>
        <v>0</v>
      </c>
      <c r="F352" s="367"/>
      <c r="G352" s="332"/>
    </row>
    <row r="353" spans="1:7" customFormat="1" ht="13.5" hidden="1" customHeight="1" thickBot="1" x14ac:dyDescent="0.3">
      <c r="A353" s="372"/>
      <c r="B353" s="8">
        <f>IF('Items sous domaines Sciences '!G355=1,'Items sous domaines Sciences '!B355,0)</f>
        <v>0</v>
      </c>
      <c r="C353" s="8">
        <f>IF('Items sous domaines Sciences '!G355=1,'Items sous domaines Sciences '!C355,0)</f>
        <v>0</v>
      </c>
      <c r="D353" s="8">
        <f>IF('Items sous domaines Sciences '!G355=1,'Items sous domaines Sciences '!D355,0)</f>
        <v>0</v>
      </c>
      <c r="E353" s="8">
        <f>IF('Items sous domaines Sciences '!G355=1,'Items sous domaines Sciences '!E355,0)</f>
        <v>0</v>
      </c>
      <c r="F353" s="367"/>
      <c r="G353" s="332"/>
    </row>
    <row r="354" spans="1:7" customFormat="1" ht="13.5" hidden="1" customHeight="1" thickBot="1" x14ac:dyDescent="0.3">
      <c r="A354" s="372"/>
      <c r="B354" s="8">
        <f>IF('Items sous domaines Sciences '!G356=1,'Items sous domaines Sciences '!B356,0)</f>
        <v>0</v>
      </c>
      <c r="C354" s="8">
        <f>IF('Items sous domaines Sciences '!G356=1,'Items sous domaines Sciences '!C356,0)</f>
        <v>0</v>
      </c>
      <c r="D354" s="8">
        <f>IF('Items sous domaines Sciences '!G356=1,'Items sous domaines Sciences '!D356,0)</f>
        <v>0</v>
      </c>
      <c r="E354" s="8">
        <f>IF('Items sous domaines Sciences '!G356=1,'Items sous domaines Sciences '!E356,0)</f>
        <v>0</v>
      </c>
      <c r="F354" s="367"/>
      <c r="G354" s="332"/>
    </row>
    <row r="355" spans="1:7" customFormat="1" ht="13.5" hidden="1" customHeight="1" thickBot="1" x14ac:dyDescent="0.3">
      <c r="A355" s="372"/>
      <c r="B355" s="8">
        <f>IF('Items sous domaines Sciences '!G357=1,'Items sous domaines Sciences '!B357,0)</f>
        <v>0</v>
      </c>
      <c r="C355" s="8">
        <f>IF('Items sous domaines Sciences '!G357=1,'Items sous domaines Sciences '!C357,0)</f>
        <v>0</v>
      </c>
      <c r="D355" s="8">
        <f>IF('Items sous domaines Sciences '!G357=1,'Items sous domaines Sciences '!D357,0)</f>
        <v>0</v>
      </c>
      <c r="E355" s="8">
        <f>IF('Items sous domaines Sciences '!G357=1,'Items sous domaines Sciences '!E357,0)</f>
        <v>0</v>
      </c>
      <c r="F355" s="367"/>
      <c r="G355" s="332"/>
    </row>
    <row r="356" spans="1:7" customFormat="1" ht="13.5" hidden="1" customHeight="1" thickBot="1" x14ac:dyDescent="0.3">
      <c r="A356" s="372"/>
      <c r="B356" s="8">
        <f>IF('Items sous domaines Sciences '!G358=1,'Items sous domaines Sciences '!B358,0)</f>
        <v>0</v>
      </c>
      <c r="C356" s="8">
        <f>IF('Items sous domaines Sciences '!G358=1,'Items sous domaines Sciences '!C358,0)</f>
        <v>0</v>
      </c>
      <c r="D356" s="8">
        <f>IF('Items sous domaines Sciences '!G358=1,'Items sous domaines Sciences '!D358,0)</f>
        <v>0</v>
      </c>
      <c r="E356" s="8">
        <f>IF('Items sous domaines Sciences '!G358=1,'Items sous domaines Sciences '!E358,0)</f>
        <v>0</v>
      </c>
      <c r="F356" s="367"/>
      <c r="G356" s="332"/>
    </row>
    <row r="357" spans="1:7" customFormat="1" ht="13.5" hidden="1" customHeight="1" thickBot="1" x14ac:dyDescent="0.3">
      <c r="A357" s="372"/>
      <c r="B357" s="8">
        <f>IF('Items sous domaines Sciences '!G359=1,'Items sous domaines Sciences '!B359,0)</f>
        <v>0</v>
      </c>
      <c r="C357" s="8">
        <f>IF('Items sous domaines Sciences '!G359=1,'Items sous domaines Sciences '!C359,0)</f>
        <v>0</v>
      </c>
      <c r="D357" s="8">
        <f>IF('Items sous domaines Sciences '!G359=1,'Items sous domaines Sciences '!D359,0)</f>
        <v>0</v>
      </c>
      <c r="E357" s="8">
        <f>IF('Items sous domaines Sciences '!G359=1,'Items sous domaines Sciences '!E359,0)</f>
        <v>0</v>
      </c>
      <c r="F357" s="367"/>
      <c r="G357" s="332"/>
    </row>
    <row r="358" spans="1:7" customFormat="1" ht="13.5" hidden="1" customHeight="1" thickBot="1" x14ac:dyDescent="0.3">
      <c r="A358" s="372"/>
      <c r="B358" s="8">
        <f>IF('Items sous domaines Sciences '!G360=1,'Items sous domaines Sciences '!B360,0)</f>
        <v>0</v>
      </c>
      <c r="C358" s="8">
        <f>IF('Items sous domaines Sciences '!G360=1,'Items sous domaines Sciences '!C360,0)</f>
        <v>0</v>
      </c>
      <c r="D358" s="8">
        <f>IF('Items sous domaines Sciences '!G360=1,'Items sous domaines Sciences '!D360,0)</f>
        <v>0</v>
      </c>
      <c r="E358" s="8">
        <f>IF('Items sous domaines Sciences '!G360=1,'Items sous domaines Sciences '!E360,0)</f>
        <v>0</v>
      </c>
      <c r="F358" s="367"/>
      <c r="G358" s="332"/>
    </row>
    <row r="359" spans="1:7" customFormat="1" ht="13.5" hidden="1" customHeight="1" thickBot="1" x14ac:dyDescent="0.3">
      <c r="A359" s="372"/>
      <c r="B359" s="8">
        <f>IF('Items sous domaines Sciences '!G361=1,'Items sous domaines Sciences '!B361,0)</f>
        <v>0</v>
      </c>
      <c r="C359" s="8">
        <f>IF('Items sous domaines Sciences '!G361=1,'Items sous domaines Sciences '!C361,0)</f>
        <v>0</v>
      </c>
      <c r="D359" s="8">
        <f>IF('Items sous domaines Sciences '!G361=1,'Items sous domaines Sciences '!D361,0)</f>
        <v>0</v>
      </c>
      <c r="E359" s="8">
        <f>IF('Items sous domaines Sciences '!G361=1,'Items sous domaines Sciences '!E361,0)</f>
        <v>0</v>
      </c>
      <c r="F359" s="367"/>
      <c r="G359" s="332"/>
    </row>
    <row r="360" spans="1:7" customFormat="1" ht="13.5" hidden="1" customHeight="1" thickBot="1" x14ac:dyDescent="0.3">
      <c r="A360" s="372"/>
      <c r="B360" s="8">
        <f>IF('Items sous domaines Sciences '!G362=1,'Items sous domaines Sciences '!B362,0)</f>
        <v>0</v>
      </c>
      <c r="C360" s="8">
        <f>IF('Items sous domaines Sciences '!G362=1,'Items sous domaines Sciences '!C362,0)</f>
        <v>0</v>
      </c>
      <c r="D360" s="8">
        <f>IF('Items sous domaines Sciences '!G362=1,'Items sous domaines Sciences '!D362,0)</f>
        <v>0</v>
      </c>
      <c r="E360" s="8">
        <f>IF('Items sous domaines Sciences '!G362=1,'Items sous domaines Sciences '!E362,0)</f>
        <v>0</v>
      </c>
      <c r="F360" s="367"/>
      <c r="G360" s="332"/>
    </row>
    <row r="361" spans="1:7" customFormat="1" ht="13.5" hidden="1" customHeight="1" thickBot="1" x14ac:dyDescent="0.3">
      <c r="A361" s="385"/>
      <c r="B361" s="8">
        <f>IF('Items sous domaines Sciences '!G363=1,'Items sous domaines Sciences '!B363,0)</f>
        <v>0</v>
      </c>
      <c r="C361" s="8">
        <f>IF('Items sous domaines Sciences '!G363=1,'Items sous domaines Sciences '!C363,0)</f>
        <v>0</v>
      </c>
      <c r="D361" s="8">
        <f>IF('Items sous domaines Sciences '!G363=1,'Items sous domaines Sciences '!D363,0)</f>
        <v>0</v>
      </c>
      <c r="E361" s="8">
        <f>IF('Items sous domaines Sciences '!G363=1,'Items sous domaines Sciences '!E363,0)</f>
        <v>0</v>
      </c>
      <c r="F361" s="367"/>
      <c r="G361" s="332"/>
    </row>
    <row r="362" spans="1:7" customFormat="1" ht="12.75" hidden="1" customHeight="1" thickBot="1" x14ac:dyDescent="0.3">
      <c r="A362" s="367"/>
      <c r="B362" s="8">
        <f>IF('Items sous domaines Sciences '!G364=1,'Items sous domaines Sciences '!B364,0)</f>
        <v>0</v>
      </c>
      <c r="C362" s="8">
        <f>IF('Items sous domaines Sciences '!G364=1,'Items sous domaines Sciences '!C364,0)</f>
        <v>0</v>
      </c>
      <c r="D362" s="8">
        <f>IF('Items sous domaines Sciences '!G364=1,'Items sous domaines Sciences '!D364,0)</f>
        <v>0</v>
      </c>
      <c r="E362" s="8">
        <f>IF('Items sous domaines Sciences '!G364=1,'Items sous domaines Sciences '!E364,0)</f>
        <v>0</v>
      </c>
      <c r="F362" s="367"/>
      <c r="G362" s="332"/>
    </row>
    <row r="363" spans="1:7" customFormat="1" ht="13.2" hidden="1" x14ac:dyDescent="0.25">
      <c r="A363" s="389"/>
      <c r="B363" s="8">
        <f>IF('Items sous domaines Sciences '!G365=1,'Items sous domaines Sciences '!B365,0)</f>
        <v>0</v>
      </c>
      <c r="C363" s="8">
        <f>IF('Items sous domaines Sciences '!G365=1,'Items sous domaines Sciences '!C365,0)</f>
        <v>0</v>
      </c>
      <c r="D363" s="8">
        <f>IF('Items sous domaines Sciences '!G365=1,'Items sous domaines Sciences '!D365,0)</f>
        <v>0</v>
      </c>
      <c r="E363" s="8">
        <f>IF('Items sous domaines Sciences '!G365=1,'Items sous domaines Sciences '!E365,0)</f>
        <v>0</v>
      </c>
      <c r="F363" s="339"/>
      <c r="G363" s="331"/>
    </row>
    <row r="364" spans="1:7" customFormat="1" ht="13.2" hidden="1" x14ac:dyDescent="0.25">
      <c r="A364" s="390"/>
      <c r="B364" s="8">
        <f>IF('Items sous domaines Sciences '!G366=1,'Items sous domaines Sciences '!B366,0)</f>
        <v>0</v>
      </c>
      <c r="C364" s="8">
        <f>IF('Items sous domaines Sciences '!G366=1,'Items sous domaines Sciences '!C366,0)</f>
        <v>0</v>
      </c>
      <c r="D364" s="8">
        <f>IF('Items sous domaines Sciences '!G366=1,'Items sous domaines Sciences '!D366,0)</f>
        <v>0</v>
      </c>
      <c r="E364" s="8">
        <f>IF('Items sous domaines Sciences '!G366=1,'Items sous domaines Sciences '!E366,0)</f>
        <v>0</v>
      </c>
      <c r="F364" s="340"/>
      <c r="G364" s="331"/>
    </row>
    <row r="365" spans="1:7" customFormat="1" ht="13.2" hidden="1" x14ac:dyDescent="0.25">
      <c r="A365" s="390"/>
      <c r="B365" s="8">
        <f>IF('Items sous domaines Sciences '!G367=1,'Items sous domaines Sciences '!B367,0)</f>
        <v>0</v>
      </c>
      <c r="C365" s="8">
        <f>IF('Items sous domaines Sciences '!G367=1,'Items sous domaines Sciences '!C367,0)</f>
        <v>0</v>
      </c>
      <c r="D365" s="8">
        <f>IF('Items sous domaines Sciences '!G367=1,'Items sous domaines Sciences '!D367,0)</f>
        <v>0</v>
      </c>
      <c r="E365" s="8">
        <f>IF('Items sous domaines Sciences '!G367=1,'Items sous domaines Sciences '!E367,0)</f>
        <v>0</v>
      </c>
      <c r="F365" s="340"/>
      <c r="G365" s="331"/>
    </row>
    <row r="366" spans="1:7" customFormat="1" ht="13.2" hidden="1" x14ac:dyDescent="0.25">
      <c r="A366" s="390"/>
      <c r="B366" s="8">
        <f>IF('Items sous domaines Sciences '!G368=1,'Items sous domaines Sciences '!B368,0)</f>
        <v>0</v>
      </c>
      <c r="C366" s="8">
        <f>IF('Items sous domaines Sciences '!G368=1,'Items sous domaines Sciences '!C368,0)</f>
        <v>0</v>
      </c>
      <c r="D366" s="8">
        <f>IF('Items sous domaines Sciences '!G368=1,'Items sous domaines Sciences '!D368,0)</f>
        <v>0</v>
      </c>
      <c r="E366" s="8">
        <f>IF('Items sous domaines Sciences '!G368=1,'Items sous domaines Sciences '!E368,0)</f>
        <v>0</v>
      </c>
      <c r="F366" s="340"/>
      <c r="G366" s="331"/>
    </row>
    <row r="367" spans="1:7" customFormat="1" ht="13.2" hidden="1" x14ac:dyDescent="0.25">
      <c r="A367" s="390"/>
      <c r="B367" s="8">
        <f>IF('Items sous domaines Sciences '!G369=1,'Items sous domaines Sciences '!B369,0)</f>
        <v>0</v>
      </c>
      <c r="C367" s="8">
        <f>IF('Items sous domaines Sciences '!G369=1,'Items sous domaines Sciences '!C369,0)</f>
        <v>0</v>
      </c>
      <c r="D367" s="8">
        <f>IF('Items sous domaines Sciences '!G369=1,'Items sous domaines Sciences '!D369,0)</f>
        <v>0</v>
      </c>
      <c r="E367" s="8">
        <f>IF('Items sous domaines Sciences '!G369=1,'Items sous domaines Sciences '!E369,0)</f>
        <v>0</v>
      </c>
      <c r="F367" s="340"/>
      <c r="G367" s="331"/>
    </row>
    <row r="368" spans="1:7" customFormat="1" ht="13.2" hidden="1" x14ac:dyDescent="0.25">
      <c r="A368" s="390"/>
      <c r="B368" s="8">
        <f>IF('Items sous domaines Sciences '!G370=1,'Items sous domaines Sciences '!B370,0)</f>
        <v>0</v>
      </c>
      <c r="C368" s="8">
        <f>IF('Items sous domaines Sciences '!G370=1,'Items sous domaines Sciences '!C370,0)</f>
        <v>0</v>
      </c>
      <c r="D368" s="8">
        <f>IF('Items sous domaines Sciences '!G370=1,'Items sous domaines Sciences '!D370,0)</f>
        <v>0</v>
      </c>
      <c r="E368" s="8">
        <f>IF('Items sous domaines Sciences '!G370=1,'Items sous domaines Sciences '!E370,0)</f>
        <v>0</v>
      </c>
      <c r="F368" s="340"/>
      <c r="G368" s="331"/>
    </row>
    <row r="369" spans="1:7" customFormat="1" ht="13.8" hidden="1" thickBot="1" x14ac:dyDescent="0.3">
      <c r="A369" s="390"/>
      <c r="B369" s="8">
        <f>IF('Items sous domaines Sciences '!G371=1,'Items sous domaines Sciences '!B371,0)</f>
        <v>0</v>
      </c>
      <c r="C369" s="8">
        <f>IF('Items sous domaines Sciences '!G371=1,'Items sous domaines Sciences '!C371,0)</f>
        <v>0</v>
      </c>
      <c r="D369" s="8">
        <f>IF('Items sous domaines Sciences '!G371=1,'Items sous domaines Sciences '!D371,0)</f>
        <v>0</v>
      </c>
      <c r="E369" s="8">
        <f>IF('Items sous domaines Sciences '!G371=1,'Items sous domaines Sciences '!E371,0)</f>
        <v>0</v>
      </c>
      <c r="F369" s="341"/>
      <c r="G369" s="331"/>
    </row>
    <row r="370" spans="1:7" customFormat="1" ht="13.2" hidden="1" x14ac:dyDescent="0.25">
      <c r="A370" s="390"/>
      <c r="B370" s="8">
        <f>IF('Items sous domaines Sciences '!G372=1,'Items sous domaines Sciences '!B372,0)</f>
        <v>0</v>
      </c>
      <c r="C370" s="8">
        <f>IF('Items sous domaines Sciences '!G372=1,'Items sous domaines Sciences '!C372,0)</f>
        <v>0</v>
      </c>
      <c r="D370" s="8">
        <f>IF('Items sous domaines Sciences '!G372=1,'Items sous domaines Sciences '!D372,0)</f>
        <v>0</v>
      </c>
      <c r="E370" s="8">
        <f>IF('Items sous domaines Sciences '!G372=1,'Items sous domaines Sciences '!E372,0)</f>
        <v>0</v>
      </c>
      <c r="F370" t="e">
        <f>IF('Items sous domaines Sciences '!#REF!=1,'Items sous domaines Sciences '!#REF!,0)</f>
        <v>#REF!</v>
      </c>
    </row>
    <row r="371" spans="1:7" customFormat="1" ht="13.2" hidden="1" x14ac:dyDescent="0.25">
      <c r="A371" s="372"/>
      <c r="B371" s="8">
        <f>IF('Items sous domaines Sciences '!G373=1,'Items sous domaines Sciences '!B373,0)</f>
        <v>0</v>
      </c>
      <c r="C371" s="8">
        <f>IF('Items sous domaines Sciences '!G373=1,'Items sous domaines Sciences '!C373,0)</f>
        <v>0</v>
      </c>
      <c r="D371" s="8">
        <f>IF('Items sous domaines Sciences '!G373=1,'Items sous domaines Sciences '!D373,0)</f>
        <v>0</v>
      </c>
      <c r="E371" s="8">
        <f>IF('Items sous domaines Sciences '!G373=1,'Items sous domaines Sciences '!E373,0)</f>
        <v>0</v>
      </c>
      <c r="F371" t="e">
        <f>IF('Items sous domaines Sciences '!#REF!=1,'Items sous domaines Sciences '!#REF!,0)</f>
        <v>#REF!</v>
      </c>
    </row>
    <row r="372" spans="1:7" customFormat="1" ht="13.2" hidden="1" x14ac:dyDescent="0.25">
      <c r="A372" s="372"/>
      <c r="B372" s="8">
        <f>IF('Items sous domaines Sciences '!G374=1,'Items sous domaines Sciences '!B374,0)</f>
        <v>0</v>
      </c>
      <c r="C372" s="8">
        <f>IF('Items sous domaines Sciences '!G374=1,'Items sous domaines Sciences '!C374,0)</f>
        <v>0</v>
      </c>
      <c r="D372" s="8">
        <f>IF('Items sous domaines Sciences '!G374=1,'Items sous domaines Sciences '!D374,0)</f>
        <v>0</v>
      </c>
      <c r="E372" s="8">
        <f>IF('Items sous domaines Sciences '!G374=1,'Items sous domaines Sciences '!E374,0)</f>
        <v>0</v>
      </c>
      <c r="F372" t="e">
        <f>IF('Items sous domaines Sciences '!#REF!=1,'Items sous domaines Sciences '!#REF!,0)</f>
        <v>#REF!</v>
      </c>
    </row>
    <row r="373" spans="1:7" customFormat="1" ht="13.2" hidden="1" x14ac:dyDescent="0.25">
      <c r="A373" s="372"/>
      <c r="B373" s="8">
        <f>IF('Items sous domaines Sciences '!G375=1,'Items sous domaines Sciences '!B375,0)</f>
        <v>0</v>
      </c>
      <c r="C373" s="8">
        <f>IF('Items sous domaines Sciences '!G375=1,'Items sous domaines Sciences '!C375,0)</f>
        <v>0</v>
      </c>
      <c r="D373" s="8">
        <f>IF('Items sous domaines Sciences '!G375=1,'Items sous domaines Sciences '!D375,0)</f>
        <v>0</v>
      </c>
      <c r="E373" s="8">
        <f>IF('Items sous domaines Sciences '!G375=1,'Items sous domaines Sciences '!E375,0)</f>
        <v>0</v>
      </c>
      <c r="F373" t="e">
        <f>IF('Items sous domaines Sciences '!#REF!=1,'Items sous domaines Sciences '!#REF!,0)</f>
        <v>#REF!</v>
      </c>
    </row>
    <row r="374" spans="1:7" customFormat="1" ht="13.2" hidden="1" x14ac:dyDescent="0.25">
      <c r="A374" s="372"/>
      <c r="B374" s="8">
        <f>IF('Items sous domaines Sciences '!G376=1,'Items sous domaines Sciences '!B376,0)</f>
        <v>0</v>
      </c>
      <c r="C374" s="8">
        <f>IF('Items sous domaines Sciences '!G376=1,'Items sous domaines Sciences '!C376,0)</f>
        <v>0</v>
      </c>
      <c r="D374" s="8">
        <f>IF('Items sous domaines Sciences '!G376=1,'Items sous domaines Sciences '!D376,0)</f>
        <v>0</v>
      </c>
      <c r="E374" s="8">
        <f>IF('Items sous domaines Sciences '!G376=1,'Items sous domaines Sciences '!E376,0)</f>
        <v>0</v>
      </c>
      <c r="F374" t="e">
        <f>IF('Items sous domaines Sciences '!#REF!=1,'Items sous domaines Sciences '!#REF!,0)</f>
        <v>#REF!</v>
      </c>
    </row>
    <row r="375" spans="1:7" customFormat="1" ht="13.2" hidden="1" x14ac:dyDescent="0.25">
      <c r="A375" s="372"/>
      <c r="B375" s="8">
        <f>IF('Items sous domaines Sciences '!G377=1,'Items sous domaines Sciences '!B377,0)</f>
        <v>0</v>
      </c>
      <c r="C375" s="8">
        <f>IF('Items sous domaines Sciences '!G377=1,'Items sous domaines Sciences '!C377,0)</f>
        <v>0</v>
      </c>
      <c r="D375" s="8">
        <f>IF('Items sous domaines Sciences '!G377=1,'Items sous domaines Sciences '!D377,0)</f>
        <v>0</v>
      </c>
      <c r="E375" s="8">
        <f>IF('Items sous domaines Sciences '!G377=1,'Items sous domaines Sciences '!E377,0)</f>
        <v>0</v>
      </c>
      <c r="F375" t="e">
        <f>IF('Items sous domaines Sciences '!#REF!=1,'Items sous domaines Sciences '!#REF!,0)</f>
        <v>#REF!</v>
      </c>
    </row>
    <row r="376" spans="1:7" customFormat="1" ht="13.2" hidden="1" x14ac:dyDescent="0.25">
      <c r="A376" s="372"/>
      <c r="B376" s="8">
        <f>IF('Items sous domaines Sciences '!G378=1,'Items sous domaines Sciences '!B378,0)</f>
        <v>0</v>
      </c>
      <c r="C376" s="8">
        <f>IF('Items sous domaines Sciences '!G378=1,'Items sous domaines Sciences '!C378,0)</f>
        <v>0</v>
      </c>
      <c r="D376" s="8">
        <f>IF('Items sous domaines Sciences '!G378=1,'Items sous domaines Sciences '!D378,0)</f>
        <v>0</v>
      </c>
      <c r="E376" s="8">
        <f>IF('Items sous domaines Sciences '!G378=1,'Items sous domaines Sciences '!E378,0)</f>
        <v>0</v>
      </c>
      <c r="F376" t="e">
        <f>IF('Items sous domaines Sciences '!#REF!=1,'Items sous domaines Sciences '!#REF!,0)</f>
        <v>#REF!</v>
      </c>
    </row>
    <row r="377" spans="1:7" customFormat="1" ht="13.2" hidden="1" x14ac:dyDescent="0.25">
      <c r="A377" s="372"/>
      <c r="B377" s="8">
        <f>IF('Items sous domaines Sciences '!G379=1,'Items sous domaines Sciences '!B379,0)</f>
        <v>0</v>
      </c>
      <c r="C377" s="8">
        <f>IF('Items sous domaines Sciences '!G379=1,'Items sous domaines Sciences '!C379,0)</f>
        <v>0</v>
      </c>
      <c r="D377" s="8">
        <f>IF('Items sous domaines Sciences '!G379=1,'Items sous domaines Sciences '!D379,0)</f>
        <v>0</v>
      </c>
      <c r="E377" s="8">
        <f>IF('Items sous domaines Sciences '!G379=1,'Items sous domaines Sciences '!E379,0)</f>
        <v>0</v>
      </c>
      <c r="F377" t="e">
        <f>IF('Items sous domaines Sciences '!#REF!=1,'Items sous domaines Sciences '!#REF!,0)</f>
        <v>#REF!</v>
      </c>
    </row>
    <row r="378" spans="1:7" customFormat="1" ht="13.2" hidden="1" x14ac:dyDescent="0.25">
      <c r="A378" s="372"/>
      <c r="B378" s="8">
        <f>IF('Items sous domaines Sciences '!G380=1,'Items sous domaines Sciences '!B380,0)</f>
        <v>0</v>
      </c>
      <c r="C378" s="8">
        <f>IF('Items sous domaines Sciences '!G380=1,'Items sous domaines Sciences '!C380,0)</f>
        <v>0</v>
      </c>
      <c r="D378" s="8">
        <f>IF('Items sous domaines Sciences '!G380=1,'Items sous domaines Sciences '!D380,0)</f>
        <v>0</v>
      </c>
      <c r="E378" s="8">
        <f>IF('Items sous domaines Sciences '!G380=1,'Items sous domaines Sciences '!E380,0)</f>
        <v>0</v>
      </c>
      <c r="F378" t="e">
        <f>IF('Items sous domaines Sciences '!#REF!=1,'Items sous domaines Sciences '!#REF!,0)</f>
        <v>#REF!</v>
      </c>
    </row>
    <row r="379" spans="1:7" customFormat="1" ht="13.2" hidden="1" x14ac:dyDescent="0.25">
      <c r="A379" s="372"/>
      <c r="B379" s="8">
        <f>IF('Items sous domaines Sciences '!G381=1,'Items sous domaines Sciences '!B381,0)</f>
        <v>0</v>
      </c>
      <c r="C379" s="8">
        <f>IF('Items sous domaines Sciences '!G381=1,'Items sous domaines Sciences '!C381,0)</f>
        <v>0</v>
      </c>
      <c r="D379" s="8">
        <f>IF('Items sous domaines Sciences '!G381=1,'Items sous domaines Sciences '!D381,0)</f>
        <v>0</v>
      </c>
      <c r="E379" s="8">
        <f>IF('Items sous domaines Sciences '!G381=1,'Items sous domaines Sciences '!E381,0)</f>
        <v>0</v>
      </c>
      <c r="F379" t="e">
        <f>IF('Items sous domaines Sciences '!#REF!=1,'Items sous domaines Sciences '!#REF!,0)</f>
        <v>#REF!</v>
      </c>
    </row>
    <row r="380" spans="1:7" customFormat="1" ht="13.2" hidden="1" x14ac:dyDescent="0.25">
      <c r="A380" s="372"/>
      <c r="B380" s="8">
        <f>IF('Items sous domaines Sciences '!G382=1,'Items sous domaines Sciences '!B382,0)</f>
        <v>0</v>
      </c>
      <c r="C380" s="8">
        <f>IF('Items sous domaines Sciences '!G382=1,'Items sous domaines Sciences '!C382,0)</f>
        <v>0</v>
      </c>
      <c r="D380" s="8">
        <f>IF('Items sous domaines Sciences '!G382=1,'Items sous domaines Sciences '!D382,0)</f>
        <v>0</v>
      </c>
      <c r="E380" s="8">
        <f>IF('Items sous domaines Sciences '!G382=1,'Items sous domaines Sciences '!E382,0)</f>
        <v>0</v>
      </c>
      <c r="F380" t="e">
        <f>IF('Items sous domaines Sciences '!#REF!=1,'Items sous domaines Sciences '!#REF!,0)</f>
        <v>#REF!</v>
      </c>
    </row>
    <row r="381" spans="1:7" customFormat="1" ht="13.2" hidden="1" x14ac:dyDescent="0.25">
      <c r="A381" s="372"/>
      <c r="B381" s="8">
        <f>IF('Items sous domaines Sciences '!G383=1,'Items sous domaines Sciences '!B383,0)</f>
        <v>0</v>
      </c>
      <c r="C381" s="8">
        <f>IF('Items sous domaines Sciences '!G383=1,'Items sous domaines Sciences '!C383,0)</f>
        <v>0</v>
      </c>
      <c r="D381" s="8">
        <f>IF('Items sous domaines Sciences '!G383=1,'Items sous domaines Sciences '!D383,0)</f>
        <v>0</v>
      </c>
      <c r="E381" s="8">
        <f>IF('Items sous domaines Sciences '!G383=1,'Items sous domaines Sciences '!E383,0)</f>
        <v>0</v>
      </c>
      <c r="F381" t="e">
        <f>IF('Items sous domaines Sciences '!#REF!=1,'Items sous domaines Sciences '!#REF!,0)</f>
        <v>#REF!</v>
      </c>
    </row>
    <row r="382" spans="1:7" customFormat="1" ht="13.2" hidden="1" x14ac:dyDescent="0.25">
      <c r="A382" s="372"/>
      <c r="B382" s="8">
        <f>IF('Items sous domaines Sciences '!G384=1,'Items sous domaines Sciences '!B384,0)</f>
        <v>0</v>
      </c>
      <c r="C382" s="8">
        <f>IF('Items sous domaines Sciences '!G384=1,'Items sous domaines Sciences '!C384,0)</f>
        <v>0</v>
      </c>
      <c r="D382" s="8">
        <f>IF('Items sous domaines Sciences '!G384=1,'Items sous domaines Sciences '!D384,0)</f>
        <v>0</v>
      </c>
      <c r="E382" s="8">
        <f>IF('Items sous domaines Sciences '!G384=1,'Items sous domaines Sciences '!E384,0)</f>
        <v>0</v>
      </c>
      <c r="F382" t="e">
        <f>IF('Items sous domaines Sciences '!#REF!=1,'Items sous domaines Sciences '!#REF!,0)</f>
        <v>#REF!</v>
      </c>
    </row>
    <row r="383" spans="1:7" customFormat="1" ht="13.8" hidden="1" thickBot="1" x14ac:dyDescent="0.3">
      <c r="A383" s="385"/>
      <c r="B383" s="8">
        <f>IF('Items sous domaines Sciences '!G385=1,'Items sous domaines Sciences '!B385,0)</f>
        <v>0</v>
      </c>
      <c r="C383" s="8">
        <f>IF('Items sous domaines Sciences '!G385=1,'Items sous domaines Sciences '!C385,0)</f>
        <v>0</v>
      </c>
      <c r="D383" s="8">
        <f>IF('Items sous domaines Sciences '!G385=1,'Items sous domaines Sciences '!D385,0)</f>
        <v>0</v>
      </c>
      <c r="E383" s="8">
        <f>IF('Items sous domaines Sciences '!G385=1,'Items sous domaines Sciences '!E385,0)</f>
        <v>0</v>
      </c>
      <c r="F383" t="e">
        <f>IF('Items sous domaines Sciences '!#REF!=1,'Items sous domaines Sciences '!#REF!,0)</f>
        <v>#REF!</v>
      </c>
    </row>
    <row r="384" spans="1:7" customFormat="1" ht="13.2" hidden="1" x14ac:dyDescent="0.25">
      <c r="B384" s="8">
        <f>IF('Items sous domaines Sciences '!G386=1,'Items sous domaines Sciences '!B386,0)</f>
        <v>0</v>
      </c>
      <c r="C384" s="8">
        <f>IF('Items sous domaines Sciences '!G386=1,'Items sous domaines Sciences '!C386,0)</f>
        <v>0</v>
      </c>
      <c r="D384" s="8">
        <f>IF('Items sous domaines Sciences '!G386=1,'Items sous domaines Sciences '!D386,0)</f>
        <v>0</v>
      </c>
      <c r="E384" s="8">
        <f>IF('Items sous domaines Sciences '!G386=1,'Items sous domaines Sciences '!E386,0)</f>
        <v>0</v>
      </c>
      <c r="F384" t="e">
        <f>IF('Items sous domaines Sciences '!#REF!=1,'Items sous domaines Sciences '!#REF!,0)</f>
        <v>#REF!</v>
      </c>
    </row>
    <row r="385" spans="2:7" customFormat="1" ht="13.2" hidden="1" x14ac:dyDescent="0.25">
      <c r="B385" s="8">
        <f>IF('Items sous domaines Sciences '!G387=1,'Items sous domaines Sciences '!B387,0)</f>
        <v>0</v>
      </c>
      <c r="C385" s="8">
        <f>IF('Items sous domaines Sciences '!G387=1,'Items sous domaines Sciences '!C387,0)</f>
        <v>0</v>
      </c>
      <c r="D385" s="8">
        <f>IF('Items sous domaines Sciences '!G387=1,'Items sous domaines Sciences '!D387,0)</f>
        <v>0</v>
      </c>
      <c r="E385" s="8">
        <f>IF('Items sous domaines Sciences '!G387=1,'Items sous domaines Sciences '!E387,0)</f>
        <v>0</v>
      </c>
      <c r="F385" t="e">
        <f>IF('Items sous domaines Sciences '!#REF!=1,'Items sous domaines Sciences '!#REF!,0)</f>
        <v>#REF!</v>
      </c>
    </row>
    <row r="386" spans="2:7" customFormat="1" ht="13.2" hidden="1" x14ac:dyDescent="0.25">
      <c r="B386" s="8">
        <f>IF('Items sous domaines Sciences '!G388=1,'Items sous domaines Sciences '!B388,0)</f>
        <v>0</v>
      </c>
      <c r="C386" s="8">
        <f>IF('Items sous domaines Sciences '!G388=1,'Items sous domaines Sciences '!C388,0)</f>
        <v>0</v>
      </c>
      <c r="D386" s="8">
        <f>IF('Items sous domaines Sciences '!G388=1,'Items sous domaines Sciences '!D388,0)</f>
        <v>0</v>
      </c>
      <c r="E386" s="8">
        <f>IF('Items sous domaines Sciences '!G388=1,'Items sous domaines Sciences '!E388,0)</f>
        <v>0</v>
      </c>
      <c r="F386" t="e">
        <f>IF('Items sous domaines Sciences '!#REF!=1,'Items sous domaines Sciences '!#REF!,0)</f>
        <v>#REF!</v>
      </c>
    </row>
    <row r="387" spans="2:7" customFormat="1" ht="13.2" hidden="1" x14ac:dyDescent="0.25">
      <c r="B387" s="8">
        <f>IF('Items sous domaines Sciences '!G389=1,'Items sous domaines Sciences '!B389,0)</f>
        <v>0</v>
      </c>
      <c r="C387" s="8">
        <f>IF('Items sous domaines Sciences '!G389=1,'Items sous domaines Sciences '!C389,0)</f>
        <v>0</v>
      </c>
      <c r="D387" s="8">
        <f>IF('Items sous domaines Sciences '!G389=1,'Items sous domaines Sciences '!D389,0)</f>
        <v>0</v>
      </c>
      <c r="E387" s="8">
        <f>IF('Items sous domaines Sciences '!G389=1,'Items sous domaines Sciences '!E389,0)</f>
        <v>0</v>
      </c>
      <c r="F387" t="e">
        <f>IF('Items sous domaines Sciences '!#REF!=1,'Items sous domaines Sciences '!#REF!,0)</f>
        <v>#REF!</v>
      </c>
    </row>
    <row r="388" spans="2:7" customFormat="1" ht="13.2" hidden="1" x14ac:dyDescent="0.25">
      <c r="B388" s="8">
        <f>IF('Items sous domaines Sciences '!G390=1,'Items sous domaines Sciences '!B390,0)</f>
        <v>0</v>
      </c>
      <c r="C388" s="8">
        <f>IF('Items sous domaines Sciences '!G390=1,'Items sous domaines Sciences '!C390,0)</f>
        <v>0</v>
      </c>
      <c r="D388" s="8">
        <f>IF('Items sous domaines Sciences '!G390=1,'Items sous domaines Sciences '!D390,0)</f>
        <v>0</v>
      </c>
      <c r="E388" s="8">
        <f>IF('Items sous domaines Sciences '!G390=1,'Items sous domaines Sciences '!E390,0)</f>
        <v>0</v>
      </c>
      <c r="F388" t="e">
        <f>IF('Items sous domaines Sciences '!#REF!=1,'Items sous domaines Sciences '!#REF!,0)</f>
        <v>#REF!</v>
      </c>
    </row>
    <row r="389" spans="2:7" customFormat="1" ht="13.2" hidden="1" x14ac:dyDescent="0.25">
      <c r="B389" s="8">
        <f>IF('Items sous domaines Sciences '!G391=1,'Items sous domaines Sciences '!B391,0)</f>
        <v>0</v>
      </c>
      <c r="C389" s="8">
        <f>IF('Items sous domaines Sciences '!G391=1,'Items sous domaines Sciences '!C391,0)</f>
        <v>0</v>
      </c>
      <c r="D389" s="8">
        <f>IF('Items sous domaines Sciences '!G391=1,'Items sous domaines Sciences '!D391,0)</f>
        <v>0</v>
      </c>
      <c r="E389" s="8">
        <f>IF('Items sous domaines Sciences '!G391=1,'Items sous domaines Sciences '!E391,0)</f>
        <v>0</v>
      </c>
      <c r="F389" t="e">
        <f>IF('Items sous domaines Sciences '!#REF!=1,'Items sous domaines Sciences '!#REF!,0)</f>
        <v>#REF!</v>
      </c>
    </row>
    <row r="390" spans="2:7" customFormat="1" ht="13.2" hidden="1" x14ac:dyDescent="0.25">
      <c r="B390" s="8">
        <f>IF('Items sous domaines Sciences '!G392=1,'Items sous domaines Sciences '!B392,0)</f>
        <v>0</v>
      </c>
      <c r="C390" s="8">
        <f>IF('Items sous domaines Sciences '!G392=1,'Items sous domaines Sciences '!C392,0)</f>
        <v>0</v>
      </c>
      <c r="D390" s="8">
        <f>IF('Items sous domaines Sciences '!G392=1,'Items sous domaines Sciences '!D392,0)</f>
        <v>0</v>
      </c>
      <c r="E390" s="8">
        <f>IF('Items sous domaines Sciences '!G392=1,'Items sous domaines Sciences '!E392,0)</f>
        <v>0</v>
      </c>
      <c r="F390" t="e">
        <f>IF('Items sous domaines Sciences '!#REF!=1,'Items sous domaines Sciences '!#REF!,0)</f>
        <v>#REF!</v>
      </c>
    </row>
    <row r="391" spans="2:7" customFormat="1" ht="13.2" hidden="1" x14ac:dyDescent="0.25">
      <c r="B391" s="8">
        <f>IF('Items sous domaines Sciences '!G393=1,'Items sous domaines Sciences '!B393,0)</f>
        <v>0</v>
      </c>
      <c r="C391" s="8">
        <f>IF('Items sous domaines Sciences '!G393=1,'Items sous domaines Sciences '!C393,0)</f>
        <v>0</v>
      </c>
      <c r="D391" s="8">
        <f>IF('Items sous domaines Sciences '!G393=1,'Items sous domaines Sciences '!D393,0)</f>
        <v>0</v>
      </c>
      <c r="E391" s="8">
        <f>IF('Items sous domaines Sciences '!G393=1,'Items sous domaines Sciences '!E393,0)</f>
        <v>0</v>
      </c>
      <c r="F391" t="e">
        <f>IF('Items sous domaines Sciences '!#REF!=1,'Items sous domaines Sciences '!#REF!,0)</f>
        <v>#REF!</v>
      </c>
    </row>
    <row r="392" spans="2:7" customFormat="1" ht="13.2" hidden="1" x14ac:dyDescent="0.25">
      <c r="B392" s="8">
        <f>IF('Items sous domaines Sciences '!G394=1,'Items sous domaines Sciences '!B394,0)</f>
        <v>0</v>
      </c>
      <c r="C392" s="8">
        <f>IF('Items sous domaines Sciences '!G394=1,'Items sous domaines Sciences '!C394,0)</f>
        <v>0</v>
      </c>
      <c r="D392" s="8">
        <f>IF('Items sous domaines Sciences '!G394=1,'Items sous domaines Sciences '!D394,0)</f>
        <v>0</v>
      </c>
      <c r="E392" s="8">
        <f>IF('Items sous domaines Sciences '!G394=1,'Items sous domaines Sciences '!E394,0)</f>
        <v>0</v>
      </c>
      <c r="F392" t="e">
        <f>IF('Items sous domaines Sciences '!#REF!=1,'Items sous domaines Sciences '!#REF!,0)</f>
        <v>#REF!</v>
      </c>
    </row>
    <row r="393" spans="2:7" customFormat="1" ht="13.2" hidden="1" x14ac:dyDescent="0.25">
      <c r="B393" s="8">
        <f>IF('Items sous domaines Sciences '!G395=1,'Items sous domaines Sciences '!B395,0)</f>
        <v>0</v>
      </c>
      <c r="C393" s="8">
        <f>IF('Items sous domaines Sciences '!G395=1,'Items sous domaines Sciences '!C395,0)</f>
        <v>0</v>
      </c>
      <c r="D393" s="8">
        <f>IF('Items sous domaines Sciences '!G395=1,'Items sous domaines Sciences '!D395,0)</f>
        <v>0</v>
      </c>
      <c r="E393" s="8">
        <f>IF('Items sous domaines Sciences '!G395=1,'Items sous domaines Sciences '!E395,0)</f>
        <v>0</v>
      </c>
      <c r="F393" t="e">
        <f>IF('Items sous domaines Sciences '!#REF!=1,'Items sous domaines Sciences '!#REF!,0)</f>
        <v>#REF!</v>
      </c>
    </row>
    <row r="394" spans="2:7" customFormat="1" ht="13.2" hidden="1" x14ac:dyDescent="0.25">
      <c r="B394" s="8">
        <f>IF('Items sous domaines Sciences '!G396=1,'Items sous domaines Sciences '!B396,0)</f>
        <v>0</v>
      </c>
      <c r="C394" s="8">
        <f>IF('Items sous domaines Sciences '!G396=1,'Items sous domaines Sciences '!C396,0)</f>
        <v>0</v>
      </c>
      <c r="D394" s="8">
        <f>IF('Items sous domaines Sciences '!G396=1,'Items sous domaines Sciences '!D396,0)</f>
        <v>0</v>
      </c>
      <c r="E394" s="8">
        <f>IF('Items sous domaines Sciences '!G396=1,'Items sous domaines Sciences '!E396,0)</f>
        <v>0</v>
      </c>
      <c r="F394" t="e">
        <f>IF('Items sous domaines Sciences '!#REF!=1,'Items sous domaines Sciences '!#REF!,0)</f>
        <v>#REF!</v>
      </c>
    </row>
    <row r="395" spans="2:7" customFormat="1" ht="13.2" hidden="1" x14ac:dyDescent="0.25">
      <c r="B395" s="8">
        <f>IF('Items sous domaines Sciences '!G397=1,'Items sous domaines Sciences '!B397,0)</f>
        <v>0</v>
      </c>
      <c r="C395" s="8">
        <f>IF('Items sous domaines Sciences '!G397=1,'Items sous domaines Sciences '!C397,0)</f>
        <v>0</v>
      </c>
      <c r="D395" s="8">
        <f>IF('Items sous domaines Sciences '!G397=1,'Items sous domaines Sciences '!D397,0)</f>
        <v>0</v>
      </c>
      <c r="E395" s="8">
        <f>IF('Items sous domaines Sciences '!G397=1,'Items sous domaines Sciences '!E397,0)</f>
        <v>0</v>
      </c>
      <c r="F395" t="e">
        <f>IF('Items sous domaines Sciences '!#REF!=1,'Items sous domaines Sciences '!#REF!,0)</f>
        <v>#REF!</v>
      </c>
      <c r="G395" s="3"/>
    </row>
    <row r="396" spans="2:7" customFormat="1" ht="13.2" hidden="1" x14ac:dyDescent="0.25">
      <c r="B396" s="8">
        <f>IF('Items sous domaines Sciences '!G398=1,'Items sous domaines Sciences '!B398,0)</f>
        <v>0</v>
      </c>
      <c r="C396" s="8">
        <f>IF('Items sous domaines Sciences '!G398=1,'Items sous domaines Sciences '!C398,0)</f>
        <v>0</v>
      </c>
      <c r="D396" s="8">
        <f>IF('Items sous domaines Sciences '!G398=1,'Items sous domaines Sciences '!D398,0)</f>
        <v>0</v>
      </c>
      <c r="E396" s="8">
        <f>IF('Items sous domaines Sciences '!G398=1,'Items sous domaines Sciences '!E398,0)</f>
        <v>0</v>
      </c>
      <c r="F396" t="e">
        <f>IF('Items sous domaines Sciences '!#REF!=1,'Items sous domaines Sciences '!#REF!,0)</f>
        <v>#REF!</v>
      </c>
      <c r="G396" s="3"/>
    </row>
    <row r="397" spans="2:7" customFormat="1" ht="13.2" hidden="1" x14ac:dyDescent="0.25">
      <c r="B397" s="8">
        <f>IF('Items sous domaines Sciences '!G399=1,'Items sous domaines Sciences '!B399,0)</f>
        <v>0</v>
      </c>
      <c r="C397" s="8">
        <f>IF('Items sous domaines Sciences '!G399=1,'Items sous domaines Sciences '!C399,0)</f>
        <v>0</v>
      </c>
      <c r="D397" s="8">
        <f>IF('Items sous domaines Sciences '!G399=1,'Items sous domaines Sciences '!D399,0)</f>
        <v>0</v>
      </c>
      <c r="E397" s="8">
        <f>IF('Items sous domaines Sciences '!G399=1,'Items sous domaines Sciences '!E399,0)</f>
        <v>0</v>
      </c>
      <c r="F397" t="e">
        <f>IF('Items sous domaines Sciences '!#REF!=1,'Items sous domaines Sciences '!#REF!,0)</f>
        <v>#REF!</v>
      </c>
      <c r="G397" s="3"/>
    </row>
    <row r="398" spans="2:7" customFormat="1" ht="13.2" hidden="1" x14ac:dyDescent="0.25">
      <c r="B398" s="8">
        <f>IF('Items sous domaines Sciences '!G400=1,'Items sous domaines Sciences '!B400,0)</f>
        <v>0</v>
      </c>
      <c r="C398" s="8">
        <f>IF('Items sous domaines Sciences '!G400=1,'Items sous domaines Sciences '!C400,0)</f>
        <v>0</v>
      </c>
      <c r="D398" s="8">
        <f>IF('Items sous domaines Sciences '!G400=1,'Items sous domaines Sciences '!D400,0)</f>
        <v>0</v>
      </c>
      <c r="E398" s="8">
        <f>IF('Items sous domaines Sciences '!G400=1,'Items sous domaines Sciences '!E400,0)</f>
        <v>0</v>
      </c>
      <c r="F398" t="e">
        <f>IF('Items sous domaines Sciences '!#REF!=1,'Items sous domaines Sciences '!#REF!,0)</f>
        <v>#REF!</v>
      </c>
      <c r="G398" s="3"/>
    </row>
    <row r="399" spans="2:7" customFormat="1" ht="13.2" hidden="1" x14ac:dyDescent="0.25">
      <c r="B399" s="8">
        <f>IF('Items sous domaines Sciences '!G401=1,'Items sous domaines Sciences '!B401,0)</f>
        <v>0</v>
      </c>
      <c r="C399" s="8">
        <f>IF('Items sous domaines Sciences '!G401=1,'Items sous domaines Sciences '!C401,0)</f>
        <v>0</v>
      </c>
      <c r="D399" s="8">
        <f>IF('Items sous domaines Sciences '!G401=1,'Items sous domaines Sciences '!D401,0)</f>
        <v>0</v>
      </c>
      <c r="E399" s="8">
        <f>IF('Items sous domaines Sciences '!G401=1,'Items sous domaines Sciences '!E401,0)</f>
        <v>0</v>
      </c>
      <c r="F399" t="e">
        <f>IF('Items sous domaines Sciences '!#REF!=1,'Items sous domaines Sciences '!#REF!,0)</f>
        <v>#REF!</v>
      </c>
      <c r="G399" s="3"/>
    </row>
    <row r="400" spans="2:7" customFormat="1" ht="13.2" hidden="1" x14ac:dyDescent="0.25">
      <c r="B400" s="8">
        <f>IF('Items sous domaines Sciences '!G402=1,'Items sous domaines Sciences '!B402,0)</f>
        <v>0</v>
      </c>
      <c r="C400" s="8">
        <f>IF('Items sous domaines Sciences '!G402=1,'Items sous domaines Sciences '!C402,0)</f>
        <v>0</v>
      </c>
      <c r="D400" s="8">
        <f>IF('Items sous domaines Sciences '!G402=1,'Items sous domaines Sciences '!D402,0)</f>
        <v>0</v>
      </c>
      <c r="E400" s="8">
        <f>IF('Items sous domaines Sciences '!G402=1,'Items sous domaines Sciences '!E402,0)</f>
        <v>0</v>
      </c>
      <c r="F400" t="e">
        <f>IF('Items sous domaines Sciences '!#REF!=1,'Items sous domaines Sciences '!#REF!,0)</f>
        <v>#REF!</v>
      </c>
      <c r="G400" s="3"/>
    </row>
    <row r="401" spans="2:7" customFormat="1" ht="13.2" hidden="1" x14ac:dyDescent="0.25">
      <c r="B401" s="8">
        <f>IF('Items sous domaines Sciences '!G403=1,'Items sous domaines Sciences '!B403,0)</f>
        <v>0</v>
      </c>
      <c r="C401" s="8">
        <f>IF('Items sous domaines Sciences '!G403=1,'Items sous domaines Sciences '!C403,0)</f>
        <v>0</v>
      </c>
      <c r="D401" s="8">
        <f>IF('Items sous domaines Sciences '!G403=1,'Items sous domaines Sciences '!D403,0)</f>
        <v>0</v>
      </c>
      <c r="E401" s="8">
        <f>IF('Items sous domaines Sciences '!G403=1,'Items sous domaines Sciences '!E403,0)</f>
        <v>0</v>
      </c>
      <c r="F401" t="e">
        <f>IF('Items sous domaines Sciences '!#REF!=1,'Items sous domaines Sciences '!#REF!,0)</f>
        <v>#REF!</v>
      </c>
      <c r="G401" s="3"/>
    </row>
    <row r="402" spans="2:7" customFormat="1" ht="13.2" hidden="1" x14ac:dyDescent="0.25">
      <c r="B402" s="8">
        <f>IF('Items sous domaines Sciences '!G404=1,'Items sous domaines Sciences '!B404,0)</f>
        <v>0</v>
      </c>
      <c r="C402" s="8">
        <f>IF('Items sous domaines Sciences '!G404=1,'Items sous domaines Sciences '!C404,0)</f>
        <v>0</v>
      </c>
      <c r="D402" s="8">
        <f>IF('Items sous domaines Sciences '!G404=1,'Items sous domaines Sciences '!D404,0)</f>
        <v>0</v>
      </c>
      <c r="E402" s="8">
        <f>IF('Items sous domaines Sciences '!G404=1,'Items sous domaines Sciences '!E404,0)</f>
        <v>0</v>
      </c>
      <c r="F402" t="e">
        <f>IF('Items sous domaines Sciences '!#REF!=1,'Items sous domaines Sciences '!#REF!,0)</f>
        <v>#REF!</v>
      </c>
      <c r="G402" s="3"/>
    </row>
    <row r="403" spans="2:7" customFormat="1" ht="13.2" hidden="1" x14ac:dyDescent="0.25">
      <c r="B403" s="8">
        <f>IF('Items sous domaines Sciences '!G405=1,'Items sous domaines Sciences '!B405,0)</f>
        <v>0</v>
      </c>
      <c r="C403" s="8">
        <f>IF('Items sous domaines Sciences '!G405=1,'Items sous domaines Sciences '!C405,0)</f>
        <v>0</v>
      </c>
      <c r="D403" s="8">
        <f>IF('Items sous domaines Sciences '!G405=1,'Items sous domaines Sciences '!D405,0)</f>
        <v>0</v>
      </c>
      <c r="E403" s="8">
        <f>IF('Items sous domaines Sciences '!G405=1,'Items sous domaines Sciences '!E405,0)</f>
        <v>0</v>
      </c>
      <c r="F403" t="e">
        <f>IF('Items sous domaines Sciences '!#REF!=1,'Items sous domaines Sciences '!#REF!,0)</f>
        <v>#REF!</v>
      </c>
      <c r="G403" s="3"/>
    </row>
    <row r="404" spans="2:7" customFormat="1" ht="13.2" hidden="1" x14ac:dyDescent="0.25">
      <c r="B404" s="8">
        <f>IF('Items sous domaines Sciences '!G406=1,'Items sous domaines Sciences '!B406,0)</f>
        <v>0</v>
      </c>
      <c r="C404" s="8">
        <f>IF('Items sous domaines Sciences '!G406=1,'Items sous domaines Sciences '!C406,0)</f>
        <v>0</v>
      </c>
      <c r="D404" s="8">
        <f>IF('Items sous domaines Sciences '!G406=1,'Items sous domaines Sciences '!D406,0)</f>
        <v>0</v>
      </c>
      <c r="E404" s="8">
        <f>IF('Items sous domaines Sciences '!G406=1,'Items sous domaines Sciences '!E406,0)</f>
        <v>0</v>
      </c>
      <c r="F404" t="e">
        <f>IF('Items sous domaines Sciences '!#REF!=1,'Items sous domaines Sciences '!#REF!,0)</f>
        <v>#REF!</v>
      </c>
      <c r="G404" s="3"/>
    </row>
    <row r="405" spans="2:7" customFormat="1" ht="13.2" hidden="1" x14ac:dyDescent="0.25">
      <c r="B405" s="8">
        <f>IF('Items sous domaines Sciences '!G407=1,'Items sous domaines Sciences '!B407,0)</f>
        <v>0</v>
      </c>
      <c r="C405" s="8">
        <f>IF('Items sous domaines Sciences '!G407=1,'Items sous domaines Sciences '!C407,0)</f>
        <v>0</v>
      </c>
      <c r="D405" s="8">
        <f>IF('Items sous domaines Sciences '!G407=1,'Items sous domaines Sciences '!D407,0)</f>
        <v>0</v>
      </c>
      <c r="E405" s="8">
        <f>IF('Items sous domaines Sciences '!G407=1,'Items sous domaines Sciences '!E407,0)</f>
        <v>0</v>
      </c>
      <c r="F405" t="e">
        <f>IF('Items sous domaines Sciences '!#REF!=1,'Items sous domaines Sciences '!#REF!,0)</f>
        <v>#REF!</v>
      </c>
      <c r="G405" s="3"/>
    </row>
    <row r="406" spans="2:7" customFormat="1" ht="13.2" hidden="1" x14ac:dyDescent="0.25">
      <c r="B406" s="8">
        <f>IF('Items sous domaines Sciences '!G408=1,'Items sous domaines Sciences '!B408,0)</f>
        <v>0</v>
      </c>
      <c r="C406" s="8">
        <f>IF('Items sous domaines Sciences '!G408=1,'Items sous domaines Sciences '!C408,0)</f>
        <v>0</v>
      </c>
      <c r="D406" s="8">
        <f>IF('Items sous domaines Sciences '!G408=1,'Items sous domaines Sciences '!D408,0)</f>
        <v>0</v>
      </c>
      <c r="E406" s="8">
        <f>IF('Items sous domaines Sciences '!G408=1,'Items sous domaines Sciences '!E408,0)</f>
        <v>0</v>
      </c>
      <c r="F406" t="e">
        <f>IF('Items sous domaines Sciences '!#REF!=1,'Items sous domaines Sciences '!#REF!,0)</f>
        <v>#REF!</v>
      </c>
      <c r="G406" s="3"/>
    </row>
    <row r="407" spans="2:7" customFormat="1" ht="13.2" hidden="1" x14ac:dyDescent="0.25">
      <c r="B407" s="8">
        <f>IF('Items sous domaines Sciences '!G409=1,'Items sous domaines Sciences '!B409,0)</f>
        <v>0</v>
      </c>
      <c r="C407" s="8">
        <f>IF('Items sous domaines Sciences '!G409=1,'Items sous domaines Sciences '!C409,0)</f>
        <v>0</v>
      </c>
      <c r="D407" s="8">
        <f>IF('Items sous domaines Sciences '!G409=1,'Items sous domaines Sciences '!D409,0)</f>
        <v>0</v>
      </c>
      <c r="E407" s="8">
        <f>IF('Items sous domaines Sciences '!G409=1,'Items sous domaines Sciences '!E409,0)</f>
        <v>0</v>
      </c>
      <c r="F407" t="e">
        <f>IF('Items sous domaines Sciences '!#REF!=1,'Items sous domaines Sciences '!#REF!,0)</f>
        <v>#REF!</v>
      </c>
      <c r="G407" s="3"/>
    </row>
    <row r="408" spans="2:7" customFormat="1" ht="13.2" hidden="1" x14ac:dyDescent="0.25">
      <c r="B408" s="8">
        <f>IF('Items sous domaines Sciences '!G410=1,'Items sous domaines Sciences '!B410,0)</f>
        <v>0</v>
      </c>
      <c r="C408" s="8">
        <f>IF('Items sous domaines Sciences '!G410=1,'Items sous domaines Sciences '!C410,0)</f>
        <v>0</v>
      </c>
      <c r="D408" s="8">
        <f>IF('Items sous domaines Sciences '!G410=1,'Items sous domaines Sciences '!D410,0)</f>
        <v>0</v>
      </c>
      <c r="E408" s="8">
        <f>IF('Items sous domaines Sciences '!G410=1,'Items sous domaines Sciences '!E410,0)</f>
        <v>0</v>
      </c>
      <c r="F408" t="e">
        <f>IF('Items sous domaines Sciences '!#REF!=1,'Items sous domaines Sciences '!#REF!,0)</f>
        <v>#REF!</v>
      </c>
      <c r="G408" s="3"/>
    </row>
    <row r="409" spans="2:7" customFormat="1" ht="13.2" hidden="1" x14ac:dyDescent="0.25">
      <c r="B409" s="8">
        <f>IF('Items sous domaines Sciences '!G411=1,'Items sous domaines Sciences '!B411,0)</f>
        <v>0</v>
      </c>
      <c r="C409" s="8">
        <f>IF('Items sous domaines Sciences '!G411=1,'Items sous domaines Sciences '!C411,0)</f>
        <v>0</v>
      </c>
      <c r="D409" s="8">
        <f>IF('Items sous domaines Sciences '!G411=1,'Items sous domaines Sciences '!D411,0)</f>
        <v>0</v>
      </c>
      <c r="E409" s="8">
        <f>IF('Items sous domaines Sciences '!G411=1,'Items sous domaines Sciences '!E411,0)</f>
        <v>0</v>
      </c>
      <c r="F409" t="e">
        <f>IF('Items sous domaines Sciences '!#REF!=1,'Items sous domaines Sciences '!#REF!,0)</f>
        <v>#REF!</v>
      </c>
      <c r="G409" s="3"/>
    </row>
    <row r="410" spans="2:7" customFormat="1" ht="13.2" hidden="1" x14ac:dyDescent="0.25">
      <c r="B410" s="8">
        <f>IF('Items sous domaines Sciences '!G412=1,'Items sous domaines Sciences '!B412,0)</f>
        <v>0</v>
      </c>
      <c r="C410" s="8">
        <f>IF('Items sous domaines Sciences '!G412=1,'Items sous domaines Sciences '!C412,0)</f>
        <v>0</v>
      </c>
      <c r="D410" s="8">
        <f>IF('Items sous domaines Sciences '!G412=1,'Items sous domaines Sciences '!D412,0)</f>
        <v>0</v>
      </c>
      <c r="E410" s="8">
        <f>IF('Items sous domaines Sciences '!G412=1,'Items sous domaines Sciences '!E412,0)</f>
        <v>0</v>
      </c>
      <c r="F410" t="e">
        <f>IF('Items sous domaines Sciences '!#REF!=1,'Items sous domaines Sciences '!#REF!,0)</f>
        <v>#REF!</v>
      </c>
      <c r="G410" s="3"/>
    </row>
    <row r="411" spans="2:7" customFormat="1" ht="13.2" hidden="1" x14ac:dyDescent="0.25">
      <c r="B411" s="8">
        <f>IF('Items sous domaines Sciences '!G413=1,'Items sous domaines Sciences '!B413,0)</f>
        <v>0</v>
      </c>
      <c r="C411" s="8">
        <f>IF('Items sous domaines Sciences '!G413=1,'Items sous domaines Sciences '!C413,0)</f>
        <v>0</v>
      </c>
      <c r="D411" s="8">
        <f>IF('Items sous domaines Sciences '!G413=1,'Items sous domaines Sciences '!D413,0)</f>
        <v>0</v>
      </c>
      <c r="E411" s="8">
        <f>IF('Items sous domaines Sciences '!G413=1,'Items sous domaines Sciences '!E413,0)</f>
        <v>0</v>
      </c>
      <c r="F411" t="e">
        <f>IF('Items sous domaines Sciences '!#REF!=1,'Items sous domaines Sciences '!F311,0)</f>
        <v>#REF!</v>
      </c>
      <c r="G411" s="3"/>
    </row>
    <row r="412" spans="2:7" customFormat="1" ht="13.2" hidden="1" x14ac:dyDescent="0.25">
      <c r="B412" s="8">
        <f>IF('Items sous domaines Sciences '!G414=1,'Items sous domaines Sciences '!B414,0)</f>
        <v>0</v>
      </c>
      <c r="C412" s="8">
        <f>IF('Items sous domaines Sciences '!G414=1,'Items sous domaines Sciences '!C414,0)</f>
        <v>0</v>
      </c>
      <c r="D412" s="8">
        <f>IF('Items sous domaines Sciences '!G414=1,'Items sous domaines Sciences '!D414,0)</f>
        <v>0</v>
      </c>
      <c r="E412" s="8">
        <f>IF('Items sous domaines Sciences '!G414=1,'Items sous domaines Sciences '!E414,0)</f>
        <v>0</v>
      </c>
      <c r="F412" t="e">
        <f>IF('Items sous domaines Sciences '!#REF!=1,'Items sous domaines Sciences '!F312,0)</f>
        <v>#REF!</v>
      </c>
      <c r="G412" s="3"/>
    </row>
    <row r="413" spans="2:7" customFormat="1" ht="13.2" hidden="1" x14ac:dyDescent="0.25">
      <c r="B413" s="8">
        <f>IF('Items sous domaines Sciences '!G415=1,'Items sous domaines Sciences '!B415,0)</f>
        <v>0</v>
      </c>
      <c r="C413" s="8">
        <f>IF('Items sous domaines Sciences '!G415=1,'Items sous domaines Sciences '!C415,0)</f>
        <v>0</v>
      </c>
      <c r="D413" s="8">
        <f>IF('Items sous domaines Sciences '!G415=1,'Items sous domaines Sciences '!D415,0)</f>
        <v>0</v>
      </c>
      <c r="E413" s="8">
        <f>IF('Items sous domaines Sciences '!G415=1,'Items sous domaines Sciences '!E415,0)</f>
        <v>0</v>
      </c>
      <c r="F413" t="e">
        <f>IF('Items sous domaines Sciences '!#REF!=1,'Items sous domaines Sciences '!F313,0)</f>
        <v>#REF!</v>
      </c>
      <c r="G413" s="3"/>
    </row>
    <row r="414" spans="2:7" customFormat="1" ht="13.2" hidden="1" x14ac:dyDescent="0.25">
      <c r="B414" s="8">
        <f>IF('Items sous domaines Sciences '!G416=1,'Items sous domaines Sciences '!B416,0)</f>
        <v>0</v>
      </c>
      <c r="C414" s="8">
        <f>IF('Items sous domaines Sciences '!G416=1,'Items sous domaines Sciences '!C416,0)</f>
        <v>0</v>
      </c>
      <c r="D414" s="8">
        <f>IF('Items sous domaines Sciences '!G416=1,'Items sous domaines Sciences '!D416,0)</f>
        <v>0</v>
      </c>
      <c r="E414" s="8">
        <f>IF('Items sous domaines Sciences '!G416=1,'Items sous domaines Sciences '!E416,0)</f>
        <v>0</v>
      </c>
      <c r="F414" t="e">
        <f>IF('Items sous domaines Sciences '!#REF!=1,'Items sous domaines Sciences '!F314,0)</f>
        <v>#REF!</v>
      </c>
      <c r="G414" s="3"/>
    </row>
    <row r="415" spans="2:7" customFormat="1" ht="13.2" hidden="1" x14ac:dyDescent="0.25">
      <c r="B415" s="8">
        <f>IF('Items sous domaines Sciences '!G417=1,'Items sous domaines Sciences '!B417,0)</f>
        <v>0</v>
      </c>
      <c r="C415" s="8">
        <f>IF('Items sous domaines Sciences '!G417=1,'Items sous domaines Sciences '!C417,0)</f>
        <v>0</v>
      </c>
      <c r="D415" s="8">
        <f>IF('Items sous domaines Sciences '!G417=1,'Items sous domaines Sciences '!D417,0)</f>
        <v>0</v>
      </c>
      <c r="E415" s="8">
        <f>IF('Items sous domaines Sciences '!G417=1,'Items sous domaines Sciences '!E417,0)</f>
        <v>0</v>
      </c>
      <c r="F415" t="e">
        <f>IF('Items sous domaines Sciences '!#REF!=1,'Items sous domaines Sciences '!F315,0)</f>
        <v>#REF!</v>
      </c>
      <c r="G415" s="3"/>
    </row>
    <row r="416" spans="2:7" customFormat="1" ht="13.2" hidden="1" x14ac:dyDescent="0.25">
      <c r="B416" s="8">
        <f>IF('Items sous domaines Sciences '!G418=1,'Items sous domaines Sciences '!B418,0)</f>
        <v>0</v>
      </c>
      <c r="C416" s="8">
        <f>IF('Items sous domaines Sciences '!G418=1,'Items sous domaines Sciences '!C418,0)</f>
        <v>0</v>
      </c>
      <c r="D416" s="8">
        <f>IF('Items sous domaines Sciences '!G418=1,'Items sous domaines Sciences '!D418,0)</f>
        <v>0</v>
      </c>
      <c r="E416" s="8">
        <f>IF('Items sous domaines Sciences '!G418=1,'Items sous domaines Sciences '!E418,0)</f>
        <v>0</v>
      </c>
      <c r="F416" t="e">
        <f>IF('Items sous domaines Sciences '!#REF!=1,'Items sous domaines Sciences '!F316,0)</f>
        <v>#REF!</v>
      </c>
      <c r="G416" s="3"/>
    </row>
    <row r="417" spans="2:7" customFormat="1" ht="13.2" hidden="1" x14ac:dyDescent="0.25">
      <c r="B417" s="8">
        <f>IF('Items sous domaines Sciences '!G419=1,'Items sous domaines Sciences '!B419,0)</f>
        <v>0</v>
      </c>
      <c r="C417" s="8">
        <f>IF('Items sous domaines Sciences '!G419=1,'Items sous domaines Sciences '!C419,0)</f>
        <v>0</v>
      </c>
      <c r="D417" s="8">
        <f>IF('Items sous domaines Sciences '!G419=1,'Items sous domaines Sciences '!D419,0)</f>
        <v>0</v>
      </c>
      <c r="E417" s="8">
        <f>IF('Items sous domaines Sciences '!G419=1,'Items sous domaines Sciences '!E419,0)</f>
        <v>0</v>
      </c>
      <c r="F417" t="e">
        <f>IF('Items sous domaines Sciences '!#REF!=1,'Items sous domaines Sciences '!F317,0)</f>
        <v>#REF!</v>
      </c>
      <c r="G417" s="3"/>
    </row>
    <row r="418" spans="2:7" customFormat="1" ht="13.2" hidden="1" x14ac:dyDescent="0.25">
      <c r="B418" s="8">
        <f>IF('Items sous domaines Sciences '!G420=1,'Items sous domaines Sciences '!B420,0)</f>
        <v>0</v>
      </c>
      <c r="C418" s="8">
        <f>IF('Items sous domaines Sciences '!G420=1,'Items sous domaines Sciences '!C420,0)</f>
        <v>0</v>
      </c>
      <c r="D418" s="8">
        <f>IF('Items sous domaines Sciences '!G420=1,'Items sous domaines Sciences '!D420,0)</f>
        <v>0</v>
      </c>
      <c r="E418" s="8">
        <f>IF('Items sous domaines Sciences '!G420=1,'Items sous domaines Sciences '!E420,0)</f>
        <v>0</v>
      </c>
      <c r="F418" t="e">
        <f>IF('Items sous domaines Sciences '!#REF!=1,'Items sous domaines Sciences '!F318,0)</f>
        <v>#REF!</v>
      </c>
      <c r="G418" s="3"/>
    </row>
    <row r="419" spans="2:7" customFormat="1" ht="13.2" hidden="1" x14ac:dyDescent="0.25">
      <c r="B419" s="8">
        <f>IF('Items sous domaines Sciences '!G421=1,'Items sous domaines Sciences '!B421,0)</f>
        <v>0</v>
      </c>
      <c r="C419" s="8">
        <f>IF('Items sous domaines Sciences '!G421=1,'Items sous domaines Sciences '!C421,0)</f>
        <v>0</v>
      </c>
      <c r="D419" s="8">
        <f>IF('Items sous domaines Sciences '!G421=1,'Items sous domaines Sciences '!D421,0)</f>
        <v>0</v>
      </c>
      <c r="E419" s="8">
        <f>IF('Items sous domaines Sciences '!G421=1,'Items sous domaines Sciences '!E421,0)</f>
        <v>0</v>
      </c>
      <c r="F419" t="e">
        <f>IF('Items sous domaines Sciences '!#REF!=1,'Items sous domaines Sciences '!F319,0)</f>
        <v>#REF!</v>
      </c>
      <c r="G419" s="3"/>
    </row>
    <row r="420" spans="2:7" customFormat="1" ht="13.2" hidden="1" x14ac:dyDescent="0.25">
      <c r="B420" s="8">
        <f>IF('Items sous domaines Sciences '!G422=1,'Items sous domaines Sciences '!B422,0)</f>
        <v>0</v>
      </c>
      <c r="C420" s="8">
        <f>IF('Items sous domaines Sciences '!G422=1,'Items sous domaines Sciences '!C422,0)</f>
        <v>0</v>
      </c>
      <c r="D420" s="8">
        <f>IF('Items sous domaines Sciences '!G422=1,'Items sous domaines Sciences '!D422,0)</f>
        <v>0</v>
      </c>
      <c r="E420" s="8">
        <f>IF('Items sous domaines Sciences '!G422=1,'Items sous domaines Sciences '!E422,0)</f>
        <v>0</v>
      </c>
      <c r="F420" t="e">
        <f>IF('Items sous domaines Sciences '!#REF!=1,'Items sous domaines Sciences '!F320,0)</f>
        <v>#REF!</v>
      </c>
      <c r="G420" s="3"/>
    </row>
    <row r="421" spans="2:7" customFormat="1" ht="13.2" hidden="1" x14ac:dyDescent="0.25">
      <c r="B421" s="8">
        <f>IF('Items sous domaines Sciences '!G423=1,'Items sous domaines Sciences '!B423,0)</f>
        <v>0</v>
      </c>
      <c r="C421" s="8">
        <f>IF('Items sous domaines Sciences '!G423=1,'Items sous domaines Sciences '!C423,0)</f>
        <v>0</v>
      </c>
      <c r="D421" s="8">
        <f>IF('Items sous domaines Sciences '!G423=1,'Items sous domaines Sciences '!D423,0)</f>
        <v>0</v>
      </c>
      <c r="E421" s="8">
        <f>IF('Items sous domaines Sciences '!G423=1,'Items sous domaines Sciences '!E423,0)</f>
        <v>0</v>
      </c>
      <c r="F421" t="e">
        <f>IF('Items sous domaines Sciences '!#REF!=1,'Items sous domaines Sciences '!F321,0)</f>
        <v>#REF!</v>
      </c>
      <c r="G421" s="3"/>
    </row>
    <row r="422" spans="2:7" customFormat="1" ht="13.2" hidden="1" x14ac:dyDescent="0.25">
      <c r="B422" s="8">
        <f>IF('Items sous domaines Sciences '!G424=1,'Items sous domaines Sciences '!B424,0)</f>
        <v>0</v>
      </c>
      <c r="C422" s="8">
        <f>IF('Items sous domaines Sciences '!G424=1,'Items sous domaines Sciences '!C424,0)</f>
        <v>0</v>
      </c>
      <c r="D422" s="8">
        <f>IF('Items sous domaines Sciences '!G424=1,'Items sous domaines Sciences '!D424,0)</f>
        <v>0</v>
      </c>
      <c r="E422" s="8">
        <f>IF('Items sous domaines Sciences '!G424=1,'Items sous domaines Sciences '!E424,0)</f>
        <v>0</v>
      </c>
      <c r="F422" t="e">
        <f>IF('Items sous domaines Sciences '!#REF!=1,'Items sous domaines Sciences '!F322,0)</f>
        <v>#REF!</v>
      </c>
      <c r="G422" s="3"/>
    </row>
    <row r="423" spans="2:7" customFormat="1" ht="13.2" hidden="1" x14ac:dyDescent="0.25">
      <c r="B423" s="8">
        <f>IF('Items sous domaines Sciences '!G425=1,'Items sous domaines Sciences '!B425,0)</f>
        <v>0</v>
      </c>
      <c r="C423" s="8">
        <f>IF('Items sous domaines Sciences '!G425=1,'Items sous domaines Sciences '!C425,0)</f>
        <v>0</v>
      </c>
      <c r="D423" s="8">
        <f>IF('Items sous domaines Sciences '!G425=1,'Items sous domaines Sciences '!D425,0)</f>
        <v>0</v>
      </c>
      <c r="E423" s="8">
        <f>IF('Items sous domaines Sciences '!G425=1,'Items sous domaines Sciences '!E425,0)</f>
        <v>0</v>
      </c>
      <c r="F423" t="e">
        <f>IF('Items sous domaines Sciences '!#REF!=1,'Items sous domaines Sciences '!F323,0)</f>
        <v>#REF!</v>
      </c>
      <c r="G423" s="3"/>
    </row>
    <row r="424" spans="2:7" customFormat="1" ht="13.2" hidden="1" x14ac:dyDescent="0.25">
      <c r="B424" s="8">
        <f>IF('Items sous domaines Sciences '!G426=1,'Items sous domaines Sciences '!B426,0)</f>
        <v>0</v>
      </c>
      <c r="C424" s="8">
        <f>IF('Items sous domaines Sciences '!G426=1,'Items sous domaines Sciences '!C426,0)</f>
        <v>0</v>
      </c>
      <c r="D424" s="8">
        <f>IF('Items sous domaines Sciences '!G426=1,'Items sous domaines Sciences '!D426,0)</f>
        <v>0</v>
      </c>
      <c r="E424" s="8">
        <f>IF('Items sous domaines Sciences '!G426=1,'Items sous domaines Sciences '!E426,0)</f>
        <v>0</v>
      </c>
      <c r="F424" t="e">
        <f>IF('Items sous domaines Sciences '!#REF!=1,'Items sous domaines Sciences '!F324,0)</f>
        <v>#REF!</v>
      </c>
      <c r="G424" s="3"/>
    </row>
    <row r="425" spans="2:7" customFormat="1" ht="13.2" hidden="1" x14ac:dyDescent="0.25">
      <c r="B425" s="8">
        <f>IF('Items sous domaines Sciences '!G427=1,'Items sous domaines Sciences '!B427,0)</f>
        <v>0</v>
      </c>
      <c r="C425" s="8">
        <f>IF('Items sous domaines Sciences '!G427=1,'Items sous domaines Sciences '!C427,0)</f>
        <v>0</v>
      </c>
      <c r="D425" s="8">
        <f>IF('Items sous domaines Sciences '!G427=1,'Items sous domaines Sciences '!D427,0)</f>
        <v>0</v>
      </c>
      <c r="E425" s="8">
        <f>IF('Items sous domaines Sciences '!G427=1,'Items sous domaines Sciences '!E427,0)</f>
        <v>0</v>
      </c>
      <c r="F425" t="e">
        <f>IF('Items sous domaines Sciences '!#REF!=1,'Items sous domaines Sciences '!F325,0)</f>
        <v>#REF!</v>
      </c>
      <c r="G425" s="3"/>
    </row>
    <row r="426" spans="2:7" customFormat="1" ht="13.2" hidden="1" x14ac:dyDescent="0.25">
      <c r="B426" s="8">
        <f>IF('Items sous domaines Sciences '!G428=1,'Items sous domaines Sciences '!B428,0)</f>
        <v>0</v>
      </c>
      <c r="C426" s="8">
        <f>IF('Items sous domaines Sciences '!G428=1,'Items sous domaines Sciences '!C428,0)</f>
        <v>0</v>
      </c>
      <c r="D426" s="8">
        <f>IF('Items sous domaines Sciences '!G428=1,'Items sous domaines Sciences '!D428,0)</f>
        <v>0</v>
      </c>
      <c r="E426" s="8">
        <f>IF('Items sous domaines Sciences '!G428=1,'Items sous domaines Sciences '!E428,0)</f>
        <v>0</v>
      </c>
      <c r="F426" t="e">
        <f>IF('Items sous domaines Sciences '!#REF!=1,'Items sous domaines Sciences '!F326,0)</f>
        <v>#REF!</v>
      </c>
      <c r="G426" s="3"/>
    </row>
    <row r="427" spans="2:7" customFormat="1" ht="13.2" hidden="1" x14ac:dyDescent="0.25">
      <c r="B427" s="8">
        <f>IF('Items sous domaines Sciences '!G429=1,'Items sous domaines Sciences '!B429,0)</f>
        <v>0</v>
      </c>
      <c r="C427" s="8">
        <f>IF('Items sous domaines Sciences '!G429=1,'Items sous domaines Sciences '!C429,0)</f>
        <v>0</v>
      </c>
      <c r="D427" s="8">
        <f>IF('Items sous domaines Sciences '!G429=1,'Items sous domaines Sciences '!D429,0)</f>
        <v>0</v>
      </c>
      <c r="E427" s="8">
        <f>IF('Items sous domaines Sciences '!G429=1,'Items sous domaines Sciences '!E429,0)</f>
        <v>0</v>
      </c>
      <c r="F427" t="e">
        <f>IF('Items sous domaines Sciences '!#REF!=1,'Items sous domaines Sciences '!F327,0)</f>
        <v>#REF!</v>
      </c>
      <c r="G427" s="3"/>
    </row>
    <row r="428" spans="2:7" customFormat="1" ht="13.2" hidden="1" x14ac:dyDescent="0.25">
      <c r="B428" s="8">
        <f>IF('Items sous domaines Sciences '!G430=1,'Items sous domaines Sciences '!B430,0)</f>
        <v>0</v>
      </c>
      <c r="C428" s="8">
        <f>IF('Items sous domaines Sciences '!G430=1,'Items sous domaines Sciences '!C430,0)</f>
        <v>0</v>
      </c>
      <c r="D428" s="8">
        <f>IF('Items sous domaines Sciences '!G430=1,'Items sous domaines Sciences '!D430,0)</f>
        <v>0</v>
      </c>
      <c r="E428" s="8">
        <f>IF('Items sous domaines Sciences '!G430=1,'Items sous domaines Sciences '!E430,0)</f>
        <v>0</v>
      </c>
      <c r="F428" t="e">
        <f>IF('Items sous domaines Sciences '!#REF!=1,'Items sous domaines Sciences '!F328,0)</f>
        <v>#REF!</v>
      </c>
      <c r="G428" s="3"/>
    </row>
    <row r="429" spans="2:7" customFormat="1" ht="13.2" hidden="1" x14ac:dyDescent="0.25">
      <c r="B429" s="8">
        <f>IF('Items sous domaines Sciences '!G431=1,'Items sous domaines Sciences '!B431,0)</f>
        <v>0</v>
      </c>
      <c r="C429" s="8">
        <f>IF('Items sous domaines Sciences '!G431=1,'Items sous domaines Sciences '!C431,0)</f>
        <v>0</v>
      </c>
      <c r="D429" s="8">
        <f>IF('Items sous domaines Sciences '!G431=1,'Items sous domaines Sciences '!D431,0)</f>
        <v>0</v>
      </c>
      <c r="E429" s="8">
        <f>IF('Items sous domaines Sciences '!G431=1,'Items sous domaines Sciences '!E431,0)</f>
        <v>0</v>
      </c>
      <c r="F429" t="e">
        <f>IF('Items sous domaines Sciences '!#REF!=1,'Items sous domaines Sciences '!F329,0)</f>
        <v>#REF!</v>
      </c>
      <c r="G429" s="3"/>
    </row>
    <row r="430" spans="2:7" customFormat="1" ht="13.2" hidden="1" x14ac:dyDescent="0.25">
      <c r="B430" s="8">
        <f>IF('Items sous domaines Sciences '!G432=1,'Items sous domaines Sciences '!B432,0)</f>
        <v>0</v>
      </c>
      <c r="C430" s="8">
        <f>IF('Items sous domaines Sciences '!G432=1,'Items sous domaines Sciences '!C432,0)</f>
        <v>0</v>
      </c>
      <c r="D430" s="8">
        <f>IF('Items sous domaines Sciences '!G432=1,'Items sous domaines Sciences '!D432,0)</f>
        <v>0</v>
      </c>
      <c r="E430" s="8">
        <f>IF('Items sous domaines Sciences '!G432=1,'Items sous domaines Sciences '!E432,0)</f>
        <v>0</v>
      </c>
      <c r="F430" t="e">
        <f>IF('Items sous domaines Sciences '!#REF!=1,'Items sous domaines Sciences '!F330,0)</f>
        <v>#REF!</v>
      </c>
      <c r="G430" s="3"/>
    </row>
    <row r="431" spans="2:7" customFormat="1" ht="13.2" hidden="1" x14ac:dyDescent="0.25">
      <c r="B431" s="8">
        <f>IF('Items sous domaines Sciences '!G433=1,'Items sous domaines Sciences '!B433,0)</f>
        <v>0</v>
      </c>
      <c r="C431" s="8">
        <f>IF('Items sous domaines Sciences '!G433=1,'Items sous domaines Sciences '!C433,0)</f>
        <v>0</v>
      </c>
      <c r="D431" s="8">
        <f>IF('Items sous domaines Sciences '!G433=1,'Items sous domaines Sciences '!D433,0)</f>
        <v>0</v>
      </c>
      <c r="E431" s="8">
        <f>IF('Items sous domaines Sciences '!G433=1,'Items sous domaines Sciences '!E433,0)</f>
        <v>0</v>
      </c>
      <c r="F431" t="e">
        <f>IF('Items sous domaines Sciences '!#REF!=1,'Items sous domaines Sciences '!F331,0)</f>
        <v>#REF!</v>
      </c>
      <c r="G431" s="3"/>
    </row>
    <row r="432" spans="2:7" customFormat="1" ht="13.2" hidden="1" x14ac:dyDescent="0.25">
      <c r="B432" s="8">
        <f>IF('Items sous domaines Sciences '!G434=1,'Items sous domaines Sciences '!B434,0)</f>
        <v>0</v>
      </c>
      <c r="C432" s="8">
        <f>IF('Items sous domaines Sciences '!G434=1,'Items sous domaines Sciences '!C434,0)</f>
        <v>0</v>
      </c>
      <c r="D432" s="8">
        <f>IF('Items sous domaines Sciences '!G434=1,'Items sous domaines Sciences '!D434,0)</f>
        <v>0</v>
      </c>
      <c r="E432" s="8">
        <f>IF('Items sous domaines Sciences '!G434=1,'Items sous domaines Sciences '!E434,0)</f>
        <v>0</v>
      </c>
      <c r="F432">
        <f>IF('Items sous domaines Sciences '!G332=1,'Items sous domaines Sciences '!#REF!,0)</f>
        <v>0</v>
      </c>
      <c r="G432" s="3"/>
    </row>
    <row r="433" spans="2:7" customFormat="1" ht="13.2" hidden="1" x14ac:dyDescent="0.25">
      <c r="B433" s="8">
        <f>IF('Items sous domaines Sciences '!G435=1,'Items sous domaines Sciences '!B435,0)</f>
        <v>0</v>
      </c>
      <c r="C433" s="8">
        <f>IF('Items sous domaines Sciences '!G435=1,'Items sous domaines Sciences '!C435,0)</f>
        <v>0</v>
      </c>
      <c r="D433" s="8">
        <f>IF('Items sous domaines Sciences '!G435=1,'Items sous domaines Sciences '!D435,0)</f>
        <v>0</v>
      </c>
      <c r="E433" s="8">
        <f>IF('Items sous domaines Sciences '!G435=1,'Items sous domaines Sciences '!E435,0)</f>
        <v>0</v>
      </c>
      <c r="F433">
        <f>IF('Items sous domaines Sciences '!G333=1,'Items sous domaines Sciences '!#REF!,0)</f>
        <v>0</v>
      </c>
      <c r="G433" s="3"/>
    </row>
    <row r="434" spans="2:7" customFormat="1" ht="13.2" hidden="1" x14ac:dyDescent="0.25">
      <c r="B434" s="8">
        <f>IF('Items sous domaines Sciences '!G436=1,'Items sous domaines Sciences '!B436,0)</f>
        <v>0</v>
      </c>
      <c r="C434" s="8">
        <f>IF('Items sous domaines Sciences '!G436=1,'Items sous domaines Sciences '!C436,0)</f>
        <v>0</v>
      </c>
      <c r="D434" s="8">
        <f>IF('Items sous domaines Sciences '!G436=1,'Items sous domaines Sciences '!D436,0)</f>
        <v>0</v>
      </c>
      <c r="E434" s="8">
        <f>IF('Items sous domaines Sciences '!G436=1,'Items sous domaines Sciences '!E436,0)</f>
        <v>0</v>
      </c>
      <c r="F434">
        <f>IF('Items sous domaines Sciences '!G334=1,'Items sous domaines Sciences '!#REF!,0)</f>
        <v>0</v>
      </c>
      <c r="G434" s="3"/>
    </row>
    <row r="435" spans="2:7" customFormat="1" ht="13.2" hidden="1" x14ac:dyDescent="0.25">
      <c r="B435" s="8">
        <f>IF('Items sous domaines Sciences '!G437=1,'Items sous domaines Sciences '!B437,0)</f>
        <v>0</v>
      </c>
      <c r="C435" s="8">
        <f>IF('Items sous domaines Sciences '!G437=1,'Items sous domaines Sciences '!C437,0)</f>
        <v>0</v>
      </c>
      <c r="D435" s="8">
        <f>IF('Items sous domaines Sciences '!G437=1,'Items sous domaines Sciences '!D437,0)</f>
        <v>0</v>
      </c>
      <c r="E435" s="8">
        <f>IF('Items sous domaines Sciences '!G437=1,'Items sous domaines Sciences '!E437,0)</f>
        <v>0</v>
      </c>
      <c r="F435">
        <f>IF('Items sous domaines Sciences '!G335=1,'Items sous domaines Sciences '!#REF!,0)</f>
        <v>0</v>
      </c>
      <c r="G435" s="3"/>
    </row>
    <row r="436" spans="2:7" customFormat="1" ht="13.2" hidden="1" x14ac:dyDescent="0.25">
      <c r="B436" s="8">
        <f>IF('Items sous domaines Sciences '!G438=1,'Items sous domaines Sciences '!B438,0)</f>
        <v>0</v>
      </c>
      <c r="C436" s="8">
        <f>IF('Items sous domaines Sciences '!G438=1,'Items sous domaines Sciences '!C438,0)</f>
        <v>0</v>
      </c>
      <c r="D436" s="8">
        <f>IF('Items sous domaines Sciences '!G438=1,'Items sous domaines Sciences '!D438,0)</f>
        <v>0</v>
      </c>
      <c r="E436" s="8">
        <f>IF('Items sous domaines Sciences '!G438=1,'Items sous domaines Sciences '!E438,0)</f>
        <v>0</v>
      </c>
      <c r="F436">
        <f>IF('Items sous domaines Sciences '!G336=1,'Items sous domaines Sciences '!#REF!,0)</f>
        <v>0</v>
      </c>
      <c r="G436" s="3"/>
    </row>
    <row r="437" spans="2:7" customFormat="1" ht="13.2" hidden="1" x14ac:dyDescent="0.25">
      <c r="B437" s="8">
        <f>IF('Items sous domaines Sciences '!G439=1,'Items sous domaines Sciences '!B439,0)</f>
        <v>0</v>
      </c>
      <c r="C437" s="8">
        <f>IF('Items sous domaines Sciences '!G439=1,'Items sous domaines Sciences '!C439,0)</f>
        <v>0</v>
      </c>
      <c r="D437" s="8">
        <f>IF('Items sous domaines Sciences '!G439=1,'Items sous domaines Sciences '!D439,0)</f>
        <v>0</v>
      </c>
      <c r="E437" s="8">
        <f>IF('Items sous domaines Sciences '!G439=1,'Items sous domaines Sciences '!E439,0)</f>
        <v>0</v>
      </c>
      <c r="F437">
        <f>IF('Items sous domaines Sciences '!G337=1,'Items sous domaines Sciences '!#REF!,0)</f>
        <v>0</v>
      </c>
      <c r="G437" s="3"/>
    </row>
    <row r="438" spans="2:7" customFormat="1" ht="13.2" hidden="1" x14ac:dyDescent="0.25">
      <c r="B438" s="8">
        <f>IF('Items sous domaines Sciences '!G440=1,'Items sous domaines Sciences '!B440,0)</f>
        <v>0</v>
      </c>
      <c r="C438" s="8">
        <f>IF('Items sous domaines Sciences '!G440=1,'Items sous domaines Sciences '!C440,0)</f>
        <v>0</v>
      </c>
      <c r="D438" s="8">
        <f>IF('Items sous domaines Sciences '!G440=1,'Items sous domaines Sciences '!D440,0)</f>
        <v>0</v>
      </c>
      <c r="E438" s="8">
        <f>IF('Items sous domaines Sciences '!G440=1,'Items sous domaines Sciences '!E440,0)</f>
        <v>0</v>
      </c>
      <c r="F438">
        <f>IF('Items sous domaines Sciences '!G338=1,'Items sous domaines Sciences '!#REF!,0)</f>
        <v>0</v>
      </c>
      <c r="G438" s="3"/>
    </row>
    <row r="439" spans="2:7" customFormat="1" ht="13.2" hidden="1" x14ac:dyDescent="0.25">
      <c r="B439" s="8">
        <f>IF('Items sous domaines Sciences '!G441=1,'Items sous domaines Sciences '!B441,0)</f>
        <v>0</v>
      </c>
      <c r="C439" s="8">
        <f>IF('Items sous domaines Sciences '!G441=1,'Items sous domaines Sciences '!C441,0)</f>
        <v>0</v>
      </c>
      <c r="D439" s="8">
        <f>IF('Items sous domaines Sciences '!G441=1,'Items sous domaines Sciences '!D441,0)</f>
        <v>0</v>
      </c>
      <c r="E439" s="8">
        <f>IF('Items sous domaines Sciences '!G441=1,'Items sous domaines Sciences '!E441,0)</f>
        <v>0</v>
      </c>
      <c r="F439">
        <f>IF('Items sous domaines Sciences '!G339=1,'Items sous domaines Sciences '!#REF!,0)</f>
        <v>0</v>
      </c>
      <c r="G439" s="3"/>
    </row>
    <row r="440" spans="2:7" customFormat="1" ht="13.2" hidden="1" x14ac:dyDescent="0.25">
      <c r="B440" s="8">
        <f>IF('Items sous domaines Sciences '!G442=1,'Items sous domaines Sciences '!B442,0)</f>
        <v>0</v>
      </c>
      <c r="C440" s="8">
        <f>IF('Items sous domaines Sciences '!G442=1,'Items sous domaines Sciences '!C442,0)</f>
        <v>0</v>
      </c>
      <c r="D440" s="8">
        <f>IF('Items sous domaines Sciences '!G442=1,'Items sous domaines Sciences '!D442,0)</f>
        <v>0</v>
      </c>
      <c r="E440" s="8">
        <f>IF('Items sous domaines Sciences '!G442=1,'Items sous domaines Sciences '!E442,0)</f>
        <v>0</v>
      </c>
      <c r="F440">
        <f>IF('Items sous domaines Sciences '!G340=1,'Items sous domaines Sciences '!#REF!,0)</f>
        <v>0</v>
      </c>
      <c r="G440" s="3"/>
    </row>
    <row r="441" spans="2:7" customFormat="1" ht="13.2" hidden="1" x14ac:dyDescent="0.25">
      <c r="B441" s="8">
        <f>IF('Items sous domaines Sciences '!G443=1,'Items sous domaines Sciences '!B443,0)</f>
        <v>0</v>
      </c>
      <c r="C441" s="8">
        <f>IF('Items sous domaines Sciences '!G443=1,'Items sous domaines Sciences '!C443,0)</f>
        <v>0</v>
      </c>
      <c r="D441" s="8">
        <f>IF('Items sous domaines Sciences '!G443=1,'Items sous domaines Sciences '!D443,0)</f>
        <v>0</v>
      </c>
      <c r="E441" s="8">
        <f>IF('Items sous domaines Sciences '!G443=1,'Items sous domaines Sciences '!E443,0)</f>
        <v>0</v>
      </c>
      <c r="F441">
        <f>IF('Items sous domaines Sciences '!G341=1,'Items sous domaines Sciences '!#REF!,0)</f>
        <v>0</v>
      </c>
      <c r="G441" s="3"/>
    </row>
    <row r="442" spans="2:7" customFormat="1" ht="13.2" hidden="1" x14ac:dyDescent="0.25">
      <c r="B442" s="8">
        <f>IF('Items sous domaines Sciences '!G444=1,'Items sous domaines Sciences '!B444,0)</f>
        <v>0</v>
      </c>
      <c r="C442" s="8">
        <f>IF('Items sous domaines Sciences '!G444=1,'Items sous domaines Sciences '!C444,0)</f>
        <v>0</v>
      </c>
      <c r="D442" s="8">
        <f>IF('Items sous domaines Sciences '!G444=1,'Items sous domaines Sciences '!D444,0)</f>
        <v>0</v>
      </c>
      <c r="E442" s="8">
        <f>IF('Items sous domaines Sciences '!G444=1,'Items sous domaines Sciences '!E444,0)</f>
        <v>0</v>
      </c>
      <c r="F442">
        <f>IF('Items sous domaines Sciences '!G342=1,'Items sous domaines Sciences '!#REF!,0)</f>
        <v>0</v>
      </c>
      <c r="G442" s="3"/>
    </row>
    <row r="443" spans="2:7" customFormat="1" ht="13.2" hidden="1" x14ac:dyDescent="0.25">
      <c r="B443" s="8">
        <f>IF('Items sous domaines Sciences '!G445=1,'Items sous domaines Sciences '!B445,0)</f>
        <v>0</v>
      </c>
      <c r="C443" s="8">
        <f>IF('Items sous domaines Sciences '!G445=1,'Items sous domaines Sciences '!C445,0)</f>
        <v>0</v>
      </c>
      <c r="D443" s="8">
        <f>IF('Items sous domaines Sciences '!G445=1,'Items sous domaines Sciences '!D445,0)</f>
        <v>0</v>
      </c>
      <c r="E443" s="8">
        <f>IF('Items sous domaines Sciences '!G445=1,'Items sous domaines Sciences '!E445,0)</f>
        <v>0</v>
      </c>
      <c r="F443">
        <f>IF('Items sous domaines Sciences '!G343=1,'Items sous domaines Sciences '!#REF!,0)</f>
        <v>0</v>
      </c>
      <c r="G443" s="3"/>
    </row>
    <row r="444" spans="2:7" customFormat="1" ht="13.2" hidden="1" x14ac:dyDescent="0.25">
      <c r="B444" s="8">
        <f>IF('Items sous domaines Sciences '!G446=1,'Items sous domaines Sciences '!B446,0)</f>
        <v>0</v>
      </c>
      <c r="C444" s="8">
        <f>IF('Items sous domaines Sciences '!G446=1,'Items sous domaines Sciences '!C446,0)</f>
        <v>0</v>
      </c>
      <c r="D444" s="8">
        <f>IF('Items sous domaines Sciences '!G446=1,'Items sous domaines Sciences '!D446,0)</f>
        <v>0</v>
      </c>
      <c r="E444" s="8">
        <f>IF('Items sous domaines Sciences '!G446=1,'Items sous domaines Sciences '!E446,0)</f>
        <v>0</v>
      </c>
      <c r="F444">
        <f>IF('Items sous domaines Sciences '!G344=1,'Items sous domaines Sciences '!#REF!,0)</f>
        <v>0</v>
      </c>
      <c r="G444" s="3"/>
    </row>
    <row r="445" spans="2:7" customFormat="1" ht="13.2" hidden="1" x14ac:dyDescent="0.25">
      <c r="B445" s="8">
        <f>IF('Items sous domaines Sciences '!G447=1,'Items sous domaines Sciences '!B447,0)</f>
        <v>0</v>
      </c>
      <c r="C445" s="8">
        <f>IF('Items sous domaines Sciences '!G447=1,'Items sous domaines Sciences '!C447,0)</f>
        <v>0</v>
      </c>
      <c r="D445" s="8">
        <f>IF('Items sous domaines Sciences '!G447=1,'Items sous domaines Sciences '!D447,0)</f>
        <v>0</v>
      </c>
      <c r="E445" s="8">
        <f>IF('Items sous domaines Sciences '!G447=1,'Items sous domaines Sciences '!E447,0)</f>
        <v>0</v>
      </c>
      <c r="F445">
        <f>IF('Items sous domaines Sciences '!G345=1,'Items sous domaines Sciences '!#REF!,0)</f>
        <v>0</v>
      </c>
      <c r="G445" s="3"/>
    </row>
    <row r="446" spans="2:7" customFormat="1" ht="13.2" hidden="1" x14ac:dyDescent="0.25">
      <c r="B446" s="8">
        <f>IF('Items sous domaines Sciences '!G448=1,'Items sous domaines Sciences '!B448,0)</f>
        <v>0</v>
      </c>
      <c r="C446" s="8">
        <f>IF('Items sous domaines Sciences '!G448=1,'Items sous domaines Sciences '!C448,0)</f>
        <v>0</v>
      </c>
      <c r="D446" s="8">
        <f>IF('Items sous domaines Sciences '!G448=1,'Items sous domaines Sciences '!D448,0)</f>
        <v>0</v>
      </c>
      <c r="E446" s="8">
        <f>IF('Items sous domaines Sciences '!G448=1,'Items sous domaines Sciences '!E448,0)</f>
        <v>0</v>
      </c>
      <c r="F446">
        <f>IF('Items sous domaines Sciences '!G346=1,'Items sous domaines Sciences '!#REF!,0)</f>
        <v>0</v>
      </c>
      <c r="G446" s="3"/>
    </row>
    <row r="447" spans="2:7" customFormat="1" ht="13.2" hidden="1" x14ac:dyDescent="0.25">
      <c r="B447" s="8">
        <f>IF('Items sous domaines Sciences '!G449=1,'Items sous domaines Sciences '!B449,0)</f>
        <v>0</v>
      </c>
      <c r="C447" s="8">
        <f>IF('Items sous domaines Sciences '!G449=1,'Items sous domaines Sciences '!C449,0)</f>
        <v>0</v>
      </c>
      <c r="D447" s="8">
        <f>IF('Items sous domaines Sciences '!G449=1,'Items sous domaines Sciences '!D449,0)</f>
        <v>0</v>
      </c>
      <c r="E447" s="8">
        <f>IF('Items sous domaines Sciences '!G449=1,'Items sous domaines Sciences '!E449,0)</f>
        <v>0</v>
      </c>
      <c r="F447">
        <f>IF('Items sous domaines Sciences '!G347=1,'Items sous domaines Sciences '!#REF!,0)</f>
        <v>0</v>
      </c>
      <c r="G447" s="3"/>
    </row>
    <row r="448" spans="2:7" customFormat="1" ht="13.2" hidden="1" x14ac:dyDescent="0.25">
      <c r="B448" s="8">
        <f>IF('Items sous domaines Sciences '!G450=1,'Items sous domaines Sciences '!B450,0)</f>
        <v>0</v>
      </c>
      <c r="C448" s="8">
        <f>IF('Items sous domaines Sciences '!G450=1,'Items sous domaines Sciences '!C450,0)</f>
        <v>0</v>
      </c>
      <c r="D448" s="8">
        <f>IF('Items sous domaines Sciences '!G450=1,'Items sous domaines Sciences '!D450,0)</f>
        <v>0</v>
      </c>
      <c r="E448" s="8">
        <f>IF('Items sous domaines Sciences '!G450=1,'Items sous domaines Sciences '!E450,0)</f>
        <v>0</v>
      </c>
      <c r="F448">
        <f>IF('Items sous domaines Sciences '!G348=1,'Items sous domaines Sciences '!#REF!,0)</f>
        <v>0</v>
      </c>
      <c r="G448" s="3"/>
    </row>
    <row r="449" spans="2:7" customFormat="1" ht="13.2" hidden="1" x14ac:dyDescent="0.25">
      <c r="B449" s="8">
        <f>IF('Items sous domaines Sciences '!G451=1,'Items sous domaines Sciences '!B451,0)</f>
        <v>0</v>
      </c>
      <c r="C449" s="8">
        <f>IF('Items sous domaines Sciences '!G451=1,'Items sous domaines Sciences '!C451,0)</f>
        <v>0</v>
      </c>
      <c r="D449" s="8">
        <f>IF('Items sous domaines Sciences '!G451=1,'Items sous domaines Sciences '!D451,0)</f>
        <v>0</v>
      </c>
      <c r="E449" s="8">
        <f>IF('Items sous domaines Sciences '!G451=1,'Items sous domaines Sciences '!E451,0)</f>
        <v>0</v>
      </c>
      <c r="F449">
        <f>IF('Items sous domaines Sciences '!G349=1,'Items sous domaines Sciences '!#REF!,0)</f>
        <v>0</v>
      </c>
      <c r="G449" s="3"/>
    </row>
    <row r="450" spans="2:7" customFormat="1" ht="13.2" hidden="1" x14ac:dyDescent="0.25">
      <c r="B450" s="8">
        <f>IF('Items sous domaines Sciences '!G452=1,'Items sous domaines Sciences '!B452,0)</f>
        <v>0</v>
      </c>
      <c r="C450" s="8">
        <f>IF('Items sous domaines Sciences '!G452=1,'Items sous domaines Sciences '!C452,0)</f>
        <v>0</v>
      </c>
      <c r="D450" s="8">
        <f>IF('Items sous domaines Sciences '!G452=1,'Items sous domaines Sciences '!D452,0)</f>
        <v>0</v>
      </c>
      <c r="E450" s="8">
        <f>IF('Items sous domaines Sciences '!G452=1,'Items sous domaines Sciences '!E452,0)</f>
        <v>0</v>
      </c>
      <c r="F450">
        <f>IF('Items sous domaines Sciences '!G350=1,'Items sous domaines Sciences '!#REF!,0)</f>
        <v>0</v>
      </c>
      <c r="G450" s="3"/>
    </row>
    <row r="451" spans="2:7" customFormat="1" ht="13.2" hidden="1" x14ac:dyDescent="0.25">
      <c r="B451" s="8">
        <f>IF('Items sous domaines Sciences '!G453=1,'Items sous domaines Sciences '!B453,0)</f>
        <v>0</v>
      </c>
      <c r="C451" s="8">
        <f>IF('Items sous domaines Sciences '!G453=1,'Items sous domaines Sciences '!C453,0)</f>
        <v>0</v>
      </c>
      <c r="D451" s="8">
        <f>IF('Items sous domaines Sciences '!G453=1,'Items sous domaines Sciences '!D453,0)</f>
        <v>0</v>
      </c>
      <c r="E451" s="8">
        <f>IF('Items sous domaines Sciences '!G453=1,'Items sous domaines Sciences '!E453,0)</f>
        <v>0</v>
      </c>
      <c r="F451">
        <f>IF('Items sous domaines Sciences '!G351=1,'Items sous domaines Sciences '!#REF!,0)</f>
        <v>0</v>
      </c>
      <c r="G451" s="3"/>
    </row>
    <row r="452" spans="2:7" customFormat="1" ht="13.2" hidden="1" x14ac:dyDescent="0.25">
      <c r="B452" s="8">
        <f>IF('Items sous domaines Sciences '!G454=1,'Items sous domaines Sciences '!B454,0)</f>
        <v>0</v>
      </c>
      <c r="C452" s="8">
        <f>IF('Items sous domaines Sciences '!G454=1,'Items sous domaines Sciences '!C454,0)</f>
        <v>0</v>
      </c>
      <c r="D452" s="8">
        <f>IF('Items sous domaines Sciences '!G454=1,'Items sous domaines Sciences '!D454,0)</f>
        <v>0</v>
      </c>
      <c r="E452" s="8">
        <f>IF('Items sous domaines Sciences '!G454=1,'Items sous domaines Sciences '!E454,0)</f>
        <v>0</v>
      </c>
      <c r="F452">
        <f>IF('Items sous domaines Sciences '!G352=1,'Items sous domaines Sciences '!#REF!,0)</f>
        <v>0</v>
      </c>
      <c r="G452" s="3"/>
    </row>
    <row r="453" spans="2:7" customFormat="1" ht="13.2" hidden="1" x14ac:dyDescent="0.25">
      <c r="B453" s="8">
        <f>IF('Items sous domaines Sciences '!G455=1,'Items sous domaines Sciences '!B455,0)</f>
        <v>0</v>
      </c>
      <c r="C453" s="8">
        <f>IF('Items sous domaines Sciences '!G455=1,'Items sous domaines Sciences '!C455,0)</f>
        <v>0</v>
      </c>
      <c r="D453" s="8">
        <f>IF('Items sous domaines Sciences '!G455=1,'Items sous domaines Sciences '!D455,0)</f>
        <v>0</v>
      </c>
      <c r="E453" s="8">
        <f>IF('Items sous domaines Sciences '!G455=1,'Items sous domaines Sciences '!E455,0)</f>
        <v>0</v>
      </c>
      <c r="F453">
        <f>IF('Items sous domaines Sciences '!G353=1,'Items sous domaines Sciences '!#REF!,0)</f>
        <v>0</v>
      </c>
      <c r="G453" s="3"/>
    </row>
    <row r="454" spans="2:7" customFormat="1" ht="13.2" hidden="1" x14ac:dyDescent="0.25">
      <c r="B454" s="8">
        <f>IF('Items sous domaines Sciences '!G456=1,'Items sous domaines Sciences '!B456,0)</f>
        <v>0</v>
      </c>
      <c r="C454" s="8">
        <f>IF('Items sous domaines Sciences '!G456=1,'Items sous domaines Sciences '!C456,0)</f>
        <v>0</v>
      </c>
      <c r="D454" s="8">
        <f>IF('Items sous domaines Sciences '!G456=1,'Items sous domaines Sciences '!D456,0)</f>
        <v>0</v>
      </c>
      <c r="E454" s="8">
        <f>IF('Items sous domaines Sciences '!G456=1,'Items sous domaines Sciences '!E456,0)</f>
        <v>0</v>
      </c>
      <c r="F454">
        <f>IF('Items sous domaines Sciences '!G354=1,'Items sous domaines Sciences '!#REF!,0)</f>
        <v>0</v>
      </c>
      <c r="G454" s="3"/>
    </row>
    <row r="455" spans="2:7" customFormat="1" ht="13.2" hidden="1" x14ac:dyDescent="0.25">
      <c r="B455" s="8">
        <f>IF('Items sous domaines Sciences '!G457=1,'Items sous domaines Sciences '!B457,0)</f>
        <v>0</v>
      </c>
      <c r="C455" s="8">
        <f>IF('Items sous domaines Sciences '!G457=1,'Items sous domaines Sciences '!C457,0)</f>
        <v>0</v>
      </c>
      <c r="D455" s="8">
        <f>IF('Items sous domaines Sciences '!G457=1,'Items sous domaines Sciences '!D457,0)</f>
        <v>0</v>
      </c>
      <c r="E455" s="8">
        <f>IF('Items sous domaines Sciences '!G457=1,'Items sous domaines Sciences '!E457,0)</f>
        <v>0</v>
      </c>
      <c r="F455">
        <f>IF('Items sous domaines Sciences '!G355=1,'Items sous domaines Sciences '!#REF!,0)</f>
        <v>0</v>
      </c>
      <c r="G455" s="3"/>
    </row>
    <row r="456" spans="2:7" customFormat="1" ht="13.2" hidden="1" x14ac:dyDescent="0.25">
      <c r="B456" s="8">
        <f>IF('Items sous domaines Sciences '!G458=1,'Items sous domaines Sciences '!B458,0)</f>
        <v>0</v>
      </c>
      <c r="C456" s="8">
        <f>IF('Items sous domaines Sciences '!G458=1,'Items sous domaines Sciences '!C458,0)</f>
        <v>0</v>
      </c>
      <c r="D456" s="8">
        <f>IF('Items sous domaines Sciences '!G458=1,'Items sous domaines Sciences '!D458,0)</f>
        <v>0</v>
      </c>
      <c r="E456" s="8">
        <f>IF('Items sous domaines Sciences '!G458=1,'Items sous domaines Sciences '!E458,0)</f>
        <v>0</v>
      </c>
      <c r="F456">
        <f>IF('Items sous domaines Sciences '!G356=1,'Items sous domaines Sciences '!#REF!,0)</f>
        <v>0</v>
      </c>
      <c r="G456" s="3"/>
    </row>
    <row r="457" spans="2:7" customFormat="1" ht="13.2" hidden="1" x14ac:dyDescent="0.25">
      <c r="B457" s="8">
        <f>IF('Items sous domaines Sciences '!G459=1,'Items sous domaines Sciences '!B459,0)</f>
        <v>0</v>
      </c>
      <c r="C457" s="8">
        <f>IF('Items sous domaines Sciences '!G459=1,'Items sous domaines Sciences '!C459,0)</f>
        <v>0</v>
      </c>
      <c r="D457" s="8">
        <f>IF('Items sous domaines Sciences '!G459=1,'Items sous domaines Sciences '!D459,0)</f>
        <v>0</v>
      </c>
      <c r="E457" s="8">
        <f>IF('Items sous domaines Sciences '!G459=1,'Items sous domaines Sciences '!E459,0)</f>
        <v>0</v>
      </c>
      <c r="F457">
        <f>IF('Items sous domaines Sciences '!G357=1,'Items sous domaines Sciences '!#REF!,0)</f>
        <v>0</v>
      </c>
      <c r="G457" s="3"/>
    </row>
    <row r="458" spans="2:7" customFormat="1" ht="13.2" hidden="1" x14ac:dyDescent="0.25">
      <c r="B458" s="8">
        <f>IF('Items sous domaines Sciences '!G460=1,'Items sous domaines Sciences '!B460,0)</f>
        <v>0</v>
      </c>
      <c r="C458" s="8">
        <f>IF('Items sous domaines Sciences '!G460=1,'Items sous domaines Sciences '!C460,0)</f>
        <v>0</v>
      </c>
      <c r="D458" s="8">
        <f>IF('Items sous domaines Sciences '!G460=1,'Items sous domaines Sciences '!D460,0)</f>
        <v>0</v>
      </c>
      <c r="E458" s="8">
        <f>IF('Items sous domaines Sciences '!G460=1,'Items sous domaines Sciences '!E460,0)</f>
        <v>0</v>
      </c>
      <c r="F458">
        <f>IF('Items sous domaines Sciences '!G358=1,'Items sous domaines Sciences '!#REF!,0)</f>
        <v>0</v>
      </c>
      <c r="G458" s="3"/>
    </row>
    <row r="459" spans="2:7" customFormat="1" ht="13.2" hidden="1" x14ac:dyDescent="0.25">
      <c r="B459" s="8">
        <f>IF('Items sous domaines Sciences '!G461=1,'Items sous domaines Sciences '!B461,0)</f>
        <v>0</v>
      </c>
      <c r="C459" s="8">
        <f>IF('Items sous domaines Sciences '!G461=1,'Items sous domaines Sciences '!C461,0)</f>
        <v>0</v>
      </c>
      <c r="D459" s="8">
        <f>IF('Items sous domaines Sciences '!G461=1,'Items sous domaines Sciences '!D461,0)</f>
        <v>0</v>
      </c>
      <c r="E459" s="8">
        <f>IF('Items sous domaines Sciences '!G461=1,'Items sous domaines Sciences '!E461,0)</f>
        <v>0</v>
      </c>
      <c r="F459">
        <f>IF('Items sous domaines Sciences '!G359=1,'Items sous domaines Sciences '!#REF!,0)</f>
        <v>0</v>
      </c>
      <c r="G459" s="3"/>
    </row>
    <row r="460" spans="2:7" customFormat="1" ht="13.2" hidden="1" x14ac:dyDescent="0.25">
      <c r="B460" s="8">
        <f>IF('Items sous domaines Sciences '!G462=1,'Items sous domaines Sciences '!B462,0)</f>
        <v>0</v>
      </c>
      <c r="C460" s="8">
        <f>IF('Items sous domaines Sciences '!G462=1,'Items sous domaines Sciences '!C462,0)</f>
        <v>0</v>
      </c>
      <c r="D460" s="8">
        <f>IF('Items sous domaines Sciences '!G462=1,'Items sous domaines Sciences '!D462,0)</f>
        <v>0</v>
      </c>
      <c r="E460" s="8">
        <f>IF('Items sous domaines Sciences '!G462=1,'Items sous domaines Sciences '!E462,0)</f>
        <v>0</v>
      </c>
      <c r="F460">
        <f>IF('Items sous domaines Sciences '!G360=1,'Items sous domaines Sciences '!#REF!,0)</f>
        <v>0</v>
      </c>
      <c r="G460" s="3"/>
    </row>
    <row r="461" spans="2:7" customFormat="1" ht="13.2" hidden="1" x14ac:dyDescent="0.25">
      <c r="B461" s="8">
        <f>IF('Items sous domaines Sciences '!G463=1,'Items sous domaines Sciences '!B463,0)</f>
        <v>0</v>
      </c>
      <c r="C461" s="8">
        <f>IF('Items sous domaines Sciences '!G463=1,'Items sous domaines Sciences '!C463,0)</f>
        <v>0</v>
      </c>
      <c r="D461" s="8">
        <f>IF('Items sous domaines Sciences '!G463=1,'Items sous domaines Sciences '!D463,0)</f>
        <v>0</v>
      </c>
      <c r="E461" s="8">
        <f>IF('Items sous domaines Sciences '!G463=1,'Items sous domaines Sciences '!E463,0)</f>
        <v>0</v>
      </c>
      <c r="F461">
        <f>IF('Items sous domaines Sciences '!G361=1,'Items sous domaines Sciences '!#REF!,0)</f>
        <v>0</v>
      </c>
      <c r="G461" s="3"/>
    </row>
    <row r="462" spans="2:7" customFormat="1" ht="13.2" hidden="1" x14ac:dyDescent="0.25">
      <c r="B462" s="8">
        <f>IF('Items sous domaines Sciences '!G464=1,'Items sous domaines Sciences '!B464,0)</f>
        <v>0</v>
      </c>
      <c r="C462" s="8">
        <f>IF('Items sous domaines Sciences '!G464=1,'Items sous domaines Sciences '!C464,0)</f>
        <v>0</v>
      </c>
      <c r="D462" s="8">
        <f>IF('Items sous domaines Sciences '!G464=1,'Items sous domaines Sciences '!D464,0)</f>
        <v>0</v>
      </c>
      <c r="E462" s="8">
        <f>IF('Items sous domaines Sciences '!G464=1,'Items sous domaines Sciences '!E464,0)</f>
        <v>0</v>
      </c>
      <c r="F462">
        <f>IF('Items sous domaines Sciences '!G362=1,'Items sous domaines Sciences '!#REF!,0)</f>
        <v>0</v>
      </c>
      <c r="G462" s="3"/>
    </row>
    <row r="463" spans="2:7" customFormat="1" ht="13.2" hidden="1" x14ac:dyDescent="0.25">
      <c r="B463">
        <f>IF('Items sous domaines Sciences '!G363=1,'Items sous domaines Sciences '!B363,0)</f>
        <v>0</v>
      </c>
      <c r="C463">
        <f>IF('Items sous domaines Sciences '!G363=1,'Items sous domaines Sciences '!C363,0)</f>
        <v>0</v>
      </c>
      <c r="D463">
        <f>IF('Items sous domaines Sciences '!G363=1,'Items sous domaines Sciences '!D363,0)</f>
        <v>0</v>
      </c>
      <c r="E463">
        <f>IF('Items sous domaines Sciences '!G363=1,'Items sous domaines Sciences '!E363,0)</f>
        <v>0</v>
      </c>
      <c r="F463">
        <f>IF('Items sous domaines Sciences '!G363=1,'Items sous domaines Sciences '!#REF!,0)</f>
        <v>0</v>
      </c>
      <c r="G463" s="3"/>
    </row>
    <row r="464" spans="2:7" customFormat="1" ht="13.2" hidden="1" x14ac:dyDescent="0.25">
      <c r="B464">
        <f>IF('Items sous domaines Sciences '!G364=1,'Items sous domaines Sciences '!B364,0)</f>
        <v>0</v>
      </c>
      <c r="C464">
        <f>IF('Items sous domaines Sciences '!G364=1,'Items sous domaines Sciences '!C364,0)</f>
        <v>0</v>
      </c>
      <c r="D464">
        <f>IF('Items sous domaines Sciences '!G364=1,'Items sous domaines Sciences '!D364,0)</f>
        <v>0</v>
      </c>
      <c r="E464">
        <f>IF('Items sous domaines Sciences '!G364=1,'Items sous domaines Sciences '!E364,0)</f>
        <v>0</v>
      </c>
      <c r="F464">
        <f>IF('Items sous domaines Sciences '!G364=1,'Items sous domaines Sciences '!#REF!,0)</f>
        <v>0</v>
      </c>
      <c r="G464" s="3"/>
    </row>
    <row r="465" spans="2:7" customFormat="1" ht="13.2" hidden="1" x14ac:dyDescent="0.25">
      <c r="B465">
        <f>IF('Items sous domaines Sciences '!G365=1,'Items sous domaines Sciences '!B365,0)</f>
        <v>0</v>
      </c>
      <c r="C465">
        <f>IF('Items sous domaines Sciences '!G365=1,'Items sous domaines Sciences '!C365,0)</f>
        <v>0</v>
      </c>
      <c r="D465">
        <f>IF('Items sous domaines Sciences '!G365=1,'Items sous domaines Sciences '!D365,0)</f>
        <v>0</v>
      </c>
      <c r="E465">
        <f>IF('Items sous domaines Sciences '!G365=1,'Items sous domaines Sciences '!E365,0)</f>
        <v>0</v>
      </c>
      <c r="F465">
        <f>IF('Items sous domaines Sciences '!G365=1,'Items sous domaines Sciences '!#REF!,0)</f>
        <v>0</v>
      </c>
      <c r="G465" s="3"/>
    </row>
    <row r="466" spans="2:7" customFormat="1" ht="13.2" hidden="1" x14ac:dyDescent="0.25">
      <c r="B466">
        <f>IF('Items sous domaines Sciences '!G366=1,'Items sous domaines Sciences '!B366,0)</f>
        <v>0</v>
      </c>
      <c r="C466">
        <f>IF('Items sous domaines Sciences '!G366=1,'Items sous domaines Sciences '!C366,0)</f>
        <v>0</v>
      </c>
      <c r="D466">
        <f>IF('Items sous domaines Sciences '!G366=1,'Items sous domaines Sciences '!D366,0)</f>
        <v>0</v>
      </c>
      <c r="E466">
        <f>IF('Items sous domaines Sciences '!G366=1,'Items sous domaines Sciences '!E366,0)</f>
        <v>0</v>
      </c>
      <c r="F466">
        <f>IF('Items sous domaines Sciences '!G366=1,'Items sous domaines Sciences '!#REF!,0)</f>
        <v>0</v>
      </c>
      <c r="G466" s="3"/>
    </row>
    <row r="467" spans="2:7" customFormat="1" ht="13.2" hidden="1" x14ac:dyDescent="0.25">
      <c r="B467">
        <f>IF('Items sous domaines Sciences '!G367=1,'Items sous domaines Sciences '!B367,0)</f>
        <v>0</v>
      </c>
      <c r="C467">
        <f>IF('Items sous domaines Sciences '!G367=1,'Items sous domaines Sciences '!C367,0)</f>
        <v>0</v>
      </c>
      <c r="D467">
        <f>IF('Items sous domaines Sciences '!G367=1,'Items sous domaines Sciences '!D367,0)</f>
        <v>0</v>
      </c>
      <c r="E467">
        <f>IF('Items sous domaines Sciences '!G367=1,'Items sous domaines Sciences '!E367,0)</f>
        <v>0</v>
      </c>
      <c r="F467">
        <f>IF('Items sous domaines Sciences '!G367=1,'Items sous domaines Sciences '!#REF!,0)</f>
        <v>0</v>
      </c>
      <c r="G467" s="3"/>
    </row>
    <row r="468" spans="2:7" customFormat="1" ht="13.2" hidden="1" x14ac:dyDescent="0.25">
      <c r="B468">
        <f>IF('Items sous domaines Sciences '!G368=1,'Items sous domaines Sciences '!B368,0)</f>
        <v>0</v>
      </c>
      <c r="C468">
        <f>IF('Items sous domaines Sciences '!G368=1,'Items sous domaines Sciences '!C368,0)</f>
        <v>0</v>
      </c>
      <c r="D468">
        <f>IF('Items sous domaines Sciences '!G368=1,'Items sous domaines Sciences '!D368,0)</f>
        <v>0</v>
      </c>
      <c r="E468">
        <f>IF('Items sous domaines Sciences '!G368=1,'Items sous domaines Sciences '!E368,0)</f>
        <v>0</v>
      </c>
      <c r="F468">
        <f>IF('Items sous domaines Sciences '!G368=1,'Items sous domaines Sciences '!#REF!,0)</f>
        <v>0</v>
      </c>
      <c r="G468" s="3"/>
    </row>
    <row r="469" spans="2:7" customFormat="1" ht="13.2" hidden="1" x14ac:dyDescent="0.25">
      <c r="B469">
        <f>IF('Items sous domaines Sciences '!G369=1,'Items sous domaines Sciences '!B369,0)</f>
        <v>0</v>
      </c>
      <c r="C469">
        <f>IF('Items sous domaines Sciences '!G369=1,'Items sous domaines Sciences '!C369,0)</f>
        <v>0</v>
      </c>
      <c r="D469">
        <f>IF('Items sous domaines Sciences '!G369=1,'Items sous domaines Sciences '!D369,0)</f>
        <v>0</v>
      </c>
      <c r="E469">
        <f>IF('Items sous domaines Sciences '!G369=1,'Items sous domaines Sciences '!E369,0)</f>
        <v>0</v>
      </c>
      <c r="F469">
        <f>IF('Items sous domaines Sciences '!G369=1,'Items sous domaines Sciences '!#REF!,0)</f>
        <v>0</v>
      </c>
      <c r="G469" s="3"/>
    </row>
    <row r="470" spans="2:7" customFormat="1" ht="13.2" hidden="1" x14ac:dyDescent="0.25">
      <c r="B470">
        <f>IF('Items sous domaines Sciences '!G370=1,'Items sous domaines Sciences '!B370,0)</f>
        <v>0</v>
      </c>
      <c r="C470">
        <f>IF('Items sous domaines Sciences '!G370=1,'Items sous domaines Sciences '!C370,0)</f>
        <v>0</v>
      </c>
      <c r="D470">
        <f>IF('Items sous domaines Sciences '!G370=1,'Items sous domaines Sciences '!D370,0)</f>
        <v>0</v>
      </c>
      <c r="E470">
        <f>IF('Items sous domaines Sciences '!G370=1,'Items sous domaines Sciences '!E370,0)</f>
        <v>0</v>
      </c>
      <c r="F470">
        <f>IF('Items sous domaines Sciences '!G370=1,'Items sous domaines Sciences '!#REF!,0)</f>
        <v>0</v>
      </c>
      <c r="G470" s="3"/>
    </row>
    <row r="471" spans="2:7" customFormat="1" ht="13.2" hidden="1" x14ac:dyDescent="0.25">
      <c r="B471">
        <f>IF('Items sous domaines Sciences '!G371=1,'Items sous domaines Sciences '!B371,0)</f>
        <v>0</v>
      </c>
      <c r="C471">
        <f>IF('Items sous domaines Sciences '!G371=1,'Items sous domaines Sciences '!C371,0)</f>
        <v>0</v>
      </c>
      <c r="D471">
        <f>IF('Items sous domaines Sciences '!G371=1,'Items sous domaines Sciences '!D371,0)</f>
        <v>0</v>
      </c>
      <c r="E471">
        <f>IF('Items sous domaines Sciences '!G371=1,'Items sous domaines Sciences '!E371,0)</f>
        <v>0</v>
      </c>
      <c r="F471">
        <f>IF('Items sous domaines Sciences '!G371=1,'Items sous domaines Sciences '!#REF!,0)</f>
        <v>0</v>
      </c>
      <c r="G471" s="3"/>
    </row>
    <row r="472" spans="2:7" customFormat="1" ht="13.2" hidden="1" x14ac:dyDescent="0.25">
      <c r="B472">
        <f>IF('Items sous domaines Sciences '!G372=1,'Items sous domaines Sciences '!B372,0)</f>
        <v>0</v>
      </c>
      <c r="C472">
        <f>IF('Items sous domaines Sciences '!G372=1,'Items sous domaines Sciences '!C372,0)</f>
        <v>0</v>
      </c>
      <c r="D472">
        <f>IF('Items sous domaines Sciences '!G372=1,'Items sous domaines Sciences '!D372,0)</f>
        <v>0</v>
      </c>
      <c r="E472">
        <f>IF('Items sous domaines Sciences '!G372=1,'Items sous domaines Sciences '!E372,0)</f>
        <v>0</v>
      </c>
      <c r="F472">
        <f>IF('Items sous domaines Sciences '!G372=1,'Items sous domaines Sciences '!#REF!,0)</f>
        <v>0</v>
      </c>
      <c r="G472" s="3"/>
    </row>
    <row r="473" spans="2:7" customFormat="1" ht="13.2" hidden="1" x14ac:dyDescent="0.25">
      <c r="B473">
        <f>IF('Items sous domaines Sciences '!G373=1,'Items sous domaines Sciences '!B373,0)</f>
        <v>0</v>
      </c>
      <c r="C473">
        <f>IF('Items sous domaines Sciences '!G373=1,'Items sous domaines Sciences '!C373,0)</f>
        <v>0</v>
      </c>
      <c r="D473">
        <f>IF('Items sous domaines Sciences '!G373=1,'Items sous domaines Sciences '!D373,0)</f>
        <v>0</v>
      </c>
      <c r="E473">
        <f>IF('Items sous domaines Sciences '!G373=1,'Items sous domaines Sciences '!E373,0)</f>
        <v>0</v>
      </c>
      <c r="F473">
        <f>IF('Items sous domaines Sciences '!G373=1,'Items sous domaines Sciences '!#REF!,0)</f>
        <v>0</v>
      </c>
      <c r="G473" s="3"/>
    </row>
    <row r="474" spans="2:7" customFormat="1" ht="13.2" hidden="1" x14ac:dyDescent="0.25">
      <c r="B474">
        <f>IF('Items sous domaines Sciences '!G374=1,'Items sous domaines Sciences '!B374,0)</f>
        <v>0</v>
      </c>
      <c r="C474">
        <f>IF('Items sous domaines Sciences '!G374=1,'Items sous domaines Sciences '!C374,0)</f>
        <v>0</v>
      </c>
      <c r="D474">
        <f>IF('Items sous domaines Sciences '!G374=1,'Items sous domaines Sciences '!D374,0)</f>
        <v>0</v>
      </c>
      <c r="E474">
        <f>IF('Items sous domaines Sciences '!G374=1,'Items sous domaines Sciences '!E374,0)</f>
        <v>0</v>
      </c>
      <c r="F474">
        <f>IF('Items sous domaines Sciences '!G374=1,'Items sous domaines Sciences '!#REF!,0)</f>
        <v>0</v>
      </c>
      <c r="G474" s="3"/>
    </row>
    <row r="475" spans="2:7" customFormat="1" ht="13.2" hidden="1" x14ac:dyDescent="0.25">
      <c r="B475">
        <f>IF('Items sous domaines Sciences '!G375=1,'Items sous domaines Sciences '!B375,0)</f>
        <v>0</v>
      </c>
      <c r="C475">
        <f>IF('Items sous domaines Sciences '!G375=1,'Items sous domaines Sciences '!C375,0)</f>
        <v>0</v>
      </c>
      <c r="D475">
        <f>IF('Items sous domaines Sciences '!G375=1,'Items sous domaines Sciences '!D375,0)</f>
        <v>0</v>
      </c>
      <c r="E475">
        <f>IF('Items sous domaines Sciences '!G375=1,'Items sous domaines Sciences '!E375,0)</f>
        <v>0</v>
      </c>
      <c r="F475">
        <f>IF('Items sous domaines Sciences '!G375=1,'Items sous domaines Sciences '!#REF!,0)</f>
        <v>0</v>
      </c>
      <c r="G475" s="3"/>
    </row>
    <row r="476" spans="2:7" customFormat="1" ht="13.2" hidden="1" x14ac:dyDescent="0.25">
      <c r="B476">
        <f>IF('Items sous domaines Sciences '!G376=1,'Items sous domaines Sciences '!B376,0)</f>
        <v>0</v>
      </c>
      <c r="C476">
        <f>IF('Items sous domaines Sciences '!G376=1,'Items sous domaines Sciences '!C376,0)</f>
        <v>0</v>
      </c>
      <c r="D476">
        <f>IF('Items sous domaines Sciences '!G376=1,'Items sous domaines Sciences '!D376,0)</f>
        <v>0</v>
      </c>
      <c r="E476">
        <f>IF('Items sous domaines Sciences '!G376=1,'Items sous domaines Sciences '!E376,0)</f>
        <v>0</v>
      </c>
      <c r="F476">
        <f>IF('Items sous domaines Sciences '!G376=1,'Items sous domaines Sciences '!#REF!,0)</f>
        <v>0</v>
      </c>
      <c r="G476" s="3"/>
    </row>
    <row r="477" spans="2:7" customFormat="1" ht="13.2" hidden="1" x14ac:dyDescent="0.25">
      <c r="B477">
        <f>IF('Items sous domaines Sciences '!G377=1,'Items sous domaines Sciences '!B377,0)</f>
        <v>0</v>
      </c>
      <c r="C477">
        <f>IF('Items sous domaines Sciences '!G377=1,'Items sous domaines Sciences '!C377,0)</f>
        <v>0</v>
      </c>
      <c r="D477">
        <f>IF('Items sous domaines Sciences '!G377=1,'Items sous domaines Sciences '!D377,0)</f>
        <v>0</v>
      </c>
      <c r="E477">
        <f>IF('Items sous domaines Sciences '!G377=1,'Items sous domaines Sciences '!E377,0)</f>
        <v>0</v>
      </c>
      <c r="F477">
        <f>IF('Items sous domaines Sciences '!G377=1,'Items sous domaines Sciences '!#REF!,0)</f>
        <v>0</v>
      </c>
      <c r="G477" s="3"/>
    </row>
    <row r="478" spans="2:7" customFormat="1" ht="13.2" hidden="1" x14ac:dyDescent="0.25">
      <c r="B478">
        <f>IF('Items sous domaines Sciences '!G378=1,'Items sous domaines Sciences '!B378,0)</f>
        <v>0</v>
      </c>
      <c r="C478">
        <f>IF('Items sous domaines Sciences '!G378=1,'Items sous domaines Sciences '!C378,0)</f>
        <v>0</v>
      </c>
      <c r="D478">
        <f>IF('Items sous domaines Sciences '!G378=1,'Items sous domaines Sciences '!D378,0)</f>
        <v>0</v>
      </c>
      <c r="E478">
        <f>IF('Items sous domaines Sciences '!G378=1,'Items sous domaines Sciences '!E378,0)</f>
        <v>0</v>
      </c>
      <c r="F478">
        <f>IF('Items sous domaines Sciences '!G378=1,'Items sous domaines Sciences '!#REF!,0)</f>
        <v>0</v>
      </c>
      <c r="G478" s="3"/>
    </row>
    <row r="479" spans="2:7" customFormat="1" ht="13.2" hidden="1" x14ac:dyDescent="0.25">
      <c r="B479">
        <f>IF('Items sous domaines Sciences '!G379=1,'Items sous domaines Sciences '!B379,0)</f>
        <v>0</v>
      </c>
      <c r="C479">
        <f>IF('Items sous domaines Sciences '!G379=1,'Items sous domaines Sciences '!C379,0)</f>
        <v>0</v>
      </c>
      <c r="D479">
        <f>IF('Items sous domaines Sciences '!G379=1,'Items sous domaines Sciences '!D379,0)</f>
        <v>0</v>
      </c>
      <c r="E479">
        <f>IF('Items sous domaines Sciences '!G379=1,'Items sous domaines Sciences '!E379,0)</f>
        <v>0</v>
      </c>
      <c r="F479">
        <f>IF('Items sous domaines Sciences '!G379=1,'Items sous domaines Sciences '!#REF!,0)</f>
        <v>0</v>
      </c>
      <c r="G479" s="3"/>
    </row>
    <row r="480" spans="2:7" customFormat="1" ht="13.2" hidden="1" x14ac:dyDescent="0.25">
      <c r="B480">
        <f>IF('Items sous domaines Sciences '!G380=1,'Items sous domaines Sciences '!B380,0)</f>
        <v>0</v>
      </c>
      <c r="C480">
        <f>IF('Items sous domaines Sciences '!G380=1,'Items sous domaines Sciences '!C380,0)</f>
        <v>0</v>
      </c>
      <c r="D480">
        <f>IF('Items sous domaines Sciences '!G380=1,'Items sous domaines Sciences '!D380,0)</f>
        <v>0</v>
      </c>
      <c r="E480">
        <f>IF('Items sous domaines Sciences '!G380=1,'Items sous domaines Sciences '!E380,0)</f>
        <v>0</v>
      </c>
      <c r="F480">
        <f>IF('Items sous domaines Sciences '!G380=1,'Items sous domaines Sciences '!#REF!,0)</f>
        <v>0</v>
      </c>
      <c r="G480" s="3"/>
    </row>
    <row r="481" spans="2:7" customFormat="1" ht="13.2" hidden="1" x14ac:dyDescent="0.25">
      <c r="B481">
        <f>IF('Items sous domaines Sciences '!G381=1,'Items sous domaines Sciences '!B381,0)</f>
        <v>0</v>
      </c>
      <c r="C481">
        <f>IF('Items sous domaines Sciences '!G381=1,'Items sous domaines Sciences '!C381,0)</f>
        <v>0</v>
      </c>
      <c r="D481">
        <f>IF('Items sous domaines Sciences '!G381=1,'Items sous domaines Sciences '!D381,0)</f>
        <v>0</v>
      </c>
      <c r="E481">
        <f>IF('Items sous domaines Sciences '!G381=1,'Items sous domaines Sciences '!E381,0)</f>
        <v>0</v>
      </c>
      <c r="F481">
        <f>IF('Items sous domaines Sciences '!G381=1,'Items sous domaines Sciences '!#REF!,0)</f>
        <v>0</v>
      </c>
      <c r="G481" s="3"/>
    </row>
    <row r="482" spans="2:7" customFormat="1" ht="13.2" hidden="1" x14ac:dyDescent="0.25">
      <c r="B482">
        <f>IF('Items sous domaines Sciences '!G382=1,'Items sous domaines Sciences '!B382,0)</f>
        <v>0</v>
      </c>
      <c r="C482">
        <f>IF('Items sous domaines Sciences '!G382=1,'Items sous domaines Sciences '!C382,0)</f>
        <v>0</v>
      </c>
      <c r="D482">
        <f>IF('Items sous domaines Sciences '!G382=1,'Items sous domaines Sciences '!D382,0)</f>
        <v>0</v>
      </c>
      <c r="E482">
        <f>IF('Items sous domaines Sciences '!G382=1,'Items sous domaines Sciences '!E382,0)</f>
        <v>0</v>
      </c>
      <c r="F482">
        <f>IF('Items sous domaines Sciences '!G382=1,'Items sous domaines Sciences '!#REF!,0)</f>
        <v>0</v>
      </c>
      <c r="G482" s="3"/>
    </row>
    <row r="483" spans="2:7" customFormat="1" ht="13.2" hidden="1" x14ac:dyDescent="0.25">
      <c r="B483">
        <f>IF('Items sous domaines Sciences '!G383=1,'Items sous domaines Sciences '!B383,0)</f>
        <v>0</v>
      </c>
      <c r="C483">
        <f>IF('Items sous domaines Sciences '!G383=1,'Items sous domaines Sciences '!C383,0)</f>
        <v>0</v>
      </c>
      <c r="D483">
        <f>IF('Items sous domaines Sciences '!G383=1,'Items sous domaines Sciences '!D383,0)</f>
        <v>0</v>
      </c>
      <c r="E483">
        <f>IF('Items sous domaines Sciences '!G383=1,'Items sous domaines Sciences '!E383,0)</f>
        <v>0</v>
      </c>
      <c r="F483">
        <f>IF('Items sous domaines Sciences '!G383=1,'Items sous domaines Sciences '!#REF!,0)</f>
        <v>0</v>
      </c>
      <c r="G483" s="3"/>
    </row>
    <row r="484" spans="2:7" customFormat="1" ht="13.2" hidden="1" x14ac:dyDescent="0.25">
      <c r="B484">
        <f>IF('Items sous domaines Sciences '!G384=1,'Items sous domaines Sciences '!B384,0)</f>
        <v>0</v>
      </c>
      <c r="C484">
        <f>IF('Items sous domaines Sciences '!G384=1,'Items sous domaines Sciences '!C384,0)</f>
        <v>0</v>
      </c>
      <c r="D484">
        <f>IF('Items sous domaines Sciences '!G384=1,'Items sous domaines Sciences '!D384,0)</f>
        <v>0</v>
      </c>
      <c r="E484">
        <f>IF('Items sous domaines Sciences '!G384=1,'Items sous domaines Sciences '!E384,0)</f>
        <v>0</v>
      </c>
      <c r="F484">
        <f>IF('Items sous domaines Sciences '!G384=1,'Items sous domaines Sciences '!#REF!,0)</f>
        <v>0</v>
      </c>
      <c r="G484" s="3"/>
    </row>
    <row r="485" spans="2:7" customFormat="1" ht="13.2" hidden="1" x14ac:dyDescent="0.25">
      <c r="B485">
        <f>IF('Items sous domaines Sciences '!G385=1,'Items sous domaines Sciences '!B385,0)</f>
        <v>0</v>
      </c>
      <c r="C485">
        <f>IF('Items sous domaines Sciences '!G385=1,'Items sous domaines Sciences '!C385,0)</f>
        <v>0</v>
      </c>
      <c r="D485">
        <f>IF('Items sous domaines Sciences '!G385=1,'Items sous domaines Sciences '!D385,0)</f>
        <v>0</v>
      </c>
      <c r="E485">
        <f>IF('Items sous domaines Sciences '!G385=1,'Items sous domaines Sciences '!E385,0)</f>
        <v>0</v>
      </c>
      <c r="F485">
        <f>IF('Items sous domaines Sciences '!G385=1,'Items sous domaines Sciences '!#REF!,0)</f>
        <v>0</v>
      </c>
      <c r="G485" s="3"/>
    </row>
    <row r="486" spans="2:7" customFormat="1" ht="13.2" hidden="1" x14ac:dyDescent="0.25">
      <c r="B486">
        <f>IF('Items sous domaines Sciences '!G386=1,'Items sous domaines Sciences '!B386,0)</f>
        <v>0</v>
      </c>
      <c r="C486">
        <f>IF('Items sous domaines Sciences '!G386=1,'Items sous domaines Sciences '!C386,0)</f>
        <v>0</v>
      </c>
      <c r="D486">
        <f>IF('Items sous domaines Sciences '!G386=1,'Items sous domaines Sciences '!D386,0)</f>
        <v>0</v>
      </c>
      <c r="E486">
        <f>IF('Items sous domaines Sciences '!G386=1,'Items sous domaines Sciences '!E386,0)</f>
        <v>0</v>
      </c>
      <c r="F486">
        <f>IF('Items sous domaines Sciences '!G386=1,'Items sous domaines Sciences '!#REF!,0)</f>
        <v>0</v>
      </c>
      <c r="G486" s="3"/>
    </row>
    <row r="487" spans="2:7" customFormat="1" ht="13.2" hidden="1" x14ac:dyDescent="0.25">
      <c r="B487">
        <f>IF('Items sous domaines Sciences '!G387=1,'Items sous domaines Sciences '!B387,0)</f>
        <v>0</v>
      </c>
      <c r="C487">
        <f>IF('Items sous domaines Sciences '!G387=1,'Items sous domaines Sciences '!C387,0)</f>
        <v>0</v>
      </c>
      <c r="D487">
        <f>IF('Items sous domaines Sciences '!G387=1,'Items sous domaines Sciences '!D387,0)</f>
        <v>0</v>
      </c>
      <c r="E487">
        <f>IF('Items sous domaines Sciences '!G387=1,'Items sous domaines Sciences '!E387,0)</f>
        <v>0</v>
      </c>
      <c r="F487">
        <f>IF('Items sous domaines Sciences '!G387=1,'Items sous domaines Sciences '!#REF!,0)</f>
        <v>0</v>
      </c>
      <c r="G487" s="3"/>
    </row>
    <row r="488" spans="2:7" customFormat="1" ht="13.2" hidden="1" x14ac:dyDescent="0.25">
      <c r="B488">
        <f>IF('Items sous domaines Sciences '!G388=1,'Items sous domaines Sciences '!B388,0)</f>
        <v>0</v>
      </c>
      <c r="C488">
        <f>IF('Items sous domaines Sciences '!G388=1,'Items sous domaines Sciences '!C388,0)</f>
        <v>0</v>
      </c>
      <c r="D488">
        <f>IF('Items sous domaines Sciences '!G388=1,'Items sous domaines Sciences '!D388,0)</f>
        <v>0</v>
      </c>
      <c r="E488">
        <f>IF('Items sous domaines Sciences '!G388=1,'Items sous domaines Sciences '!E388,0)</f>
        <v>0</v>
      </c>
      <c r="F488">
        <f>IF('Items sous domaines Sciences '!G388=1,'Items sous domaines Sciences '!#REF!,0)</f>
        <v>0</v>
      </c>
      <c r="G488" s="3"/>
    </row>
    <row r="489" spans="2:7" ht="18.600000000000001" thickTop="1" x14ac:dyDescent="0.25">
      <c r="G489" s="191"/>
    </row>
    <row r="490" spans="2:7" x14ac:dyDescent="0.25">
      <c r="G490" s="191"/>
    </row>
    <row r="491" spans="2:7" x14ac:dyDescent="0.25">
      <c r="G491" s="191"/>
    </row>
    <row r="492" spans="2:7" x14ac:dyDescent="0.25">
      <c r="G492" s="191"/>
    </row>
    <row r="493" spans="2:7" x14ac:dyDescent="0.25">
      <c r="G493" s="191"/>
    </row>
    <row r="494" spans="2:7" x14ac:dyDescent="0.25">
      <c r="G494" s="191"/>
    </row>
    <row r="495" spans="2:7" x14ac:dyDescent="0.25">
      <c r="G495" s="191"/>
    </row>
    <row r="496" spans="2:7" x14ac:dyDescent="0.25">
      <c r="G496" s="191"/>
    </row>
    <row r="497" spans="7:7" x14ac:dyDescent="0.25">
      <c r="G497" s="191"/>
    </row>
  </sheetData>
  <autoFilter ref="A7:V488" xr:uid="{00000000-0009-0000-0000-000003000000}">
    <filterColumn colId="1">
      <filters>
        <filter val="Electricité-electromagnétisme"/>
        <filter val="Mécanique"/>
      </filters>
    </filterColumn>
  </autoFilter>
  <mergeCells count="54">
    <mergeCell ref="A343:A383"/>
    <mergeCell ref="A283:A290"/>
    <mergeCell ref="A193:A210"/>
    <mergeCell ref="A191:A192"/>
    <mergeCell ref="A311:A321"/>
    <mergeCell ref="A249:A259"/>
    <mergeCell ref="A234:A247"/>
    <mergeCell ref="A8:A23"/>
    <mergeCell ref="F8:F23"/>
    <mergeCell ref="A26:A38"/>
    <mergeCell ref="A40:A57"/>
    <mergeCell ref="A177:A189"/>
    <mergeCell ref="F77:F142"/>
    <mergeCell ref="A160:A161"/>
    <mergeCell ref="A172:A176"/>
    <mergeCell ref="A162:A171"/>
    <mergeCell ref="F343:F369"/>
    <mergeCell ref="G8:G23"/>
    <mergeCell ref="G26:G38"/>
    <mergeCell ref="G40:G56"/>
    <mergeCell ref="G63:G72"/>
    <mergeCell ref="G89:G108"/>
    <mergeCell ref="G200:G210"/>
    <mergeCell ref="G191:G199"/>
    <mergeCell ref="G177:G189"/>
    <mergeCell ref="G172:G176"/>
    <mergeCell ref="G161:G171"/>
    <mergeCell ref="G158:G159"/>
    <mergeCell ref="F191:F192"/>
    <mergeCell ref="F193:F210"/>
    <mergeCell ref="F249:F259"/>
    <mergeCell ref="F283:F290"/>
    <mergeCell ref="G1:G3"/>
    <mergeCell ref="F311:F321"/>
    <mergeCell ref="F158:F159"/>
    <mergeCell ref="F160:F161"/>
    <mergeCell ref="F162:F171"/>
    <mergeCell ref="F172:F176"/>
    <mergeCell ref="F177:F189"/>
    <mergeCell ref="F26:F38"/>
    <mergeCell ref="F40:F56"/>
    <mergeCell ref="F63:F72"/>
    <mergeCell ref="A1:F3"/>
    <mergeCell ref="G249:G259"/>
    <mergeCell ref="A63:A72"/>
    <mergeCell ref="A158:A159"/>
    <mergeCell ref="A77:A142"/>
    <mergeCell ref="A4:F6"/>
    <mergeCell ref="G343:G369"/>
    <mergeCell ref="G311:G321"/>
    <mergeCell ref="G283:G290"/>
    <mergeCell ref="G113:G127"/>
    <mergeCell ref="G4:G6"/>
    <mergeCell ref="G134:G142"/>
  </mergeCells>
  <hyperlinks>
    <hyperlink ref="G8" r:id="rId1" xr:uid="{00000000-0004-0000-0300-000000000000}"/>
    <hyperlink ref="G26" r:id="rId2" xr:uid="{00000000-0004-0000-0300-000001000000}"/>
    <hyperlink ref="G40" r:id="rId3" xr:uid="{00000000-0004-0000-0300-000002000000}"/>
    <hyperlink ref="G63" r:id="rId4" display="https://uel.unisciel.fr/mathematiques/dev_limites/dev_limites/co/dev_limites.html" xr:uid="{00000000-0004-0000-0300-000003000000}"/>
    <hyperlink ref="G113" r:id="rId5" display="https://www.lelivrescolaire.fr/page/14235244" xr:uid="{00000000-0004-0000-0300-000004000000}"/>
    <hyperlink ref="G158" r:id="rId6" display="https://www.lelivrescolaire.fr/page/10486827" xr:uid="{00000000-0004-0000-0300-000005000000}"/>
    <hyperlink ref="G161" r:id="rId7" display="https://www.lelivrescolaire.fr/page/10486827" xr:uid="{00000000-0004-0000-0300-000006000000}"/>
    <hyperlink ref="G177" r:id="rId8" display="https://www.lelivrescolaire.fr/page/10486827" xr:uid="{00000000-0004-0000-0300-000007000000}"/>
    <hyperlink ref="G160" r:id="rId9" display="https://uel.unisciel.fr/physique/outils_nancy/outils_nancy_ch03/co/sexercer_02.html?msclkid=7986dd11c18711ecb89a99ba63c4e67c" xr:uid="{00000000-0004-0000-0300-000008000000}"/>
    <hyperlink ref="G172" r:id="rId10" display="https://uel.unisciel.fr/physique/outils_nancy/outils_nancy_ch03/co/sexercer_02.html?msclkid=7986dd11c18711ecb89a99ba63c4e67c" xr:uid="{00000000-0004-0000-0300-000009000000}"/>
    <hyperlink ref="G191" r:id="rId11" display="https://uel.unisciel.fr/mathematiques/analyse1/analyse1_ch03/co/analyse1_ch03.html" xr:uid="{00000000-0004-0000-0300-00000A000000}"/>
    <hyperlink ref="G200" r:id="rId12" display="https://uel.unisciel.fr/mathematiques/analyse1/analyse1_ch04/co/analyse1_ch04.html" xr:uid="{00000000-0004-0000-0300-00000B000000}"/>
    <hyperlink ref="G249" r:id="rId13" display="https://uel.unisciel.fr/physique/outils_nancy/outils_nancy_ch08/co/outils_nancy_ch08.html" xr:uid="{00000000-0004-0000-0300-00000C000000}"/>
    <hyperlink ref="G283" r:id="rId14" display="https://uel.unisciel.fr/mathematiques/eq_diff/eq_diff/co/eq_diff.html" xr:uid="{00000000-0004-0000-0300-00000D000000}"/>
    <hyperlink ref="G311" r:id="rId15" display="https://uel.unisciel.fr/mathematiques/analyse1/analyse1_ch02/co/analyse1_ch02.html" xr:uid="{00000000-0004-0000-0300-00000E000000}"/>
    <hyperlink ref="G343" r:id="rId16" display="https://ressources.unisciel.fr/ramses/519-21_probabilites/co/fa901_5.html" xr:uid="{00000000-0004-0000-0300-00000F000000}"/>
    <hyperlink ref="G77" r:id="rId17" xr:uid="{00000000-0004-0000-0300-000010000000}"/>
    <hyperlink ref="G134" r:id="rId18" xr:uid="{00000000-0004-0000-0300-00001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69B3E7"/>
  </sheetPr>
  <dimension ref="A1:H493"/>
  <sheetViews>
    <sheetView zoomScaleNormal="100" workbookViewId="0">
      <selection activeCell="A34" sqref="A34:A54"/>
    </sheetView>
  </sheetViews>
  <sheetFormatPr baseColWidth="10" defaultColWidth="11.44140625" defaultRowHeight="18" x14ac:dyDescent="0.3"/>
  <cols>
    <col min="1" max="1" width="25.5546875" style="188" customWidth="1"/>
    <col min="2" max="2" width="40.6640625" style="33" customWidth="1"/>
    <col min="3" max="3" width="27.88671875" style="50" customWidth="1"/>
    <col min="4" max="4" width="22.88671875" style="52" customWidth="1"/>
    <col min="5" max="5" width="160.6640625" style="52" customWidth="1"/>
    <col min="6" max="6" width="28.6640625" style="53" customWidth="1"/>
    <col min="7" max="7" width="28.6640625" style="48" customWidth="1"/>
    <col min="8" max="16384" width="11.44140625" style="33"/>
  </cols>
  <sheetData>
    <row r="1" spans="1:7" ht="17.399999999999999" customHeight="1" thickTop="1" x14ac:dyDescent="0.3">
      <c r="A1" s="343" t="s">
        <v>380</v>
      </c>
      <c r="B1" s="344"/>
      <c r="C1" s="344"/>
      <c r="D1" s="344"/>
      <c r="E1" s="344"/>
      <c r="F1" s="344"/>
      <c r="G1" s="256"/>
    </row>
    <row r="2" spans="1:7" ht="17.399999999999999" customHeight="1" x14ac:dyDescent="0.3">
      <c r="A2" s="345"/>
      <c r="B2" s="346"/>
      <c r="C2" s="346"/>
      <c r="D2" s="346"/>
      <c r="E2" s="346"/>
      <c r="F2" s="346"/>
      <c r="G2" s="257"/>
    </row>
    <row r="3" spans="1:7" ht="17.25" customHeight="1" thickBot="1" x14ac:dyDescent="0.35">
      <c r="A3" s="347"/>
      <c r="B3" s="348"/>
      <c r="C3" s="348"/>
      <c r="D3" s="348"/>
      <c r="E3" s="348"/>
      <c r="F3" s="348"/>
      <c r="G3" s="423" t="s">
        <v>16</v>
      </c>
    </row>
    <row r="4" spans="1:7" ht="12.75" customHeight="1" x14ac:dyDescent="0.3">
      <c r="A4" s="358" t="s">
        <v>425</v>
      </c>
      <c r="B4" s="359"/>
      <c r="C4" s="359"/>
      <c r="D4" s="360"/>
      <c r="E4" s="359"/>
      <c r="F4" s="359"/>
      <c r="G4" s="423"/>
    </row>
    <row r="5" spans="1:7" ht="17.399999999999999" customHeight="1" x14ac:dyDescent="0.3">
      <c r="A5" s="361"/>
      <c r="B5" s="362"/>
      <c r="C5" s="362"/>
      <c r="D5" s="363"/>
      <c r="E5" s="362"/>
      <c r="F5" s="362"/>
      <c r="G5" s="423"/>
    </row>
    <row r="6" spans="1:7" ht="17.399999999999999" customHeight="1" thickBot="1" x14ac:dyDescent="0.35">
      <c r="A6" s="364"/>
      <c r="B6" s="365"/>
      <c r="C6" s="365"/>
      <c r="D6" s="366"/>
      <c r="E6" s="365"/>
      <c r="F6" s="365"/>
      <c r="G6" s="334" t="s">
        <v>19</v>
      </c>
    </row>
    <row r="7" spans="1:7" s="43" customFormat="1" ht="19.95" customHeight="1" thickBot="1" x14ac:dyDescent="0.45">
      <c r="A7" s="223" t="str">
        <f>'A1 CPI S1'!A7</f>
        <v>UE du DS</v>
      </c>
      <c r="B7" s="224" t="str">
        <f>'A1 CPI S1'!B7</f>
        <v>Domaine</v>
      </c>
      <c r="C7" s="224" t="str">
        <f>'A1 CPI S1'!C7</f>
        <v>Discipline</v>
      </c>
      <c r="D7" s="224" t="str">
        <f>'A1 CPI S1'!D7</f>
        <v>Chapitres</v>
      </c>
      <c r="E7" s="224" t="str">
        <f>'A1 CPI S1'!E7</f>
        <v>Thèmes</v>
      </c>
      <c r="F7" s="224" t="s">
        <v>387</v>
      </c>
      <c r="G7" s="424"/>
    </row>
    <row r="8" spans="1:7" customFormat="1" ht="25.2" hidden="1" customHeight="1" thickBot="1" x14ac:dyDescent="0.3">
      <c r="A8" s="13" t="s">
        <v>426</v>
      </c>
      <c r="B8">
        <f>IF('Items sous domaines Sciences '!G10=2,'Items sous domaines Sciences '!B10,0)</f>
        <v>0</v>
      </c>
      <c r="C8">
        <f>IF('Items sous domaines Sciences '!G10=2,'Items sous domaines Sciences '!C10,0)</f>
        <v>0</v>
      </c>
      <c r="D8">
        <f>IF('Items sous domaines Sciences '!G10=2,'Items sous domaines Sciences '!D10,0)</f>
        <v>0</v>
      </c>
      <c r="E8">
        <f>IF('Items sous domaines Sciences '!G10=2,'Items sous domaines Sciences '!E10,0)</f>
        <v>0</v>
      </c>
      <c r="F8" t="e">
        <f>IF('Items sous domaines Sciences '!#REF!=2,'Items sous domaines Sciences '!#REF!,0)</f>
        <v>#REF!</v>
      </c>
      <c r="G8" s="425"/>
    </row>
    <row r="9" spans="1:7" customFormat="1" ht="22.2" hidden="1" customHeight="1" thickBot="1" x14ac:dyDescent="0.3">
      <c r="A9" s="13"/>
      <c r="B9" s="8">
        <f>IF('Items sous domaines Sciences '!G11=2,'Items sous domaines Sciences '!B11,0)</f>
        <v>0</v>
      </c>
      <c r="C9" s="8">
        <f>IF('Items sous domaines Sciences '!G11=2,'Items sous domaines Sciences '!C11,0)</f>
        <v>0</v>
      </c>
      <c r="D9" s="8">
        <f>IF('Items sous domaines Sciences '!G11=2,'Items sous domaines Sciences '!D11,0)</f>
        <v>0</v>
      </c>
      <c r="E9" s="8">
        <f>IF('Items sous domaines Sciences '!G11=2,'Items sous domaines Sciences '!E11,0)</f>
        <v>0</v>
      </c>
      <c r="F9">
        <f>IF('Items sous domaines Sciences '!G22=2,'Items sous domaines Sciences '!#REF!,0)</f>
        <v>0</v>
      </c>
    </row>
    <row r="10" spans="1:7" customFormat="1" ht="17.399999999999999" hidden="1" customHeight="1" thickBot="1" x14ac:dyDescent="0.3">
      <c r="A10" s="13"/>
      <c r="B10" s="8">
        <f>IF('Items sous domaines Sciences '!G12=2,'Items sous domaines Sciences '!B12,0)</f>
        <v>0</v>
      </c>
      <c r="C10" s="8">
        <f>IF('Items sous domaines Sciences '!G12=2,'Items sous domaines Sciences '!C12,0)</f>
        <v>0</v>
      </c>
      <c r="D10" s="8">
        <f>IF('Items sous domaines Sciences '!G12=2,'Items sous domaines Sciences '!D12,0)</f>
        <v>0</v>
      </c>
      <c r="E10" s="8">
        <f>IF('Items sous domaines Sciences '!G12=2,'Items sous domaines Sciences '!E12,0)</f>
        <v>0</v>
      </c>
      <c r="F10">
        <f>IF('Items sous domaines Sciences '!G23=2,'Items sous domaines Sciences '!#REF!,0)</f>
        <v>0</v>
      </c>
    </row>
    <row r="11" spans="1:7" customFormat="1" ht="17.399999999999999" hidden="1" customHeight="1" thickBot="1" x14ac:dyDescent="0.3">
      <c r="A11" s="426" t="s">
        <v>427</v>
      </c>
      <c r="B11" s="8">
        <f>IF('Items sous domaines Sciences '!G13=2,'Items sous domaines Sciences '!B13,0)</f>
        <v>0</v>
      </c>
      <c r="C11" s="8">
        <f>IF('Items sous domaines Sciences '!G13=2,'Items sous domaines Sciences '!C13,0)</f>
        <v>0</v>
      </c>
      <c r="D11" s="8">
        <f>IF('Items sous domaines Sciences '!G13=2,'Items sous domaines Sciences '!D13,0)</f>
        <v>0</v>
      </c>
      <c r="E11" s="8">
        <f>IF('Items sous domaines Sciences '!G13=2,'Items sous domaines Sciences '!E13,0)</f>
        <v>0</v>
      </c>
      <c r="F11" s="339" t="s">
        <v>398</v>
      </c>
      <c r="G11" s="333" t="s">
        <v>428</v>
      </c>
    </row>
    <row r="12" spans="1:7" customFormat="1" ht="30.6" hidden="1" customHeight="1" thickBot="1" x14ac:dyDescent="0.3">
      <c r="A12" s="427"/>
      <c r="B12" s="8">
        <f>IF('Items sous domaines Sciences '!G14=2,'Items sous domaines Sciences '!B14,0)</f>
        <v>0</v>
      </c>
      <c r="C12" s="8">
        <f>IF('Items sous domaines Sciences '!G14=2,'Items sous domaines Sciences '!C14,0)</f>
        <v>0</v>
      </c>
      <c r="D12" s="8">
        <f>IF('Items sous domaines Sciences '!G14=2,'Items sous domaines Sciences '!D14,0)</f>
        <v>0</v>
      </c>
      <c r="E12" s="8">
        <f>IF('Items sous domaines Sciences '!G14=2,'Items sous domaines Sciences '!E14,0)</f>
        <v>0</v>
      </c>
      <c r="F12" s="340"/>
      <c r="G12" s="333"/>
    </row>
    <row r="13" spans="1:7" customFormat="1" ht="27" hidden="1" customHeight="1" thickBot="1" x14ac:dyDescent="0.3">
      <c r="A13" s="427"/>
      <c r="B13" s="8">
        <f>IF('Items sous domaines Sciences '!G15=2,'Items sous domaines Sciences '!B15,0)</f>
        <v>0</v>
      </c>
      <c r="C13" s="8">
        <f>IF('Items sous domaines Sciences '!G15=2,'Items sous domaines Sciences '!C15,0)</f>
        <v>0</v>
      </c>
      <c r="D13" s="8">
        <f>IF('Items sous domaines Sciences '!G15=2,'Items sous domaines Sciences '!D15,0)</f>
        <v>0</v>
      </c>
      <c r="E13" s="8">
        <f>IF('Items sous domaines Sciences '!G15=2,'Items sous domaines Sciences '!E15,0)</f>
        <v>0</v>
      </c>
      <c r="F13" s="340"/>
      <c r="G13" s="333"/>
    </row>
    <row r="14" spans="1:7" customFormat="1" ht="17.399999999999999" hidden="1" customHeight="1" thickBot="1" x14ac:dyDescent="0.3">
      <c r="A14" s="428"/>
      <c r="B14" s="8">
        <f>IF('Items sous domaines Sciences '!G16=2,'Items sous domaines Sciences '!B16,0)</f>
        <v>0</v>
      </c>
      <c r="C14" s="8">
        <f>IF('Items sous domaines Sciences '!G16=2,'Items sous domaines Sciences '!C16,0)</f>
        <v>0</v>
      </c>
      <c r="D14" s="8">
        <f>IF('Items sous domaines Sciences '!G16=2,'Items sous domaines Sciences '!D16,0)</f>
        <v>0</v>
      </c>
      <c r="E14" s="8">
        <f>IF('Items sous domaines Sciences '!G16=2,'Items sous domaines Sciences '!E16,0)</f>
        <v>0</v>
      </c>
      <c r="F14" s="341"/>
      <c r="G14" s="333"/>
    </row>
    <row r="15" spans="1:7" customFormat="1" ht="17.399999999999999" hidden="1" customHeight="1" thickBot="1" x14ac:dyDescent="0.3">
      <c r="A15" s="12"/>
      <c r="B15" s="8">
        <f>IF('Items sous domaines Sciences '!G17=2,'Items sous domaines Sciences '!B17,0)</f>
        <v>0</v>
      </c>
      <c r="C15" s="8">
        <f>IF('Items sous domaines Sciences '!G17=2,'Items sous domaines Sciences '!C17,0)</f>
        <v>0</v>
      </c>
      <c r="D15" s="8">
        <f>IF('Items sous domaines Sciences '!G17=2,'Items sous domaines Sciences '!D17,0)</f>
        <v>0</v>
      </c>
      <c r="E15" s="8">
        <f>IF('Items sous domaines Sciences '!G17=2,'Items sous domaines Sciences '!E17,0)</f>
        <v>0</v>
      </c>
      <c r="F15">
        <f>IF('Items sous domaines Sciences '!G28=2,'Items sous domaines Sciences '!#REF!,0)</f>
        <v>0</v>
      </c>
    </row>
    <row r="16" spans="1:7" customFormat="1" ht="17.399999999999999" hidden="1" customHeight="1" thickBot="1" x14ac:dyDescent="0.3">
      <c r="A16" s="12"/>
      <c r="B16" s="8">
        <f>IF('Items sous domaines Sciences '!G18=2,'Items sous domaines Sciences '!B18,0)</f>
        <v>0</v>
      </c>
      <c r="C16" s="8">
        <f>IF('Items sous domaines Sciences '!G18=2,'Items sous domaines Sciences '!C18,0)</f>
        <v>0</v>
      </c>
      <c r="D16" s="8">
        <f>IF('Items sous domaines Sciences '!G18=2,'Items sous domaines Sciences '!D18,0)</f>
        <v>0</v>
      </c>
      <c r="E16" s="8">
        <f>IF('Items sous domaines Sciences '!G18=2,'Items sous domaines Sciences '!E18,0)</f>
        <v>0</v>
      </c>
      <c r="F16">
        <f>IF('Items sous domaines Sciences '!G29=2,'Items sous domaines Sciences '!#REF!,0)</f>
        <v>0</v>
      </c>
    </row>
    <row r="17" spans="1:7" customFormat="1" ht="17.399999999999999" hidden="1" customHeight="1" thickBot="1" x14ac:dyDescent="0.3">
      <c r="A17" s="12"/>
      <c r="B17" s="8">
        <f>IF('Items sous domaines Sciences '!G19=2,'Items sous domaines Sciences '!B19,0)</f>
        <v>0</v>
      </c>
      <c r="C17" s="8">
        <f>IF('Items sous domaines Sciences '!G19=2,'Items sous domaines Sciences '!C19,0)</f>
        <v>0</v>
      </c>
      <c r="D17" s="8">
        <f>IF('Items sous domaines Sciences '!G19=2,'Items sous domaines Sciences '!D19,0)</f>
        <v>0</v>
      </c>
      <c r="E17" s="8">
        <f>IF('Items sous domaines Sciences '!G19=2,'Items sous domaines Sciences '!E19,0)</f>
        <v>0</v>
      </c>
      <c r="F17">
        <f>IF('Items sous domaines Sciences '!G30=2,'Items sous domaines Sciences '!#REF!,0)</f>
        <v>0</v>
      </c>
    </row>
    <row r="18" spans="1:7" customFormat="1" ht="17.399999999999999" hidden="1" customHeight="1" thickBot="1" x14ac:dyDescent="0.3">
      <c r="A18" s="12"/>
      <c r="B18" s="8">
        <f>IF('Items sous domaines Sciences '!G20=2,'Items sous domaines Sciences '!B20,0)</f>
        <v>0</v>
      </c>
      <c r="C18" s="8">
        <f>IF('Items sous domaines Sciences '!G20=2,'Items sous domaines Sciences '!C20,0)</f>
        <v>0</v>
      </c>
      <c r="D18" s="8">
        <f>IF('Items sous domaines Sciences '!G20=2,'Items sous domaines Sciences '!D20,0)</f>
        <v>0</v>
      </c>
      <c r="E18" s="8">
        <f>IF('Items sous domaines Sciences '!G20=2,'Items sous domaines Sciences '!E20,0)</f>
        <v>0</v>
      </c>
      <c r="F18">
        <f>IF('Items sous domaines Sciences '!G31=2,'Items sous domaines Sciences '!#REF!,0)</f>
        <v>0</v>
      </c>
    </row>
    <row r="19" spans="1:7" customFormat="1" ht="17.399999999999999" hidden="1" customHeight="1" thickBot="1" x14ac:dyDescent="0.3">
      <c r="A19" s="12"/>
      <c r="B19" s="8">
        <f>IF('Items sous domaines Sciences '!G21=2,'Items sous domaines Sciences '!B21,0)</f>
        <v>0</v>
      </c>
      <c r="C19" s="8">
        <f>IF('Items sous domaines Sciences '!G21=2,'Items sous domaines Sciences '!C21,0)</f>
        <v>0</v>
      </c>
      <c r="D19" s="8">
        <f>IF('Items sous domaines Sciences '!G21=2,'Items sous domaines Sciences '!D21,0)</f>
        <v>0</v>
      </c>
      <c r="E19" s="8">
        <f>IF('Items sous domaines Sciences '!G21=2,'Items sous domaines Sciences '!E21,0)</f>
        <v>0</v>
      </c>
      <c r="F19">
        <f>IF('Items sous domaines Sciences '!G32=2,'Items sous domaines Sciences '!#REF!,0)</f>
        <v>0</v>
      </c>
    </row>
    <row r="20" spans="1:7" customFormat="1" ht="17.399999999999999" hidden="1" customHeight="1" thickBot="1" x14ac:dyDescent="0.3">
      <c r="A20" s="12"/>
      <c r="B20" s="8">
        <f>IF('Items sous domaines Sciences '!G22=2,'Items sous domaines Sciences '!B22,0)</f>
        <v>0</v>
      </c>
      <c r="C20" s="8">
        <f>IF('Items sous domaines Sciences '!G22=2,'Items sous domaines Sciences '!C22,0)</f>
        <v>0</v>
      </c>
      <c r="D20" s="8">
        <f>IF('Items sous domaines Sciences '!G22=2,'Items sous domaines Sciences '!D22,0)</f>
        <v>0</v>
      </c>
      <c r="E20" s="8">
        <f>IF('Items sous domaines Sciences '!G22=2,'Items sous domaines Sciences '!E22,0)</f>
        <v>0</v>
      </c>
      <c r="F20">
        <f>IF('Items sous domaines Sciences '!G33=2,'Items sous domaines Sciences '!#REF!,0)</f>
        <v>0</v>
      </c>
    </row>
    <row r="21" spans="1:7" customFormat="1" ht="17.399999999999999" hidden="1" customHeight="1" thickBot="1" x14ac:dyDescent="0.3">
      <c r="A21" s="12"/>
      <c r="B21" s="8">
        <f>IF('Items sous domaines Sciences '!G23=2,'Items sous domaines Sciences '!B23,0)</f>
        <v>0</v>
      </c>
      <c r="C21" s="8">
        <f>IF('Items sous domaines Sciences '!G23=2,'Items sous domaines Sciences '!C23,0)</f>
        <v>0</v>
      </c>
      <c r="D21" s="8">
        <f>IF('Items sous domaines Sciences '!G23=2,'Items sous domaines Sciences '!D23,0)</f>
        <v>0</v>
      </c>
      <c r="E21" s="8">
        <f>IF('Items sous domaines Sciences '!G23=2,'Items sous domaines Sciences '!E23,0)</f>
        <v>0</v>
      </c>
      <c r="F21">
        <f>IF('Items sous domaines Sciences '!G34=2,'Items sous domaines Sciences '!#REF!,0)</f>
        <v>0</v>
      </c>
    </row>
    <row r="22" spans="1:7" customFormat="1" ht="17.399999999999999" hidden="1" customHeight="1" thickBot="1" x14ac:dyDescent="0.3">
      <c r="A22" s="12"/>
      <c r="B22" s="8">
        <f>IF('Items sous domaines Sciences '!G24=2,'Items sous domaines Sciences '!B24,0)</f>
        <v>0</v>
      </c>
      <c r="C22" s="8">
        <f>IF('Items sous domaines Sciences '!G24=2,'Items sous domaines Sciences '!C24,0)</f>
        <v>0</v>
      </c>
      <c r="D22" s="8">
        <f>IF('Items sous domaines Sciences '!G24=2,'Items sous domaines Sciences '!D24,0)</f>
        <v>0</v>
      </c>
      <c r="E22" s="8">
        <f>IF('Items sous domaines Sciences '!G24=2,'Items sous domaines Sciences '!E24,0)</f>
        <v>0</v>
      </c>
      <c r="F22">
        <f>IF('Items sous domaines Sciences '!G35=2,'Items sous domaines Sciences '!#REF!,0)</f>
        <v>0</v>
      </c>
    </row>
    <row r="23" spans="1:7" customFormat="1" ht="17.399999999999999" hidden="1" customHeight="1" thickBot="1" x14ac:dyDescent="0.3">
      <c r="A23" s="12"/>
      <c r="B23" s="8">
        <f>IF('Items sous domaines Sciences '!G25=2,'Items sous domaines Sciences '!B25,0)</f>
        <v>0</v>
      </c>
      <c r="C23" s="8">
        <f>IF('Items sous domaines Sciences '!G25=2,'Items sous domaines Sciences '!C25,0)</f>
        <v>0</v>
      </c>
      <c r="D23" s="8">
        <f>IF('Items sous domaines Sciences '!G25=2,'Items sous domaines Sciences '!D25,0)</f>
        <v>0</v>
      </c>
      <c r="E23" s="8">
        <f>IF('Items sous domaines Sciences '!G25=2,'Items sous domaines Sciences '!E25,0)</f>
        <v>0</v>
      </c>
      <c r="F23" t="e">
        <f>IF('Items sous domaines Sciences '!#REF!=2,'Items sous domaines Sciences '!#REF!,0)</f>
        <v>#REF!</v>
      </c>
    </row>
    <row r="24" spans="1:7" customFormat="1" ht="17.399999999999999" hidden="1" customHeight="1" thickBot="1" x14ac:dyDescent="0.3">
      <c r="A24" s="12"/>
      <c r="B24" s="8">
        <f>IF('Items sous domaines Sciences '!G26=2,'Items sous domaines Sciences '!B26,0)</f>
        <v>0</v>
      </c>
      <c r="C24" s="8">
        <f>IF('Items sous domaines Sciences '!G26=2,'Items sous domaines Sciences '!C26,0)</f>
        <v>0</v>
      </c>
      <c r="D24" s="8">
        <f>IF('Items sous domaines Sciences '!G26=2,'Items sous domaines Sciences '!D26,0)</f>
        <v>0</v>
      </c>
      <c r="E24" s="8">
        <f>IF('Items sous domaines Sciences '!G26=2,'Items sous domaines Sciences '!E26,0)</f>
        <v>0</v>
      </c>
      <c r="F24" t="e">
        <f>IF('Items sous domaines Sciences '!#REF!=2,'Items sous domaines Sciences '!#REF!,0)</f>
        <v>#REF!</v>
      </c>
    </row>
    <row r="25" spans="1:7" customFormat="1" ht="17.399999999999999" hidden="1" customHeight="1" thickBot="1" x14ac:dyDescent="0.3">
      <c r="A25" s="12"/>
      <c r="B25" s="8">
        <f>IF('Items sous domaines Sciences '!G27=2,'Items sous domaines Sciences '!B27,0)</f>
        <v>0</v>
      </c>
      <c r="C25" s="8">
        <f>IF('Items sous domaines Sciences '!G27=2,'Items sous domaines Sciences '!C27,0)</f>
        <v>0</v>
      </c>
      <c r="D25" s="8">
        <f>IF('Items sous domaines Sciences '!G27=2,'Items sous domaines Sciences '!D27,0)</f>
        <v>0</v>
      </c>
      <c r="E25" s="8">
        <f>IF('Items sous domaines Sciences '!G27=2,'Items sous domaines Sciences '!E27,0)</f>
        <v>0</v>
      </c>
      <c r="F25">
        <f>IF('Items sous domaines Sciences '!G78=2,'Items sous domaines Sciences '!#REF!,0)</f>
        <v>0</v>
      </c>
    </row>
    <row r="26" spans="1:7" customFormat="1" ht="17.399999999999999" hidden="1" customHeight="1" thickBot="1" x14ac:dyDescent="0.3">
      <c r="A26" s="12"/>
      <c r="B26" s="8">
        <f>IF('Items sous domaines Sciences '!G28=2,'Items sous domaines Sciences '!B28,0)</f>
        <v>0</v>
      </c>
      <c r="C26" s="8">
        <f>IF('Items sous domaines Sciences '!G28=2,'Items sous domaines Sciences '!C28,0)</f>
        <v>0</v>
      </c>
      <c r="D26" s="8">
        <f>IF('Items sous domaines Sciences '!G28=2,'Items sous domaines Sciences '!D28,0)</f>
        <v>0</v>
      </c>
      <c r="E26" s="8">
        <f>IF('Items sous domaines Sciences '!G28=2,'Items sous domaines Sciences '!E28,0)</f>
        <v>0</v>
      </c>
      <c r="F26">
        <f>IF('Items sous domaines Sciences '!G108=2,'Items sous domaines Sciences '!#REF!,0)</f>
        <v>0</v>
      </c>
    </row>
    <row r="27" spans="1:7" customFormat="1" ht="17.399999999999999" hidden="1" customHeight="1" thickBot="1" x14ac:dyDescent="0.3">
      <c r="A27" s="12"/>
      <c r="B27" s="8">
        <f>IF('Items sous domaines Sciences '!G29=2,'Items sous domaines Sciences '!B29,0)</f>
        <v>0</v>
      </c>
      <c r="C27" s="8">
        <f>IF('Items sous domaines Sciences '!G29=2,'Items sous domaines Sciences '!C29,0)</f>
        <v>0</v>
      </c>
      <c r="D27" s="8">
        <f>IF('Items sous domaines Sciences '!G29=2,'Items sous domaines Sciences '!D29,0)</f>
        <v>0</v>
      </c>
      <c r="E27" s="8">
        <f>IF('Items sous domaines Sciences '!G29=2,'Items sous domaines Sciences '!E29,0)</f>
        <v>0</v>
      </c>
      <c r="F27">
        <f>IF('Items sous domaines Sciences '!G109=2,'Items sous domaines Sciences '!#REF!,0)</f>
        <v>0</v>
      </c>
    </row>
    <row r="28" spans="1:7" customFormat="1" ht="17.399999999999999" hidden="1" customHeight="1" thickBot="1" x14ac:dyDescent="0.3">
      <c r="A28" s="12"/>
      <c r="B28" s="8">
        <f>IF('Items sous domaines Sciences '!G30=2,'Items sous domaines Sciences '!B30,0)</f>
        <v>0</v>
      </c>
      <c r="C28" s="8">
        <f>IF('Items sous domaines Sciences '!G30=2,'Items sous domaines Sciences '!C30,0)</f>
        <v>0</v>
      </c>
      <c r="D28" s="8">
        <f>IF('Items sous domaines Sciences '!G30=2,'Items sous domaines Sciences '!D30,0)</f>
        <v>0</v>
      </c>
      <c r="E28" s="8">
        <f>IF('Items sous domaines Sciences '!G30=2,'Items sous domaines Sciences '!E30,0)</f>
        <v>0</v>
      </c>
      <c r="F28">
        <f>IF('Items sous domaines Sciences '!G110=2,'Items sous domaines Sciences '!#REF!,0)</f>
        <v>0</v>
      </c>
    </row>
    <row r="29" spans="1:7" customFormat="1" ht="17.399999999999999" hidden="1" customHeight="1" thickBot="1" x14ac:dyDescent="0.3">
      <c r="A29" s="12"/>
      <c r="B29" s="8">
        <f>IF('Items sous domaines Sciences '!G31=2,'Items sous domaines Sciences '!B31,0)</f>
        <v>0</v>
      </c>
      <c r="C29" s="8">
        <f>IF('Items sous domaines Sciences '!G31=2,'Items sous domaines Sciences '!C31,0)</f>
        <v>0</v>
      </c>
      <c r="D29" s="8">
        <f>IF('Items sous domaines Sciences '!G31=2,'Items sous domaines Sciences '!D31,0)</f>
        <v>0</v>
      </c>
      <c r="E29" s="8">
        <f>IF('Items sous domaines Sciences '!G31=2,'Items sous domaines Sciences '!E31,0)</f>
        <v>0</v>
      </c>
      <c r="F29">
        <f>IF('Items sous domaines Sciences '!G111=2,'Items sous domaines Sciences '!#REF!,0)</f>
        <v>0</v>
      </c>
    </row>
    <row r="30" spans="1:7" customFormat="1" ht="22.2" hidden="1" customHeight="1" thickBot="1" x14ac:dyDescent="0.3">
      <c r="A30" s="429" t="s">
        <v>429</v>
      </c>
      <c r="B30" s="8">
        <f>IF('Items sous domaines Sciences '!G32=2,'Items sous domaines Sciences '!B32,0)</f>
        <v>0</v>
      </c>
      <c r="C30" s="8">
        <f>IF('Items sous domaines Sciences '!G32=2,'Items sous domaines Sciences '!C32,0)</f>
        <v>0</v>
      </c>
      <c r="D30" s="8">
        <f>IF('Items sous domaines Sciences '!G32=2,'Items sous domaines Sciences '!D32,0)</f>
        <v>0</v>
      </c>
      <c r="E30" s="8">
        <f>IF('Items sous domaines Sciences '!G32=2,'Items sous domaines Sciences '!E32,0)</f>
        <v>0</v>
      </c>
      <c r="F30" s="25" t="s">
        <v>430</v>
      </c>
      <c r="G30" s="17"/>
    </row>
    <row r="31" spans="1:7" s="2" customFormat="1" ht="17.399999999999999" hidden="1" customHeight="1" thickBot="1" x14ac:dyDescent="0.3">
      <c r="A31" s="429"/>
      <c r="B31" s="8">
        <f>IF('Items sous domaines Sciences '!G33=2,'Items sous domaines Sciences '!B33,0)</f>
        <v>0</v>
      </c>
      <c r="C31" s="8">
        <f>IF('Items sous domaines Sciences '!G33=2,'Items sous domaines Sciences '!C33,0)</f>
        <v>0</v>
      </c>
      <c r="D31" s="8">
        <f>IF('Items sous domaines Sciences '!G33=2,'Items sous domaines Sciences '!D33,0)</f>
        <v>0</v>
      </c>
      <c r="E31" s="8">
        <f>IF('Items sous domaines Sciences '!G33=2,'Items sous domaines Sciences '!E33,0)</f>
        <v>0</v>
      </c>
      <c r="F31" s="27"/>
      <c r="G31" s="23"/>
    </row>
    <row r="32" spans="1:7" s="2" customFormat="1" ht="17.399999999999999" hidden="1" customHeight="1" thickBot="1" x14ac:dyDescent="0.3">
      <c r="A32" s="12"/>
      <c r="B32" s="8">
        <f>IF('Items sous domaines Sciences '!G34=2,'Items sous domaines Sciences '!B34,0)</f>
        <v>0</v>
      </c>
      <c r="C32" s="8">
        <f>IF('Items sous domaines Sciences '!G34=2,'Items sous domaines Sciences '!C34,0)</f>
        <v>0</v>
      </c>
      <c r="D32" s="8">
        <f>IF('Items sous domaines Sciences '!G34=2,'Items sous domaines Sciences '!D34,0)</f>
        <v>0</v>
      </c>
      <c r="E32" s="8">
        <f>IF('Items sous domaines Sciences '!G34=2,'Items sous domaines Sciences '!E34,0)</f>
        <v>0</v>
      </c>
      <c r="F32">
        <f>IF('Items sous domaines Sciences '!G130=2,'Items sous domaines Sciences '!#REF!,0)</f>
        <v>0</v>
      </c>
    </row>
    <row r="33" spans="1:7" s="2" customFormat="1" ht="17.399999999999999" hidden="1" customHeight="1" thickBot="1" x14ac:dyDescent="0.3">
      <c r="A33" s="12"/>
      <c r="B33" s="8">
        <f>IF('Items sous domaines Sciences '!G35=2,'Items sous domaines Sciences '!B35,0)</f>
        <v>0</v>
      </c>
      <c r="C33" s="8">
        <f>IF('Items sous domaines Sciences '!G35=2,'Items sous domaines Sciences '!C35,0)</f>
        <v>0</v>
      </c>
      <c r="D33" s="8">
        <f>IF('Items sous domaines Sciences '!G35=2,'Items sous domaines Sciences '!D35,0)</f>
        <v>0</v>
      </c>
      <c r="E33" s="8">
        <f>IF('Items sous domaines Sciences '!G35=2,'Items sous domaines Sciences '!E35,0)</f>
        <v>0</v>
      </c>
      <c r="F33">
        <f>IF('Items sous domaines Sciences '!G131=2,'Items sous domaines Sciences '!#REF!,0)</f>
        <v>0</v>
      </c>
    </row>
    <row r="34" spans="1:7" ht="19.95" customHeight="1" thickTop="1" x14ac:dyDescent="0.3">
      <c r="A34" s="420" t="s">
        <v>431</v>
      </c>
      <c r="B34" s="55" t="str">
        <f>IF('Items sous domaines Sciences '!G36=2,'Items sous domaines Sciences '!B36,0)</f>
        <v>Mécanique</v>
      </c>
      <c r="C34" s="225" t="str">
        <f>IF('Items sous domaines Sciences '!G36=2,'Items sous domaines Sciences '!C36,0)</f>
        <v>RDM</v>
      </c>
      <c r="D34" s="226" t="str">
        <f>IF('Items sous domaines Sciences '!G36=2,'Items sous domaines Sciences '!D36,0)</f>
        <v>RDM</v>
      </c>
      <c r="E34" s="226" t="str">
        <f>IF('Items sous domaines Sciences '!G36=2,'Items sous domaines Sciences '!E36,0)</f>
        <v>Expliquer les notions "contrainte" et "déformation".</v>
      </c>
      <c r="F34" s="430" t="s">
        <v>432</v>
      </c>
      <c r="G34" s="432" t="s">
        <v>390</v>
      </c>
    </row>
    <row r="35" spans="1:7" ht="19.95" customHeight="1" x14ac:dyDescent="0.3">
      <c r="A35" s="421"/>
      <c r="B35" s="55" t="str">
        <f>IF('Items sous domaines Sciences '!G37=2,'Items sous domaines Sciences '!B37,0)</f>
        <v>Mécanique</v>
      </c>
      <c r="C35" s="212" t="str">
        <f>IF('Items sous domaines Sciences '!G37=2,'Items sous domaines Sciences '!C37,0)</f>
        <v>RDM</v>
      </c>
      <c r="D35" s="215">
        <f>IF('Items sous domaines Sciences '!G37=2,'Items sous domaines Sciences '!D37,0)</f>
        <v>0</v>
      </c>
      <c r="E35" s="209" t="str">
        <f>IF('Items sous domaines Sciences '!G37=2,'Items sous domaines Sciences '!E37,0)</f>
        <v>Interpréter une courbe de traction (domaines élastique, plastique, striction, rupture) et ses données caractéristiques (résistance élastique, résistance max).</v>
      </c>
      <c r="F35" s="431"/>
      <c r="G35" s="433"/>
    </row>
    <row r="36" spans="1:7" ht="19.95" customHeight="1" x14ac:dyDescent="0.3">
      <c r="A36" s="421"/>
      <c r="B36" s="55" t="str">
        <f>IF('Items sous domaines Sciences '!G38=2,'Items sous domaines Sciences '!B38,0)</f>
        <v>Mécanique</v>
      </c>
      <c r="C36" s="213" t="str">
        <f>IF('Items sous domaines Sciences '!G38=2,'Items sous domaines Sciences '!C38,0)</f>
        <v>RDM</v>
      </c>
      <c r="D36" s="216">
        <f>IF('Items sous domaines Sciences '!G38=2,'Items sous domaines Sciences '!D38,0)</f>
        <v>0</v>
      </c>
      <c r="E36" s="216" t="str">
        <f>IF('Items sous domaines Sciences '!G38=2,'Items sous domaines Sciences '!E38,0)</f>
        <v>Calculer un module d’Young à partir d’une courbe de traction.</v>
      </c>
      <c r="F36" s="431"/>
      <c r="G36" s="433"/>
    </row>
    <row r="37" spans="1:7" ht="19.95" customHeight="1" x14ac:dyDescent="0.3">
      <c r="A37" s="421"/>
      <c r="B37" s="55" t="str">
        <f>IF('Items sous domaines Sciences '!G39=2,'Items sous domaines Sciences '!B39,0)</f>
        <v>Mécanique</v>
      </c>
      <c r="C37" s="212" t="str">
        <f>IF('Items sous domaines Sciences '!G39=2,'Items sous domaines Sciences '!C39,0)</f>
        <v>RDM</v>
      </c>
      <c r="D37" s="215">
        <f>IF('Items sous domaines Sciences '!G39=2,'Items sous domaines Sciences '!D39,0)</f>
        <v>0</v>
      </c>
      <c r="E37" s="209" t="str">
        <f>IF('Items sous domaines Sciences '!G39=2,'Items sous domaines Sciences '!E39,0)</f>
        <v>Calculer une contrainte et un allongement.</v>
      </c>
      <c r="F37" s="431"/>
      <c r="G37" s="433"/>
    </row>
    <row r="38" spans="1:7" ht="19.95" customHeight="1" x14ac:dyDescent="0.3">
      <c r="A38" s="421"/>
      <c r="B38" s="55" t="str">
        <f>IF('Items sous domaines Sciences '!G40=2,'Items sous domaines Sciences '!B40,0)</f>
        <v>Mécanique</v>
      </c>
      <c r="C38" s="213" t="str">
        <f>IF('Items sous domaines Sciences '!G40=2,'Items sous domaines Sciences '!C40,0)</f>
        <v>RDM</v>
      </c>
      <c r="D38" s="216">
        <f>IF('Items sous domaines Sciences '!G40=2,'Items sous domaines Sciences '!D40,0)</f>
        <v>0</v>
      </c>
      <c r="E38" s="216" t="str">
        <f>IF('Items sous domaines Sciences '!G40=2,'Items sous domaines Sciences '!E40,0)</f>
        <v>Utiliser la loi de Hooke.</v>
      </c>
      <c r="F38" s="431"/>
      <c r="G38" s="433"/>
    </row>
    <row r="39" spans="1:7" ht="19.95" customHeight="1" x14ac:dyDescent="0.3">
      <c r="A39" s="421"/>
      <c r="B39" s="55" t="str">
        <f>IF('Items sous domaines Sciences '!G41=2,'Items sous domaines Sciences '!B41,0)</f>
        <v>Mécanique</v>
      </c>
      <c r="C39" s="212" t="str">
        <f>IF('Items sous domaines Sciences '!G41=2,'Items sous domaines Sciences '!C41,0)</f>
        <v>RDM</v>
      </c>
      <c r="D39" s="215">
        <f>IF('Items sous domaines Sciences '!G41=2,'Items sous domaines Sciences '!D41,0)</f>
        <v>0</v>
      </c>
      <c r="E39" s="209" t="str">
        <f>IF('Items sous domaines Sciences '!G41=2,'Items sous domaines Sciences '!E41,0)</f>
        <v>Corréler les propriétés mécaniques et thermiques d’un matériau au type de liaison.</v>
      </c>
      <c r="F39" s="431"/>
      <c r="G39" s="433"/>
    </row>
    <row r="40" spans="1:7" ht="19.95" customHeight="1" x14ac:dyDescent="0.3">
      <c r="A40" s="421"/>
      <c r="B40" s="55" t="str">
        <f>IF('Items sous domaines Sciences '!G42=2,'Items sous domaines Sciences '!B42,0)</f>
        <v>Mécanique</v>
      </c>
      <c r="C40" s="213" t="str">
        <f>IF('Items sous domaines Sciences '!G42=2,'Items sous domaines Sciences '!C42,0)</f>
        <v>RDM</v>
      </c>
      <c r="D40" s="216">
        <f>IF('Items sous domaines Sciences '!G42=2,'Items sous domaines Sciences '!D42,0)</f>
        <v>0</v>
      </c>
      <c r="E40" s="216" t="str">
        <f>IF('Items sous domaines Sciences '!G42=2,'Items sous domaines Sciences '!E42,0)</f>
        <v>Discriminer un matériau pour une application.</v>
      </c>
      <c r="F40" s="431"/>
      <c r="G40" s="433"/>
    </row>
    <row r="41" spans="1:7" ht="19.95" customHeight="1" x14ac:dyDescent="0.3">
      <c r="A41" s="421"/>
      <c r="B41" s="55" t="str">
        <f>IF('Items sous domaines Sciences '!G43=2,'Items sous domaines Sciences '!B43,0)</f>
        <v>Mécanique</v>
      </c>
      <c r="C41" s="212" t="str">
        <f>IF('Items sous domaines Sciences '!G43=2,'Items sous domaines Sciences '!C43,0)</f>
        <v>RDM</v>
      </c>
      <c r="D41" s="215">
        <f>IF('Items sous domaines Sciences '!G43=2,'Items sous domaines Sciences '!D43,0)</f>
        <v>0</v>
      </c>
      <c r="E41" s="209" t="str">
        <f>IF('Items sous domaines Sciences '!G43=2,'Items sous domaines Sciences '!E43,0)</f>
        <v>Identifier les liaisons mécaniques (2D) entre solides, internes/externes (appui simple, articulation).</v>
      </c>
      <c r="F41" s="431"/>
      <c r="G41" s="433"/>
    </row>
    <row r="42" spans="1:7" ht="19.95" customHeight="1" x14ac:dyDescent="0.3">
      <c r="A42" s="421"/>
      <c r="B42" s="55" t="str">
        <f>IF('Items sous domaines Sciences '!G44=2,'Items sous domaines Sciences '!B44,0)</f>
        <v>Mécanique</v>
      </c>
      <c r="C42" s="213" t="str">
        <f>IF('Items sous domaines Sciences '!G44=2,'Items sous domaines Sciences '!C44,0)</f>
        <v>RDM</v>
      </c>
      <c r="D42" s="216">
        <f>IF('Items sous domaines Sciences '!G44=2,'Items sous domaines Sciences '!D44,0)</f>
        <v>0</v>
      </c>
      <c r="E42" s="216" t="str">
        <f>IF('Items sous domaines Sciences '!G44=2,'Items sous domaines Sciences '!E44,0)</f>
        <v>Identifier et appliquer les différents types de charges (force ponctuelle, charge linéique).</v>
      </c>
      <c r="F42" s="431"/>
      <c r="G42" s="433"/>
    </row>
    <row r="43" spans="1:7" ht="19.95" customHeight="1" x14ac:dyDescent="0.3">
      <c r="A43" s="421"/>
      <c r="B43" s="55" t="str">
        <f>IF('Items sous domaines Sciences '!G45=2,'Items sous domaines Sciences '!B45,0)</f>
        <v>Mécanique</v>
      </c>
      <c r="C43" s="212" t="str">
        <f>IF('Items sous domaines Sciences '!G45=2,'Items sous domaines Sciences '!C45,0)</f>
        <v>RDM</v>
      </c>
      <c r="D43" s="215">
        <f>IF('Items sous domaines Sciences '!G45=2,'Items sous domaines Sciences '!D45,0)</f>
        <v>0</v>
      </c>
      <c r="E43" s="209" t="str">
        <f>IF('Items sous domaines Sciences '!G45=2,'Items sous domaines Sciences '!E45,0)</f>
        <v>Déterminer le nombre de degrés de liberté d’un système articulé.</v>
      </c>
      <c r="F43" s="431"/>
      <c r="G43" s="433"/>
    </row>
    <row r="44" spans="1:7" ht="19.95" customHeight="1" x14ac:dyDescent="0.3">
      <c r="A44" s="421"/>
      <c r="B44" s="55" t="str">
        <f>IF('Items sous domaines Sciences '!G46=2,'Items sous domaines Sciences '!B46,0)</f>
        <v>Mécanique</v>
      </c>
      <c r="C44" s="213" t="str">
        <f>IF('Items sous domaines Sciences '!G46=2,'Items sous domaines Sciences '!C46,0)</f>
        <v>RDM</v>
      </c>
      <c r="D44" s="216">
        <f>IF('Items sous domaines Sciences '!G46=2,'Items sous domaines Sciences '!D46,0)</f>
        <v>0</v>
      </c>
      <c r="E44" s="216" t="str">
        <f>IF('Items sous domaines Sciences '!G46=2,'Items sous domaines Sciences '!E46,0)</f>
        <v>Utiliser le principe d’action/réaction pour appliquer le PFS.</v>
      </c>
      <c r="F44" s="431"/>
      <c r="G44" s="433"/>
    </row>
    <row r="45" spans="1:7" ht="19.95" customHeight="1" x14ac:dyDescent="0.3">
      <c r="A45" s="421"/>
      <c r="B45" s="55" t="str">
        <f>IF('Items sous domaines Sciences '!G47=2,'Items sous domaines Sciences '!B47,0)</f>
        <v>Mécanique</v>
      </c>
      <c r="C45" s="212" t="str">
        <f>IF('Items sous domaines Sciences '!G47=2,'Items sous domaines Sciences '!C47,0)</f>
        <v>RDM</v>
      </c>
      <c r="D45" s="215">
        <f>IF('Items sous domaines Sciences '!G47=2,'Items sous domaines Sciences '!D47,0)</f>
        <v>0</v>
      </c>
      <c r="E45" s="209" t="str">
        <f>IF('Items sous domaines Sciences '!G47=2,'Items sous domaines Sciences '!E47,0)</f>
        <v>Mettre en place une méthode de résolution d’un système isostatique.</v>
      </c>
      <c r="F45" s="431"/>
      <c r="G45" s="433"/>
    </row>
    <row r="46" spans="1:7" ht="19.95" customHeight="1" x14ac:dyDescent="0.3">
      <c r="A46" s="421"/>
      <c r="B46" s="55" t="str">
        <f>IF('Items sous domaines Sciences '!G48=2,'Items sous domaines Sciences '!B48,0)</f>
        <v>Mécanique</v>
      </c>
      <c r="C46" s="213" t="str">
        <f>IF('Items sous domaines Sciences '!G48=2,'Items sous domaines Sciences '!C48,0)</f>
        <v>RDM</v>
      </c>
      <c r="D46" s="216">
        <f>IF('Items sous domaines Sciences '!G48=2,'Items sous domaines Sciences '!D48,0)</f>
        <v>0</v>
      </c>
      <c r="E46" s="216" t="str">
        <f>IF('Items sous domaines Sciences '!G48=2,'Items sous domaines Sciences '!E48,0)</f>
        <v>Calculer une descente de charge.</v>
      </c>
      <c r="F46" s="431"/>
      <c r="G46" s="433"/>
    </row>
    <row r="47" spans="1:7" ht="19.95" customHeight="1" x14ac:dyDescent="0.3">
      <c r="A47" s="421"/>
      <c r="B47" s="55" t="str">
        <f>IF('Items sous domaines Sciences '!G49=2,'Items sous domaines Sciences '!B49,0)</f>
        <v>Mécanique</v>
      </c>
      <c r="C47" s="212" t="str">
        <f>IF('Items sous domaines Sciences '!G49=2,'Items sous domaines Sciences '!C49,0)</f>
        <v>RDM</v>
      </c>
      <c r="D47" s="215">
        <f>IF('Items sous domaines Sciences '!G49=2,'Items sous domaines Sciences '!D49,0)</f>
        <v>0</v>
      </c>
      <c r="E47" s="209" t="str">
        <f>IF('Items sous domaines Sciences '!G49=2,'Items sous domaines Sciences '!E49,0)</f>
        <v>Calculer une contrainte normale.</v>
      </c>
      <c r="F47" s="431"/>
      <c r="G47" s="433"/>
    </row>
    <row r="48" spans="1:7" ht="19.95" customHeight="1" x14ac:dyDescent="0.3">
      <c r="A48" s="421"/>
      <c r="B48" s="55" t="str">
        <f>IF('Items sous domaines Sciences '!G50=2,'Items sous domaines Sciences '!B50,0)</f>
        <v>Mécanique</v>
      </c>
      <c r="C48" s="213" t="str">
        <f>IF('Items sous domaines Sciences '!G50=2,'Items sous domaines Sciences '!C50,0)</f>
        <v>RDM</v>
      </c>
      <c r="D48" s="216">
        <f>IF('Items sous domaines Sciences '!G50=2,'Items sous domaines Sciences '!D50,0)</f>
        <v>0</v>
      </c>
      <c r="E48" s="216" t="str">
        <f>IF('Items sous domaines Sciences '!G50=2,'Items sous domaines Sciences '!E50,0)</f>
        <v>Utiliser la loi de Hooke.</v>
      </c>
      <c r="F48" s="431"/>
      <c r="G48" s="433"/>
    </row>
    <row r="49" spans="1:8" ht="19.95" customHeight="1" x14ac:dyDescent="0.3">
      <c r="A49" s="421"/>
      <c r="B49" s="55" t="str">
        <f>IF('Items sous domaines Sciences '!G51=2,'Items sous domaines Sciences '!B51,0)</f>
        <v>Mécanique</v>
      </c>
      <c r="C49" s="212" t="str">
        <f>IF('Items sous domaines Sciences '!G51=2,'Items sous domaines Sciences '!C51,0)</f>
        <v>RDM</v>
      </c>
      <c r="D49" s="215">
        <f>IF('Items sous domaines Sciences '!G51=2,'Items sous domaines Sciences '!D51,0)</f>
        <v>0</v>
      </c>
      <c r="E49" s="209" t="str">
        <f>IF('Items sous domaines Sciences '!G51=2,'Items sous domaines Sciences '!E51,0)</f>
        <v>Calculer le moment quadratique d’une section.</v>
      </c>
      <c r="F49" s="431"/>
      <c r="G49" s="433"/>
    </row>
    <row r="50" spans="1:8" ht="19.95" customHeight="1" x14ac:dyDescent="0.3">
      <c r="A50" s="421"/>
      <c r="B50" s="55" t="str">
        <f>IF('Items sous domaines Sciences '!G52=2,'Items sous domaines Sciences '!B52,0)</f>
        <v>Mécanique</v>
      </c>
      <c r="C50" s="213" t="str">
        <f>IF('Items sous domaines Sciences '!G52=2,'Items sous domaines Sciences '!C52,0)</f>
        <v>RDM</v>
      </c>
      <c r="D50" s="216">
        <f>IF('Items sous domaines Sciences '!G52=2,'Items sous domaines Sciences '!D52,0)</f>
        <v>0</v>
      </c>
      <c r="E50" s="216" t="str">
        <f>IF('Items sous domaines Sciences '!G52=2,'Items sous domaines Sciences '!E52,0)</f>
        <v>Appliquer une coupure afin de calculer les efforts internes (Effort normal, Effort tranchant, Moment fléchissant sur l’abscisse courante de la poutre).</v>
      </c>
      <c r="F50" s="431"/>
      <c r="G50" s="433"/>
    </row>
    <row r="51" spans="1:8" ht="19.95" customHeight="1" x14ac:dyDescent="0.3">
      <c r="A51" s="421"/>
      <c r="B51" s="55" t="str">
        <f>IF('Items sous domaines Sciences '!G53=2,'Items sous domaines Sciences '!B53,0)</f>
        <v>Mécanique</v>
      </c>
      <c r="C51" s="212" t="str">
        <f>IF('Items sous domaines Sciences '!G53=2,'Items sous domaines Sciences '!C53,0)</f>
        <v>RDM</v>
      </c>
      <c r="D51" s="215">
        <f>IF('Items sous domaines Sciences '!G53=2,'Items sous domaines Sciences '!D53,0)</f>
        <v>0</v>
      </c>
      <c r="E51" s="209" t="str">
        <f>IF('Items sous domaines Sciences '!G53=2,'Items sous domaines Sciences '!E53,0)</f>
        <v>Représenter sur un diagramme les efforts tranchants et moments fléchissants.</v>
      </c>
      <c r="F51" s="431"/>
      <c r="G51" s="433"/>
    </row>
    <row r="52" spans="1:8" ht="19.95" customHeight="1" x14ac:dyDescent="0.3">
      <c r="A52" s="421"/>
      <c r="B52" s="55" t="str">
        <f>IF('Items sous domaines Sciences '!G54=2,'Items sous domaines Sciences '!B54,0)</f>
        <v>Mécanique</v>
      </c>
      <c r="C52" s="213" t="str">
        <f>IF('Items sous domaines Sciences '!G54=2,'Items sous domaines Sciences '!C54,0)</f>
        <v>RDM</v>
      </c>
      <c r="D52" s="216">
        <f>IF('Items sous domaines Sciences '!G54=2,'Items sous domaines Sciences '!D54,0)</f>
        <v>0</v>
      </c>
      <c r="E52" s="216" t="str">
        <f>IF('Items sous domaines Sciences '!G54=2,'Items sous domaines Sciences '!E54,0)</f>
        <v>Expliquer la relation effort tranchant/moment fléchissant dans le cadre de la déformation d’une structure simple.</v>
      </c>
      <c r="F52" s="431"/>
      <c r="G52" s="433"/>
    </row>
    <row r="53" spans="1:8" ht="19.95" customHeight="1" x14ac:dyDescent="0.3">
      <c r="A53" s="421"/>
      <c r="B53" s="55" t="str">
        <f>IF('Items sous domaines Sciences '!G55=2,'Items sous domaines Sciences '!B55,0)</f>
        <v>Mécanique</v>
      </c>
      <c r="C53" s="212" t="str">
        <f>IF('Items sous domaines Sciences '!G55=2,'Items sous domaines Sciences '!C55,0)</f>
        <v>RDM</v>
      </c>
      <c r="D53" s="215">
        <f>IF('Items sous domaines Sciences '!G55=2,'Items sous domaines Sciences '!D55,0)</f>
        <v>0</v>
      </c>
      <c r="E53" s="209" t="str">
        <f>IF('Items sous domaines Sciences '!G55=2,'Items sous domaines Sciences '!E55,0)</f>
        <v>Calculer la déformée par la méthode des intégrations successives (calcul de la rotation de la section (v’= angle)).</v>
      </c>
      <c r="F53" s="431"/>
      <c r="G53" s="433"/>
    </row>
    <row r="54" spans="1:8" s="48" customFormat="1" ht="19.95" customHeight="1" thickBot="1" x14ac:dyDescent="0.35">
      <c r="A54" s="422"/>
      <c r="B54" s="55" t="str">
        <f>IF('Items sous domaines Sciences '!G56=2,'Items sous domaines Sciences '!B56,0)</f>
        <v>Mécanique</v>
      </c>
      <c r="C54" s="227" t="str">
        <f>IF('Items sous domaines Sciences '!G56=2,'Items sous domaines Sciences '!C56,0)</f>
        <v>RDM</v>
      </c>
      <c r="D54" s="228">
        <f>IF('Items sous domaines Sciences '!G56=2,'Items sous domaines Sciences '!D56,0)</f>
        <v>0</v>
      </c>
      <c r="E54" s="228" t="str">
        <f>IF('Items sous domaines Sciences '!G56=2,'Items sous domaines Sciences '!E56,0)</f>
        <v>Sélectionner une poutre (forme, matériau) adaptée à un contexte de structure simple.</v>
      </c>
      <c r="F54" s="431"/>
      <c r="G54" s="434"/>
    </row>
    <row r="55" spans="1:8" customFormat="1" ht="17.399999999999999" hidden="1" customHeight="1" thickBot="1" x14ac:dyDescent="0.3">
      <c r="A55" s="12"/>
      <c r="B55">
        <f>IF('Items sous domaines Sciences '!G57=2,'Items sous domaines Sciences '!B57,0)</f>
        <v>0</v>
      </c>
      <c r="C55">
        <f>IF('Items sous domaines Sciences '!G57=2,'Items sous domaines Sciences '!C57,0)</f>
        <v>0</v>
      </c>
      <c r="D55">
        <f>IF('Items sous domaines Sciences '!G57=2,'Items sous domaines Sciences '!D57,0)</f>
        <v>0</v>
      </c>
      <c r="E55">
        <f>IF('Items sous domaines Sciences '!G57=2,'Items sous domaines Sciences '!E57,0)</f>
        <v>0</v>
      </c>
      <c r="F55" s="380"/>
    </row>
    <row r="56" spans="1:8" customFormat="1" ht="17.399999999999999" hidden="1" customHeight="1" thickBot="1" x14ac:dyDescent="0.3">
      <c r="A56" s="12"/>
      <c r="B56" s="8">
        <f>IF('Items sous domaines Sciences '!G58=2,'Items sous domaines Sciences '!B58,0)</f>
        <v>0</v>
      </c>
      <c r="C56" s="8">
        <f>IF('Items sous domaines Sciences '!G58=2,'Items sous domaines Sciences '!C58,0)</f>
        <v>0</v>
      </c>
      <c r="D56" s="8">
        <f>IF('Items sous domaines Sciences '!G58=2,'Items sous domaines Sciences '!D58,0)</f>
        <v>0</v>
      </c>
      <c r="E56" s="8">
        <f>IF('Items sous domaines Sciences '!G58=2,'Items sous domaines Sciences '!E58,0)</f>
        <v>0</v>
      </c>
      <c r="F56" s="380"/>
    </row>
    <row r="57" spans="1:8" customFormat="1" ht="17.399999999999999" hidden="1" customHeight="1" thickBot="1" x14ac:dyDescent="0.3">
      <c r="A57" s="352" t="s">
        <v>433</v>
      </c>
      <c r="B57" s="8">
        <f>IF('Items sous domaines Sciences '!G59=2,'Items sous domaines Sciences '!B59,0)</f>
        <v>0</v>
      </c>
      <c r="C57" s="8">
        <f>IF('Items sous domaines Sciences '!G59=2,'Items sous domaines Sciences '!C59,0)</f>
        <v>0</v>
      </c>
      <c r="D57" s="8">
        <f>IF('Items sous domaines Sciences '!G59=2,'Items sous domaines Sciences '!D59,0)</f>
        <v>0</v>
      </c>
      <c r="E57" s="8">
        <f>IF('Items sous domaines Sciences '!G59=2,'Items sous domaines Sciences '!E59,0)</f>
        <v>0</v>
      </c>
      <c r="F57" s="380"/>
      <c r="G57" s="333" t="s">
        <v>396</v>
      </c>
      <c r="H57" s="22" t="s">
        <v>434</v>
      </c>
    </row>
    <row r="58" spans="1:8" customFormat="1" ht="17.399999999999999" hidden="1" customHeight="1" thickBot="1" x14ac:dyDescent="0.3">
      <c r="A58" s="353"/>
      <c r="B58" s="8">
        <f>IF('Items sous domaines Sciences '!G60=2,'Items sous domaines Sciences '!B60,0)</f>
        <v>0</v>
      </c>
      <c r="C58" s="8">
        <f>IF('Items sous domaines Sciences '!G60=2,'Items sous domaines Sciences '!C60,0)</f>
        <v>0</v>
      </c>
      <c r="D58" s="8">
        <f>IF('Items sous domaines Sciences '!G60=2,'Items sous domaines Sciences '!D60,0)</f>
        <v>0</v>
      </c>
      <c r="E58" s="8">
        <f>IF('Items sous domaines Sciences '!G60=2,'Items sous domaines Sciences '!E60,0)</f>
        <v>0</v>
      </c>
      <c r="F58" s="380"/>
      <c r="G58" s="372"/>
      <c r="H58" s="22" t="s">
        <v>435</v>
      </c>
    </row>
    <row r="59" spans="1:8" customFormat="1" ht="17.399999999999999" hidden="1" customHeight="1" thickBot="1" x14ac:dyDescent="0.3">
      <c r="A59" s="353"/>
      <c r="B59" s="8">
        <f>IF('Items sous domaines Sciences '!G61=2,'Items sous domaines Sciences '!B61,0)</f>
        <v>0</v>
      </c>
      <c r="C59" s="8">
        <f>IF('Items sous domaines Sciences '!G61=2,'Items sous domaines Sciences '!C61,0)</f>
        <v>0</v>
      </c>
      <c r="D59" s="8">
        <f>IF('Items sous domaines Sciences '!G61=2,'Items sous domaines Sciences '!D61,0)</f>
        <v>0</v>
      </c>
      <c r="E59" s="8">
        <f>IF('Items sous domaines Sciences '!G61=2,'Items sous domaines Sciences '!E61,0)</f>
        <v>0</v>
      </c>
      <c r="F59" s="380"/>
      <c r="G59" s="372"/>
      <c r="H59" s="22" t="s">
        <v>436</v>
      </c>
    </row>
    <row r="60" spans="1:8" customFormat="1" ht="23.4" hidden="1" customHeight="1" thickBot="1" x14ac:dyDescent="0.3">
      <c r="A60" s="353"/>
      <c r="B60" s="8">
        <f>IF('Items sous domaines Sciences '!G62=2,'Items sous domaines Sciences '!B62,0)</f>
        <v>0</v>
      </c>
      <c r="C60" s="8">
        <f>IF('Items sous domaines Sciences '!G62=2,'Items sous domaines Sciences '!C62,0)</f>
        <v>0</v>
      </c>
      <c r="D60" s="8">
        <f>IF('Items sous domaines Sciences '!G62=2,'Items sous domaines Sciences '!D62,0)</f>
        <v>0</v>
      </c>
      <c r="E60" s="8">
        <f>IF('Items sous domaines Sciences '!G62=2,'Items sous domaines Sciences '!E62,0)</f>
        <v>0</v>
      </c>
      <c r="F60" s="380"/>
      <c r="G60" s="372"/>
    </row>
    <row r="61" spans="1:8" customFormat="1" ht="43.95" hidden="1" customHeight="1" thickBot="1" x14ac:dyDescent="0.3">
      <c r="A61" s="386"/>
      <c r="B61" s="8">
        <f>IF('Items sous domaines Sciences '!G63=2,'Items sous domaines Sciences '!B63,0)</f>
        <v>0</v>
      </c>
      <c r="C61" s="8">
        <f>IF('Items sous domaines Sciences '!G63=2,'Items sous domaines Sciences '!C63,0)</f>
        <v>0</v>
      </c>
      <c r="D61" s="8">
        <f>IF('Items sous domaines Sciences '!G63=2,'Items sous domaines Sciences '!D63,0)</f>
        <v>0</v>
      </c>
      <c r="E61" s="8">
        <f>IF('Items sous domaines Sciences '!G63=2,'Items sous domaines Sciences '!E63,0)</f>
        <v>0</v>
      </c>
      <c r="F61" s="380"/>
      <c r="G61" s="372"/>
    </row>
    <row r="62" spans="1:8" customFormat="1" ht="30" hidden="1" customHeight="1" thickBot="1" x14ac:dyDescent="0.3">
      <c r="B62" s="8">
        <f>IF('Items sous domaines Sciences '!G64=2,'Items sous domaines Sciences '!B64,0)</f>
        <v>0</v>
      </c>
      <c r="C62" s="8">
        <f>IF('Items sous domaines Sciences '!G64=2,'Items sous domaines Sciences '!C64,0)</f>
        <v>0</v>
      </c>
      <c r="D62" s="8">
        <f>IF('Items sous domaines Sciences '!G64=2,'Items sous domaines Sciences '!D64,0)</f>
        <v>0</v>
      </c>
      <c r="E62" s="8">
        <f>IF('Items sous domaines Sciences '!G64=2,'Items sous domaines Sciences '!E64,0)</f>
        <v>0</v>
      </c>
      <c r="F62" s="380"/>
      <c r="G62" s="372"/>
    </row>
    <row r="63" spans="1:8" customFormat="1" ht="17.399999999999999" hidden="1" customHeight="1" thickBot="1" x14ac:dyDescent="0.3">
      <c r="A63" s="402" t="s">
        <v>397</v>
      </c>
      <c r="B63" s="8">
        <f>IF('Items sous domaines Sciences '!G65=2,'Items sous domaines Sciences '!B65,0)</f>
        <v>0</v>
      </c>
      <c r="C63" s="8">
        <f>IF('Items sous domaines Sciences '!G65=2,'Items sous domaines Sciences '!C65,0)</f>
        <v>0</v>
      </c>
      <c r="D63" s="8">
        <f>IF('Items sous domaines Sciences '!G65=2,'Items sous domaines Sciences '!D65,0)</f>
        <v>0</v>
      </c>
      <c r="E63" s="8">
        <f>IF('Items sous domaines Sciences '!G65=2,'Items sous domaines Sciences '!E65,0)</f>
        <v>0</v>
      </c>
      <c r="F63" s="380"/>
      <c r="G63" s="372"/>
    </row>
    <row r="64" spans="1:8" customFormat="1" ht="17.399999999999999" hidden="1" customHeight="1" thickBot="1" x14ac:dyDescent="0.3">
      <c r="A64" s="372"/>
      <c r="B64" s="8">
        <f>IF('Items sous domaines Sciences '!G66=2,'Items sous domaines Sciences '!B66,0)</f>
        <v>0</v>
      </c>
      <c r="C64" s="8">
        <f>IF('Items sous domaines Sciences '!G66=2,'Items sous domaines Sciences '!C66,0)</f>
        <v>0</v>
      </c>
      <c r="D64" s="8">
        <f>IF('Items sous domaines Sciences '!G66=2,'Items sous domaines Sciences '!D66,0)</f>
        <v>0</v>
      </c>
      <c r="E64" s="8">
        <f>IF('Items sous domaines Sciences '!G66=2,'Items sous domaines Sciences '!E66,0)</f>
        <v>0</v>
      </c>
      <c r="F64" s="380"/>
      <c r="G64" s="372"/>
    </row>
    <row r="65" spans="1:7" customFormat="1" ht="17.399999999999999" hidden="1" customHeight="1" thickBot="1" x14ac:dyDescent="0.3">
      <c r="A65" s="372"/>
      <c r="B65" s="8">
        <f>IF('Items sous domaines Sciences '!G67=2,'Items sous domaines Sciences '!B67,0)</f>
        <v>0</v>
      </c>
      <c r="C65" s="8">
        <f>IF('Items sous domaines Sciences '!G67=2,'Items sous domaines Sciences '!C67,0)</f>
        <v>0</v>
      </c>
      <c r="D65" s="8">
        <f>IF('Items sous domaines Sciences '!G67=2,'Items sous domaines Sciences '!D67,0)</f>
        <v>0</v>
      </c>
      <c r="E65" s="8">
        <f>IF('Items sous domaines Sciences '!G67=2,'Items sous domaines Sciences '!E67,0)</f>
        <v>0</v>
      </c>
      <c r="F65" s="380"/>
      <c r="G65" s="372"/>
    </row>
    <row r="66" spans="1:7" customFormat="1" ht="17.399999999999999" hidden="1" customHeight="1" thickBot="1" x14ac:dyDescent="0.3">
      <c r="A66" s="372"/>
      <c r="B66" s="8">
        <f>IF('Items sous domaines Sciences '!G68=2,'Items sous domaines Sciences '!B68,0)</f>
        <v>0</v>
      </c>
      <c r="C66" s="8">
        <f>IF('Items sous domaines Sciences '!G68=2,'Items sous domaines Sciences '!C68,0)</f>
        <v>0</v>
      </c>
      <c r="D66" s="8">
        <f>IF('Items sous domaines Sciences '!G68=2,'Items sous domaines Sciences '!D68,0)</f>
        <v>0</v>
      </c>
      <c r="E66" s="8">
        <f>IF('Items sous domaines Sciences '!G68=2,'Items sous domaines Sciences '!E68,0)</f>
        <v>0</v>
      </c>
      <c r="F66" s="380"/>
      <c r="G66" s="372"/>
    </row>
    <row r="67" spans="1:7" customFormat="1" ht="17.399999999999999" hidden="1" customHeight="1" thickBot="1" x14ac:dyDescent="0.3">
      <c r="A67" s="372"/>
      <c r="B67" s="8">
        <f>IF('Items sous domaines Sciences '!G69=2,'Items sous domaines Sciences '!B69,0)</f>
        <v>0</v>
      </c>
      <c r="C67" s="8">
        <f>IF('Items sous domaines Sciences '!G69=2,'Items sous domaines Sciences '!C69,0)</f>
        <v>0</v>
      </c>
      <c r="D67" s="8">
        <f>IF('Items sous domaines Sciences '!G69=2,'Items sous domaines Sciences '!D69,0)</f>
        <v>0</v>
      </c>
      <c r="E67" s="8">
        <f>IF('Items sous domaines Sciences '!G69=2,'Items sous domaines Sciences '!E69,0)</f>
        <v>0</v>
      </c>
      <c r="F67" s="380"/>
      <c r="G67" s="372"/>
    </row>
    <row r="68" spans="1:7" customFormat="1" ht="17.399999999999999" hidden="1" customHeight="1" thickBot="1" x14ac:dyDescent="0.3">
      <c r="A68" s="372"/>
      <c r="B68" s="8">
        <f>IF('Items sous domaines Sciences '!G70=2,'Items sous domaines Sciences '!B70,0)</f>
        <v>0</v>
      </c>
      <c r="C68" s="8">
        <f>IF('Items sous domaines Sciences '!G70=2,'Items sous domaines Sciences '!C70,0)</f>
        <v>0</v>
      </c>
      <c r="D68" s="8">
        <f>IF('Items sous domaines Sciences '!G70=2,'Items sous domaines Sciences '!D70,0)</f>
        <v>0</v>
      </c>
      <c r="E68" s="8">
        <f>IF('Items sous domaines Sciences '!G70=2,'Items sous domaines Sciences '!E70,0)</f>
        <v>0</v>
      </c>
      <c r="F68" s="380"/>
      <c r="G68" s="372"/>
    </row>
    <row r="69" spans="1:7" customFormat="1" ht="22.2" hidden="1" customHeight="1" thickBot="1" x14ac:dyDescent="0.3">
      <c r="A69" s="372"/>
      <c r="B69" s="8">
        <f>IF('Items sous domaines Sciences '!G71=2,'Items sous domaines Sciences '!B71,0)</f>
        <v>0</v>
      </c>
      <c r="C69" s="8">
        <f>IF('Items sous domaines Sciences '!G71=2,'Items sous domaines Sciences '!C71,0)</f>
        <v>0</v>
      </c>
      <c r="D69" s="8">
        <f>IF('Items sous domaines Sciences '!G71=2,'Items sous domaines Sciences '!D71,0)</f>
        <v>0</v>
      </c>
      <c r="E69" s="8">
        <f>IF('Items sous domaines Sciences '!G71=2,'Items sous domaines Sciences '!E71,0)</f>
        <v>0</v>
      </c>
      <c r="F69" s="380"/>
      <c r="G69" s="372"/>
    </row>
    <row r="70" spans="1:7" customFormat="1" ht="17.399999999999999" hidden="1" customHeight="1" thickBot="1" x14ac:dyDescent="0.3">
      <c r="A70" s="372"/>
      <c r="B70" s="8">
        <f>IF('Items sous domaines Sciences '!G72=2,'Items sous domaines Sciences '!B72,0)</f>
        <v>0</v>
      </c>
      <c r="C70" s="8">
        <f>IF('Items sous domaines Sciences '!G72=2,'Items sous domaines Sciences '!C72,0)</f>
        <v>0</v>
      </c>
      <c r="D70" s="8">
        <f>IF('Items sous domaines Sciences '!G72=2,'Items sous domaines Sciences '!D72,0)</f>
        <v>0</v>
      </c>
      <c r="E70" s="8">
        <f>IF('Items sous domaines Sciences '!G72=2,'Items sous domaines Sciences '!E72,0)</f>
        <v>0</v>
      </c>
      <c r="F70" s="380"/>
      <c r="G70" s="372"/>
    </row>
    <row r="71" spans="1:7" customFormat="1" ht="27.6" hidden="1" customHeight="1" thickBot="1" x14ac:dyDescent="0.3">
      <c r="A71" s="372"/>
      <c r="B71" s="8">
        <f>IF('Items sous domaines Sciences '!G73=2,'Items sous domaines Sciences '!B73,0)</f>
        <v>0</v>
      </c>
      <c r="C71" s="8">
        <f>IF('Items sous domaines Sciences '!G73=2,'Items sous domaines Sciences '!C73,0)</f>
        <v>0</v>
      </c>
      <c r="D71" s="8">
        <f>IF('Items sous domaines Sciences '!G73=2,'Items sous domaines Sciences '!D73,0)</f>
        <v>0</v>
      </c>
      <c r="E71" s="8">
        <f>IF('Items sous domaines Sciences '!G73=2,'Items sous domaines Sciences '!E73,0)</f>
        <v>0</v>
      </c>
      <c r="F71" s="380"/>
      <c r="G71" s="372"/>
    </row>
    <row r="72" spans="1:7" customFormat="1" ht="17.399999999999999" hidden="1" customHeight="1" thickBot="1" x14ac:dyDescent="0.3">
      <c r="A72" s="385"/>
      <c r="B72" s="8">
        <f>IF('Items sous domaines Sciences '!G74=2,'Items sous domaines Sciences '!B74,0)</f>
        <v>0</v>
      </c>
      <c r="C72" s="8">
        <f>IF('Items sous domaines Sciences '!G74=2,'Items sous domaines Sciences '!C74,0)</f>
        <v>0</v>
      </c>
      <c r="D72" s="8">
        <f>IF('Items sous domaines Sciences '!G74=2,'Items sous domaines Sciences '!D74,0)</f>
        <v>0</v>
      </c>
      <c r="E72" s="8">
        <f>IF('Items sous domaines Sciences '!G74=2,'Items sous domaines Sciences '!E74,0)</f>
        <v>0</v>
      </c>
      <c r="F72" s="380"/>
      <c r="G72" s="372"/>
    </row>
    <row r="73" spans="1:7" customFormat="1" ht="17.399999999999999" hidden="1" customHeight="1" thickBot="1" x14ac:dyDescent="0.3">
      <c r="B73" s="8">
        <f>IF('Items sous domaines Sciences '!G75=2,'Items sous domaines Sciences '!B75,0)</f>
        <v>0</v>
      </c>
      <c r="C73" s="8">
        <f>IF('Items sous domaines Sciences '!G75=2,'Items sous domaines Sciences '!C75,0)</f>
        <v>0</v>
      </c>
      <c r="D73" s="8">
        <f>IF('Items sous domaines Sciences '!G75=2,'Items sous domaines Sciences '!D75,0)</f>
        <v>0</v>
      </c>
      <c r="E73" s="8">
        <f>IF('Items sous domaines Sciences '!G75=2,'Items sous domaines Sciences '!E75,0)</f>
        <v>0</v>
      </c>
      <c r="F73" s="380"/>
      <c r="G73" s="372"/>
    </row>
    <row r="74" spans="1:7" customFormat="1" ht="17.399999999999999" hidden="1" customHeight="1" thickBot="1" x14ac:dyDescent="0.3">
      <c r="B74" s="8">
        <f>IF('Items sous domaines Sciences '!G76=2,'Items sous domaines Sciences '!B76,0)</f>
        <v>0</v>
      </c>
      <c r="C74" s="8">
        <f>IF('Items sous domaines Sciences '!G76=2,'Items sous domaines Sciences '!C76,0)</f>
        <v>0</v>
      </c>
      <c r="D74" s="8">
        <f>IF('Items sous domaines Sciences '!G76=2,'Items sous domaines Sciences '!D76,0)</f>
        <v>0</v>
      </c>
      <c r="E74" s="8">
        <f>IF('Items sous domaines Sciences '!G76=2,'Items sous domaines Sciences '!E76,0)</f>
        <v>0</v>
      </c>
      <c r="F74" s="380"/>
    </row>
    <row r="75" spans="1:7" customFormat="1" ht="17.399999999999999" hidden="1" customHeight="1" thickBot="1" x14ac:dyDescent="0.3">
      <c r="B75" s="8">
        <f>IF('Items sous domaines Sciences '!G77=2,'Items sous domaines Sciences '!B77,0)</f>
        <v>0</v>
      </c>
      <c r="C75" s="8">
        <f>IF('Items sous domaines Sciences '!G77=2,'Items sous domaines Sciences '!C77,0)</f>
        <v>0</v>
      </c>
      <c r="D75" s="8">
        <f>IF('Items sous domaines Sciences '!G77=2,'Items sous domaines Sciences '!D77,0)</f>
        <v>0</v>
      </c>
      <c r="E75" s="8">
        <f>IF('Items sous domaines Sciences '!G77=2,'Items sous domaines Sciences '!E77,0)</f>
        <v>0</v>
      </c>
      <c r="F75" s="380"/>
    </row>
    <row r="76" spans="1:7" customFormat="1" ht="17.399999999999999" hidden="1" customHeight="1" thickBot="1" x14ac:dyDescent="0.3">
      <c r="B76" s="8">
        <f>IF('Items sous domaines Sciences '!G78=2,'Items sous domaines Sciences '!B78,0)</f>
        <v>0</v>
      </c>
      <c r="C76" s="8">
        <f>IF('Items sous domaines Sciences '!G78=2,'Items sous domaines Sciences '!C78,0)</f>
        <v>0</v>
      </c>
      <c r="D76" s="8">
        <f>IF('Items sous domaines Sciences '!G78=2,'Items sous domaines Sciences '!D78,0)</f>
        <v>0</v>
      </c>
      <c r="E76" s="8">
        <f>IF('Items sous domaines Sciences '!G78=2,'Items sous domaines Sciences '!E78,0)</f>
        <v>0</v>
      </c>
      <c r="F76" s="380"/>
    </row>
    <row r="77" spans="1:7" customFormat="1" ht="17.399999999999999" hidden="1" customHeight="1" thickBot="1" x14ac:dyDescent="0.3">
      <c r="B77" s="8">
        <f>IF('Items sous domaines Sciences '!G79=2,'Items sous domaines Sciences '!B79,0)</f>
        <v>0</v>
      </c>
      <c r="C77" s="8">
        <f>IF('Items sous domaines Sciences '!G79=2,'Items sous domaines Sciences '!C79,0)</f>
        <v>0</v>
      </c>
      <c r="D77" s="8">
        <f>IF('Items sous domaines Sciences '!G79=2,'Items sous domaines Sciences '!D79,0)</f>
        <v>0</v>
      </c>
      <c r="E77" s="8">
        <f>IF('Items sous domaines Sciences '!G79=2,'Items sous domaines Sciences '!E79,0)</f>
        <v>0</v>
      </c>
      <c r="F77" s="380"/>
    </row>
    <row r="78" spans="1:7" customFormat="1" ht="17.399999999999999" hidden="1" customHeight="1" thickBot="1" x14ac:dyDescent="0.3">
      <c r="B78" s="8">
        <f>IF('Items sous domaines Sciences '!G80=2,'Items sous domaines Sciences '!B80,0)</f>
        <v>0</v>
      </c>
      <c r="C78" s="8">
        <f>IF('Items sous domaines Sciences '!G80=2,'Items sous domaines Sciences '!C80,0)</f>
        <v>0</v>
      </c>
      <c r="D78" s="8">
        <f>IF('Items sous domaines Sciences '!G80=2,'Items sous domaines Sciences '!D80,0)</f>
        <v>0</v>
      </c>
      <c r="E78" s="8">
        <f>IF('Items sous domaines Sciences '!G80=2,'Items sous domaines Sciences '!E80,0)</f>
        <v>0</v>
      </c>
      <c r="F78" s="380"/>
    </row>
    <row r="79" spans="1:7" customFormat="1" ht="17.399999999999999" hidden="1" customHeight="1" thickBot="1" x14ac:dyDescent="0.3">
      <c r="B79" s="8">
        <f>IF('Items sous domaines Sciences '!G81=2,'Items sous domaines Sciences '!B81,0)</f>
        <v>0</v>
      </c>
      <c r="C79" s="8">
        <f>IF('Items sous domaines Sciences '!G81=2,'Items sous domaines Sciences '!C81,0)</f>
        <v>0</v>
      </c>
      <c r="D79" s="8">
        <f>IF('Items sous domaines Sciences '!G81=2,'Items sous domaines Sciences '!D81,0)</f>
        <v>0</v>
      </c>
      <c r="E79" s="8">
        <f>IF('Items sous domaines Sciences '!G81=2,'Items sous domaines Sciences '!E81,0)</f>
        <v>0</v>
      </c>
      <c r="F79" s="380"/>
    </row>
    <row r="80" spans="1:7" customFormat="1" ht="17.399999999999999" hidden="1" customHeight="1" thickBot="1" x14ac:dyDescent="0.3">
      <c r="B80" s="8">
        <f>IF('Items sous domaines Sciences '!G82=2,'Items sous domaines Sciences '!B82,0)</f>
        <v>0</v>
      </c>
      <c r="C80" s="8">
        <f>IF('Items sous domaines Sciences '!G82=2,'Items sous domaines Sciences '!C82,0)</f>
        <v>0</v>
      </c>
      <c r="D80" s="8">
        <f>IF('Items sous domaines Sciences '!G82=2,'Items sous domaines Sciences '!D82,0)</f>
        <v>0</v>
      </c>
      <c r="E80" s="8">
        <f>IF('Items sous domaines Sciences '!G82=2,'Items sous domaines Sciences '!E82,0)</f>
        <v>0</v>
      </c>
      <c r="F80" s="380"/>
    </row>
    <row r="81" spans="1:7" customFormat="1" ht="17.399999999999999" hidden="1" customHeight="1" thickBot="1" x14ac:dyDescent="0.3">
      <c r="B81" s="8">
        <f>IF('Items sous domaines Sciences '!G83=2,'Items sous domaines Sciences '!B83,0)</f>
        <v>0</v>
      </c>
      <c r="C81" s="8">
        <f>IF('Items sous domaines Sciences '!G83=2,'Items sous domaines Sciences '!C83,0)</f>
        <v>0</v>
      </c>
      <c r="D81" s="8">
        <f>IF('Items sous domaines Sciences '!G83=2,'Items sous domaines Sciences '!D83,0)</f>
        <v>0</v>
      </c>
      <c r="E81" s="8">
        <f>IF('Items sous domaines Sciences '!G83=2,'Items sous domaines Sciences '!E83,0)</f>
        <v>0</v>
      </c>
      <c r="F81" s="380"/>
    </row>
    <row r="82" spans="1:7" customFormat="1" ht="17.399999999999999" hidden="1" customHeight="1" thickBot="1" x14ac:dyDescent="0.3">
      <c r="B82" s="8">
        <f>IF('Items sous domaines Sciences '!G84=2,'Items sous domaines Sciences '!B84,0)</f>
        <v>0</v>
      </c>
      <c r="C82" s="8">
        <f>IF('Items sous domaines Sciences '!G84=2,'Items sous domaines Sciences '!C84,0)</f>
        <v>0</v>
      </c>
      <c r="D82" s="8">
        <f>IF('Items sous domaines Sciences '!G84=2,'Items sous domaines Sciences '!D84,0)</f>
        <v>0</v>
      </c>
      <c r="E82" s="8">
        <f>IF('Items sous domaines Sciences '!G84=2,'Items sous domaines Sciences '!E84,0)</f>
        <v>0</v>
      </c>
      <c r="F82" s="380"/>
    </row>
    <row r="83" spans="1:7" customFormat="1" ht="17.399999999999999" hidden="1" customHeight="1" thickBot="1" x14ac:dyDescent="0.3">
      <c r="B83" s="8">
        <f>IF('Items sous domaines Sciences '!G85=2,'Items sous domaines Sciences '!B85,0)</f>
        <v>0</v>
      </c>
      <c r="C83" s="8">
        <f>IF('Items sous domaines Sciences '!G85=2,'Items sous domaines Sciences '!C85,0)</f>
        <v>0</v>
      </c>
      <c r="D83" s="8">
        <f>IF('Items sous domaines Sciences '!G85=2,'Items sous domaines Sciences '!D85,0)</f>
        <v>0</v>
      </c>
      <c r="E83" s="8">
        <f>IF('Items sous domaines Sciences '!G85=2,'Items sous domaines Sciences '!E85,0)</f>
        <v>0</v>
      </c>
      <c r="F83" s="380"/>
    </row>
    <row r="84" spans="1:7" customFormat="1" ht="17.399999999999999" hidden="1" customHeight="1" thickBot="1" x14ac:dyDescent="0.3">
      <c r="B84" s="8">
        <f>IF('Items sous domaines Sciences '!G86=2,'Items sous domaines Sciences '!B86,0)</f>
        <v>0</v>
      </c>
      <c r="C84" s="8">
        <f>IF('Items sous domaines Sciences '!G86=2,'Items sous domaines Sciences '!C86,0)</f>
        <v>0</v>
      </c>
      <c r="D84" s="8">
        <f>IF('Items sous domaines Sciences '!G86=2,'Items sous domaines Sciences '!D86,0)</f>
        <v>0</v>
      </c>
      <c r="E84" s="8">
        <f>IF('Items sous domaines Sciences '!G86=2,'Items sous domaines Sciences '!E86,0)</f>
        <v>0</v>
      </c>
      <c r="F84" s="380"/>
    </row>
    <row r="85" spans="1:7" customFormat="1" ht="17.399999999999999" hidden="1" customHeight="1" thickBot="1" x14ac:dyDescent="0.3">
      <c r="B85" s="8">
        <f>IF('Items sous domaines Sciences '!G87=2,'Items sous domaines Sciences '!B87,0)</f>
        <v>0</v>
      </c>
      <c r="C85" s="8">
        <f>IF('Items sous domaines Sciences '!G87=2,'Items sous domaines Sciences '!C87,0)</f>
        <v>0</v>
      </c>
      <c r="D85" s="8">
        <f>IF('Items sous domaines Sciences '!G87=2,'Items sous domaines Sciences '!D87,0)</f>
        <v>0</v>
      </c>
      <c r="E85" s="8">
        <f>IF('Items sous domaines Sciences '!G87=2,'Items sous domaines Sciences '!E87,0)</f>
        <v>0</v>
      </c>
      <c r="F85" s="380"/>
    </row>
    <row r="86" spans="1:7" customFormat="1" ht="17.399999999999999" hidden="1" customHeight="1" thickBot="1" x14ac:dyDescent="0.3">
      <c r="B86" s="8">
        <f>IF('Items sous domaines Sciences '!G88=2,'Items sous domaines Sciences '!B88,0)</f>
        <v>0</v>
      </c>
      <c r="C86" s="8">
        <f>IF('Items sous domaines Sciences '!G88=2,'Items sous domaines Sciences '!C88,0)</f>
        <v>0</v>
      </c>
      <c r="D86" s="8">
        <f>IF('Items sous domaines Sciences '!G88=2,'Items sous domaines Sciences '!D88,0)</f>
        <v>0</v>
      </c>
      <c r="E86" s="8">
        <f>IF('Items sous domaines Sciences '!G88=2,'Items sous domaines Sciences '!E88,0)</f>
        <v>0</v>
      </c>
      <c r="F86" s="380"/>
    </row>
    <row r="87" spans="1:7" customFormat="1" ht="17.399999999999999" hidden="1" customHeight="1" thickBot="1" x14ac:dyDescent="0.3">
      <c r="B87" s="8">
        <f>IF('Items sous domaines Sciences '!G89=2,'Items sous domaines Sciences '!B89,0)</f>
        <v>0</v>
      </c>
      <c r="C87" s="8">
        <f>IF('Items sous domaines Sciences '!G89=2,'Items sous domaines Sciences '!C89,0)</f>
        <v>0</v>
      </c>
      <c r="D87" s="8">
        <f>IF('Items sous domaines Sciences '!G89=2,'Items sous domaines Sciences '!D89,0)</f>
        <v>0</v>
      </c>
      <c r="E87" s="8">
        <f>IF('Items sous domaines Sciences '!G89=2,'Items sous domaines Sciences '!E89,0)</f>
        <v>0</v>
      </c>
      <c r="F87" s="380"/>
    </row>
    <row r="88" spans="1:7" customFormat="1" ht="17.399999999999999" hidden="1" customHeight="1" thickBot="1" x14ac:dyDescent="0.3">
      <c r="B88" s="8">
        <f>IF('Items sous domaines Sciences '!G90=2,'Items sous domaines Sciences '!B90,0)</f>
        <v>0</v>
      </c>
      <c r="C88" s="8">
        <f>IF('Items sous domaines Sciences '!G90=2,'Items sous domaines Sciences '!C90,0)</f>
        <v>0</v>
      </c>
      <c r="D88" s="8">
        <f>IF('Items sous domaines Sciences '!G90=2,'Items sous domaines Sciences '!D90,0)</f>
        <v>0</v>
      </c>
      <c r="E88" s="8">
        <f>IF('Items sous domaines Sciences '!G90=2,'Items sous domaines Sciences '!E90,0)</f>
        <v>0</v>
      </c>
      <c r="F88" s="380"/>
    </row>
    <row r="89" spans="1:7" customFormat="1" ht="17.399999999999999" hidden="1" customHeight="1" thickBot="1" x14ac:dyDescent="0.3">
      <c r="A89" s="440" t="s">
        <v>437</v>
      </c>
      <c r="B89" s="8">
        <f>IF('Items sous domaines Sciences '!G91=2,'Items sous domaines Sciences '!B91,0)</f>
        <v>0</v>
      </c>
      <c r="C89" s="8">
        <f>IF('Items sous domaines Sciences '!G91=2,'Items sous domaines Sciences '!C91,0)</f>
        <v>0</v>
      </c>
      <c r="D89" s="8">
        <f>IF('Items sous domaines Sciences '!G91=2,'Items sous domaines Sciences '!D91,0)</f>
        <v>0</v>
      </c>
      <c r="E89" s="8">
        <f>IF('Items sous domaines Sciences '!G91=2,'Items sous domaines Sciences '!E91,0)</f>
        <v>0</v>
      </c>
      <c r="F89" s="380"/>
    </row>
    <row r="90" spans="1:7" customFormat="1" ht="17.399999999999999" hidden="1" customHeight="1" thickBot="1" x14ac:dyDescent="0.3">
      <c r="A90" s="367"/>
      <c r="B90" s="8">
        <f>IF('Items sous domaines Sciences '!G92=2,'Items sous domaines Sciences '!B92,0)</f>
        <v>0</v>
      </c>
      <c r="C90" s="8">
        <f>IF('Items sous domaines Sciences '!G92=2,'Items sous domaines Sciences '!C92,0)</f>
        <v>0</v>
      </c>
      <c r="D90" s="8">
        <f>IF('Items sous domaines Sciences '!G92=2,'Items sous domaines Sciences '!D92,0)</f>
        <v>0</v>
      </c>
      <c r="E90" s="8">
        <f>IF('Items sous domaines Sciences '!G92=2,'Items sous domaines Sciences '!E92,0)</f>
        <v>0</v>
      </c>
      <c r="F90" s="380"/>
    </row>
    <row r="91" spans="1:7" customFormat="1" ht="17.399999999999999" hidden="1" customHeight="1" thickBot="1" x14ac:dyDescent="0.3">
      <c r="A91" s="367"/>
      <c r="B91" s="8">
        <f>IF('Items sous domaines Sciences '!G93=2,'Items sous domaines Sciences '!B93,0)</f>
        <v>0</v>
      </c>
      <c r="C91" s="8">
        <f>IF('Items sous domaines Sciences '!G93=2,'Items sous domaines Sciences '!C93,0)</f>
        <v>0</v>
      </c>
      <c r="D91" s="8">
        <f>IF('Items sous domaines Sciences '!G93=2,'Items sous domaines Sciences '!D93,0)</f>
        <v>0</v>
      </c>
      <c r="E91" s="8">
        <f>IF('Items sous domaines Sciences '!G93=2,'Items sous domaines Sciences '!E93,0)</f>
        <v>0</v>
      </c>
      <c r="F91" s="380"/>
    </row>
    <row r="92" spans="1:7" customFormat="1" ht="17.399999999999999" hidden="1" customHeight="1" thickBot="1" x14ac:dyDescent="0.3">
      <c r="A92" s="367"/>
      <c r="B92" s="8">
        <f>IF('Items sous domaines Sciences '!G94=2,'Items sous domaines Sciences '!B94,0)</f>
        <v>0</v>
      </c>
      <c r="C92" s="8">
        <f>IF('Items sous domaines Sciences '!G94=2,'Items sous domaines Sciences '!C94,0)</f>
        <v>0</v>
      </c>
      <c r="D92" s="8">
        <f>IF('Items sous domaines Sciences '!G94=2,'Items sous domaines Sciences '!D94,0)</f>
        <v>0</v>
      </c>
      <c r="E92" s="8">
        <f>IF('Items sous domaines Sciences '!G94=2,'Items sous domaines Sciences '!E94,0)</f>
        <v>0</v>
      </c>
      <c r="F92" s="380"/>
    </row>
    <row r="93" spans="1:7" customFormat="1" ht="17.7" hidden="1" customHeight="1" thickBot="1" x14ac:dyDescent="0.3">
      <c r="A93" s="367"/>
      <c r="B93" s="8">
        <f>IF('Items sous domaines Sciences '!G95=2,'Items sous domaines Sciences '!B95,0)</f>
        <v>0</v>
      </c>
      <c r="C93" s="8">
        <f>IF('Items sous domaines Sciences '!G95=2,'Items sous domaines Sciences '!C95,0)</f>
        <v>0</v>
      </c>
      <c r="D93" s="8">
        <f>IF('Items sous domaines Sciences '!G95=2,'Items sous domaines Sciences '!D95,0)</f>
        <v>0</v>
      </c>
      <c r="E93" s="8">
        <f>IF('Items sous domaines Sciences '!G95=2,'Items sous domaines Sciences '!E95,0)</f>
        <v>0</v>
      </c>
      <c r="F93" s="380"/>
    </row>
    <row r="94" spans="1:7" customFormat="1" ht="17.7" hidden="1" customHeight="1" thickBot="1" x14ac:dyDescent="0.3">
      <c r="A94" s="367"/>
      <c r="B94" s="8">
        <f>IF('Items sous domaines Sciences '!G96=2,'Items sous domaines Sciences '!B96,0)</f>
        <v>0</v>
      </c>
      <c r="C94" s="8">
        <f>IF('Items sous domaines Sciences '!G96=2,'Items sous domaines Sciences '!C96,0)</f>
        <v>0</v>
      </c>
      <c r="D94" s="8">
        <f>IF('Items sous domaines Sciences '!G96=2,'Items sous domaines Sciences '!D96,0)</f>
        <v>0</v>
      </c>
      <c r="E94" s="8">
        <f>IF('Items sous domaines Sciences '!G96=2,'Items sous domaines Sciences '!E96,0)</f>
        <v>0</v>
      </c>
      <c r="F94" s="380"/>
    </row>
    <row r="95" spans="1:7" customFormat="1" ht="17.7" hidden="1" customHeight="1" thickBot="1" x14ac:dyDescent="0.3">
      <c r="A95" s="441"/>
      <c r="B95" s="8">
        <f>IF('Items sous domaines Sciences '!G97=2,'Items sous domaines Sciences '!B97,0)</f>
        <v>0</v>
      </c>
      <c r="C95" s="8">
        <f>IF('Items sous domaines Sciences '!G97=2,'Items sous domaines Sciences '!C97,0)</f>
        <v>0</v>
      </c>
      <c r="D95" s="8">
        <f>IF('Items sous domaines Sciences '!G97=2,'Items sous domaines Sciences '!D97,0)</f>
        <v>0</v>
      </c>
      <c r="E95" s="8">
        <f>IF('Items sous domaines Sciences '!G97=2,'Items sous domaines Sciences '!E97,0)</f>
        <v>0</v>
      </c>
      <c r="F95" s="380"/>
      <c r="G95" s="331" t="s">
        <v>438</v>
      </c>
    </row>
    <row r="96" spans="1:7" customFormat="1" ht="17.7" hidden="1" customHeight="1" thickBot="1" x14ac:dyDescent="0.3">
      <c r="A96" s="442"/>
      <c r="B96" s="8">
        <f>IF('Items sous domaines Sciences '!G98=2,'Items sous domaines Sciences '!B98,0)</f>
        <v>0</v>
      </c>
      <c r="C96" s="8">
        <f>IF('Items sous domaines Sciences '!G98=2,'Items sous domaines Sciences '!C98,0)</f>
        <v>0</v>
      </c>
      <c r="D96" s="8">
        <f>IF('Items sous domaines Sciences '!G98=2,'Items sous domaines Sciences '!D98,0)</f>
        <v>0</v>
      </c>
      <c r="E96" s="8">
        <f>IF('Items sous domaines Sciences '!G98=2,'Items sous domaines Sciences '!E98,0)</f>
        <v>0</v>
      </c>
      <c r="F96" s="380"/>
      <c r="G96" s="331"/>
    </row>
    <row r="97" spans="1:7" customFormat="1" ht="17.7" hidden="1" customHeight="1" thickBot="1" x14ac:dyDescent="0.3">
      <c r="A97" s="442"/>
      <c r="B97" s="8">
        <f>IF('Items sous domaines Sciences '!G99=2,'Items sous domaines Sciences '!B99,0)</f>
        <v>0</v>
      </c>
      <c r="C97" s="8">
        <f>IF('Items sous domaines Sciences '!G99=2,'Items sous domaines Sciences '!C99,0)</f>
        <v>0</v>
      </c>
      <c r="D97" s="8">
        <f>IF('Items sous domaines Sciences '!G99=2,'Items sous domaines Sciences '!D99,0)</f>
        <v>0</v>
      </c>
      <c r="E97" s="8">
        <f>IF('Items sous domaines Sciences '!G99=2,'Items sous domaines Sciences '!E99,0)</f>
        <v>0</v>
      </c>
      <c r="F97" s="380"/>
      <c r="G97" s="331"/>
    </row>
    <row r="98" spans="1:7" customFormat="1" ht="17.7" hidden="1" customHeight="1" thickBot="1" x14ac:dyDescent="0.3">
      <c r="A98" s="372"/>
      <c r="B98" s="8">
        <f>IF('Items sous domaines Sciences '!G100=2,'Items sous domaines Sciences '!B100,0)</f>
        <v>0</v>
      </c>
      <c r="C98" s="8">
        <f>IF('Items sous domaines Sciences '!G100=2,'Items sous domaines Sciences '!C100,0)</f>
        <v>0</v>
      </c>
      <c r="D98" s="8">
        <f>IF('Items sous domaines Sciences '!G100=2,'Items sous domaines Sciences '!D100,0)</f>
        <v>0</v>
      </c>
      <c r="E98" s="8">
        <f>IF('Items sous domaines Sciences '!G100=2,'Items sous domaines Sciences '!E100,0)</f>
        <v>0</v>
      </c>
      <c r="F98" s="380"/>
      <c r="G98" s="331"/>
    </row>
    <row r="99" spans="1:7" customFormat="1" ht="17.7" hidden="1" customHeight="1" thickBot="1" x14ac:dyDescent="0.3">
      <c r="A99" s="372"/>
      <c r="B99" s="8">
        <f>IF('Items sous domaines Sciences '!G101=2,'Items sous domaines Sciences '!B101,0)</f>
        <v>0</v>
      </c>
      <c r="C99" s="8">
        <f>IF('Items sous domaines Sciences '!G101=2,'Items sous domaines Sciences '!C101,0)</f>
        <v>0</v>
      </c>
      <c r="D99" s="8">
        <f>IF('Items sous domaines Sciences '!G101=2,'Items sous domaines Sciences '!D101,0)</f>
        <v>0</v>
      </c>
      <c r="E99" s="8">
        <f>IF('Items sous domaines Sciences '!G101=2,'Items sous domaines Sciences '!E101,0)</f>
        <v>0</v>
      </c>
      <c r="F99" s="380"/>
      <c r="G99" s="331"/>
    </row>
    <row r="100" spans="1:7" customFormat="1" ht="17.7" hidden="1" customHeight="1" thickBot="1" x14ac:dyDescent="0.3">
      <c r="A100" s="442"/>
      <c r="B100" s="8">
        <f>IF('Items sous domaines Sciences '!G102=2,'Items sous domaines Sciences '!B102,0)</f>
        <v>0</v>
      </c>
      <c r="C100" s="8">
        <f>IF('Items sous domaines Sciences '!G102=2,'Items sous domaines Sciences '!C102,0)</f>
        <v>0</v>
      </c>
      <c r="D100" s="8">
        <f>IF('Items sous domaines Sciences '!G102=2,'Items sous domaines Sciences '!D102,0)</f>
        <v>0</v>
      </c>
      <c r="E100" s="8">
        <f>IF('Items sous domaines Sciences '!G102=2,'Items sous domaines Sciences '!E102,0)</f>
        <v>0</v>
      </c>
      <c r="F100" s="380"/>
      <c r="G100" s="331"/>
    </row>
    <row r="101" spans="1:7" customFormat="1" ht="17.7" hidden="1" customHeight="1" thickBot="1" x14ac:dyDescent="0.3">
      <c r="A101" s="385"/>
      <c r="B101" s="8">
        <f>IF('Items sous domaines Sciences '!G103=2,'Items sous domaines Sciences '!B103,0)</f>
        <v>0</v>
      </c>
      <c r="C101" s="8">
        <f>IF('Items sous domaines Sciences '!G103=2,'Items sous domaines Sciences '!C103,0)</f>
        <v>0</v>
      </c>
      <c r="D101" s="8">
        <f>IF('Items sous domaines Sciences '!G103=2,'Items sous domaines Sciences '!D103,0)</f>
        <v>0</v>
      </c>
      <c r="E101" s="8">
        <f>IF('Items sous domaines Sciences '!G103=2,'Items sous domaines Sciences '!E103,0)</f>
        <v>0</v>
      </c>
      <c r="F101" s="380"/>
      <c r="G101" s="331"/>
    </row>
    <row r="102" spans="1:7" customFormat="1" ht="17.7" hidden="1" customHeight="1" thickBot="1" x14ac:dyDescent="0.3">
      <c r="A102" s="367"/>
      <c r="B102" s="8">
        <f>IF('Items sous domaines Sciences '!G104=2,'Items sous domaines Sciences '!B104,0)</f>
        <v>0</v>
      </c>
      <c r="C102" s="8">
        <f>IF('Items sous domaines Sciences '!G104=2,'Items sous domaines Sciences '!C104,0)</f>
        <v>0</v>
      </c>
      <c r="D102" s="8">
        <f>IF('Items sous domaines Sciences '!G104=2,'Items sous domaines Sciences '!D104,0)</f>
        <v>0</v>
      </c>
      <c r="E102" s="8">
        <f>IF('Items sous domaines Sciences '!G104=2,'Items sous domaines Sciences '!E104,0)</f>
        <v>0</v>
      </c>
      <c r="F102" s="380"/>
      <c r="G102" s="331"/>
    </row>
    <row r="103" spans="1:7" customFormat="1" ht="17.7" hidden="1" customHeight="1" thickBot="1" x14ac:dyDescent="0.3">
      <c r="A103" s="402"/>
      <c r="B103" s="8">
        <f>IF('Items sous domaines Sciences '!G105=2,'Items sous domaines Sciences '!B105,0)</f>
        <v>0</v>
      </c>
      <c r="C103" s="8">
        <f>IF('Items sous domaines Sciences '!G105=2,'Items sous domaines Sciences '!C105,0)</f>
        <v>0</v>
      </c>
      <c r="D103" s="8">
        <f>IF('Items sous domaines Sciences '!G105=2,'Items sous domaines Sciences '!D105,0)</f>
        <v>0</v>
      </c>
      <c r="E103" s="8">
        <f>IF('Items sous domaines Sciences '!G105=2,'Items sous domaines Sciences '!E105,0)</f>
        <v>0</v>
      </c>
      <c r="F103" s="380"/>
      <c r="G103" s="331"/>
    </row>
    <row r="104" spans="1:7" customFormat="1" ht="17.7" hidden="1" customHeight="1" thickBot="1" x14ac:dyDescent="0.3">
      <c r="A104" s="372"/>
      <c r="B104" s="8">
        <f>IF('Items sous domaines Sciences '!G106=2,'Items sous domaines Sciences '!B106,0)</f>
        <v>0</v>
      </c>
      <c r="C104" s="8">
        <f>IF('Items sous domaines Sciences '!G106=2,'Items sous domaines Sciences '!C106,0)</f>
        <v>0</v>
      </c>
      <c r="D104" s="8">
        <f>IF('Items sous domaines Sciences '!G106=2,'Items sous domaines Sciences '!D106,0)</f>
        <v>0</v>
      </c>
      <c r="E104" s="8">
        <f>IF('Items sous domaines Sciences '!G106=2,'Items sous domaines Sciences '!E106,0)</f>
        <v>0</v>
      </c>
      <c r="F104" s="380"/>
      <c r="G104" s="331"/>
    </row>
    <row r="105" spans="1:7" customFormat="1" ht="17.7" hidden="1" customHeight="1" thickBot="1" x14ac:dyDescent="0.3">
      <c r="A105" s="372"/>
      <c r="B105" s="8">
        <f>IF('Items sous domaines Sciences '!G107=2,'Items sous domaines Sciences '!B107,0)</f>
        <v>0</v>
      </c>
      <c r="C105" s="8">
        <f>IF('Items sous domaines Sciences '!G107=2,'Items sous domaines Sciences '!C107,0)</f>
        <v>0</v>
      </c>
      <c r="D105" s="8">
        <f>IF('Items sous domaines Sciences '!G107=2,'Items sous domaines Sciences '!D107,0)</f>
        <v>0</v>
      </c>
      <c r="E105" s="8">
        <f>IF('Items sous domaines Sciences '!G107=2,'Items sous domaines Sciences '!E107,0)</f>
        <v>0</v>
      </c>
      <c r="F105" s="380"/>
      <c r="G105" s="331"/>
    </row>
    <row r="106" spans="1:7" customFormat="1" ht="17.7" hidden="1" customHeight="1" thickBot="1" x14ac:dyDescent="0.3">
      <c r="A106" s="372"/>
      <c r="B106" s="8">
        <f>IF('Items sous domaines Sciences '!G108=2,'Items sous domaines Sciences '!B108,0)</f>
        <v>0</v>
      </c>
      <c r="C106" s="8">
        <f>IF('Items sous domaines Sciences '!G108=2,'Items sous domaines Sciences '!C108,0)</f>
        <v>0</v>
      </c>
      <c r="D106" s="8">
        <f>IF('Items sous domaines Sciences '!G108=2,'Items sous domaines Sciences '!D108,0)</f>
        <v>0</v>
      </c>
      <c r="E106" s="8">
        <f>IF('Items sous domaines Sciences '!G108=2,'Items sous domaines Sciences '!E108,0)</f>
        <v>0</v>
      </c>
      <c r="F106" s="380"/>
      <c r="G106" s="331"/>
    </row>
    <row r="107" spans="1:7" customFormat="1" ht="17.7" hidden="1" customHeight="1" thickBot="1" x14ac:dyDescent="0.3">
      <c r="A107" s="372"/>
      <c r="B107" s="8">
        <f>IF('Items sous domaines Sciences '!G109=2,'Items sous domaines Sciences '!B109,0)</f>
        <v>0</v>
      </c>
      <c r="C107" s="8">
        <f>IF('Items sous domaines Sciences '!G109=2,'Items sous domaines Sciences '!C109,0)</f>
        <v>0</v>
      </c>
      <c r="D107" s="8">
        <f>IF('Items sous domaines Sciences '!G109=2,'Items sous domaines Sciences '!D109,0)</f>
        <v>0</v>
      </c>
      <c r="E107" s="8">
        <f>IF('Items sous domaines Sciences '!G109=2,'Items sous domaines Sciences '!E109,0)</f>
        <v>0</v>
      </c>
      <c r="F107" s="380"/>
      <c r="G107" s="331"/>
    </row>
    <row r="108" spans="1:7" customFormat="1" ht="22.2" hidden="1" customHeight="1" thickBot="1" x14ac:dyDescent="0.3">
      <c r="A108" s="372"/>
      <c r="B108" s="8">
        <f>IF('Items sous domaines Sciences '!G110=2,'Items sous domaines Sciences '!B110,0)</f>
        <v>0</v>
      </c>
      <c r="C108" s="8">
        <f>IF('Items sous domaines Sciences '!G110=2,'Items sous domaines Sciences '!C110,0)</f>
        <v>0</v>
      </c>
      <c r="D108" s="8">
        <f>IF('Items sous domaines Sciences '!G110=2,'Items sous domaines Sciences '!D110,0)</f>
        <v>0</v>
      </c>
      <c r="E108" s="8">
        <f>IF('Items sous domaines Sciences '!G110=2,'Items sous domaines Sciences '!E110,0)</f>
        <v>0</v>
      </c>
      <c r="F108" s="380"/>
      <c r="G108" s="331"/>
    </row>
    <row r="109" spans="1:7" customFormat="1" ht="17.7" hidden="1" customHeight="1" thickBot="1" x14ac:dyDescent="0.3">
      <c r="A109" s="442"/>
      <c r="B109" s="8">
        <f>IF('Items sous domaines Sciences '!G111=2,'Items sous domaines Sciences '!B111,0)</f>
        <v>0</v>
      </c>
      <c r="C109" s="8">
        <f>IF('Items sous domaines Sciences '!G111=2,'Items sous domaines Sciences '!C111,0)</f>
        <v>0</v>
      </c>
      <c r="D109" s="8">
        <f>IF('Items sous domaines Sciences '!G111=2,'Items sous domaines Sciences '!D111,0)</f>
        <v>0</v>
      </c>
      <c r="E109" s="8">
        <f>IF('Items sous domaines Sciences '!G111=2,'Items sous domaines Sciences '!E111,0)</f>
        <v>0</v>
      </c>
      <c r="F109" s="380"/>
      <c r="G109" s="331"/>
    </row>
    <row r="110" spans="1:7" customFormat="1" ht="17.7" hidden="1" customHeight="1" thickBot="1" x14ac:dyDescent="0.3">
      <c r="A110" s="442"/>
      <c r="B110" s="8">
        <f>IF('Items sous domaines Sciences '!G112=2,'Items sous domaines Sciences '!B112,0)</f>
        <v>0</v>
      </c>
      <c r="C110" s="8">
        <f>IF('Items sous domaines Sciences '!G112=2,'Items sous domaines Sciences '!C112,0)</f>
        <v>0</v>
      </c>
      <c r="D110" s="8">
        <f>IF('Items sous domaines Sciences '!G112=2,'Items sous domaines Sciences '!D112,0)</f>
        <v>0</v>
      </c>
      <c r="E110" s="8">
        <f>IF('Items sous domaines Sciences '!G112=2,'Items sous domaines Sciences '!E112,0)</f>
        <v>0</v>
      </c>
      <c r="F110" s="380"/>
      <c r="G110" s="331"/>
    </row>
    <row r="111" spans="1:7" customFormat="1" ht="17.7" hidden="1" customHeight="1" thickBot="1" x14ac:dyDescent="0.3">
      <c r="A111" s="443"/>
      <c r="B111" s="8">
        <f>IF('Items sous domaines Sciences '!G113=2,'Items sous domaines Sciences '!B113,0)</f>
        <v>0</v>
      </c>
      <c r="C111" s="8">
        <f>IF('Items sous domaines Sciences '!G113=2,'Items sous domaines Sciences '!C113,0)</f>
        <v>0</v>
      </c>
      <c r="D111" s="8">
        <f>IF('Items sous domaines Sciences '!G113=2,'Items sous domaines Sciences '!D113,0)</f>
        <v>0</v>
      </c>
      <c r="E111" s="8">
        <f>IF('Items sous domaines Sciences '!G113=2,'Items sous domaines Sciences '!E113,0)</f>
        <v>0</v>
      </c>
      <c r="F111" s="380"/>
      <c r="G111" s="331"/>
    </row>
    <row r="112" spans="1:7" customFormat="1" ht="17.7" hidden="1" customHeight="1" thickBot="1" x14ac:dyDescent="0.3">
      <c r="B112" s="8">
        <f>IF('Items sous domaines Sciences '!G114=2,'Items sous domaines Sciences '!B114,0)</f>
        <v>0</v>
      </c>
      <c r="C112" s="8">
        <f>IF('Items sous domaines Sciences '!G114=2,'Items sous domaines Sciences '!C114,0)</f>
        <v>0</v>
      </c>
      <c r="D112" s="8">
        <f>IF('Items sous domaines Sciences '!G114=2,'Items sous domaines Sciences '!D114,0)</f>
        <v>0</v>
      </c>
      <c r="E112" s="8">
        <f>IF('Items sous domaines Sciences '!G114=2,'Items sous domaines Sciences '!E114,0)</f>
        <v>0</v>
      </c>
      <c r="F112" s="380"/>
    </row>
    <row r="113" spans="1:6" customFormat="1" ht="17.7" hidden="1" customHeight="1" thickBot="1" x14ac:dyDescent="0.3">
      <c r="A113" s="402" t="s">
        <v>439</v>
      </c>
      <c r="B113" s="8">
        <f>IF('Items sous domaines Sciences '!G115=2,'Items sous domaines Sciences '!B115,0)</f>
        <v>0</v>
      </c>
      <c r="C113" s="8">
        <f>IF('Items sous domaines Sciences '!G115=2,'Items sous domaines Sciences '!C115,0)</f>
        <v>0</v>
      </c>
      <c r="D113" s="8">
        <f>IF('Items sous domaines Sciences '!G115=2,'Items sous domaines Sciences '!D115,0)</f>
        <v>0</v>
      </c>
      <c r="E113" s="8">
        <f>IF('Items sous domaines Sciences '!G115=2,'Items sous domaines Sciences '!E115,0)</f>
        <v>0</v>
      </c>
      <c r="F113" s="380"/>
    </row>
    <row r="114" spans="1:6" customFormat="1" ht="17.7" hidden="1" customHeight="1" thickBot="1" x14ac:dyDescent="0.3">
      <c r="A114" s="372"/>
      <c r="B114" s="8">
        <f>IF('Items sous domaines Sciences '!G116=2,'Items sous domaines Sciences '!B116,0)</f>
        <v>0</v>
      </c>
      <c r="C114" s="8">
        <f>IF('Items sous domaines Sciences '!G116=2,'Items sous domaines Sciences '!C116,0)</f>
        <v>0</v>
      </c>
      <c r="D114" s="8">
        <f>IF('Items sous domaines Sciences '!G116=2,'Items sous domaines Sciences '!D116,0)</f>
        <v>0</v>
      </c>
      <c r="E114" s="8">
        <f>IF('Items sous domaines Sciences '!G116=2,'Items sous domaines Sciences '!E116,0)</f>
        <v>0</v>
      </c>
      <c r="F114" s="380"/>
    </row>
    <row r="115" spans="1:6" customFormat="1" ht="26.25" hidden="1" customHeight="1" thickBot="1" x14ac:dyDescent="0.3">
      <c r="A115" s="372"/>
      <c r="B115" s="8">
        <f>IF('Items sous domaines Sciences '!G117=2,'Items sous domaines Sciences '!B117,0)</f>
        <v>0</v>
      </c>
      <c r="C115" s="8">
        <f>IF('Items sous domaines Sciences '!G117=2,'Items sous domaines Sciences '!C117,0)</f>
        <v>0</v>
      </c>
      <c r="D115" s="8">
        <f>IF('Items sous domaines Sciences '!G117=2,'Items sous domaines Sciences '!D117,0)</f>
        <v>0</v>
      </c>
      <c r="E115" s="8">
        <f>IF('Items sous domaines Sciences '!G117=2,'Items sous domaines Sciences '!E117,0)</f>
        <v>0</v>
      </c>
      <c r="F115" s="380"/>
    </row>
    <row r="116" spans="1:6" customFormat="1" ht="17.7" hidden="1" customHeight="1" thickBot="1" x14ac:dyDescent="0.3">
      <c r="A116" s="372"/>
      <c r="B116" s="8">
        <f>IF('Items sous domaines Sciences '!G118=2,'Items sous domaines Sciences '!B118,0)</f>
        <v>0</v>
      </c>
      <c r="C116" s="8">
        <f>IF('Items sous domaines Sciences '!G118=2,'Items sous domaines Sciences '!C118,0)</f>
        <v>0</v>
      </c>
      <c r="D116" s="8">
        <f>IF('Items sous domaines Sciences '!G118=2,'Items sous domaines Sciences '!D118,0)</f>
        <v>0</v>
      </c>
      <c r="E116" s="8">
        <f>IF('Items sous domaines Sciences '!G118=2,'Items sous domaines Sciences '!E118,0)</f>
        <v>0</v>
      </c>
      <c r="F116" s="380"/>
    </row>
    <row r="117" spans="1:6" customFormat="1" ht="17.7" hidden="1" customHeight="1" thickBot="1" x14ac:dyDescent="0.3">
      <c r="A117" s="372"/>
      <c r="B117" s="8">
        <f>IF('Items sous domaines Sciences '!G119=2,'Items sous domaines Sciences '!B119,0)</f>
        <v>0</v>
      </c>
      <c r="C117" s="8">
        <f>IF('Items sous domaines Sciences '!G119=2,'Items sous domaines Sciences '!C119,0)</f>
        <v>0</v>
      </c>
      <c r="D117" s="8">
        <f>IF('Items sous domaines Sciences '!G119=2,'Items sous domaines Sciences '!D119,0)</f>
        <v>0</v>
      </c>
      <c r="E117" s="8">
        <f>IF('Items sous domaines Sciences '!G119=2,'Items sous domaines Sciences '!E119,0)</f>
        <v>0</v>
      </c>
      <c r="F117" s="380"/>
    </row>
    <row r="118" spans="1:6" customFormat="1" ht="17.7" hidden="1" customHeight="1" thickBot="1" x14ac:dyDescent="0.3">
      <c r="A118" s="372"/>
      <c r="B118" s="8">
        <f>IF('Items sous domaines Sciences '!G120=2,'Items sous domaines Sciences '!B120,0)</f>
        <v>0</v>
      </c>
      <c r="C118" s="8">
        <f>IF('Items sous domaines Sciences '!G120=2,'Items sous domaines Sciences '!C120,0)</f>
        <v>0</v>
      </c>
      <c r="D118" s="8">
        <f>IF('Items sous domaines Sciences '!G120=2,'Items sous domaines Sciences '!D120,0)</f>
        <v>0</v>
      </c>
      <c r="E118" s="8">
        <f>IF('Items sous domaines Sciences '!G120=2,'Items sous domaines Sciences '!E120,0)</f>
        <v>0</v>
      </c>
      <c r="F118" s="380"/>
    </row>
    <row r="119" spans="1:6" customFormat="1" ht="17.7" hidden="1" customHeight="1" thickBot="1" x14ac:dyDescent="0.3">
      <c r="A119" s="372"/>
      <c r="B119" s="8">
        <f>IF('Items sous domaines Sciences '!G121=2,'Items sous domaines Sciences '!B121,0)</f>
        <v>0</v>
      </c>
      <c r="C119" s="8">
        <f>IF('Items sous domaines Sciences '!G121=2,'Items sous domaines Sciences '!C121,0)</f>
        <v>0</v>
      </c>
      <c r="D119" s="8">
        <f>IF('Items sous domaines Sciences '!G121=2,'Items sous domaines Sciences '!D121,0)</f>
        <v>0</v>
      </c>
      <c r="E119" s="8">
        <f>IF('Items sous domaines Sciences '!G121=2,'Items sous domaines Sciences '!E121,0)</f>
        <v>0</v>
      </c>
      <c r="F119" s="380"/>
    </row>
    <row r="120" spans="1:6" customFormat="1" ht="17.7" hidden="1" customHeight="1" thickBot="1" x14ac:dyDescent="0.3">
      <c r="A120" s="372"/>
      <c r="B120" s="8">
        <f>IF('Items sous domaines Sciences '!G122=2,'Items sous domaines Sciences '!B122,0)</f>
        <v>0</v>
      </c>
      <c r="C120" s="8">
        <f>IF('Items sous domaines Sciences '!G122=2,'Items sous domaines Sciences '!C122,0)</f>
        <v>0</v>
      </c>
      <c r="D120" s="8">
        <f>IF('Items sous domaines Sciences '!G122=2,'Items sous domaines Sciences '!D122,0)</f>
        <v>0</v>
      </c>
      <c r="E120" s="8">
        <f>IF('Items sous domaines Sciences '!G122=2,'Items sous domaines Sciences '!E122,0)</f>
        <v>0</v>
      </c>
      <c r="F120" s="380"/>
    </row>
    <row r="121" spans="1:6" customFormat="1" ht="17.7" hidden="1" customHeight="1" thickBot="1" x14ac:dyDescent="0.3">
      <c r="A121" s="372"/>
      <c r="B121" s="8">
        <f>IF('Items sous domaines Sciences '!G123=2,'Items sous domaines Sciences '!B123,0)</f>
        <v>0</v>
      </c>
      <c r="C121" s="8">
        <f>IF('Items sous domaines Sciences '!G123=2,'Items sous domaines Sciences '!C123,0)</f>
        <v>0</v>
      </c>
      <c r="D121" s="8">
        <f>IF('Items sous domaines Sciences '!G123=2,'Items sous domaines Sciences '!D123,0)</f>
        <v>0</v>
      </c>
      <c r="E121" s="8">
        <f>IF('Items sous domaines Sciences '!G123=2,'Items sous domaines Sciences '!E123,0)</f>
        <v>0</v>
      </c>
      <c r="F121" s="380"/>
    </row>
    <row r="122" spans="1:6" customFormat="1" ht="17.7" hidden="1" customHeight="1" thickBot="1" x14ac:dyDescent="0.3">
      <c r="A122" s="372"/>
      <c r="B122" s="8">
        <f>IF('Items sous domaines Sciences '!G124=2,'Items sous domaines Sciences '!B124,0)</f>
        <v>0</v>
      </c>
      <c r="C122" s="8">
        <f>IF('Items sous domaines Sciences '!G124=2,'Items sous domaines Sciences '!C124,0)</f>
        <v>0</v>
      </c>
      <c r="D122" s="8">
        <f>IF('Items sous domaines Sciences '!G124=2,'Items sous domaines Sciences '!D124,0)</f>
        <v>0</v>
      </c>
      <c r="E122" s="8">
        <f>IF('Items sous domaines Sciences '!G124=2,'Items sous domaines Sciences '!E124,0)</f>
        <v>0</v>
      </c>
      <c r="F122" s="380"/>
    </row>
    <row r="123" spans="1:6" customFormat="1" ht="17.7" hidden="1" customHeight="1" thickBot="1" x14ac:dyDescent="0.3">
      <c r="A123" s="372"/>
      <c r="B123" s="8">
        <f>IF('Items sous domaines Sciences '!G125=2,'Items sous domaines Sciences '!B125,0)</f>
        <v>0</v>
      </c>
      <c r="C123" s="8">
        <f>IF('Items sous domaines Sciences '!G125=2,'Items sous domaines Sciences '!C125,0)</f>
        <v>0</v>
      </c>
      <c r="D123" s="8">
        <f>IF('Items sous domaines Sciences '!G125=2,'Items sous domaines Sciences '!D125,0)</f>
        <v>0</v>
      </c>
      <c r="E123" s="8">
        <f>IF('Items sous domaines Sciences '!G125=2,'Items sous domaines Sciences '!E125,0)</f>
        <v>0</v>
      </c>
      <c r="F123" s="380"/>
    </row>
    <row r="124" spans="1:6" customFormat="1" ht="17.7" hidden="1" customHeight="1" thickBot="1" x14ac:dyDescent="0.3">
      <c r="A124" s="372"/>
      <c r="B124" s="8">
        <f>IF('Items sous domaines Sciences '!G126=2,'Items sous domaines Sciences '!B126,0)</f>
        <v>0</v>
      </c>
      <c r="C124" s="8">
        <f>IF('Items sous domaines Sciences '!G126=2,'Items sous domaines Sciences '!C126,0)</f>
        <v>0</v>
      </c>
      <c r="D124" s="8">
        <f>IF('Items sous domaines Sciences '!G126=2,'Items sous domaines Sciences '!D126,0)</f>
        <v>0</v>
      </c>
      <c r="E124" s="8">
        <f>IF('Items sous domaines Sciences '!G126=2,'Items sous domaines Sciences '!E126,0)</f>
        <v>0</v>
      </c>
      <c r="F124" s="380"/>
    </row>
    <row r="125" spans="1:6" customFormat="1" ht="17.7" hidden="1" customHeight="1" thickBot="1" x14ac:dyDescent="0.3">
      <c r="A125" s="372"/>
      <c r="B125" s="8">
        <f>IF('Items sous domaines Sciences '!G127=2,'Items sous domaines Sciences '!B127,0)</f>
        <v>0</v>
      </c>
      <c r="C125" s="8">
        <f>IF('Items sous domaines Sciences '!G127=2,'Items sous domaines Sciences '!C127,0)</f>
        <v>0</v>
      </c>
      <c r="D125" s="8">
        <f>IF('Items sous domaines Sciences '!G127=2,'Items sous domaines Sciences '!D127,0)</f>
        <v>0</v>
      </c>
      <c r="E125" s="8">
        <f>IF('Items sous domaines Sciences '!G127=2,'Items sous domaines Sciences '!E127,0)</f>
        <v>0</v>
      </c>
      <c r="F125" s="380"/>
    </row>
    <row r="126" spans="1:6" customFormat="1" ht="17.7" hidden="1" customHeight="1" thickBot="1" x14ac:dyDescent="0.3">
      <c r="A126" s="372"/>
      <c r="B126" s="8">
        <f>IF('Items sous domaines Sciences '!G128=2,'Items sous domaines Sciences '!B128,0)</f>
        <v>0</v>
      </c>
      <c r="C126" s="8">
        <f>IF('Items sous domaines Sciences '!G128=2,'Items sous domaines Sciences '!C128,0)</f>
        <v>0</v>
      </c>
      <c r="D126" s="8">
        <f>IF('Items sous domaines Sciences '!G128=2,'Items sous domaines Sciences '!D128,0)</f>
        <v>0</v>
      </c>
      <c r="E126" s="8">
        <f>IF('Items sous domaines Sciences '!G128=2,'Items sous domaines Sciences '!E128,0)</f>
        <v>0</v>
      </c>
      <c r="F126" s="380"/>
    </row>
    <row r="127" spans="1:6" customFormat="1" ht="17.7" hidden="1" customHeight="1" thickBot="1" x14ac:dyDescent="0.3">
      <c r="A127" s="385"/>
      <c r="B127" s="8">
        <f>IF('Items sous domaines Sciences '!G129=2,'Items sous domaines Sciences '!B129,0)</f>
        <v>0</v>
      </c>
      <c r="C127" s="8">
        <f>IF('Items sous domaines Sciences '!G129=2,'Items sous domaines Sciences '!C129,0)</f>
        <v>0</v>
      </c>
      <c r="D127" s="8">
        <f>IF('Items sous domaines Sciences '!G129=2,'Items sous domaines Sciences '!D129,0)</f>
        <v>0</v>
      </c>
      <c r="E127" s="8">
        <f>IF('Items sous domaines Sciences '!G129=2,'Items sous domaines Sciences '!E129,0)</f>
        <v>0</v>
      </c>
      <c r="F127" s="380"/>
    </row>
    <row r="128" spans="1:6" customFormat="1" ht="17.7" hidden="1" customHeight="1" thickBot="1" x14ac:dyDescent="0.3">
      <c r="B128" s="8">
        <f>IF('Items sous domaines Sciences '!G130=2,'Items sous domaines Sciences '!B130,0)</f>
        <v>0</v>
      </c>
      <c r="C128" s="8">
        <f>IF('Items sous domaines Sciences '!G130=2,'Items sous domaines Sciences '!C130,0)</f>
        <v>0</v>
      </c>
      <c r="D128" s="8">
        <f>IF('Items sous domaines Sciences '!G130=2,'Items sous domaines Sciences '!D130,0)</f>
        <v>0</v>
      </c>
      <c r="E128" s="8">
        <f>IF('Items sous domaines Sciences '!G130=2,'Items sous domaines Sciences '!E130,0)</f>
        <v>0</v>
      </c>
      <c r="F128" s="380"/>
    </row>
    <row r="129" spans="1:7" customFormat="1" ht="17.7" hidden="1" customHeight="1" thickBot="1" x14ac:dyDescent="0.3">
      <c r="A129" s="444" t="s">
        <v>440</v>
      </c>
      <c r="B129" s="8">
        <f>IF('Items sous domaines Sciences '!G131=2,'Items sous domaines Sciences '!B131,0)</f>
        <v>0</v>
      </c>
      <c r="C129" s="8">
        <f>IF('Items sous domaines Sciences '!G131=2,'Items sous domaines Sciences '!C131,0)</f>
        <v>0</v>
      </c>
      <c r="D129" s="8">
        <f>IF('Items sous domaines Sciences '!G131=2,'Items sous domaines Sciences '!D131,0)</f>
        <v>0</v>
      </c>
      <c r="E129" s="8">
        <f>IF('Items sous domaines Sciences '!G131=2,'Items sous domaines Sciences '!E131,0)</f>
        <v>0</v>
      </c>
      <c r="F129" s="380"/>
      <c r="G129" s="333" t="s">
        <v>441</v>
      </c>
    </row>
    <row r="130" spans="1:7" customFormat="1" ht="17.7" hidden="1" customHeight="1" thickBot="1" x14ac:dyDescent="0.3">
      <c r="A130" s="445"/>
      <c r="B130" s="8">
        <f>IF('Items sous domaines Sciences '!G132=2,'Items sous domaines Sciences '!B132,0)</f>
        <v>0</v>
      </c>
      <c r="C130" s="8">
        <f>IF('Items sous domaines Sciences '!G132=2,'Items sous domaines Sciences '!C132,0)</f>
        <v>0</v>
      </c>
      <c r="D130" s="8">
        <f>IF('Items sous domaines Sciences '!G132=2,'Items sous domaines Sciences '!D132,0)</f>
        <v>0</v>
      </c>
      <c r="E130" s="8">
        <f>IF('Items sous domaines Sciences '!G132=2,'Items sous domaines Sciences '!E132,0)</f>
        <v>0</v>
      </c>
      <c r="F130" s="380"/>
      <c r="G130" s="333"/>
    </row>
    <row r="131" spans="1:7" customFormat="1" ht="17.7" hidden="1" customHeight="1" thickBot="1" x14ac:dyDescent="0.3">
      <c r="A131" s="445"/>
      <c r="B131" s="8">
        <f>IF('Items sous domaines Sciences '!G133=2,'Items sous domaines Sciences '!B133,0)</f>
        <v>0</v>
      </c>
      <c r="C131" s="8">
        <f>IF('Items sous domaines Sciences '!G133=2,'Items sous domaines Sciences '!C133,0)</f>
        <v>0</v>
      </c>
      <c r="D131" s="8">
        <f>IF('Items sous domaines Sciences '!G133=2,'Items sous domaines Sciences '!D133,0)</f>
        <v>0</v>
      </c>
      <c r="E131" s="8">
        <f>IF('Items sous domaines Sciences '!G133=2,'Items sous domaines Sciences '!E133,0)</f>
        <v>0</v>
      </c>
      <c r="F131" s="380"/>
      <c r="G131" s="333"/>
    </row>
    <row r="132" spans="1:7" customFormat="1" ht="17.7" hidden="1" customHeight="1" thickBot="1" x14ac:dyDescent="0.3">
      <c r="A132" s="445"/>
      <c r="B132" s="8">
        <f>IF('Items sous domaines Sciences '!G134=2,'Items sous domaines Sciences '!B134,0)</f>
        <v>0</v>
      </c>
      <c r="C132" s="8">
        <f>IF('Items sous domaines Sciences '!G134=2,'Items sous domaines Sciences '!C134,0)</f>
        <v>0</v>
      </c>
      <c r="D132" s="8">
        <f>IF('Items sous domaines Sciences '!G134=2,'Items sous domaines Sciences '!D134,0)</f>
        <v>0</v>
      </c>
      <c r="E132" s="8">
        <f>IF('Items sous domaines Sciences '!G134=2,'Items sous domaines Sciences '!E134,0)</f>
        <v>0</v>
      </c>
      <c r="F132" s="380"/>
      <c r="G132" s="333"/>
    </row>
    <row r="133" spans="1:7" customFormat="1" ht="17.7" hidden="1" customHeight="1" thickBot="1" x14ac:dyDescent="0.3">
      <c r="A133" s="445"/>
      <c r="B133" s="8">
        <f>IF('Items sous domaines Sciences '!G135=2,'Items sous domaines Sciences '!B135,0)</f>
        <v>0</v>
      </c>
      <c r="C133" s="8">
        <f>IF('Items sous domaines Sciences '!G135=2,'Items sous domaines Sciences '!C135,0)</f>
        <v>0</v>
      </c>
      <c r="D133" s="8">
        <f>IF('Items sous domaines Sciences '!G135=2,'Items sous domaines Sciences '!D135,0)</f>
        <v>0</v>
      </c>
      <c r="E133" s="8">
        <f>IF('Items sous domaines Sciences '!G135=2,'Items sous domaines Sciences '!E135,0)</f>
        <v>0</v>
      </c>
      <c r="F133" s="380"/>
      <c r="G133" s="333"/>
    </row>
    <row r="134" spans="1:7" customFormat="1" ht="17.7" hidden="1" customHeight="1" thickBot="1" x14ac:dyDescent="0.3">
      <c r="A134" s="445"/>
      <c r="B134" s="8">
        <f>IF('Items sous domaines Sciences '!G136=2,'Items sous domaines Sciences '!B136,0)</f>
        <v>0</v>
      </c>
      <c r="C134" s="8">
        <f>IF('Items sous domaines Sciences '!G136=2,'Items sous domaines Sciences '!C136,0)</f>
        <v>0</v>
      </c>
      <c r="D134" s="8">
        <f>IF('Items sous domaines Sciences '!G136=2,'Items sous domaines Sciences '!D136,0)</f>
        <v>0</v>
      </c>
      <c r="E134" s="8">
        <f>IF('Items sous domaines Sciences '!G136=2,'Items sous domaines Sciences '!E136,0)</f>
        <v>0</v>
      </c>
      <c r="F134" s="380"/>
      <c r="G134" s="333"/>
    </row>
    <row r="135" spans="1:7" customFormat="1" ht="17.7" hidden="1" customHeight="1" thickBot="1" x14ac:dyDescent="0.3">
      <c r="A135" s="445"/>
      <c r="B135" s="8">
        <f>IF('Items sous domaines Sciences '!G137=2,'Items sous domaines Sciences '!B137,0)</f>
        <v>0</v>
      </c>
      <c r="C135" s="8">
        <f>IF('Items sous domaines Sciences '!G137=2,'Items sous domaines Sciences '!C137,0)</f>
        <v>0</v>
      </c>
      <c r="D135" s="8">
        <f>IF('Items sous domaines Sciences '!G137=2,'Items sous domaines Sciences '!D137,0)</f>
        <v>0</v>
      </c>
      <c r="E135" s="8">
        <f>IF('Items sous domaines Sciences '!G137=2,'Items sous domaines Sciences '!E137,0)</f>
        <v>0</v>
      </c>
      <c r="F135" s="380"/>
      <c r="G135" s="333"/>
    </row>
    <row r="136" spans="1:7" customFormat="1" ht="17.7" hidden="1" customHeight="1" thickBot="1" x14ac:dyDescent="0.3">
      <c r="A136" s="445"/>
      <c r="B136" s="8">
        <f>IF('Items sous domaines Sciences '!G138=2,'Items sous domaines Sciences '!B138,0)</f>
        <v>0</v>
      </c>
      <c r="C136" s="8">
        <f>IF('Items sous domaines Sciences '!G138=2,'Items sous domaines Sciences '!C138,0)</f>
        <v>0</v>
      </c>
      <c r="D136" s="8">
        <f>IF('Items sous domaines Sciences '!G138=2,'Items sous domaines Sciences '!D138,0)</f>
        <v>0</v>
      </c>
      <c r="E136" s="8">
        <f>IF('Items sous domaines Sciences '!G138=2,'Items sous domaines Sciences '!E138,0)</f>
        <v>0</v>
      </c>
      <c r="F136" s="380"/>
      <c r="G136" s="333"/>
    </row>
    <row r="137" spans="1:7" customFormat="1" ht="17.7" hidden="1" customHeight="1" thickBot="1" x14ac:dyDescent="0.3">
      <c r="A137" s="446"/>
      <c r="B137" s="8">
        <f>IF('Items sous domaines Sciences '!G139=2,'Items sous domaines Sciences '!B139,0)</f>
        <v>0</v>
      </c>
      <c r="C137" s="8">
        <f>IF('Items sous domaines Sciences '!G139=2,'Items sous domaines Sciences '!C139,0)</f>
        <v>0</v>
      </c>
      <c r="D137" s="8">
        <f>IF('Items sous domaines Sciences '!G139=2,'Items sous domaines Sciences '!D139,0)</f>
        <v>0</v>
      </c>
      <c r="E137" s="8">
        <f>IF('Items sous domaines Sciences '!G139=2,'Items sous domaines Sciences '!E139,0)</f>
        <v>0</v>
      </c>
      <c r="F137" s="380"/>
      <c r="G137" s="333"/>
    </row>
    <row r="138" spans="1:7" customFormat="1" ht="17.7" hidden="1" customHeight="1" thickBot="1" x14ac:dyDescent="0.3">
      <c r="B138" s="8">
        <f>IF('Items sous domaines Sciences '!G140=2,'Items sous domaines Sciences '!B140,0)</f>
        <v>0</v>
      </c>
      <c r="C138" s="8">
        <f>IF('Items sous domaines Sciences '!G140=2,'Items sous domaines Sciences '!C140,0)</f>
        <v>0</v>
      </c>
      <c r="D138" s="8">
        <f>IF('Items sous domaines Sciences '!G140=2,'Items sous domaines Sciences '!D140,0)</f>
        <v>0</v>
      </c>
      <c r="E138" s="8">
        <f>IF('Items sous domaines Sciences '!G140=2,'Items sous domaines Sciences '!E140,0)</f>
        <v>0</v>
      </c>
      <c r="F138" s="380"/>
    </row>
    <row r="139" spans="1:7" customFormat="1" ht="17.7" hidden="1" customHeight="1" thickBot="1" x14ac:dyDescent="0.3">
      <c r="B139" s="8">
        <f>IF('Items sous domaines Sciences '!G141=2,'Items sous domaines Sciences '!B141,0)</f>
        <v>0</v>
      </c>
      <c r="C139" s="8">
        <f>IF('Items sous domaines Sciences '!G141=2,'Items sous domaines Sciences '!C141,0)</f>
        <v>0</v>
      </c>
      <c r="D139" s="8">
        <f>IF('Items sous domaines Sciences '!G141=2,'Items sous domaines Sciences '!D141,0)</f>
        <v>0</v>
      </c>
      <c r="E139" s="8">
        <f>IF('Items sous domaines Sciences '!G141=2,'Items sous domaines Sciences '!E141,0)</f>
        <v>0</v>
      </c>
      <c r="F139" s="380"/>
    </row>
    <row r="140" spans="1:7" customFormat="1" ht="17.7" hidden="1" customHeight="1" thickBot="1" x14ac:dyDescent="0.3">
      <c r="B140" s="8">
        <f>IF('Items sous domaines Sciences '!G142=2,'Items sous domaines Sciences '!B142,0)</f>
        <v>0</v>
      </c>
      <c r="C140" s="8">
        <f>IF('Items sous domaines Sciences '!G142=2,'Items sous domaines Sciences '!C142,0)</f>
        <v>0</v>
      </c>
      <c r="D140" s="8">
        <f>IF('Items sous domaines Sciences '!G142=2,'Items sous domaines Sciences '!D142,0)</f>
        <v>0</v>
      </c>
      <c r="E140" s="8">
        <f>IF('Items sous domaines Sciences '!G142=2,'Items sous domaines Sciences '!E142,0)</f>
        <v>0</v>
      </c>
      <c r="F140" s="380"/>
    </row>
    <row r="141" spans="1:7" customFormat="1" ht="17.7" hidden="1" customHeight="1" thickBot="1" x14ac:dyDescent="0.3">
      <c r="B141" s="8">
        <f>IF('Items sous domaines Sciences '!G143=2,'Items sous domaines Sciences '!B143,0)</f>
        <v>0</v>
      </c>
      <c r="C141" s="8">
        <f>IF('Items sous domaines Sciences '!G143=2,'Items sous domaines Sciences '!C143,0)</f>
        <v>0</v>
      </c>
      <c r="D141" s="8">
        <f>IF('Items sous domaines Sciences '!G143=2,'Items sous domaines Sciences '!D143,0)</f>
        <v>0</v>
      </c>
      <c r="E141" s="8">
        <f>IF('Items sous domaines Sciences '!G143=2,'Items sous domaines Sciences '!E143,0)</f>
        <v>0</v>
      </c>
      <c r="F141" s="380"/>
    </row>
    <row r="142" spans="1:7" customFormat="1" ht="17.7" hidden="1" customHeight="1" thickBot="1" x14ac:dyDescent="0.3">
      <c r="B142" s="8">
        <f>IF('Items sous domaines Sciences '!G144=2,'Items sous domaines Sciences '!B144,0)</f>
        <v>0</v>
      </c>
      <c r="C142" s="8">
        <f>IF('Items sous domaines Sciences '!G144=2,'Items sous domaines Sciences '!C144,0)</f>
        <v>0</v>
      </c>
      <c r="D142" s="8">
        <f>IF('Items sous domaines Sciences '!G144=2,'Items sous domaines Sciences '!D144,0)</f>
        <v>0</v>
      </c>
      <c r="E142" s="8">
        <f>IF('Items sous domaines Sciences '!G144=2,'Items sous domaines Sciences '!E144,0)</f>
        <v>0</v>
      </c>
      <c r="F142" s="380"/>
    </row>
    <row r="143" spans="1:7" customFormat="1" ht="17.7" hidden="1" customHeight="1" thickBot="1" x14ac:dyDescent="0.3">
      <c r="B143" s="8">
        <f>IF('Items sous domaines Sciences '!G145=2,'Items sous domaines Sciences '!B145,0)</f>
        <v>0</v>
      </c>
      <c r="C143" s="8">
        <f>IF('Items sous domaines Sciences '!G145=2,'Items sous domaines Sciences '!C145,0)</f>
        <v>0</v>
      </c>
      <c r="D143" s="8">
        <f>IF('Items sous domaines Sciences '!G145=2,'Items sous domaines Sciences '!D145,0)</f>
        <v>0</v>
      </c>
      <c r="E143" s="8">
        <f>IF('Items sous domaines Sciences '!G145=2,'Items sous domaines Sciences '!E145,0)</f>
        <v>0</v>
      </c>
      <c r="F143" s="380"/>
    </row>
    <row r="144" spans="1:7" customFormat="1" ht="17.7" hidden="1" customHeight="1" thickBot="1" x14ac:dyDescent="0.3">
      <c r="B144" s="8">
        <f>IF('Items sous domaines Sciences '!G146=2,'Items sous domaines Sciences '!B146,0)</f>
        <v>0</v>
      </c>
      <c r="C144" s="8">
        <f>IF('Items sous domaines Sciences '!G146=2,'Items sous domaines Sciences '!C146,0)</f>
        <v>0</v>
      </c>
      <c r="D144" s="8">
        <f>IF('Items sous domaines Sciences '!G146=2,'Items sous domaines Sciences '!D146,0)</f>
        <v>0</v>
      </c>
      <c r="E144" s="8">
        <f>IF('Items sous domaines Sciences '!G146=2,'Items sous domaines Sciences '!E146,0)</f>
        <v>0</v>
      </c>
      <c r="F144" s="380"/>
    </row>
    <row r="145" spans="1:6" customFormat="1" ht="17.7" hidden="1" customHeight="1" thickBot="1" x14ac:dyDescent="0.3">
      <c r="B145" s="8">
        <f>IF('Items sous domaines Sciences '!G147=2,'Items sous domaines Sciences '!B147,0)</f>
        <v>0</v>
      </c>
      <c r="C145" s="8">
        <f>IF('Items sous domaines Sciences '!G147=2,'Items sous domaines Sciences '!C147,0)</f>
        <v>0</v>
      </c>
      <c r="D145" s="8">
        <f>IF('Items sous domaines Sciences '!G147=2,'Items sous domaines Sciences '!D147,0)</f>
        <v>0</v>
      </c>
      <c r="E145" s="8">
        <f>IF('Items sous domaines Sciences '!G147=2,'Items sous domaines Sciences '!E147,0)</f>
        <v>0</v>
      </c>
      <c r="F145" s="380"/>
    </row>
    <row r="146" spans="1:6" customFormat="1" ht="17.7" hidden="1" customHeight="1" thickBot="1" x14ac:dyDescent="0.3">
      <c r="B146" s="8">
        <f>IF('Items sous domaines Sciences '!G148=2,'Items sous domaines Sciences '!B148,0)</f>
        <v>0</v>
      </c>
      <c r="C146" s="8">
        <f>IF('Items sous domaines Sciences '!G148=2,'Items sous domaines Sciences '!C148,0)</f>
        <v>0</v>
      </c>
      <c r="D146" s="8">
        <f>IF('Items sous domaines Sciences '!G148=2,'Items sous domaines Sciences '!D148,0)</f>
        <v>0</v>
      </c>
      <c r="E146" s="8">
        <f>IF('Items sous domaines Sciences '!G148=2,'Items sous domaines Sciences '!E148,0)</f>
        <v>0</v>
      </c>
      <c r="F146" s="380"/>
    </row>
    <row r="147" spans="1:6" customFormat="1" ht="17.7" hidden="1" customHeight="1" thickBot="1" x14ac:dyDescent="0.3">
      <c r="B147" s="8">
        <f>IF('Items sous domaines Sciences '!G149=2,'Items sous domaines Sciences '!B149,0)</f>
        <v>0</v>
      </c>
      <c r="C147" s="8">
        <f>IF('Items sous domaines Sciences '!G149=2,'Items sous domaines Sciences '!C149,0)</f>
        <v>0</v>
      </c>
      <c r="D147" s="8">
        <f>IF('Items sous domaines Sciences '!G149=2,'Items sous domaines Sciences '!D149,0)</f>
        <v>0</v>
      </c>
      <c r="E147" s="8">
        <f>IF('Items sous domaines Sciences '!G149=2,'Items sous domaines Sciences '!E149,0)</f>
        <v>0</v>
      </c>
      <c r="F147" s="380"/>
    </row>
    <row r="148" spans="1:6" customFormat="1" ht="17.7" hidden="1" customHeight="1" thickBot="1" x14ac:dyDescent="0.3">
      <c r="B148" s="8">
        <f>IF('Items sous domaines Sciences '!G150=2,'Items sous domaines Sciences '!B150,0)</f>
        <v>0</v>
      </c>
      <c r="C148" s="8">
        <f>IF('Items sous domaines Sciences '!G150=2,'Items sous domaines Sciences '!C150,0)</f>
        <v>0</v>
      </c>
      <c r="D148" s="8">
        <f>IF('Items sous domaines Sciences '!G150=2,'Items sous domaines Sciences '!D150,0)</f>
        <v>0</v>
      </c>
      <c r="E148" s="8">
        <f>IF('Items sous domaines Sciences '!G150=2,'Items sous domaines Sciences '!E150,0)</f>
        <v>0</v>
      </c>
      <c r="F148" s="380"/>
    </row>
    <row r="149" spans="1:6" customFormat="1" ht="17.7" hidden="1" customHeight="1" thickBot="1" x14ac:dyDescent="0.3">
      <c r="B149" s="8">
        <f>IF('Items sous domaines Sciences '!G151=2,'Items sous domaines Sciences '!B151,0)</f>
        <v>0</v>
      </c>
      <c r="C149" s="8">
        <f>IF('Items sous domaines Sciences '!G151=2,'Items sous domaines Sciences '!C151,0)</f>
        <v>0</v>
      </c>
      <c r="D149" s="8">
        <f>IF('Items sous domaines Sciences '!G151=2,'Items sous domaines Sciences '!D151,0)</f>
        <v>0</v>
      </c>
      <c r="E149" s="8">
        <f>IF('Items sous domaines Sciences '!G151=2,'Items sous domaines Sciences '!E151,0)</f>
        <v>0</v>
      </c>
      <c r="F149" s="380"/>
    </row>
    <row r="150" spans="1:6" customFormat="1" ht="17.7" hidden="1" customHeight="1" thickBot="1" x14ac:dyDescent="0.3">
      <c r="B150" s="8">
        <f>IF('Items sous domaines Sciences '!G152=2,'Items sous domaines Sciences '!B152,0)</f>
        <v>0</v>
      </c>
      <c r="C150" s="8">
        <f>IF('Items sous domaines Sciences '!G152=2,'Items sous domaines Sciences '!C152,0)</f>
        <v>0</v>
      </c>
      <c r="D150" s="8">
        <f>IF('Items sous domaines Sciences '!G152=2,'Items sous domaines Sciences '!D152,0)</f>
        <v>0</v>
      </c>
      <c r="E150" s="8">
        <f>IF('Items sous domaines Sciences '!G152=2,'Items sous domaines Sciences '!E152,0)</f>
        <v>0</v>
      </c>
      <c r="F150" s="380"/>
    </row>
    <row r="151" spans="1:6" customFormat="1" ht="17.7" hidden="1" customHeight="1" thickBot="1" x14ac:dyDescent="0.3">
      <c r="B151" s="8">
        <f>IF('Items sous domaines Sciences '!G153=2,'Items sous domaines Sciences '!B153,0)</f>
        <v>0</v>
      </c>
      <c r="C151" s="8">
        <f>IF('Items sous domaines Sciences '!G153=2,'Items sous domaines Sciences '!C153,0)</f>
        <v>0</v>
      </c>
      <c r="D151" s="8">
        <f>IF('Items sous domaines Sciences '!G153=2,'Items sous domaines Sciences '!D153,0)</f>
        <v>0</v>
      </c>
      <c r="E151" s="8">
        <f>IF('Items sous domaines Sciences '!G153=2,'Items sous domaines Sciences '!E153,0)</f>
        <v>0</v>
      </c>
      <c r="F151" s="380"/>
    </row>
    <row r="152" spans="1:6" customFormat="1" ht="17.7" hidden="1" customHeight="1" thickBot="1" x14ac:dyDescent="0.3">
      <c r="B152" s="8">
        <f>IF('Items sous domaines Sciences '!G154=2,'Items sous domaines Sciences '!B154,0)</f>
        <v>0</v>
      </c>
      <c r="C152" s="8">
        <f>IF('Items sous domaines Sciences '!G154=2,'Items sous domaines Sciences '!C154,0)</f>
        <v>0</v>
      </c>
      <c r="D152" s="8">
        <f>IF('Items sous domaines Sciences '!G154=2,'Items sous domaines Sciences '!D154,0)</f>
        <v>0</v>
      </c>
      <c r="E152" s="8">
        <f>IF('Items sous domaines Sciences '!G154=2,'Items sous domaines Sciences '!E154,0)</f>
        <v>0</v>
      </c>
      <c r="F152" s="380"/>
    </row>
    <row r="153" spans="1:6" customFormat="1" ht="17.7" hidden="1" customHeight="1" thickBot="1" x14ac:dyDescent="0.3">
      <c r="B153" s="8">
        <f>IF('Items sous domaines Sciences '!G155=2,'Items sous domaines Sciences '!B155,0)</f>
        <v>0</v>
      </c>
      <c r="C153" s="8">
        <f>IF('Items sous domaines Sciences '!G155=2,'Items sous domaines Sciences '!C155,0)</f>
        <v>0</v>
      </c>
      <c r="D153" s="8">
        <f>IF('Items sous domaines Sciences '!G155=2,'Items sous domaines Sciences '!D155,0)</f>
        <v>0</v>
      </c>
      <c r="E153" s="8">
        <f>IF('Items sous domaines Sciences '!G155=2,'Items sous domaines Sciences '!E155,0)</f>
        <v>0</v>
      </c>
      <c r="F153" s="380"/>
    </row>
    <row r="154" spans="1:6" customFormat="1" ht="17.7" hidden="1" customHeight="1" thickBot="1" x14ac:dyDescent="0.3">
      <c r="B154" s="8">
        <f>IF('Items sous domaines Sciences '!G156=2,'Items sous domaines Sciences '!B156,0)</f>
        <v>0</v>
      </c>
      <c r="C154" s="8">
        <f>IF('Items sous domaines Sciences '!G156=2,'Items sous domaines Sciences '!C156,0)</f>
        <v>0</v>
      </c>
      <c r="D154" s="8">
        <f>IF('Items sous domaines Sciences '!G156=2,'Items sous domaines Sciences '!D156,0)</f>
        <v>0</v>
      </c>
      <c r="E154" s="8">
        <f>IF('Items sous domaines Sciences '!G156=2,'Items sous domaines Sciences '!E156,0)</f>
        <v>0</v>
      </c>
      <c r="F154" s="380"/>
    </row>
    <row r="155" spans="1:6" customFormat="1" ht="17.7" hidden="1" customHeight="1" thickBot="1" x14ac:dyDescent="0.3">
      <c r="B155" s="8">
        <f>IF('Items sous domaines Sciences '!G157=2,'Items sous domaines Sciences '!B157,0)</f>
        <v>0</v>
      </c>
      <c r="C155" s="8">
        <f>IF('Items sous domaines Sciences '!G157=2,'Items sous domaines Sciences '!C157,0)</f>
        <v>0</v>
      </c>
      <c r="D155" s="8">
        <f>IF('Items sous domaines Sciences '!G157=2,'Items sous domaines Sciences '!D157,0)</f>
        <v>0</v>
      </c>
      <c r="E155" s="8">
        <f>IF('Items sous domaines Sciences '!G157=2,'Items sous domaines Sciences '!E157,0)</f>
        <v>0</v>
      </c>
      <c r="F155" s="380"/>
    </row>
    <row r="156" spans="1:6" customFormat="1" ht="17.7" hidden="1" customHeight="1" thickBot="1" x14ac:dyDescent="0.3">
      <c r="B156" s="8">
        <f>IF('Items sous domaines Sciences '!G158=2,'Items sous domaines Sciences '!B158,0)</f>
        <v>0</v>
      </c>
      <c r="C156" s="8">
        <f>IF('Items sous domaines Sciences '!G158=2,'Items sous domaines Sciences '!C158,0)</f>
        <v>0</v>
      </c>
      <c r="D156" s="8">
        <f>IF('Items sous domaines Sciences '!G158=2,'Items sous domaines Sciences '!D158,0)</f>
        <v>0</v>
      </c>
      <c r="E156" s="8">
        <f>IF('Items sous domaines Sciences '!G158=2,'Items sous domaines Sciences '!E158,0)</f>
        <v>0</v>
      </c>
      <c r="F156" s="380"/>
    </row>
    <row r="157" spans="1:6" customFormat="1" ht="17.7" hidden="1" customHeight="1" thickBot="1" x14ac:dyDescent="0.3">
      <c r="B157" s="8">
        <f>IF('Items sous domaines Sciences '!G159=2,'Items sous domaines Sciences '!B159,0)</f>
        <v>0</v>
      </c>
      <c r="C157" s="8">
        <f>IF('Items sous domaines Sciences '!G159=2,'Items sous domaines Sciences '!C159,0)</f>
        <v>0</v>
      </c>
      <c r="D157" s="8">
        <f>IF('Items sous domaines Sciences '!G159=2,'Items sous domaines Sciences '!D159,0)</f>
        <v>0</v>
      </c>
      <c r="E157" s="8">
        <f>IF('Items sous domaines Sciences '!G159=2,'Items sous domaines Sciences '!E159,0)</f>
        <v>0</v>
      </c>
      <c r="F157" s="380"/>
    </row>
    <row r="158" spans="1:6" customFormat="1" ht="17.7" hidden="1" customHeight="1" thickBot="1" x14ac:dyDescent="0.3">
      <c r="A158" s="402" t="s">
        <v>405</v>
      </c>
      <c r="B158" s="8">
        <f>IF('Items sous domaines Sciences '!G160=2,'Items sous domaines Sciences '!B160,0)</f>
        <v>0</v>
      </c>
      <c r="C158" s="8">
        <f>IF('Items sous domaines Sciences '!G160=2,'Items sous domaines Sciences '!C160,0)</f>
        <v>0</v>
      </c>
      <c r="D158" s="8">
        <f>IF('Items sous domaines Sciences '!G160=2,'Items sous domaines Sciences '!D160,0)</f>
        <v>0</v>
      </c>
      <c r="E158" s="8">
        <f>IF('Items sous domaines Sciences '!G160=2,'Items sous domaines Sciences '!E160,0)</f>
        <v>0</v>
      </c>
      <c r="F158" s="380"/>
    </row>
    <row r="159" spans="1:6" customFormat="1" ht="17.7" hidden="1" customHeight="1" thickBot="1" x14ac:dyDescent="0.3">
      <c r="A159" s="372"/>
      <c r="B159" s="8">
        <f>IF('Items sous domaines Sciences '!G161=2,'Items sous domaines Sciences '!B161,0)</f>
        <v>0</v>
      </c>
      <c r="C159" s="8">
        <f>IF('Items sous domaines Sciences '!G161=2,'Items sous domaines Sciences '!C161,0)</f>
        <v>0</v>
      </c>
      <c r="D159" s="8">
        <f>IF('Items sous domaines Sciences '!G161=2,'Items sous domaines Sciences '!D161,0)</f>
        <v>0</v>
      </c>
      <c r="E159" s="8">
        <f>IF('Items sous domaines Sciences '!G161=2,'Items sous domaines Sciences '!E161,0)</f>
        <v>0</v>
      </c>
      <c r="F159" s="380"/>
    </row>
    <row r="160" spans="1:6" customFormat="1" ht="17.7" hidden="1" customHeight="1" thickBot="1" x14ac:dyDescent="0.3">
      <c r="A160" s="372"/>
      <c r="B160" s="8">
        <f>IF('Items sous domaines Sciences '!G162=2,'Items sous domaines Sciences '!B162,0)</f>
        <v>0</v>
      </c>
      <c r="C160" s="8">
        <f>IF('Items sous domaines Sciences '!G162=2,'Items sous domaines Sciences '!C162,0)</f>
        <v>0</v>
      </c>
      <c r="D160" s="8">
        <f>IF('Items sous domaines Sciences '!G162=2,'Items sous domaines Sciences '!D162,0)</f>
        <v>0</v>
      </c>
      <c r="E160" s="8">
        <f>IF('Items sous domaines Sciences '!G162=2,'Items sous domaines Sciences '!E162,0)</f>
        <v>0</v>
      </c>
      <c r="F160" s="380"/>
    </row>
    <row r="161" spans="1:6" customFormat="1" ht="17.7" hidden="1" customHeight="1" thickBot="1" x14ac:dyDescent="0.3">
      <c r="A161" s="372"/>
      <c r="B161" s="8">
        <f>IF('Items sous domaines Sciences '!G163=2,'Items sous domaines Sciences '!B163,0)</f>
        <v>0</v>
      </c>
      <c r="C161" s="8">
        <f>IF('Items sous domaines Sciences '!G163=2,'Items sous domaines Sciences '!C163,0)</f>
        <v>0</v>
      </c>
      <c r="D161" s="8">
        <f>IF('Items sous domaines Sciences '!G163=2,'Items sous domaines Sciences '!D163,0)</f>
        <v>0</v>
      </c>
      <c r="E161" s="8">
        <f>IF('Items sous domaines Sciences '!G163=2,'Items sous domaines Sciences '!E163,0)</f>
        <v>0</v>
      </c>
      <c r="F161" s="380"/>
    </row>
    <row r="162" spans="1:6" customFormat="1" ht="17.7" hidden="1" customHeight="1" thickBot="1" x14ac:dyDescent="0.3">
      <c r="A162" s="372"/>
      <c r="B162" s="8">
        <f>IF('Items sous domaines Sciences '!G164=2,'Items sous domaines Sciences '!B164,0)</f>
        <v>0</v>
      </c>
      <c r="C162" s="8">
        <f>IF('Items sous domaines Sciences '!G164=2,'Items sous domaines Sciences '!C164,0)</f>
        <v>0</v>
      </c>
      <c r="D162" s="8">
        <f>IF('Items sous domaines Sciences '!G164=2,'Items sous domaines Sciences '!D164,0)</f>
        <v>0</v>
      </c>
      <c r="E162" s="8">
        <f>IF('Items sous domaines Sciences '!G164=2,'Items sous domaines Sciences '!E164,0)</f>
        <v>0</v>
      </c>
      <c r="F162" s="380"/>
    </row>
    <row r="163" spans="1:6" customFormat="1" ht="17.7" hidden="1" customHeight="1" thickBot="1" x14ac:dyDescent="0.3">
      <c r="A163" s="372"/>
      <c r="B163" s="8">
        <f>IF('Items sous domaines Sciences '!G165=2,'Items sous domaines Sciences '!B165,0)</f>
        <v>0</v>
      </c>
      <c r="C163" s="8">
        <f>IF('Items sous domaines Sciences '!G165=2,'Items sous domaines Sciences '!C165,0)</f>
        <v>0</v>
      </c>
      <c r="D163" s="8">
        <f>IF('Items sous domaines Sciences '!G165=2,'Items sous domaines Sciences '!D165,0)</f>
        <v>0</v>
      </c>
      <c r="E163" s="8">
        <f>IF('Items sous domaines Sciences '!G165=2,'Items sous domaines Sciences '!E165,0)</f>
        <v>0</v>
      </c>
      <c r="F163" s="380"/>
    </row>
    <row r="164" spans="1:6" customFormat="1" ht="17.7" hidden="1" customHeight="1" thickBot="1" x14ac:dyDescent="0.3">
      <c r="A164" s="372"/>
      <c r="B164" s="8">
        <f>IF('Items sous domaines Sciences '!G166=2,'Items sous domaines Sciences '!B166,0)</f>
        <v>0</v>
      </c>
      <c r="C164" s="8">
        <f>IF('Items sous domaines Sciences '!G166=2,'Items sous domaines Sciences '!C166,0)</f>
        <v>0</v>
      </c>
      <c r="D164" s="8">
        <f>IF('Items sous domaines Sciences '!G166=2,'Items sous domaines Sciences '!D166,0)</f>
        <v>0</v>
      </c>
      <c r="E164" s="8">
        <f>IF('Items sous domaines Sciences '!G166=2,'Items sous domaines Sciences '!E166,0)</f>
        <v>0</v>
      </c>
      <c r="F164" s="380"/>
    </row>
    <row r="165" spans="1:6" customFormat="1" ht="17.7" hidden="1" customHeight="1" thickBot="1" x14ac:dyDescent="0.3">
      <c r="A165" s="372"/>
      <c r="B165" s="8">
        <f>IF('Items sous domaines Sciences '!G167=2,'Items sous domaines Sciences '!B167,0)</f>
        <v>0</v>
      </c>
      <c r="C165" s="8">
        <f>IF('Items sous domaines Sciences '!G167=2,'Items sous domaines Sciences '!C167,0)</f>
        <v>0</v>
      </c>
      <c r="D165" s="8">
        <f>IF('Items sous domaines Sciences '!G167=2,'Items sous domaines Sciences '!D167,0)</f>
        <v>0</v>
      </c>
      <c r="E165" s="8">
        <f>IF('Items sous domaines Sciences '!G167=2,'Items sous domaines Sciences '!E167,0)</f>
        <v>0</v>
      </c>
      <c r="F165" s="380"/>
    </row>
    <row r="166" spans="1:6" customFormat="1" ht="17.7" hidden="1" customHeight="1" thickBot="1" x14ac:dyDescent="0.3">
      <c r="A166" s="372"/>
      <c r="B166" s="8">
        <f>IF('Items sous domaines Sciences '!G168=2,'Items sous domaines Sciences '!B168,0)</f>
        <v>0</v>
      </c>
      <c r="C166" s="8">
        <f>IF('Items sous domaines Sciences '!G168=2,'Items sous domaines Sciences '!C168,0)</f>
        <v>0</v>
      </c>
      <c r="D166" s="8">
        <f>IF('Items sous domaines Sciences '!G168=2,'Items sous domaines Sciences '!D168,0)</f>
        <v>0</v>
      </c>
      <c r="E166" s="8">
        <f>IF('Items sous domaines Sciences '!G168=2,'Items sous domaines Sciences '!E168,0)</f>
        <v>0</v>
      </c>
      <c r="F166" s="380"/>
    </row>
    <row r="167" spans="1:6" customFormat="1" ht="17.7" hidden="1" customHeight="1" thickBot="1" x14ac:dyDescent="0.3">
      <c r="A167" s="372"/>
      <c r="B167" s="8">
        <f>IF('Items sous domaines Sciences '!G169=2,'Items sous domaines Sciences '!B169,0)</f>
        <v>0</v>
      </c>
      <c r="C167" s="8">
        <f>IF('Items sous domaines Sciences '!G169=2,'Items sous domaines Sciences '!C169,0)</f>
        <v>0</v>
      </c>
      <c r="D167" s="8">
        <f>IF('Items sous domaines Sciences '!G169=2,'Items sous domaines Sciences '!D169,0)</f>
        <v>0</v>
      </c>
      <c r="E167" s="8">
        <f>IF('Items sous domaines Sciences '!G169=2,'Items sous domaines Sciences '!E169,0)</f>
        <v>0</v>
      </c>
      <c r="F167" s="380"/>
    </row>
    <row r="168" spans="1:6" customFormat="1" ht="17.7" hidden="1" customHeight="1" thickBot="1" x14ac:dyDescent="0.3">
      <c r="A168" s="372"/>
      <c r="B168" s="8">
        <f>IF('Items sous domaines Sciences '!G170=2,'Items sous domaines Sciences '!B170,0)</f>
        <v>0</v>
      </c>
      <c r="C168" s="8">
        <f>IF('Items sous domaines Sciences '!G170=2,'Items sous domaines Sciences '!C170,0)</f>
        <v>0</v>
      </c>
      <c r="D168" s="8">
        <f>IF('Items sous domaines Sciences '!G170=2,'Items sous domaines Sciences '!D170,0)</f>
        <v>0</v>
      </c>
      <c r="E168" s="8">
        <f>IF('Items sous domaines Sciences '!G170=2,'Items sous domaines Sciences '!E170,0)</f>
        <v>0</v>
      </c>
      <c r="F168" s="380"/>
    </row>
    <row r="169" spans="1:6" customFormat="1" ht="17.7" hidden="1" customHeight="1" thickBot="1" x14ac:dyDescent="0.3">
      <c r="A169" s="372"/>
      <c r="B169" s="8">
        <f>IF('Items sous domaines Sciences '!G171=2,'Items sous domaines Sciences '!B171,0)</f>
        <v>0</v>
      </c>
      <c r="C169" s="8">
        <f>IF('Items sous domaines Sciences '!G171=2,'Items sous domaines Sciences '!C171,0)</f>
        <v>0</v>
      </c>
      <c r="D169" s="8">
        <f>IF('Items sous domaines Sciences '!G171=2,'Items sous domaines Sciences '!D171,0)</f>
        <v>0</v>
      </c>
      <c r="E169" s="8">
        <f>IF('Items sous domaines Sciences '!G171=2,'Items sous domaines Sciences '!E171,0)</f>
        <v>0</v>
      </c>
      <c r="F169" s="380"/>
    </row>
    <row r="170" spans="1:6" customFormat="1" ht="17.7" hidden="1" customHeight="1" thickBot="1" x14ac:dyDescent="0.3">
      <c r="A170" s="372"/>
      <c r="B170" s="8">
        <f>IF('Items sous domaines Sciences '!G172=2,'Items sous domaines Sciences '!B172,0)</f>
        <v>0</v>
      </c>
      <c r="C170" s="8">
        <f>IF('Items sous domaines Sciences '!G172=2,'Items sous domaines Sciences '!C172,0)</f>
        <v>0</v>
      </c>
      <c r="D170" s="8">
        <f>IF('Items sous domaines Sciences '!G172=2,'Items sous domaines Sciences '!D172,0)</f>
        <v>0</v>
      </c>
      <c r="E170" s="8">
        <f>IF('Items sous domaines Sciences '!G172=2,'Items sous domaines Sciences '!E172,0)</f>
        <v>0</v>
      </c>
      <c r="F170" s="380"/>
    </row>
    <row r="171" spans="1:6" customFormat="1" ht="17.7" hidden="1" customHeight="1" thickBot="1" x14ac:dyDescent="0.3">
      <c r="A171" s="372"/>
      <c r="B171" s="8">
        <f>IF('Items sous domaines Sciences '!G173=2,'Items sous domaines Sciences '!B173,0)</f>
        <v>0</v>
      </c>
      <c r="C171" s="8">
        <f>IF('Items sous domaines Sciences '!G173=2,'Items sous domaines Sciences '!C173,0)</f>
        <v>0</v>
      </c>
      <c r="D171" s="8">
        <f>IF('Items sous domaines Sciences '!G173=2,'Items sous domaines Sciences '!D173,0)</f>
        <v>0</v>
      </c>
      <c r="E171" s="8">
        <f>IF('Items sous domaines Sciences '!G173=2,'Items sous domaines Sciences '!E173,0)</f>
        <v>0</v>
      </c>
      <c r="F171" s="380"/>
    </row>
    <row r="172" spans="1:6" customFormat="1" ht="17.7" hidden="1" customHeight="1" thickBot="1" x14ac:dyDescent="0.3">
      <c r="A172" s="372"/>
      <c r="B172" s="8">
        <f>IF('Items sous domaines Sciences '!G174=2,'Items sous domaines Sciences '!B174,0)</f>
        <v>0</v>
      </c>
      <c r="C172" s="8">
        <f>IF('Items sous domaines Sciences '!G174=2,'Items sous domaines Sciences '!C174,0)</f>
        <v>0</v>
      </c>
      <c r="D172" s="8">
        <f>IF('Items sous domaines Sciences '!G174=2,'Items sous domaines Sciences '!D174,0)</f>
        <v>0</v>
      </c>
      <c r="E172" s="8">
        <f>IF('Items sous domaines Sciences '!G174=2,'Items sous domaines Sciences '!E174,0)</f>
        <v>0</v>
      </c>
      <c r="F172" s="380"/>
    </row>
    <row r="173" spans="1:6" customFormat="1" ht="17.7" hidden="1" customHeight="1" thickBot="1" x14ac:dyDescent="0.3">
      <c r="A173" s="372"/>
      <c r="B173" s="8">
        <f>IF('Items sous domaines Sciences '!G175=2,'Items sous domaines Sciences '!B175,0)</f>
        <v>0</v>
      </c>
      <c r="C173" s="8">
        <f>IF('Items sous domaines Sciences '!G175=2,'Items sous domaines Sciences '!C175,0)</f>
        <v>0</v>
      </c>
      <c r="D173" s="8">
        <f>IF('Items sous domaines Sciences '!G175=2,'Items sous domaines Sciences '!D175,0)</f>
        <v>0</v>
      </c>
      <c r="E173" s="8">
        <f>IF('Items sous domaines Sciences '!G175=2,'Items sous domaines Sciences '!E175,0)</f>
        <v>0</v>
      </c>
      <c r="F173" s="380"/>
    </row>
    <row r="174" spans="1:6" customFormat="1" ht="17.7" hidden="1" customHeight="1" thickBot="1" x14ac:dyDescent="0.3">
      <c r="A174" s="372"/>
      <c r="B174" s="8">
        <f>IF('Items sous domaines Sciences '!G176=2,'Items sous domaines Sciences '!B176,0)</f>
        <v>0</v>
      </c>
      <c r="C174" s="8">
        <f>IF('Items sous domaines Sciences '!G176=2,'Items sous domaines Sciences '!C176,0)</f>
        <v>0</v>
      </c>
      <c r="D174" s="8">
        <f>IF('Items sous domaines Sciences '!G176=2,'Items sous domaines Sciences '!D176,0)</f>
        <v>0</v>
      </c>
      <c r="E174" s="8">
        <f>IF('Items sous domaines Sciences '!G176=2,'Items sous domaines Sciences '!E176,0)</f>
        <v>0</v>
      </c>
      <c r="F174" s="380"/>
    </row>
    <row r="175" spans="1:6" customFormat="1" ht="17.7" hidden="1" customHeight="1" thickBot="1" x14ac:dyDescent="0.3">
      <c r="A175" s="372"/>
      <c r="B175" s="8">
        <f>IF('Items sous domaines Sciences '!G177=2,'Items sous domaines Sciences '!B177,0)</f>
        <v>0</v>
      </c>
      <c r="C175" s="8">
        <f>IF('Items sous domaines Sciences '!G177=2,'Items sous domaines Sciences '!C177,0)</f>
        <v>0</v>
      </c>
      <c r="D175" s="8">
        <f>IF('Items sous domaines Sciences '!G177=2,'Items sous domaines Sciences '!D177,0)</f>
        <v>0</v>
      </c>
      <c r="E175" s="8">
        <f>IF('Items sous domaines Sciences '!G177=2,'Items sous domaines Sciences '!E177,0)</f>
        <v>0</v>
      </c>
      <c r="F175" s="380"/>
    </row>
    <row r="176" spans="1:6" customFormat="1" ht="17.7" hidden="1" customHeight="1" thickBot="1" x14ac:dyDescent="0.3">
      <c r="A176" s="372"/>
      <c r="B176" s="8">
        <f>IF('Items sous domaines Sciences '!G178=2,'Items sous domaines Sciences '!B178,0)</f>
        <v>0</v>
      </c>
      <c r="C176" s="8">
        <f>IF('Items sous domaines Sciences '!G178=2,'Items sous domaines Sciences '!C178,0)</f>
        <v>0</v>
      </c>
      <c r="D176" s="8">
        <f>IF('Items sous domaines Sciences '!G178=2,'Items sous domaines Sciences '!D178,0)</f>
        <v>0</v>
      </c>
      <c r="E176" s="8">
        <f>IF('Items sous domaines Sciences '!G178=2,'Items sous domaines Sciences '!E178,0)</f>
        <v>0</v>
      </c>
      <c r="F176" s="380"/>
    </row>
    <row r="177" spans="1:6" customFormat="1" ht="17.7" hidden="1" customHeight="1" thickBot="1" x14ac:dyDescent="0.3">
      <c r="A177" s="372"/>
      <c r="B177" s="8">
        <f>IF('Items sous domaines Sciences '!G179=2,'Items sous domaines Sciences '!B179,0)</f>
        <v>0</v>
      </c>
      <c r="C177" s="8">
        <f>IF('Items sous domaines Sciences '!G179=2,'Items sous domaines Sciences '!C179,0)</f>
        <v>0</v>
      </c>
      <c r="D177" s="8">
        <f>IF('Items sous domaines Sciences '!G179=2,'Items sous domaines Sciences '!D179,0)</f>
        <v>0</v>
      </c>
      <c r="E177" s="8">
        <f>IF('Items sous domaines Sciences '!G179=2,'Items sous domaines Sciences '!E179,0)</f>
        <v>0</v>
      </c>
      <c r="F177" s="380"/>
    </row>
    <row r="178" spans="1:6" customFormat="1" ht="17.7" hidden="1" customHeight="1" thickBot="1" x14ac:dyDescent="0.3">
      <c r="A178" s="372"/>
      <c r="B178" s="8">
        <f>IF('Items sous domaines Sciences '!G180=2,'Items sous domaines Sciences '!B180,0)</f>
        <v>0</v>
      </c>
      <c r="C178" s="8">
        <f>IF('Items sous domaines Sciences '!G180=2,'Items sous domaines Sciences '!C180,0)</f>
        <v>0</v>
      </c>
      <c r="D178" s="8">
        <f>IF('Items sous domaines Sciences '!G180=2,'Items sous domaines Sciences '!D180,0)</f>
        <v>0</v>
      </c>
      <c r="E178" s="8">
        <f>IF('Items sous domaines Sciences '!G180=2,'Items sous domaines Sciences '!E180,0)</f>
        <v>0</v>
      </c>
      <c r="F178" s="380"/>
    </row>
    <row r="179" spans="1:6" customFormat="1" ht="17.7" hidden="1" customHeight="1" thickBot="1" x14ac:dyDescent="0.3">
      <c r="A179" s="372"/>
      <c r="B179" s="8">
        <f>IF('Items sous domaines Sciences '!G181=2,'Items sous domaines Sciences '!B181,0)</f>
        <v>0</v>
      </c>
      <c r="C179" s="8">
        <f>IF('Items sous domaines Sciences '!G181=2,'Items sous domaines Sciences '!C181,0)</f>
        <v>0</v>
      </c>
      <c r="D179" s="8">
        <f>IF('Items sous domaines Sciences '!G181=2,'Items sous domaines Sciences '!D181,0)</f>
        <v>0</v>
      </c>
      <c r="E179" s="8">
        <f>IF('Items sous domaines Sciences '!G181=2,'Items sous domaines Sciences '!E181,0)</f>
        <v>0</v>
      </c>
      <c r="F179" s="380"/>
    </row>
    <row r="180" spans="1:6" customFormat="1" ht="17.7" hidden="1" customHeight="1" thickBot="1" x14ac:dyDescent="0.3">
      <c r="A180" s="372"/>
      <c r="B180" s="8">
        <f>IF('Items sous domaines Sciences '!G182=2,'Items sous domaines Sciences '!B182,0)</f>
        <v>0</v>
      </c>
      <c r="C180" s="8">
        <f>IF('Items sous domaines Sciences '!G182=2,'Items sous domaines Sciences '!C182,0)</f>
        <v>0</v>
      </c>
      <c r="D180" s="8">
        <f>IF('Items sous domaines Sciences '!G182=2,'Items sous domaines Sciences '!D182,0)</f>
        <v>0</v>
      </c>
      <c r="E180" s="8">
        <f>IF('Items sous domaines Sciences '!G182=2,'Items sous domaines Sciences '!E182,0)</f>
        <v>0</v>
      </c>
      <c r="F180" s="380"/>
    </row>
    <row r="181" spans="1:6" customFormat="1" ht="17.7" hidden="1" customHeight="1" thickBot="1" x14ac:dyDescent="0.3">
      <c r="A181" s="372"/>
      <c r="B181" s="8">
        <f>IF('Items sous domaines Sciences '!G183=2,'Items sous domaines Sciences '!B183,0)</f>
        <v>0</v>
      </c>
      <c r="C181" s="8">
        <f>IF('Items sous domaines Sciences '!G183=2,'Items sous domaines Sciences '!C183,0)</f>
        <v>0</v>
      </c>
      <c r="D181" s="8">
        <f>IF('Items sous domaines Sciences '!G183=2,'Items sous domaines Sciences '!D183,0)</f>
        <v>0</v>
      </c>
      <c r="E181" s="8">
        <f>IF('Items sous domaines Sciences '!G183=2,'Items sous domaines Sciences '!E183,0)</f>
        <v>0</v>
      </c>
      <c r="F181" s="380"/>
    </row>
    <row r="182" spans="1:6" customFormat="1" ht="17.7" hidden="1" customHeight="1" thickBot="1" x14ac:dyDescent="0.3">
      <c r="A182" s="372"/>
      <c r="B182" s="8">
        <f>IF('Items sous domaines Sciences '!G184=2,'Items sous domaines Sciences '!B184,0)</f>
        <v>0</v>
      </c>
      <c r="C182" s="8">
        <f>IF('Items sous domaines Sciences '!G184=2,'Items sous domaines Sciences '!C184,0)</f>
        <v>0</v>
      </c>
      <c r="D182" s="8">
        <f>IF('Items sous domaines Sciences '!G184=2,'Items sous domaines Sciences '!D184,0)</f>
        <v>0</v>
      </c>
      <c r="E182" s="8">
        <f>IF('Items sous domaines Sciences '!G184=2,'Items sous domaines Sciences '!E184,0)</f>
        <v>0</v>
      </c>
      <c r="F182" s="380"/>
    </row>
    <row r="183" spans="1:6" customFormat="1" ht="17.7" hidden="1" customHeight="1" thickBot="1" x14ac:dyDescent="0.3">
      <c r="A183" s="372"/>
      <c r="B183" s="8">
        <f>IF('Items sous domaines Sciences '!G185=2,'Items sous domaines Sciences '!B185,0)</f>
        <v>0</v>
      </c>
      <c r="C183" s="8">
        <f>IF('Items sous domaines Sciences '!G185=2,'Items sous domaines Sciences '!C185,0)</f>
        <v>0</v>
      </c>
      <c r="D183" s="8">
        <f>IF('Items sous domaines Sciences '!G185=2,'Items sous domaines Sciences '!D185,0)</f>
        <v>0</v>
      </c>
      <c r="E183" s="8">
        <f>IF('Items sous domaines Sciences '!G185=2,'Items sous domaines Sciences '!E185,0)</f>
        <v>0</v>
      </c>
      <c r="F183" s="380"/>
    </row>
    <row r="184" spans="1:6" customFormat="1" ht="17.7" hidden="1" customHeight="1" thickBot="1" x14ac:dyDescent="0.3">
      <c r="A184" s="372"/>
      <c r="B184" s="8">
        <f>IF('Items sous domaines Sciences '!G186=2,'Items sous domaines Sciences '!B186,0)</f>
        <v>0</v>
      </c>
      <c r="C184" s="8">
        <f>IF('Items sous domaines Sciences '!G186=2,'Items sous domaines Sciences '!C186,0)</f>
        <v>0</v>
      </c>
      <c r="D184" s="8">
        <f>IF('Items sous domaines Sciences '!G186=2,'Items sous domaines Sciences '!D186,0)</f>
        <v>0</v>
      </c>
      <c r="E184" s="8">
        <f>IF('Items sous domaines Sciences '!G186=2,'Items sous domaines Sciences '!E186,0)</f>
        <v>0</v>
      </c>
      <c r="F184" s="380"/>
    </row>
    <row r="185" spans="1:6" customFormat="1" ht="17.7" hidden="1" customHeight="1" thickBot="1" x14ac:dyDescent="0.3">
      <c r="A185" s="372"/>
      <c r="B185" s="8">
        <f>IF('Items sous domaines Sciences '!G187=2,'Items sous domaines Sciences '!B187,0)</f>
        <v>0</v>
      </c>
      <c r="C185" s="8">
        <f>IF('Items sous domaines Sciences '!G187=2,'Items sous domaines Sciences '!C187,0)</f>
        <v>0</v>
      </c>
      <c r="D185" s="8">
        <f>IF('Items sous domaines Sciences '!G187=2,'Items sous domaines Sciences '!D187,0)</f>
        <v>0</v>
      </c>
      <c r="E185" s="8">
        <f>IF('Items sous domaines Sciences '!G187=2,'Items sous domaines Sciences '!E187,0)</f>
        <v>0</v>
      </c>
      <c r="F185" s="380"/>
    </row>
    <row r="186" spans="1:6" customFormat="1" ht="17.399999999999999" hidden="1" customHeight="1" thickBot="1" x14ac:dyDescent="0.3">
      <c r="A186" s="372"/>
      <c r="B186" s="8">
        <f>IF('Items sous domaines Sciences '!G188=2,'Items sous domaines Sciences '!B188,0)</f>
        <v>0</v>
      </c>
      <c r="C186" s="8">
        <f>IF('Items sous domaines Sciences '!G188=2,'Items sous domaines Sciences '!C188,0)</f>
        <v>0</v>
      </c>
      <c r="D186" s="8">
        <f>IF('Items sous domaines Sciences '!G188=2,'Items sous domaines Sciences '!D188,0)</f>
        <v>0</v>
      </c>
      <c r="E186" s="8">
        <f>IF('Items sous domaines Sciences '!G188=2,'Items sous domaines Sciences '!E188,0)</f>
        <v>0</v>
      </c>
      <c r="F186" s="380"/>
    </row>
    <row r="187" spans="1:6" customFormat="1" ht="17.399999999999999" hidden="1" customHeight="1" thickBot="1" x14ac:dyDescent="0.3">
      <c r="A187" s="372"/>
      <c r="B187" s="8">
        <f>IF('Items sous domaines Sciences '!G189=2,'Items sous domaines Sciences '!B189,0)</f>
        <v>0</v>
      </c>
      <c r="C187" s="8">
        <f>IF('Items sous domaines Sciences '!G189=2,'Items sous domaines Sciences '!C189,0)</f>
        <v>0</v>
      </c>
      <c r="D187" s="8">
        <f>IF('Items sous domaines Sciences '!G189=2,'Items sous domaines Sciences '!D189,0)</f>
        <v>0</v>
      </c>
      <c r="E187" s="8">
        <f>IF('Items sous domaines Sciences '!G189=2,'Items sous domaines Sciences '!E189,0)</f>
        <v>0</v>
      </c>
      <c r="F187" s="380"/>
    </row>
    <row r="188" spans="1:6" customFormat="1" ht="17.399999999999999" hidden="1" customHeight="1" thickBot="1" x14ac:dyDescent="0.3">
      <c r="A188" s="372"/>
      <c r="B188" s="8">
        <f>IF('Items sous domaines Sciences '!G190=2,'Items sous domaines Sciences '!B190,0)</f>
        <v>0</v>
      </c>
      <c r="C188" s="8">
        <f>IF('Items sous domaines Sciences '!G190=2,'Items sous domaines Sciences '!C190,0)</f>
        <v>0</v>
      </c>
      <c r="D188" s="8">
        <f>IF('Items sous domaines Sciences '!G190=2,'Items sous domaines Sciences '!D190,0)</f>
        <v>0</v>
      </c>
      <c r="E188" s="8">
        <f>IF('Items sous domaines Sciences '!G190=2,'Items sous domaines Sciences '!E190,0)</f>
        <v>0</v>
      </c>
      <c r="F188" s="380"/>
    </row>
    <row r="189" spans="1:6" customFormat="1" ht="17.399999999999999" hidden="1" customHeight="1" thickBot="1" x14ac:dyDescent="0.3">
      <c r="A189" s="385"/>
      <c r="B189" s="8">
        <f>IF('Items sous domaines Sciences '!G191=2,'Items sous domaines Sciences '!B191,0)</f>
        <v>0</v>
      </c>
      <c r="C189" s="8">
        <f>IF('Items sous domaines Sciences '!G191=2,'Items sous domaines Sciences '!C191,0)</f>
        <v>0</v>
      </c>
      <c r="D189" s="8">
        <f>IF('Items sous domaines Sciences '!G191=2,'Items sous domaines Sciences '!D191,0)</f>
        <v>0</v>
      </c>
      <c r="E189" s="8">
        <f>IF('Items sous domaines Sciences '!G191=2,'Items sous domaines Sciences '!E191,0)</f>
        <v>0</v>
      </c>
      <c r="F189" s="380"/>
    </row>
    <row r="190" spans="1:6" customFormat="1" ht="17.399999999999999" hidden="1" customHeight="1" thickBot="1" x14ac:dyDescent="0.3">
      <c r="B190" s="8">
        <f>IF('Items sous domaines Sciences '!G192=2,'Items sous domaines Sciences '!B192,0)</f>
        <v>0</v>
      </c>
      <c r="C190" s="8">
        <f>IF('Items sous domaines Sciences '!G192=2,'Items sous domaines Sciences '!C192,0)</f>
        <v>0</v>
      </c>
      <c r="D190" s="8">
        <f>IF('Items sous domaines Sciences '!G192=2,'Items sous domaines Sciences '!D192,0)</f>
        <v>0</v>
      </c>
      <c r="E190" s="8">
        <f>IF('Items sous domaines Sciences '!G192=2,'Items sous domaines Sciences '!E192,0)</f>
        <v>0</v>
      </c>
      <c r="F190" s="380"/>
    </row>
    <row r="191" spans="1:6" customFormat="1" ht="17.399999999999999" hidden="1" customHeight="1" thickBot="1" x14ac:dyDescent="0.3">
      <c r="A191" s="402" t="s">
        <v>410</v>
      </c>
      <c r="B191" s="8">
        <f>IF('Items sous domaines Sciences '!G193=2,'Items sous domaines Sciences '!B193,0)</f>
        <v>0</v>
      </c>
      <c r="C191" s="8">
        <f>IF('Items sous domaines Sciences '!G193=2,'Items sous domaines Sciences '!C193,0)</f>
        <v>0</v>
      </c>
      <c r="D191" s="8">
        <f>IF('Items sous domaines Sciences '!G193=2,'Items sous domaines Sciences '!D193,0)</f>
        <v>0</v>
      </c>
      <c r="E191" s="8">
        <f>IF('Items sous domaines Sciences '!G193=2,'Items sous domaines Sciences '!E193,0)</f>
        <v>0</v>
      </c>
      <c r="F191" s="380"/>
    </row>
    <row r="192" spans="1:6" customFormat="1" ht="17.399999999999999" hidden="1" customHeight="1" thickBot="1" x14ac:dyDescent="0.3">
      <c r="A192" s="385"/>
      <c r="B192" s="8">
        <f>IF('Items sous domaines Sciences '!G194=2,'Items sous domaines Sciences '!B194,0)</f>
        <v>0</v>
      </c>
      <c r="C192" s="8">
        <f>IF('Items sous domaines Sciences '!G194=2,'Items sous domaines Sciences '!C194,0)</f>
        <v>0</v>
      </c>
      <c r="D192" s="8">
        <f>IF('Items sous domaines Sciences '!G194=2,'Items sous domaines Sciences '!D194,0)</f>
        <v>0</v>
      </c>
      <c r="E192" s="8">
        <f>IF('Items sous domaines Sciences '!G194=2,'Items sous domaines Sciences '!E194,0)</f>
        <v>0</v>
      </c>
      <c r="F192" s="380"/>
    </row>
    <row r="193" spans="1:7" customFormat="1" ht="17.399999999999999" hidden="1" customHeight="1" thickBot="1" x14ac:dyDescent="0.3">
      <c r="A193" s="218" t="s">
        <v>431</v>
      </c>
      <c r="B193" s="8">
        <f>IF('Items sous domaines Sciences '!G195=2,'Items sous domaines Sciences '!B195,0)</f>
        <v>0</v>
      </c>
      <c r="C193" s="8">
        <f>IF('Items sous domaines Sciences '!G195=2,'Items sous domaines Sciences '!C195,0)</f>
        <v>0</v>
      </c>
      <c r="D193" s="8">
        <f>IF('Items sous domaines Sciences '!G195=2,'Items sous domaines Sciences '!D195,0)</f>
        <v>0</v>
      </c>
      <c r="E193" s="8">
        <f>IF('Items sous domaines Sciences '!G195=2,'Items sous domaines Sciences '!E195,0)</f>
        <v>0</v>
      </c>
      <c r="F193" s="380"/>
    </row>
    <row r="194" spans="1:7" customFormat="1" ht="17.399999999999999" hidden="1" customHeight="1" thickBot="1" x14ac:dyDescent="0.3">
      <c r="A194" s="219"/>
      <c r="B194" s="8">
        <f>IF('Items sous domaines Sciences '!G196=2,'Items sous domaines Sciences '!B196,0)</f>
        <v>0</v>
      </c>
      <c r="C194" s="8">
        <f>IF('Items sous domaines Sciences '!G196=2,'Items sous domaines Sciences '!C196,0)</f>
        <v>0</v>
      </c>
      <c r="D194" s="8">
        <f>IF('Items sous domaines Sciences '!G196=2,'Items sous domaines Sciences '!D196,0)</f>
        <v>0</v>
      </c>
      <c r="E194" s="8">
        <f>IF('Items sous domaines Sciences '!G196=2,'Items sous domaines Sciences '!E196,0)</f>
        <v>0</v>
      </c>
      <c r="F194" s="380"/>
    </row>
    <row r="195" spans="1:7" customFormat="1" ht="17.399999999999999" hidden="1" customHeight="1" thickBot="1" x14ac:dyDescent="0.3">
      <c r="A195" s="219"/>
      <c r="B195" s="8">
        <f>IF('Items sous domaines Sciences '!G197=2,'Items sous domaines Sciences '!B197,0)</f>
        <v>0</v>
      </c>
      <c r="C195" s="8">
        <f>IF('Items sous domaines Sciences '!G197=2,'Items sous domaines Sciences '!C197,0)</f>
        <v>0</v>
      </c>
      <c r="D195" s="8">
        <f>IF('Items sous domaines Sciences '!G197=2,'Items sous domaines Sciences '!D197,0)</f>
        <v>0</v>
      </c>
      <c r="E195" s="8">
        <f>IF('Items sous domaines Sciences '!G197=2,'Items sous domaines Sciences '!E197,0)</f>
        <v>0</v>
      </c>
      <c r="F195" s="380"/>
    </row>
    <row r="196" spans="1:7" customFormat="1" ht="17.399999999999999" hidden="1" customHeight="1" thickBot="1" x14ac:dyDescent="0.3">
      <c r="A196" s="219"/>
      <c r="B196" s="8">
        <f>IF('Items sous domaines Sciences '!G198=2,'Items sous domaines Sciences '!B198,0)</f>
        <v>0</v>
      </c>
      <c r="C196" s="8">
        <f>IF('Items sous domaines Sciences '!G198=2,'Items sous domaines Sciences '!C198,0)</f>
        <v>0</v>
      </c>
      <c r="D196" s="8">
        <f>IF('Items sous domaines Sciences '!G198=2,'Items sous domaines Sciences '!D198,0)</f>
        <v>0</v>
      </c>
      <c r="E196" s="8">
        <f>IF('Items sous domaines Sciences '!G198=2,'Items sous domaines Sciences '!E198,0)</f>
        <v>0</v>
      </c>
      <c r="F196" s="380"/>
    </row>
    <row r="197" spans="1:7" customFormat="1" ht="17.399999999999999" hidden="1" customHeight="1" thickBot="1" x14ac:dyDescent="0.3">
      <c r="A197" s="219"/>
      <c r="B197" s="8">
        <f>IF('Items sous domaines Sciences '!G199=2,'Items sous domaines Sciences '!B199,0)</f>
        <v>0</v>
      </c>
      <c r="C197" s="8">
        <f>IF('Items sous domaines Sciences '!G199=2,'Items sous domaines Sciences '!C199,0)</f>
        <v>0</v>
      </c>
      <c r="D197" s="8">
        <f>IF('Items sous domaines Sciences '!G199=2,'Items sous domaines Sciences '!D199,0)</f>
        <v>0</v>
      </c>
      <c r="E197" s="8">
        <f>IF('Items sous domaines Sciences '!G199=2,'Items sous domaines Sciences '!E199,0)</f>
        <v>0</v>
      </c>
      <c r="F197" s="380"/>
    </row>
    <row r="198" spans="1:7" customFormat="1" ht="17.399999999999999" hidden="1" customHeight="1" thickBot="1" x14ac:dyDescent="0.3">
      <c r="A198" s="219"/>
      <c r="B198" s="8">
        <f>IF('Items sous domaines Sciences '!G200=2,'Items sous domaines Sciences '!B200,0)</f>
        <v>0</v>
      </c>
      <c r="C198" s="8">
        <f>IF('Items sous domaines Sciences '!G200=2,'Items sous domaines Sciences '!C200,0)</f>
        <v>0</v>
      </c>
      <c r="D198" s="8">
        <f>IF('Items sous domaines Sciences '!G200=2,'Items sous domaines Sciences '!D200,0)</f>
        <v>0</v>
      </c>
      <c r="E198" s="8">
        <f>IF('Items sous domaines Sciences '!G200=2,'Items sous domaines Sciences '!E200,0)</f>
        <v>0</v>
      </c>
      <c r="F198" s="380"/>
    </row>
    <row r="199" spans="1:7" customFormat="1" ht="17.399999999999999" hidden="1" customHeight="1" thickBot="1" x14ac:dyDescent="0.3">
      <c r="A199" s="219"/>
      <c r="B199" s="8">
        <f>IF('Items sous domaines Sciences '!G201=2,'Items sous domaines Sciences '!B201,0)</f>
        <v>0</v>
      </c>
      <c r="C199" s="8">
        <f>IF('Items sous domaines Sciences '!G201=2,'Items sous domaines Sciences '!C201,0)</f>
        <v>0</v>
      </c>
      <c r="D199" s="8">
        <f>IF('Items sous domaines Sciences '!G201=2,'Items sous domaines Sciences '!D201,0)</f>
        <v>0</v>
      </c>
      <c r="E199" s="8">
        <f>IF('Items sous domaines Sciences '!G201=2,'Items sous domaines Sciences '!E201,0)</f>
        <v>0</v>
      </c>
      <c r="F199" s="380"/>
    </row>
    <row r="200" spans="1:7" customFormat="1" ht="17.399999999999999" hidden="1" customHeight="1" thickBot="1" x14ac:dyDescent="0.3">
      <c r="A200" s="219"/>
      <c r="B200" s="8">
        <f>IF('Items sous domaines Sciences '!G202=2,'Items sous domaines Sciences '!B202,0)</f>
        <v>0</v>
      </c>
      <c r="C200" s="8">
        <f>IF('Items sous domaines Sciences '!G202=2,'Items sous domaines Sciences '!C202,0)</f>
        <v>0</v>
      </c>
      <c r="D200" s="8">
        <f>IF('Items sous domaines Sciences '!G202=2,'Items sous domaines Sciences '!D202,0)</f>
        <v>0</v>
      </c>
      <c r="E200" s="8">
        <f>IF('Items sous domaines Sciences '!G202=2,'Items sous domaines Sciences '!E202,0)</f>
        <v>0</v>
      </c>
      <c r="F200" s="380"/>
    </row>
    <row r="201" spans="1:7" customFormat="1" ht="17.399999999999999" hidden="1" customHeight="1" thickBot="1" x14ac:dyDescent="0.3">
      <c r="A201" s="219"/>
      <c r="B201" s="8">
        <f>IF('Items sous domaines Sciences '!G203=2,'Items sous domaines Sciences '!B203,0)</f>
        <v>0</v>
      </c>
      <c r="C201" s="8">
        <f>IF('Items sous domaines Sciences '!G203=2,'Items sous domaines Sciences '!C203,0)</f>
        <v>0</v>
      </c>
      <c r="D201" s="8">
        <f>IF('Items sous domaines Sciences '!G203=2,'Items sous domaines Sciences '!D203,0)</f>
        <v>0</v>
      </c>
      <c r="E201" s="8">
        <f>IF('Items sous domaines Sciences '!G203=2,'Items sous domaines Sciences '!E203,0)</f>
        <v>0</v>
      </c>
      <c r="F201" s="380"/>
    </row>
    <row r="202" spans="1:7" customFormat="1" ht="17.399999999999999" hidden="1" customHeight="1" thickBot="1" x14ac:dyDescent="0.3">
      <c r="A202" s="219"/>
      <c r="B202" s="8">
        <f>IF('Items sous domaines Sciences '!G204=2,'Items sous domaines Sciences '!B204,0)</f>
        <v>0</v>
      </c>
      <c r="C202" s="8">
        <f>IF('Items sous domaines Sciences '!G204=2,'Items sous domaines Sciences '!C204,0)</f>
        <v>0</v>
      </c>
      <c r="D202" s="8">
        <f>IF('Items sous domaines Sciences '!G204=2,'Items sous domaines Sciences '!D204,0)</f>
        <v>0</v>
      </c>
      <c r="E202" s="8">
        <f>IF('Items sous domaines Sciences '!G204=2,'Items sous domaines Sciences '!E204,0)</f>
        <v>0</v>
      </c>
      <c r="F202" s="380"/>
    </row>
    <row r="203" spans="1:7" customFormat="1" ht="17.399999999999999" hidden="1" customHeight="1" thickBot="1" x14ac:dyDescent="0.3">
      <c r="A203" s="219"/>
      <c r="B203" s="8">
        <f>IF('Items sous domaines Sciences '!G205=2,'Items sous domaines Sciences '!B205,0)</f>
        <v>0</v>
      </c>
      <c r="C203" s="8">
        <f>IF('Items sous domaines Sciences '!G205=2,'Items sous domaines Sciences '!C205,0)</f>
        <v>0</v>
      </c>
      <c r="D203" s="8">
        <f>IF('Items sous domaines Sciences '!G205=2,'Items sous domaines Sciences '!D205,0)</f>
        <v>0</v>
      </c>
      <c r="E203" s="8">
        <f>IF('Items sous domaines Sciences '!G205=2,'Items sous domaines Sciences '!E205,0)</f>
        <v>0</v>
      </c>
      <c r="F203" s="380"/>
    </row>
    <row r="204" spans="1:7" customFormat="1" ht="17.399999999999999" hidden="1" customHeight="1" thickBot="1" x14ac:dyDescent="0.3">
      <c r="A204" s="219"/>
      <c r="B204" s="8">
        <f>IF('Items sous domaines Sciences '!G206=2,'Items sous domaines Sciences '!B206,0)</f>
        <v>0</v>
      </c>
      <c r="C204" s="8">
        <f>IF('Items sous domaines Sciences '!G206=2,'Items sous domaines Sciences '!C206,0)</f>
        <v>0</v>
      </c>
      <c r="D204" s="8">
        <f>IF('Items sous domaines Sciences '!G206=2,'Items sous domaines Sciences '!D206,0)</f>
        <v>0</v>
      </c>
      <c r="E204" s="8">
        <f>IF('Items sous domaines Sciences '!G206=2,'Items sous domaines Sciences '!E206,0)</f>
        <v>0</v>
      </c>
      <c r="F204" s="380"/>
    </row>
    <row r="205" spans="1:7" customFormat="1" ht="17.399999999999999" hidden="1" customHeight="1" thickBot="1" x14ac:dyDescent="0.3">
      <c r="A205" s="219"/>
      <c r="B205" s="8">
        <f>IF('Items sous domaines Sciences '!G207=2,'Items sous domaines Sciences '!B207,0)</f>
        <v>0</v>
      </c>
      <c r="C205" s="8">
        <f>IF('Items sous domaines Sciences '!G207=2,'Items sous domaines Sciences '!C207,0)</f>
        <v>0</v>
      </c>
      <c r="D205" s="8">
        <f>IF('Items sous domaines Sciences '!G207=2,'Items sous domaines Sciences '!D207,0)</f>
        <v>0</v>
      </c>
      <c r="E205" s="8">
        <f>IF('Items sous domaines Sciences '!G207=2,'Items sous domaines Sciences '!E207,0)</f>
        <v>0</v>
      </c>
      <c r="F205" s="380"/>
    </row>
    <row r="206" spans="1:7" ht="19.95" customHeight="1" thickTop="1" x14ac:dyDescent="0.3">
      <c r="A206" s="436" t="s">
        <v>431</v>
      </c>
      <c r="B206" s="59" t="str">
        <f>IF('Items sous domaines Sciences '!G208=2,'Items sous domaines Sciences '!B208,0)</f>
        <v>Thermique - Thermodynamique</v>
      </c>
      <c r="C206" s="225" t="str">
        <f>IF('Items sous domaines Sciences '!G208=2,'Items sous domaines Sciences '!C208,0)</f>
        <v>Thermique</v>
      </c>
      <c r="D206" s="226">
        <f>IF('Items sous domaines Sciences '!G208=2,'Items sous domaines Sciences '!D208,0)</f>
        <v>0</v>
      </c>
      <c r="E206" s="226" t="str">
        <f>IF('Items sous domaines Sciences '!G208=2,'Items sous domaines Sciences '!E208,0)</f>
        <v>Définir la nature et les frontières d’un système.</v>
      </c>
      <c r="F206" s="431"/>
      <c r="G206" s="432" t="s">
        <v>442</v>
      </c>
    </row>
    <row r="207" spans="1:7" ht="19.95" customHeight="1" x14ac:dyDescent="0.3">
      <c r="A207" s="437"/>
      <c r="B207" s="59" t="str">
        <f>IF('Items sous domaines Sciences '!G209=2,'Items sous domaines Sciences '!B209,0)</f>
        <v>Thermique - Thermodynamique</v>
      </c>
      <c r="C207" s="212" t="str">
        <f>IF('Items sous domaines Sciences '!G209=2,'Items sous domaines Sciences '!C209,0)</f>
        <v>Thermique</v>
      </c>
      <c r="D207" s="215">
        <f>IF('Items sous domaines Sciences '!G209=2,'Items sous domaines Sciences '!D209,0)</f>
        <v>0</v>
      </c>
      <c r="E207" s="209" t="str">
        <f>IF('Items sous domaines Sciences '!G209=2,'Items sous domaines Sciences '!E209,0)</f>
        <v>Décrire l'état macroscopique d'un système à l’aide de variables thermodynamiques (P, V, T).</v>
      </c>
      <c r="F207" s="431"/>
      <c r="G207" s="435"/>
    </row>
    <row r="208" spans="1:7" ht="19.95" customHeight="1" x14ac:dyDescent="0.3">
      <c r="A208" s="437"/>
      <c r="B208" s="59" t="str">
        <f>IF('Items sous domaines Sciences '!G210=2,'Items sous domaines Sciences '!B210,0)</f>
        <v>Thermique - Thermodynamique</v>
      </c>
      <c r="C208" s="213" t="str">
        <f>IF('Items sous domaines Sciences '!G210=2,'Items sous domaines Sciences '!C210,0)</f>
        <v>Thermique</v>
      </c>
      <c r="D208" s="216">
        <f>IF('Items sous domaines Sciences '!G210=2,'Items sous domaines Sciences '!D210,0)</f>
        <v>0</v>
      </c>
      <c r="E208" s="216" t="str">
        <f>IF('Items sous domaines Sciences '!G210=2,'Items sous domaines Sciences '!E210,0)</f>
        <v>Interpréter un diagramme (P,T).</v>
      </c>
      <c r="F208" s="431"/>
      <c r="G208" s="435"/>
    </row>
    <row r="209" spans="1:7" ht="19.95" customHeight="1" x14ac:dyDescent="0.3">
      <c r="A209" s="437"/>
      <c r="B209" s="59" t="str">
        <f>IF('Items sous domaines Sciences '!G211=2,'Items sous domaines Sciences '!B211,0)</f>
        <v>Thermique - Thermodynamique</v>
      </c>
      <c r="C209" s="212" t="str">
        <f>IF('Items sous domaines Sciences '!G211=2,'Items sous domaines Sciences '!C211,0)</f>
        <v>Thermique</v>
      </c>
      <c r="D209" s="215">
        <f>IF('Items sous domaines Sciences '!G211=2,'Items sous domaines Sciences '!D211,0)</f>
        <v>0</v>
      </c>
      <c r="E209" s="209" t="str">
        <f>IF('Items sous domaines Sciences '!G211=2,'Items sous domaines Sciences '!E211,0)</f>
        <v>Utiliser l’équation des gaz parfaits.</v>
      </c>
      <c r="F209" s="431"/>
      <c r="G209" s="435" t="s">
        <v>443</v>
      </c>
    </row>
    <row r="210" spans="1:7" ht="19.95" customHeight="1" x14ac:dyDescent="0.3">
      <c r="A210" s="437"/>
      <c r="B210" s="59" t="str">
        <f>IF('Items sous domaines Sciences '!G212=2,'Items sous domaines Sciences '!B212,0)</f>
        <v>Thermique - Thermodynamique</v>
      </c>
      <c r="C210" s="213" t="str">
        <f>IF('Items sous domaines Sciences '!G212=2,'Items sous domaines Sciences '!C212,0)</f>
        <v>Thermique</v>
      </c>
      <c r="D210" s="216">
        <f>IF('Items sous domaines Sciences '!G212=2,'Items sous domaines Sciences '!D212,0)</f>
        <v>0</v>
      </c>
      <c r="E210" s="216" t="str">
        <f>IF('Items sous domaines Sciences '!G212=2,'Items sous domaines Sciences '!E212,0)</f>
        <v>Identifier dans une situation la transformation thermodynamique du système (limitée aux corps purs ou mélanges de gaz parfaits).</v>
      </c>
      <c r="F210" s="431"/>
      <c r="G210" s="435"/>
    </row>
    <row r="211" spans="1:7" ht="19.95" customHeight="1" x14ac:dyDescent="0.3">
      <c r="A211" s="437"/>
      <c r="B211" s="59" t="str">
        <f>IF('Items sous domaines Sciences '!G213=2,'Items sous domaines Sciences '!B213,0)</f>
        <v>Thermique - Thermodynamique</v>
      </c>
      <c r="C211" s="212" t="str">
        <f>IF('Items sous domaines Sciences '!G213=2,'Items sous domaines Sciences '!C213,0)</f>
        <v>Thermique</v>
      </c>
      <c r="D211" s="215">
        <f>IF('Items sous domaines Sciences '!G213=2,'Items sous domaines Sciences '!D213,0)</f>
        <v>0</v>
      </c>
      <c r="E211" s="209" t="str">
        <f>IF('Items sous domaines Sciences '!G213=2,'Items sous domaines Sciences '!E213,0)</f>
        <v>Calculer le travail et la chaleur dans le cas d'une transformation thermodynamique et le représenter dans le diagramme de Clapeyron.</v>
      </c>
      <c r="F211" s="431"/>
      <c r="G211" s="435"/>
    </row>
    <row r="212" spans="1:7" ht="19.95" customHeight="1" x14ac:dyDescent="0.3">
      <c r="A212" s="437"/>
      <c r="B212" s="59" t="str">
        <f>IF('Items sous domaines Sciences '!G214=2,'Items sous domaines Sciences '!B214,0)</f>
        <v>Thermique - Thermodynamique</v>
      </c>
      <c r="C212" s="213" t="str">
        <f>IF('Items sous domaines Sciences '!G214=2,'Items sous domaines Sciences '!C214,0)</f>
        <v>Thermique</v>
      </c>
      <c r="D212" s="216">
        <f>IF('Items sous domaines Sciences '!G214=2,'Items sous domaines Sciences '!D214,0)</f>
        <v>0</v>
      </c>
      <c r="E212" s="216" t="str">
        <f>IF('Items sous domaines Sciences '!G214=2,'Items sous domaines Sciences '!E214,0)</f>
        <v>Établir un bilan énergétique (1er principe) et calculer les transferts de chaleur et travail.</v>
      </c>
      <c r="F212" s="431"/>
      <c r="G212" s="435"/>
    </row>
    <row r="213" spans="1:7" ht="19.95" customHeight="1" x14ac:dyDescent="0.3">
      <c r="A213" s="437"/>
      <c r="B213" s="59" t="str">
        <f>IF('Items sous domaines Sciences '!G215=2,'Items sous domaines Sciences '!B215,0)</f>
        <v>Thermique - Thermodynamique</v>
      </c>
      <c r="C213" s="212" t="str">
        <f>IF('Items sous domaines Sciences '!G215=2,'Items sous domaines Sciences '!C215,0)</f>
        <v>Thermique</v>
      </c>
      <c r="D213" s="215">
        <f>IF('Items sous domaines Sciences '!G215=2,'Items sous domaines Sciences '!D215,0)</f>
        <v>0</v>
      </c>
      <c r="E213" s="209" t="str">
        <f>IF('Items sous domaines Sciences '!G215=2,'Items sous domaines Sciences '!E215,0)</f>
        <v>Calculer les flux de chaleur par conduction avec la loi de Fourier (surface plane, cylindrique, sphérique) (simplifications pour rester sur une dimension).</v>
      </c>
      <c r="F213" s="431"/>
      <c r="G213" s="435"/>
    </row>
    <row r="214" spans="1:7" ht="19.95" customHeight="1" x14ac:dyDescent="0.3">
      <c r="A214" s="437"/>
      <c r="B214" s="59" t="str">
        <f>IF('Items sous domaines Sciences '!G216=2,'Items sous domaines Sciences '!B216,0)</f>
        <v>Thermique - Thermodynamique</v>
      </c>
      <c r="C214" s="213" t="str">
        <f>IF('Items sous domaines Sciences '!G216=2,'Items sous domaines Sciences '!C216,0)</f>
        <v>Thermique</v>
      </c>
      <c r="D214" s="216">
        <f>IF('Items sous domaines Sciences '!G216=2,'Items sous domaines Sciences '!D216,0)</f>
        <v>0</v>
      </c>
      <c r="E214" s="216" t="str">
        <f>IF('Items sous domaines Sciences '!G216=2,'Items sous domaines Sciences '!E216,0)</f>
        <v>Citer les principaux isolants/conducteurs thermiques.</v>
      </c>
      <c r="F214" s="431"/>
      <c r="G214" s="257"/>
    </row>
    <row r="215" spans="1:7" ht="19.95" customHeight="1" thickBot="1" x14ac:dyDescent="0.35">
      <c r="A215" s="437"/>
      <c r="B215" s="59" t="str">
        <f>IF('Items sous domaines Sciences '!G217=2,'Items sous domaines Sciences '!B217,0)</f>
        <v>Thermique - Thermodynamique</v>
      </c>
      <c r="C215" s="229" t="str">
        <f>IF('Items sous domaines Sciences '!G217=2,'Items sous domaines Sciences '!C217,0)</f>
        <v>Thermique</v>
      </c>
      <c r="D215" s="230">
        <f>IF('Items sous domaines Sciences '!G217=2,'Items sous domaines Sciences '!D217,0)</f>
        <v>0</v>
      </c>
      <c r="E215" s="231" t="str">
        <f>IF('Items sous domaines Sciences '!G217=2,'Items sous domaines Sciences '!E217,0)</f>
        <v>Établir une analogie entre loi électrique (voir hydraulique), loi thermique.</v>
      </c>
      <c r="F215" s="431"/>
      <c r="G215" s="418" t="s">
        <v>444</v>
      </c>
    </row>
    <row r="216" spans="1:7" customFormat="1" ht="17.399999999999999" hidden="1" customHeight="1" thickBot="1" x14ac:dyDescent="0.3">
      <c r="A216" s="438"/>
      <c r="B216" s="59">
        <f>IF('Items sous domaines Sciences '!G218=2,'Items sous domaines Sciences '!B218,0)</f>
        <v>0</v>
      </c>
      <c r="C216" s="221">
        <f>IF('Items sous domaines Sciences '!G218=2,'Items sous domaines Sciences '!C218,0)</f>
        <v>0</v>
      </c>
      <c r="D216" s="222">
        <f>IF('Items sous domaines Sciences '!G218=2,'Items sous domaines Sciences '!D218,0)</f>
        <v>0</v>
      </c>
      <c r="E216" s="222">
        <f>IF('Items sous domaines Sciences '!G218=2,'Items sous domaines Sciences '!E218,0)</f>
        <v>0</v>
      </c>
      <c r="F216" s="380"/>
      <c r="G216" s="331"/>
    </row>
    <row r="217" spans="1:7" ht="19.95" customHeight="1" thickTop="1" x14ac:dyDescent="0.3">
      <c r="A217" s="437"/>
      <c r="B217" s="59" t="str">
        <f>IF('Items sous domaines Sciences '!G219=2,'Items sous domaines Sciences '!B219,0)</f>
        <v>Thermique - Thermodynamique</v>
      </c>
      <c r="C217" s="232" t="str">
        <f>IF('Items sous domaines Sciences '!G219=2,'Items sous domaines Sciences '!C219,0)</f>
        <v>Thermique</v>
      </c>
      <c r="D217" s="233">
        <f>IF('Items sous domaines Sciences '!G219=2,'Items sous domaines Sciences '!D219,0)</f>
        <v>0</v>
      </c>
      <c r="E217" s="234" t="str">
        <f>IF('Items sous domaines Sciences '!G219=2,'Items sous domaines Sciences '!E219,0)</f>
        <v>Expliquer le processus physique de rayonnement thermique.</v>
      </c>
      <c r="F217" s="431"/>
      <c r="G217" s="417"/>
    </row>
    <row r="218" spans="1:7" ht="19.95" customHeight="1" x14ac:dyDescent="0.3">
      <c r="A218" s="437"/>
      <c r="B218" s="59" t="str">
        <f>IF('Items sous domaines Sciences '!G220=2,'Items sous domaines Sciences '!B220,0)</f>
        <v>Thermique - Thermodynamique</v>
      </c>
      <c r="C218" s="213" t="str">
        <f>IF('Items sous domaines Sciences '!G220=2,'Items sous domaines Sciences '!C220,0)</f>
        <v>Thermique</v>
      </c>
      <c r="D218" s="216">
        <f>IF('Items sous domaines Sciences '!G220=2,'Items sous domaines Sciences '!D220,0)</f>
        <v>0</v>
      </c>
      <c r="E218" s="216" t="str">
        <f>IF('Items sous domaines Sciences '!G220=2,'Items sous domaines Sciences '!E220,0)</f>
        <v>Calculer un flux thermique par rayonnement.</v>
      </c>
      <c r="F218" s="431"/>
      <c r="G218" s="419"/>
    </row>
    <row r="219" spans="1:7" ht="19.95" customHeight="1" x14ac:dyDescent="0.3">
      <c r="A219" s="437"/>
      <c r="B219" s="59" t="str">
        <f>IF('Items sous domaines Sciences '!G221=2,'Items sous domaines Sciences '!B221,0)</f>
        <v>Thermique - Thermodynamique</v>
      </c>
      <c r="C219" s="212" t="str">
        <f>IF('Items sous domaines Sciences '!G221=2,'Items sous domaines Sciences '!C221,0)</f>
        <v>Thermique</v>
      </c>
      <c r="D219" s="215">
        <f>IF('Items sous domaines Sciences '!G221=2,'Items sous domaines Sciences '!D221,0)</f>
        <v>0</v>
      </c>
      <c r="E219" s="209" t="str">
        <f>IF('Items sous domaines Sciences '!G221=2,'Items sous domaines Sciences '!E221,0)</f>
        <v>Interpréter les enjeux du développement durable en lien avec la règlementation thermique.</v>
      </c>
      <c r="F219" s="431"/>
      <c r="G219" s="419"/>
    </row>
    <row r="220" spans="1:7" ht="19.95" customHeight="1" x14ac:dyDescent="0.3">
      <c r="A220" s="437"/>
      <c r="B220" s="59" t="str">
        <f>IF('Items sous domaines Sciences '!G222=2,'Items sous domaines Sciences '!B222,0)</f>
        <v>Thermique - Thermodynamique</v>
      </c>
      <c r="C220" s="213" t="str">
        <f>IF('Items sous domaines Sciences '!G222=2,'Items sous domaines Sciences '!C222,0)</f>
        <v>Thermique</v>
      </c>
      <c r="D220" s="216">
        <f>IF('Items sous domaines Sciences '!G222=2,'Items sous domaines Sciences '!D222,0)</f>
        <v>0</v>
      </c>
      <c r="E220" s="216" t="str">
        <f>IF('Items sous domaines Sciences '!G222=2,'Items sous domaines Sciences '!E222,0)</f>
        <v>Établir un bilan thermique (puissance) et quantifier les apports/pertes calorifiques dans l’objectif d’une certification BEPOS (identification ponts thermiques).</v>
      </c>
      <c r="F220" s="431"/>
      <c r="G220" s="419"/>
    </row>
    <row r="221" spans="1:7" ht="19.95" customHeight="1" x14ac:dyDescent="0.3">
      <c r="A221" s="437"/>
      <c r="B221" s="59" t="str">
        <f>IF('Items sous domaines Sciences '!G223=2,'Items sous domaines Sciences '!B223,0)</f>
        <v>Thermique - Thermodynamique</v>
      </c>
      <c r="C221" s="212" t="str">
        <f>IF('Items sous domaines Sciences '!G223=2,'Items sous domaines Sciences '!C223,0)</f>
        <v>Thermique</v>
      </c>
      <c r="D221" s="215">
        <f>IF('Items sous domaines Sciences '!G223=2,'Items sous domaines Sciences '!D223,0)</f>
        <v>0</v>
      </c>
      <c r="E221" s="209" t="str">
        <f>IF('Items sous domaines Sciences '!G223=2,'Items sous domaines Sciences '!E223,0)</f>
        <v>Interpréter le bilan thermique face à la RT.</v>
      </c>
      <c r="F221" s="431"/>
      <c r="G221" s="419"/>
    </row>
    <row r="222" spans="1:7" ht="19.95" customHeight="1" thickBot="1" x14ac:dyDescent="0.35">
      <c r="A222" s="437"/>
      <c r="B222" s="59" t="str">
        <f>IF('Items sous domaines Sciences '!G224=2,'Items sous domaines Sciences '!B224,0)</f>
        <v>Thermique - Thermodynamique</v>
      </c>
      <c r="C222" s="227" t="str">
        <f>IF('Items sous domaines Sciences '!G224=2,'Items sous domaines Sciences '!C224,0)</f>
        <v>Thermique</v>
      </c>
      <c r="D222" s="228">
        <f>IF('Items sous domaines Sciences '!G224=2,'Items sous domaines Sciences '!D224,0)</f>
        <v>0</v>
      </c>
      <c r="E222" s="228" t="str">
        <f>IF('Items sous domaines Sciences '!G224=2,'Items sous domaines Sciences '!E224,0)</f>
        <v>Proposer des solutions constructives ou des améliorations efficaces vis-à-vis de la réglementation en vigueur.</v>
      </c>
      <c r="F222" s="431"/>
      <c r="G222" s="418"/>
    </row>
    <row r="223" spans="1:7" customFormat="1" ht="17.399999999999999" hidden="1" customHeight="1" thickBot="1" x14ac:dyDescent="0.3">
      <c r="A223" s="438"/>
      <c r="B223">
        <f>IF('Items sous domaines Sciences '!G225=2,'Items sous domaines Sciences '!B225,0)</f>
        <v>0</v>
      </c>
      <c r="C223">
        <f>IF('Items sous domaines Sciences '!G225=2,'Items sous domaines Sciences '!C225,0)</f>
        <v>0</v>
      </c>
      <c r="D223">
        <f>IF('Items sous domaines Sciences '!G225=2,'Items sous domaines Sciences '!D225,0)</f>
        <v>0</v>
      </c>
      <c r="E223">
        <f>IF('Items sous domaines Sciences '!G225=2,'Items sous domaines Sciences '!E225,0)</f>
        <v>0</v>
      </c>
      <c r="F223" s="380"/>
      <c r="G223" s="331"/>
    </row>
    <row r="224" spans="1:7" customFormat="1" ht="17.399999999999999" hidden="1" customHeight="1" thickBot="1" x14ac:dyDescent="0.3">
      <c r="A224" s="438"/>
      <c r="B224" s="8">
        <f>IF('Items sous domaines Sciences '!G226=2,'Items sous domaines Sciences '!B226,0)</f>
        <v>0</v>
      </c>
      <c r="C224" s="8">
        <f>IF('Items sous domaines Sciences '!G226=2,'Items sous domaines Sciences '!C226,0)</f>
        <v>0</v>
      </c>
      <c r="D224" s="8">
        <f>IF('Items sous domaines Sciences '!G226=2,'Items sous domaines Sciences '!D226,0)</f>
        <v>0</v>
      </c>
      <c r="E224" s="8">
        <f>IF('Items sous domaines Sciences '!G226=2,'Items sous domaines Sciences '!E226,0)</f>
        <v>0</v>
      </c>
      <c r="F224" s="380"/>
      <c r="G224" s="331"/>
    </row>
    <row r="225" spans="1:7" customFormat="1" ht="17.399999999999999" hidden="1" customHeight="1" thickBot="1" x14ac:dyDescent="0.3">
      <c r="A225" s="438"/>
      <c r="B225" s="8">
        <f>IF('Items sous domaines Sciences '!G227=2,'Items sous domaines Sciences '!B227,0)</f>
        <v>0</v>
      </c>
      <c r="C225" s="8">
        <f>IF('Items sous domaines Sciences '!G227=2,'Items sous domaines Sciences '!C227,0)</f>
        <v>0</v>
      </c>
      <c r="D225" s="8">
        <f>IF('Items sous domaines Sciences '!G227=2,'Items sous domaines Sciences '!D227,0)</f>
        <v>0</v>
      </c>
      <c r="E225" s="8">
        <f>IF('Items sous domaines Sciences '!G227=2,'Items sous domaines Sciences '!E227,0)</f>
        <v>0</v>
      </c>
      <c r="F225" s="380"/>
      <c r="G225" s="331"/>
    </row>
    <row r="226" spans="1:7" customFormat="1" ht="17.399999999999999" hidden="1" customHeight="1" thickBot="1" x14ac:dyDescent="0.3">
      <c r="A226" s="438"/>
      <c r="B226" s="8">
        <f>IF('Items sous domaines Sciences '!G228=2,'Items sous domaines Sciences '!B228,0)</f>
        <v>0</v>
      </c>
      <c r="C226" s="8">
        <f>IF('Items sous domaines Sciences '!G228=2,'Items sous domaines Sciences '!C228,0)</f>
        <v>0</v>
      </c>
      <c r="D226" s="8">
        <f>IF('Items sous domaines Sciences '!G228=2,'Items sous domaines Sciences '!D228,0)</f>
        <v>0</v>
      </c>
      <c r="E226" s="8">
        <f>IF('Items sous domaines Sciences '!G228=2,'Items sous domaines Sciences '!E228,0)</f>
        <v>0</v>
      </c>
      <c r="F226" s="380"/>
      <c r="G226" s="331"/>
    </row>
    <row r="227" spans="1:7" customFormat="1" ht="17.399999999999999" hidden="1" customHeight="1" thickBot="1" x14ac:dyDescent="0.3">
      <c r="A227" s="438"/>
      <c r="B227" s="8">
        <f>IF('Items sous domaines Sciences '!G229=2,'Items sous domaines Sciences '!B229,0)</f>
        <v>0</v>
      </c>
      <c r="C227" s="8">
        <f>IF('Items sous domaines Sciences '!G229=2,'Items sous domaines Sciences '!C229,0)</f>
        <v>0</v>
      </c>
      <c r="D227" s="8">
        <f>IF('Items sous domaines Sciences '!G229=2,'Items sous domaines Sciences '!D229,0)</f>
        <v>0</v>
      </c>
      <c r="E227" s="8">
        <f>IF('Items sous domaines Sciences '!G229=2,'Items sous domaines Sciences '!E229,0)</f>
        <v>0</v>
      </c>
      <c r="F227" s="380"/>
      <c r="G227" s="331"/>
    </row>
    <row r="228" spans="1:7" customFormat="1" ht="17.399999999999999" hidden="1" customHeight="1" thickBot="1" x14ac:dyDescent="0.3">
      <c r="A228" s="438"/>
      <c r="B228" s="8">
        <f>IF('Items sous domaines Sciences '!G230=2,'Items sous domaines Sciences '!B230,0)</f>
        <v>0</v>
      </c>
      <c r="C228" s="8">
        <f>IF('Items sous domaines Sciences '!G230=2,'Items sous domaines Sciences '!C230,0)</f>
        <v>0</v>
      </c>
      <c r="D228" s="8">
        <f>IF('Items sous domaines Sciences '!G230=2,'Items sous domaines Sciences '!D230,0)</f>
        <v>0</v>
      </c>
      <c r="E228" s="8">
        <f>IF('Items sous domaines Sciences '!G230=2,'Items sous domaines Sciences '!E230,0)</f>
        <v>0</v>
      </c>
      <c r="F228" s="380"/>
      <c r="G228" s="331"/>
    </row>
    <row r="229" spans="1:7" customFormat="1" ht="17.399999999999999" hidden="1" customHeight="1" thickBot="1" x14ac:dyDescent="0.3">
      <c r="A229" s="438"/>
      <c r="B229" s="8">
        <f>IF('Items sous domaines Sciences '!G231=2,'Items sous domaines Sciences '!B231,0)</f>
        <v>0</v>
      </c>
      <c r="C229" s="8">
        <f>IF('Items sous domaines Sciences '!G231=2,'Items sous domaines Sciences '!C231,0)</f>
        <v>0</v>
      </c>
      <c r="D229" s="8">
        <f>IF('Items sous domaines Sciences '!G231=2,'Items sous domaines Sciences '!D231,0)</f>
        <v>0</v>
      </c>
      <c r="E229" s="8">
        <f>IF('Items sous domaines Sciences '!G231=2,'Items sous domaines Sciences '!E231,0)</f>
        <v>0</v>
      </c>
      <c r="F229" s="380"/>
      <c r="G229" s="331"/>
    </row>
    <row r="230" spans="1:7" customFormat="1" ht="17.399999999999999" hidden="1" customHeight="1" thickBot="1" x14ac:dyDescent="0.3">
      <c r="A230" s="438"/>
      <c r="B230" s="8">
        <f>IF('Items sous domaines Sciences '!G232=2,'Items sous domaines Sciences '!B232,0)</f>
        <v>0</v>
      </c>
      <c r="C230" s="8">
        <f>IF('Items sous domaines Sciences '!G232=2,'Items sous domaines Sciences '!C232,0)</f>
        <v>0</v>
      </c>
      <c r="D230" s="8">
        <f>IF('Items sous domaines Sciences '!G232=2,'Items sous domaines Sciences '!D232,0)</f>
        <v>0</v>
      </c>
      <c r="E230" s="8">
        <f>IF('Items sous domaines Sciences '!G232=2,'Items sous domaines Sciences '!E232,0)</f>
        <v>0</v>
      </c>
      <c r="F230" s="380"/>
    </row>
    <row r="231" spans="1:7" customFormat="1" ht="17.399999999999999" hidden="1" customHeight="1" thickBot="1" x14ac:dyDescent="0.3">
      <c r="A231" s="438"/>
      <c r="B231" s="8">
        <f>IF('Items sous domaines Sciences '!G233=2,'Items sous domaines Sciences '!B233,0)</f>
        <v>0</v>
      </c>
      <c r="C231" s="8">
        <f>IF('Items sous domaines Sciences '!G233=2,'Items sous domaines Sciences '!C233,0)</f>
        <v>0</v>
      </c>
      <c r="D231" s="8">
        <f>IF('Items sous domaines Sciences '!G233=2,'Items sous domaines Sciences '!D233,0)</f>
        <v>0</v>
      </c>
      <c r="E231" s="8">
        <f>IF('Items sous domaines Sciences '!G233=2,'Items sous domaines Sciences '!E233,0)</f>
        <v>0</v>
      </c>
      <c r="F231" s="380"/>
    </row>
    <row r="232" spans="1:7" customFormat="1" ht="17.399999999999999" hidden="1" customHeight="1" thickBot="1" x14ac:dyDescent="0.3">
      <c r="A232" s="438"/>
      <c r="B232" s="8">
        <f>IF('Items sous domaines Sciences '!G234=2,'Items sous domaines Sciences '!B234,0)</f>
        <v>0</v>
      </c>
      <c r="C232" s="8">
        <f>IF('Items sous domaines Sciences '!G234=2,'Items sous domaines Sciences '!C234,0)</f>
        <v>0</v>
      </c>
      <c r="D232" s="8">
        <f>IF('Items sous domaines Sciences '!G234=2,'Items sous domaines Sciences '!D234,0)</f>
        <v>0</v>
      </c>
      <c r="E232" s="8">
        <f>IF('Items sous domaines Sciences '!G234=2,'Items sous domaines Sciences '!E234,0)</f>
        <v>0</v>
      </c>
      <c r="F232" s="380"/>
    </row>
    <row r="233" spans="1:7" customFormat="1" ht="17.399999999999999" hidden="1" customHeight="1" thickBot="1" x14ac:dyDescent="0.3">
      <c r="A233" s="438"/>
      <c r="B233" s="8">
        <f>IF('Items sous domaines Sciences '!G235=2,'Items sous domaines Sciences '!B235,0)</f>
        <v>0</v>
      </c>
      <c r="C233" s="8">
        <f>IF('Items sous domaines Sciences '!G235=2,'Items sous domaines Sciences '!C235,0)</f>
        <v>0</v>
      </c>
      <c r="D233" s="8">
        <f>IF('Items sous domaines Sciences '!G235=2,'Items sous domaines Sciences '!D235,0)</f>
        <v>0</v>
      </c>
      <c r="E233" s="8">
        <f>IF('Items sous domaines Sciences '!G235=2,'Items sous domaines Sciences '!E235,0)</f>
        <v>0</v>
      </c>
      <c r="F233" s="380"/>
    </row>
    <row r="234" spans="1:7" customFormat="1" ht="17.399999999999999" hidden="1" customHeight="1" thickBot="1" x14ac:dyDescent="0.3">
      <c r="A234" s="438"/>
      <c r="B234" s="8">
        <f>IF('Items sous domaines Sciences '!G236=2,'Items sous domaines Sciences '!B236,0)</f>
        <v>0</v>
      </c>
      <c r="C234" s="8">
        <f>IF('Items sous domaines Sciences '!G236=2,'Items sous domaines Sciences '!C236,0)</f>
        <v>0</v>
      </c>
      <c r="D234" s="8">
        <f>IF('Items sous domaines Sciences '!G236=2,'Items sous domaines Sciences '!D236,0)</f>
        <v>0</v>
      </c>
      <c r="E234" s="8">
        <f>IF('Items sous domaines Sciences '!G236=2,'Items sous domaines Sciences '!E236,0)</f>
        <v>0</v>
      </c>
      <c r="F234" s="380"/>
      <c r="G234" s="333"/>
    </row>
    <row r="235" spans="1:7" customFormat="1" ht="17.399999999999999" hidden="1" customHeight="1" thickBot="1" x14ac:dyDescent="0.3">
      <c r="A235" s="438"/>
      <c r="B235" s="8">
        <f>IF('Items sous domaines Sciences '!G237=2,'Items sous domaines Sciences '!B237,0)</f>
        <v>0</v>
      </c>
      <c r="C235" s="8">
        <f>IF('Items sous domaines Sciences '!G237=2,'Items sous domaines Sciences '!C237,0)</f>
        <v>0</v>
      </c>
      <c r="D235" s="8">
        <f>IF('Items sous domaines Sciences '!G237=2,'Items sous domaines Sciences '!D237,0)</f>
        <v>0</v>
      </c>
      <c r="E235" s="8">
        <f>IF('Items sous domaines Sciences '!G237=2,'Items sous domaines Sciences '!E237,0)</f>
        <v>0</v>
      </c>
      <c r="F235" s="380"/>
      <c r="G235" s="333"/>
    </row>
    <row r="236" spans="1:7" customFormat="1" ht="17.399999999999999" hidden="1" customHeight="1" thickBot="1" x14ac:dyDescent="0.3">
      <c r="A236" s="438"/>
      <c r="B236" s="8">
        <f>IF('Items sous domaines Sciences '!G238=2,'Items sous domaines Sciences '!B238,0)</f>
        <v>0</v>
      </c>
      <c r="C236" s="8">
        <f>IF('Items sous domaines Sciences '!G238=2,'Items sous domaines Sciences '!C238,0)</f>
        <v>0</v>
      </c>
      <c r="D236" s="8">
        <f>IF('Items sous domaines Sciences '!G238=2,'Items sous domaines Sciences '!D238,0)</f>
        <v>0</v>
      </c>
      <c r="E236" s="8">
        <f>IF('Items sous domaines Sciences '!G238=2,'Items sous domaines Sciences '!E238,0)</f>
        <v>0</v>
      </c>
      <c r="F236" s="380"/>
      <c r="G236" s="333"/>
    </row>
    <row r="237" spans="1:7" customFormat="1" ht="17.399999999999999" hidden="1" customHeight="1" thickBot="1" x14ac:dyDescent="0.3">
      <c r="A237" s="438"/>
      <c r="B237" s="8">
        <f>IF('Items sous domaines Sciences '!G239=2,'Items sous domaines Sciences '!B239,0)</f>
        <v>0</v>
      </c>
      <c r="C237" s="8">
        <f>IF('Items sous domaines Sciences '!G239=2,'Items sous domaines Sciences '!C239,0)</f>
        <v>0</v>
      </c>
      <c r="D237" s="8">
        <f>IF('Items sous domaines Sciences '!G239=2,'Items sous domaines Sciences '!D239,0)</f>
        <v>0</v>
      </c>
      <c r="E237" s="8">
        <f>IF('Items sous domaines Sciences '!G239=2,'Items sous domaines Sciences '!E239,0)</f>
        <v>0</v>
      </c>
      <c r="F237" s="380"/>
      <c r="G237" s="333"/>
    </row>
    <row r="238" spans="1:7" customFormat="1" ht="17.399999999999999" hidden="1" customHeight="1" thickBot="1" x14ac:dyDescent="0.3">
      <c r="A238" s="438"/>
      <c r="B238" s="8">
        <f>IF('Items sous domaines Sciences '!G240=2,'Items sous domaines Sciences '!B240,0)</f>
        <v>0</v>
      </c>
      <c r="C238" s="8">
        <f>IF('Items sous domaines Sciences '!G240=2,'Items sous domaines Sciences '!C240,0)</f>
        <v>0</v>
      </c>
      <c r="D238" s="8">
        <f>IF('Items sous domaines Sciences '!G240=2,'Items sous domaines Sciences '!D240,0)</f>
        <v>0</v>
      </c>
      <c r="E238" s="8">
        <f>IF('Items sous domaines Sciences '!G240=2,'Items sous domaines Sciences '!E240,0)</f>
        <v>0</v>
      </c>
      <c r="F238" s="380"/>
      <c r="G238" s="333"/>
    </row>
    <row r="239" spans="1:7" customFormat="1" ht="17.399999999999999" hidden="1" customHeight="1" thickBot="1" x14ac:dyDescent="0.3">
      <c r="A239" s="438"/>
      <c r="B239" s="8">
        <f>IF('Items sous domaines Sciences '!G241=2,'Items sous domaines Sciences '!B241,0)</f>
        <v>0</v>
      </c>
      <c r="C239" s="8">
        <f>IF('Items sous domaines Sciences '!G241=2,'Items sous domaines Sciences '!C241,0)</f>
        <v>0</v>
      </c>
      <c r="D239" s="8">
        <f>IF('Items sous domaines Sciences '!G241=2,'Items sous domaines Sciences '!D241,0)</f>
        <v>0</v>
      </c>
      <c r="E239" s="8">
        <f>IF('Items sous domaines Sciences '!G241=2,'Items sous domaines Sciences '!E241,0)</f>
        <v>0</v>
      </c>
      <c r="F239" s="380"/>
      <c r="G239" s="333"/>
    </row>
    <row r="240" spans="1:7" customFormat="1" ht="17.399999999999999" hidden="1" customHeight="1" thickBot="1" x14ac:dyDescent="0.3">
      <c r="A240" s="438"/>
      <c r="B240" s="8">
        <f>IF('Items sous domaines Sciences '!G242=2,'Items sous domaines Sciences '!B242,0)</f>
        <v>0</v>
      </c>
      <c r="C240" s="8">
        <f>IF('Items sous domaines Sciences '!G242=2,'Items sous domaines Sciences '!C242,0)</f>
        <v>0</v>
      </c>
      <c r="D240" s="8">
        <f>IF('Items sous domaines Sciences '!G242=2,'Items sous domaines Sciences '!D242,0)</f>
        <v>0</v>
      </c>
      <c r="E240" s="8">
        <f>IF('Items sous domaines Sciences '!G242=2,'Items sous domaines Sciences '!E242,0)</f>
        <v>0</v>
      </c>
      <c r="F240" s="380"/>
      <c r="G240" s="333"/>
    </row>
    <row r="241" spans="1:7" customFormat="1" ht="17.399999999999999" hidden="1" customHeight="1" thickBot="1" x14ac:dyDescent="0.3">
      <c r="A241" s="438"/>
      <c r="B241" s="8">
        <f>IF('Items sous domaines Sciences '!G243=2,'Items sous domaines Sciences '!B243,0)</f>
        <v>0</v>
      </c>
      <c r="C241" s="8">
        <f>IF('Items sous domaines Sciences '!G243=2,'Items sous domaines Sciences '!C243,0)</f>
        <v>0</v>
      </c>
      <c r="D241" s="8">
        <f>IF('Items sous domaines Sciences '!G243=2,'Items sous domaines Sciences '!D243,0)</f>
        <v>0</v>
      </c>
      <c r="E241" s="8">
        <f>IF('Items sous domaines Sciences '!G243=2,'Items sous domaines Sciences '!E243,0)</f>
        <v>0</v>
      </c>
      <c r="F241" s="380"/>
      <c r="G241" s="333"/>
    </row>
    <row r="242" spans="1:7" customFormat="1" ht="17.399999999999999" hidden="1" customHeight="1" thickBot="1" x14ac:dyDescent="0.3">
      <c r="A242" s="438"/>
      <c r="B242" s="8">
        <f>IF('Items sous domaines Sciences '!G244=2,'Items sous domaines Sciences '!B244,0)</f>
        <v>0</v>
      </c>
      <c r="C242" s="8">
        <f>IF('Items sous domaines Sciences '!G244=2,'Items sous domaines Sciences '!C244,0)</f>
        <v>0</v>
      </c>
      <c r="D242" s="8">
        <f>IF('Items sous domaines Sciences '!G244=2,'Items sous domaines Sciences '!D244,0)</f>
        <v>0</v>
      </c>
      <c r="E242" s="8">
        <f>IF('Items sous domaines Sciences '!G244=2,'Items sous domaines Sciences '!E244,0)</f>
        <v>0</v>
      </c>
      <c r="F242" s="380"/>
      <c r="G242" s="333"/>
    </row>
    <row r="243" spans="1:7" customFormat="1" ht="17.399999999999999" hidden="1" customHeight="1" thickBot="1" x14ac:dyDescent="0.3">
      <c r="A243" s="438"/>
      <c r="B243" s="8">
        <f>IF('Items sous domaines Sciences '!G245=2,'Items sous domaines Sciences '!B245,0)</f>
        <v>0</v>
      </c>
      <c r="C243" s="8">
        <f>IF('Items sous domaines Sciences '!G245=2,'Items sous domaines Sciences '!C245,0)</f>
        <v>0</v>
      </c>
      <c r="D243" s="8">
        <f>IF('Items sous domaines Sciences '!G245=2,'Items sous domaines Sciences '!D245,0)</f>
        <v>0</v>
      </c>
      <c r="E243" s="8">
        <f>IF('Items sous domaines Sciences '!G245=2,'Items sous domaines Sciences '!E245,0)</f>
        <v>0</v>
      </c>
      <c r="F243" s="380"/>
      <c r="G243" s="333"/>
    </row>
    <row r="244" spans="1:7" customFormat="1" ht="13.5" hidden="1" customHeight="1" thickBot="1" x14ac:dyDescent="0.3">
      <c r="A244" s="438"/>
      <c r="B244" s="8">
        <f>IF('Items sous domaines Sciences '!G246=2,'Items sous domaines Sciences '!B246,0)</f>
        <v>0</v>
      </c>
      <c r="C244" s="8">
        <f>IF('Items sous domaines Sciences '!G246=2,'Items sous domaines Sciences '!C246,0)</f>
        <v>0</v>
      </c>
      <c r="D244" s="8">
        <f>IF('Items sous domaines Sciences '!G246=2,'Items sous domaines Sciences '!D246,0)</f>
        <v>0</v>
      </c>
      <c r="E244" s="8">
        <f>IF('Items sous domaines Sciences '!G246=2,'Items sous domaines Sciences '!E246,0)</f>
        <v>0</v>
      </c>
      <c r="F244" s="380"/>
      <c r="G244" s="333"/>
    </row>
    <row r="245" spans="1:7" customFormat="1" ht="13.5" hidden="1" customHeight="1" thickBot="1" x14ac:dyDescent="0.3">
      <c r="A245" s="438"/>
      <c r="B245" s="8">
        <f>IF('Items sous domaines Sciences '!G247=2,'Items sous domaines Sciences '!B247,0)</f>
        <v>0</v>
      </c>
      <c r="C245" s="8">
        <f>IF('Items sous domaines Sciences '!G247=2,'Items sous domaines Sciences '!C247,0)</f>
        <v>0</v>
      </c>
      <c r="D245" s="8">
        <f>IF('Items sous domaines Sciences '!G247=2,'Items sous domaines Sciences '!D247,0)</f>
        <v>0</v>
      </c>
      <c r="E245" s="8">
        <f>IF('Items sous domaines Sciences '!G247=2,'Items sous domaines Sciences '!E247,0)</f>
        <v>0</v>
      </c>
      <c r="F245" s="380"/>
      <c r="G245" s="333"/>
    </row>
    <row r="246" spans="1:7" customFormat="1" ht="13.5" hidden="1" customHeight="1" thickBot="1" x14ac:dyDescent="0.3">
      <c r="A246" s="438"/>
      <c r="B246" s="8">
        <f>IF('Items sous domaines Sciences '!G248=2,'Items sous domaines Sciences '!B248,0)</f>
        <v>0</v>
      </c>
      <c r="C246" s="8">
        <f>IF('Items sous domaines Sciences '!G248=2,'Items sous domaines Sciences '!C248,0)</f>
        <v>0</v>
      </c>
      <c r="D246" s="8">
        <f>IF('Items sous domaines Sciences '!G248=2,'Items sous domaines Sciences '!D248,0)</f>
        <v>0</v>
      </c>
      <c r="E246" s="8">
        <f>IF('Items sous domaines Sciences '!G248=2,'Items sous domaines Sciences '!E248,0)</f>
        <v>0</v>
      </c>
      <c r="F246" s="380"/>
      <c r="G246" s="333"/>
    </row>
    <row r="247" spans="1:7" ht="19.95" customHeight="1" thickTop="1" x14ac:dyDescent="0.3">
      <c r="A247" s="437"/>
      <c r="B247" s="61" t="str">
        <f>IF('Items sous domaines Sciences '!G249=2,'Items sous domaines Sciences '!B249,0)</f>
        <v>Chimie</v>
      </c>
      <c r="C247" s="225" t="str">
        <f>IF('Items sous domaines Sciences '!G249=2,'Items sous domaines Sciences '!C249,0)</f>
        <v>Chimie</v>
      </c>
      <c r="D247" s="226" t="str">
        <f>IF('Items sous domaines Sciences '!G249=2,'Items sous domaines Sciences '!D249,0)</f>
        <v>Structure de la matière</v>
      </c>
      <c r="E247" s="226" t="str">
        <f>IF('Items sous domaines Sciences '!G249=2,'Items sous domaines Sciences '!E249,0)</f>
        <v>Décrire la structure de l’atome.</v>
      </c>
      <c r="F247" s="431"/>
      <c r="G247" s="417"/>
    </row>
    <row r="248" spans="1:7" ht="19.95" customHeight="1" x14ac:dyDescent="0.3">
      <c r="A248" s="437"/>
      <c r="B248" s="61" t="str">
        <f>IF('Items sous domaines Sciences '!G250=2,'Items sous domaines Sciences '!B250,0)</f>
        <v>Chimie</v>
      </c>
      <c r="C248" s="212" t="str">
        <f>IF('Items sous domaines Sciences '!G250=2,'Items sous domaines Sciences '!C250,0)</f>
        <v>Chimie</v>
      </c>
      <c r="D248" s="215">
        <f>IF('Items sous domaines Sciences '!G250=2,'Items sous domaines Sciences '!D250,0)</f>
        <v>0</v>
      </c>
      <c r="E248" s="209" t="str">
        <f>IF('Items sous domaines Sciences '!G250=2,'Items sous domaines Sciences '!E250,0)</f>
        <v>Interpréter la capacité réactionnelle d’un élément chimique grâce au tableau périodique.</v>
      </c>
      <c r="F248" s="431"/>
      <c r="G248" s="435" t="s">
        <v>445</v>
      </c>
    </row>
    <row r="249" spans="1:7" ht="19.95" customHeight="1" x14ac:dyDescent="0.3">
      <c r="A249" s="437"/>
      <c r="B249" s="61" t="str">
        <f>IF('Items sous domaines Sciences '!G251=2,'Items sous domaines Sciences '!B251,0)</f>
        <v>Chimie</v>
      </c>
      <c r="C249" s="213" t="str">
        <f>IF('Items sous domaines Sciences '!G251=2,'Items sous domaines Sciences '!C251,0)</f>
        <v>Chimie</v>
      </c>
      <c r="D249" s="216">
        <f>IF('Items sous domaines Sciences '!G251=2,'Items sous domaines Sciences '!D251,0)</f>
        <v>0</v>
      </c>
      <c r="E249" s="216" t="str">
        <f>IF('Items sous domaines Sciences '!G251=2,'Items sous domaines Sciences '!E251,0)</f>
        <v>Calculer la masse molaire atomique d’un élément chimique.</v>
      </c>
      <c r="F249" s="431"/>
      <c r="G249" s="433"/>
    </row>
    <row r="250" spans="1:7" ht="19.95" customHeight="1" x14ac:dyDescent="0.3">
      <c r="A250" s="437"/>
      <c r="B250" s="61" t="str">
        <f>IF('Items sous domaines Sciences '!G252=2,'Items sous domaines Sciences '!B252,0)</f>
        <v>Chimie</v>
      </c>
      <c r="C250" s="212" t="str">
        <f>IF('Items sous domaines Sciences '!G252=2,'Items sous domaines Sciences '!C252,0)</f>
        <v>Chimie</v>
      </c>
      <c r="D250" s="215">
        <f>IF('Items sous domaines Sciences '!G252=2,'Items sous domaines Sciences '!D252,0)</f>
        <v>0</v>
      </c>
      <c r="E250" s="209" t="str">
        <f>IF('Items sous domaines Sciences '!G252=2,'Items sous domaines Sciences '!E252,0)</f>
        <v>Décrire les différents types de liaisons et les forces interatomiques associées.</v>
      </c>
      <c r="F250" s="431"/>
      <c r="G250" s="433"/>
    </row>
    <row r="251" spans="1:7" ht="19.95" customHeight="1" x14ac:dyDescent="0.3">
      <c r="A251" s="437"/>
      <c r="B251" s="61" t="str">
        <f>IF('Items sous domaines Sciences '!G253=2,'Items sous domaines Sciences '!B253,0)</f>
        <v>Chimie</v>
      </c>
      <c r="C251" s="213" t="str">
        <f>IF('Items sous domaines Sciences '!G253=2,'Items sous domaines Sciences '!C253,0)</f>
        <v>Chimie</v>
      </c>
      <c r="D251" s="216">
        <f>IF('Items sous domaines Sciences '!G253=2,'Items sous domaines Sciences '!D253,0)</f>
        <v>0</v>
      </c>
      <c r="E251" s="216" t="str">
        <f>IF('Items sous domaines Sciences '!G253=2,'Items sous domaines Sciences '!E253,0)</f>
        <v>Interpréter les propriétés de chaque type de liaison.</v>
      </c>
      <c r="F251" s="431"/>
      <c r="G251" s="433"/>
    </row>
    <row r="252" spans="1:7" ht="19.95" customHeight="1" x14ac:dyDescent="0.3">
      <c r="A252" s="437"/>
      <c r="B252" s="61" t="str">
        <f>IF('Items sous domaines Sciences '!G254=2,'Items sous domaines Sciences '!B254,0)</f>
        <v>Chimie</v>
      </c>
      <c r="C252" s="212" t="str">
        <f>IF('Items sous domaines Sciences '!G254=2,'Items sous domaines Sciences '!C254,0)</f>
        <v>Chimie</v>
      </c>
      <c r="D252" s="215">
        <f>IF('Items sous domaines Sciences '!G254=2,'Items sous domaines Sciences '!D254,0)</f>
        <v>0</v>
      </c>
      <c r="E252" s="209" t="str">
        <f>IF('Items sous domaines Sciences '!G254=2,'Items sous domaines Sciences '!E254,0)</f>
        <v>Identifier les structures cristallines compactes de base (hexagonal et cubique faces centrées).</v>
      </c>
      <c r="F252" s="431"/>
      <c r="G252" s="433"/>
    </row>
    <row r="253" spans="1:7" ht="19.95" customHeight="1" x14ac:dyDescent="0.3">
      <c r="A253" s="437"/>
      <c r="B253" s="61" t="str">
        <f>IF('Items sous domaines Sciences '!G255=2,'Items sous domaines Sciences '!B255,0)</f>
        <v>Chimie</v>
      </c>
      <c r="C253" s="213" t="str">
        <f>IF('Items sous domaines Sciences '!G255=2,'Items sous domaines Sciences '!C255,0)</f>
        <v>Chimie</v>
      </c>
      <c r="D253" s="216">
        <f>IF('Items sous domaines Sciences '!G255=2,'Items sous domaines Sciences '!D255,0)</f>
        <v>0</v>
      </c>
      <c r="E253" s="216" t="str">
        <f>IF('Items sous domaines Sciences '!G255=2,'Items sous domaines Sciences '!E255,0)</f>
        <v>Décrire les défauts d'un cristal réel.</v>
      </c>
      <c r="F253" s="431"/>
      <c r="G253" s="433"/>
    </row>
    <row r="254" spans="1:7" ht="19.95" customHeight="1" thickBot="1" x14ac:dyDescent="0.35">
      <c r="A254" s="439"/>
      <c r="B254" s="82" t="str">
        <f>IF('Items sous domaines Sciences '!G256=2,'Items sous domaines Sciences '!B256,0)</f>
        <v>Chimie</v>
      </c>
      <c r="C254" s="229" t="str">
        <f>IF('Items sous domaines Sciences '!G256=2,'Items sous domaines Sciences '!C256,0)</f>
        <v>Chimie</v>
      </c>
      <c r="D254" s="230">
        <f>IF('Items sous domaines Sciences '!G256=2,'Items sous domaines Sciences '!D256,0)</f>
        <v>0</v>
      </c>
      <c r="E254" s="231" t="str">
        <f>IF('Items sous domaines Sciences '!G256=2,'Items sous domaines Sciences '!E256,0)</f>
        <v>Expliquer la notion de température de fusion et de capacité calorifique.</v>
      </c>
      <c r="F254" s="431"/>
      <c r="G254" s="434"/>
    </row>
    <row r="255" spans="1:7" customFormat="1" ht="12.75" hidden="1" customHeight="1" thickBot="1" x14ac:dyDescent="0.3">
      <c r="B255">
        <f>IF('Items sous domaines Sciences '!G257=2,'Items sous domaines Sciences '!B257,0)</f>
        <v>0</v>
      </c>
      <c r="C255">
        <f>IF('Items sous domaines Sciences '!G257=2,'Items sous domaines Sciences '!C257,0)</f>
        <v>0</v>
      </c>
      <c r="D255">
        <f>IF('Items sous domaines Sciences '!G257=2,'Items sous domaines Sciences '!D257,0)</f>
        <v>0</v>
      </c>
      <c r="E255">
        <f>IF('Items sous domaines Sciences '!G257=2,'Items sous domaines Sciences '!E257,0)</f>
        <v>0</v>
      </c>
      <c r="F255" t="e">
        <f>IF('Items sous domaines Sciences '!#REF!=2,'Items sous domaines Sciences '!#REF!,0)</f>
        <v>#REF!</v>
      </c>
    </row>
    <row r="256" spans="1:7" customFormat="1" ht="12.75" hidden="1" customHeight="1" thickBot="1" x14ac:dyDescent="0.3">
      <c r="A256" s="396" t="s">
        <v>446</v>
      </c>
      <c r="B256" s="8">
        <f>IF('Items sous domaines Sciences '!G258=2,'Items sous domaines Sciences '!B258,0)</f>
        <v>0</v>
      </c>
      <c r="C256" s="8">
        <f>IF('Items sous domaines Sciences '!G258=2,'Items sous domaines Sciences '!C258,0)</f>
        <v>0</v>
      </c>
      <c r="D256" s="8">
        <f>IF('Items sous domaines Sciences '!G258=2,'Items sous domaines Sciences '!D258,0)</f>
        <v>0</v>
      </c>
      <c r="E256" s="8">
        <f>IF('Items sous domaines Sciences '!G258=2,'Items sous domaines Sciences '!E258,0)</f>
        <v>0</v>
      </c>
      <c r="F256" s="339" t="s">
        <v>398</v>
      </c>
      <c r="G256" s="333" t="s">
        <v>447</v>
      </c>
    </row>
    <row r="257" spans="1:7" customFormat="1" ht="16.95" hidden="1" customHeight="1" thickBot="1" x14ac:dyDescent="0.3">
      <c r="A257" s="398"/>
      <c r="B257" s="8">
        <f>IF('Items sous domaines Sciences '!G259=2,'Items sous domaines Sciences '!B259,0)</f>
        <v>0</v>
      </c>
      <c r="C257" s="8">
        <f>IF('Items sous domaines Sciences '!G259=2,'Items sous domaines Sciences '!C259,0)</f>
        <v>0</v>
      </c>
      <c r="D257" s="8">
        <f>IF('Items sous domaines Sciences '!G259=2,'Items sous domaines Sciences '!D259,0)</f>
        <v>0</v>
      </c>
      <c r="E257" s="8">
        <f>IF('Items sous domaines Sciences '!G259=2,'Items sous domaines Sciences '!E259,0)</f>
        <v>0</v>
      </c>
      <c r="F257" s="340"/>
      <c r="G257" s="333"/>
    </row>
    <row r="258" spans="1:7" customFormat="1" ht="12.75" hidden="1" customHeight="1" thickBot="1" x14ac:dyDescent="0.3">
      <c r="A258" s="408"/>
      <c r="B258" s="8">
        <f>IF('Items sous domaines Sciences '!G260=2,'Items sous domaines Sciences '!B260,0)</f>
        <v>0</v>
      </c>
      <c r="C258" s="8">
        <f>IF('Items sous domaines Sciences '!G260=2,'Items sous domaines Sciences '!C260,0)</f>
        <v>0</v>
      </c>
      <c r="D258" s="8">
        <f>IF('Items sous domaines Sciences '!G260=2,'Items sous domaines Sciences '!D260,0)</f>
        <v>0</v>
      </c>
      <c r="E258" s="8">
        <f>IF('Items sous domaines Sciences '!G260=2,'Items sous domaines Sciences '!E260,0)</f>
        <v>0</v>
      </c>
      <c r="F258" s="340"/>
      <c r="G258" s="333"/>
    </row>
    <row r="259" spans="1:7" customFormat="1" ht="13.5" hidden="1" customHeight="1" thickBot="1" x14ac:dyDescent="0.3">
      <c r="A259" s="408"/>
      <c r="B259" s="8">
        <f>IF('Items sous domaines Sciences '!G261=2,'Items sous domaines Sciences '!B261,0)</f>
        <v>0</v>
      </c>
      <c r="C259" s="8">
        <f>IF('Items sous domaines Sciences '!G261=2,'Items sous domaines Sciences '!C261,0)</f>
        <v>0</v>
      </c>
      <c r="D259" s="8">
        <f>IF('Items sous domaines Sciences '!G261=2,'Items sous domaines Sciences '!D261,0)</f>
        <v>0</v>
      </c>
      <c r="E259" s="8">
        <f>IF('Items sous domaines Sciences '!G261=2,'Items sous domaines Sciences '!E261,0)</f>
        <v>0</v>
      </c>
      <c r="F259" s="340"/>
      <c r="G259" s="333"/>
    </row>
    <row r="260" spans="1:7" customFormat="1" ht="13.2" hidden="1" x14ac:dyDescent="0.25">
      <c r="A260" s="396"/>
      <c r="B260" s="8">
        <f>IF('Items sous domaines Sciences '!G262=2,'Items sous domaines Sciences '!B262,0)</f>
        <v>0</v>
      </c>
      <c r="C260" s="8">
        <f>IF('Items sous domaines Sciences '!G262=2,'Items sous domaines Sciences '!C262,0)</f>
        <v>0</v>
      </c>
      <c r="D260" s="8">
        <f>IF('Items sous domaines Sciences '!G262=2,'Items sous domaines Sciences '!D262,0)</f>
        <v>0</v>
      </c>
      <c r="E260" s="8">
        <f>IF('Items sous domaines Sciences '!G262=2,'Items sous domaines Sciences '!E262,0)</f>
        <v>0</v>
      </c>
      <c r="F260" s="340"/>
      <c r="G260" s="333"/>
    </row>
    <row r="261" spans="1:7" customFormat="1" ht="13.2" hidden="1" x14ac:dyDescent="0.25">
      <c r="A261" s="397"/>
      <c r="B261" s="8">
        <f>IF('Items sous domaines Sciences '!G263=2,'Items sous domaines Sciences '!B263,0)</f>
        <v>0</v>
      </c>
      <c r="C261" s="8">
        <f>IF('Items sous domaines Sciences '!G263=2,'Items sous domaines Sciences '!C263,0)</f>
        <v>0</v>
      </c>
      <c r="D261" s="8">
        <f>IF('Items sous domaines Sciences '!G263=2,'Items sous domaines Sciences '!D263,0)</f>
        <v>0</v>
      </c>
      <c r="E261" s="8">
        <f>IF('Items sous domaines Sciences '!G263=2,'Items sous domaines Sciences '!E263,0)</f>
        <v>0</v>
      </c>
      <c r="F261" s="340"/>
      <c r="G261" s="333"/>
    </row>
    <row r="262" spans="1:7" customFormat="1" ht="13.2" hidden="1" x14ac:dyDescent="0.25">
      <c r="A262" s="397"/>
      <c r="B262" s="8">
        <f>IF('Items sous domaines Sciences '!G264=2,'Items sous domaines Sciences '!B264,0)</f>
        <v>0</v>
      </c>
      <c r="C262" s="8">
        <f>IF('Items sous domaines Sciences '!G264=2,'Items sous domaines Sciences '!C264,0)</f>
        <v>0</v>
      </c>
      <c r="D262" s="8">
        <f>IF('Items sous domaines Sciences '!G264=2,'Items sous domaines Sciences '!D264,0)</f>
        <v>0</v>
      </c>
      <c r="E262" s="8">
        <f>IF('Items sous domaines Sciences '!G264=2,'Items sous domaines Sciences '!E264,0)</f>
        <v>0</v>
      </c>
      <c r="F262" s="340"/>
      <c r="G262" s="333"/>
    </row>
    <row r="263" spans="1:7" customFormat="1" ht="13.2" hidden="1" x14ac:dyDescent="0.25">
      <c r="A263" s="397"/>
      <c r="B263" s="8">
        <f>IF('Items sous domaines Sciences '!G265=2,'Items sous domaines Sciences '!B265,0)</f>
        <v>0</v>
      </c>
      <c r="C263" s="8">
        <f>IF('Items sous domaines Sciences '!G265=2,'Items sous domaines Sciences '!C265,0)</f>
        <v>0</v>
      </c>
      <c r="D263" s="8">
        <f>IF('Items sous domaines Sciences '!G265=2,'Items sous domaines Sciences '!D265,0)</f>
        <v>0</v>
      </c>
      <c r="E263" s="8">
        <f>IF('Items sous domaines Sciences '!G265=2,'Items sous domaines Sciences '!E265,0)</f>
        <v>0</v>
      </c>
      <c r="F263" s="340"/>
      <c r="G263" s="333"/>
    </row>
    <row r="264" spans="1:7" customFormat="1" ht="13.2" hidden="1" x14ac:dyDescent="0.25">
      <c r="A264" s="397"/>
      <c r="B264" s="8">
        <f>IF('Items sous domaines Sciences '!G266=2,'Items sous domaines Sciences '!B266,0)</f>
        <v>0</v>
      </c>
      <c r="C264" s="8">
        <f>IF('Items sous domaines Sciences '!G266=2,'Items sous domaines Sciences '!C266,0)</f>
        <v>0</v>
      </c>
      <c r="D264" s="8">
        <f>IF('Items sous domaines Sciences '!G266=2,'Items sous domaines Sciences '!D266,0)</f>
        <v>0</v>
      </c>
      <c r="E264" s="8">
        <f>IF('Items sous domaines Sciences '!G266=2,'Items sous domaines Sciences '!E266,0)</f>
        <v>0</v>
      </c>
      <c r="F264" s="340"/>
      <c r="G264" s="333"/>
    </row>
    <row r="265" spans="1:7" customFormat="1" ht="13.2" hidden="1" x14ac:dyDescent="0.25">
      <c r="A265" s="397"/>
      <c r="B265" s="8">
        <f>IF('Items sous domaines Sciences '!G267=2,'Items sous domaines Sciences '!B267,0)</f>
        <v>0</v>
      </c>
      <c r="C265" s="8">
        <f>IF('Items sous domaines Sciences '!G267=2,'Items sous domaines Sciences '!C267,0)</f>
        <v>0</v>
      </c>
      <c r="D265" s="8">
        <f>IF('Items sous domaines Sciences '!G267=2,'Items sous domaines Sciences '!D267,0)</f>
        <v>0</v>
      </c>
      <c r="E265" s="8">
        <f>IF('Items sous domaines Sciences '!G267=2,'Items sous domaines Sciences '!E267,0)</f>
        <v>0</v>
      </c>
      <c r="F265" s="340"/>
      <c r="G265" s="333"/>
    </row>
    <row r="266" spans="1:7" customFormat="1" ht="13.8" hidden="1" thickBot="1" x14ac:dyDescent="0.3">
      <c r="A266" s="398"/>
      <c r="B266" s="8">
        <f>IF('Items sous domaines Sciences '!G268=2,'Items sous domaines Sciences '!B268,0)</f>
        <v>0</v>
      </c>
      <c r="C266" s="8">
        <f>IF('Items sous domaines Sciences '!G268=2,'Items sous domaines Sciences '!C268,0)</f>
        <v>0</v>
      </c>
      <c r="D266" s="8">
        <f>IF('Items sous domaines Sciences '!G268=2,'Items sous domaines Sciences '!D268,0)</f>
        <v>0</v>
      </c>
      <c r="E266" s="8">
        <f>IF('Items sous domaines Sciences '!G268=2,'Items sous domaines Sciences '!E268,0)</f>
        <v>0</v>
      </c>
      <c r="F266" s="340"/>
      <c r="G266" s="333"/>
    </row>
    <row r="267" spans="1:7" customFormat="1" ht="12.75" hidden="1" customHeight="1" thickBot="1" x14ac:dyDescent="0.3">
      <c r="B267" s="8">
        <f>IF('Items sous domaines Sciences '!G269=2,'Items sous domaines Sciences '!B269,0)</f>
        <v>0</v>
      </c>
      <c r="C267" s="8">
        <f>IF('Items sous domaines Sciences '!G269=2,'Items sous domaines Sciences '!C269,0)</f>
        <v>0</v>
      </c>
      <c r="D267" s="8">
        <f>IF('Items sous domaines Sciences '!G269=2,'Items sous domaines Sciences '!D269,0)</f>
        <v>0</v>
      </c>
      <c r="E267" s="8">
        <f>IF('Items sous domaines Sciences '!G269=2,'Items sous domaines Sciences '!E269,0)</f>
        <v>0</v>
      </c>
      <c r="F267" t="e">
        <f>IF('Items sous domaines Sciences '!#REF!=2,'Items sous domaines Sciences '!#REF!,0)</f>
        <v>#REF!</v>
      </c>
    </row>
    <row r="268" spans="1:7" customFormat="1" ht="12.75" hidden="1" customHeight="1" thickBot="1" x14ac:dyDescent="0.3">
      <c r="B268" s="8">
        <f>IF('Items sous domaines Sciences '!G270=2,'Items sous domaines Sciences '!B270,0)</f>
        <v>0</v>
      </c>
      <c r="C268" s="8">
        <f>IF('Items sous domaines Sciences '!G270=2,'Items sous domaines Sciences '!C270,0)</f>
        <v>0</v>
      </c>
      <c r="D268" s="8">
        <f>IF('Items sous domaines Sciences '!G270=2,'Items sous domaines Sciences '!D270,0)</f>
        <v>0</v>
      </c>
      <c r="E268" s="8">
        <f>IF('Items sous domaines Sciences '!G270=2,'Items sous domaines Sciences '!E270,0)</f>
        <v>0</v>
      </c>
      <c r="F268" t="e">
        <f>IF('Items sous domaines Sciences '!#REF!=2,'Items sous domaines Sciences '!#REF!,0)</f>
        <v>#REF!</v>
      </c>
    </row>
    <row r="269" spans="1:7" customFormat="1" ht="12.75" hidden="1" customHeight="1" thickBot="1" x14ac:dyDescent="0.3">
      <c r="B269" s="8">
        <f>IF('Items sous domaines Sciences '!G271=2,'Items sous domaines Sciences '!B271,0)</f>
        <v>0</v>
      </c>
      <c r="C269" s="8">
        <f>IF('Items sous domaines Sciences '!G271=2,'Items sous domaines Sciences '!C271,0)</f>
        <v>0</v>
      </c>
      <c r="D269" s="8">
        <f>IF('Items sous domaines Sciences '!G271=2,'Items sous domaines Sciences '!D271,0)</f>
        <v>0</v>
      </c>
      <c r="E269" s="8">
        <f>IF('Items sous domaines Sciences '!G271=2,'Items sous domaines Sciences '!E271,0)</f>
        <v>0</v>
      </c>
      <c r="F269" t="e">
        <f>IF('Items sous domaines Sciences '!#REF!=2,'Items sous domaines Sciences '!#REF!,0)</f>
        <v>#REF!</v>
      </c>
    </row>
    <row r="270" spans="1:7" customFormat="1" ht="12.75" hidden="1" customHeight="1" thickBot="1" x14ac:dyDescent="0.3">
      <c r="B270" s="8">
        <f>IF('Items sous domaines Sciences '!G272=2,'Items sous domaines Sciences '!B272,0)</f>
        <v>0</v>
      </c>
      <c r="C270" s="8">
        <f>IF('Items sous domaines Sciences '!G272=2,'Items sous domaines Sciences '!C272,0)</f>
        <v>0</v>
      </c>
      <c r="D270" s="8">
        <f>IF('Items sous domaines Sciences '!G272=2,'Items sous domaines Sciences '!D272,0)</f>
        <v>0</v>
      </c>
      <c r="E270" s="8">
        <f>IF('Items sous domaines Sciences '!G272=2,'Items sous domaines Sciences '!E272,0)</f>
        <v>0</v>
      </c>
      <c r="F270" t="e">
        <f>IF('Items sous domaines Sciences '!#REF!=2,'Items sous domaines Sciences '!#REF!,0)</f>
        <v>#REF!</v>
      </c>
    </row>
    <row r="271" spans="1:7" customFormat="1" ht="12.75" hidden="1" customHeight="1" thickBot="1" x14ac:dyDescent="0.3">
      <c r="B271" s="8">
        <f>IF('Items sous domaines Sciences '!G273=2,'Items sous domaines Sciences '!B273,0)</f>
        <v>0</v>
      </c>
      <c r="C271" s="8">
        <f>IF('Items sous domaines Sciences '!G273=2,'Items sous domaines Sciences '!C273,0)</f>
        <v>0</v>
      </c>
      <c r="D271" s="8">
        <f>IF('Items sous domaines Sciences '!G273=2,'Items sous domaines Sciences '!D273,0)</f>
        <v>0</v>
      </c>
      <c r="E271" s="8">
        <f>IF('Items sous domaines Sciences '!G273=2,'Items sous domaines Sciences '!E273,0)</f>
        <v>0</v>
      </c>
      <c r="F271" t="e">
        <f>IF('Items sous domaines Sciences '!#REF!=2,'Items sous domaines Sciences '!#REF!,0)</f>
        <v>#REF!</v>
      </c>
    </row>
    <row r="272" spans="1:7" customFormat="1" ht="12.75" hidden="1" customHeight="1" thickBot="1" x14ac:dyDescent="0.3">
      <c r="B272" s="8">
        <f>IF('Items sous domaines Sciences '!G274=2,'Items sous domaines Sciences '!B274,0)</f>
        <v>0</v>
      </c>
      <c r="C272" s="8">
        <f>IF('Items sous domaines Sciences '!G274=2,'Items sous domaines Sciences '!C274,0)</f>
        <v>0</v>
      </c>
      <c r="D272" s="8">
        <f>IF('Items sous domaines Sciences '!G274=2,'Items sous domaines Sciences '!D274,0)</f>
        <v>0</v>
      </c>
      <c r="E272" s="8">
        <f>IF('Items sous domaines Sciences '!G274=2,'Items sous domaines Sciences '!E274,0)</f>
        <v>0</v>
      </c>
      <c r="F272" t="e">
        <f>IF('Items sous domaines Sciences '!#REF!=2,'Items sous domaines Sciences '!#REF!,0)</f>
        <v>#REF!</v>
      </c>
    </row>
    <row r="273" spans="1:6" customFormat="1" ht="12.75" hidden="1" customHeight="1" thickBot="1" x14ac:dyDescent="0.3">
      <c r="B273" s="8">
        <f>IF('Items sous domaines Sciences '!G275=2,'Items sous domaines Sciences '!B275,0)</f>
        <v>0</v>
      </c>
      <c r="C273" s="8">
        <f>IF('Items sous domaines Sciences '!G275=2,'Items sous domaines Sciences '!C275,0)</f>
        <v>0</v>
      </c>
      <c r="D273" s="8">
        <f>IF('Items sous domaines Sciences '!G275=2,'Items sous domaines Sciences '!D275,0)</f>
        <v>0</v>
      </c>
      <c r="E273" s="8">
        <f>IF('Items sous domaines Sciences '!G275=2,'Items sous domaines Sciences '!E275,0)</f>
        <v>0</v>
      </c>
      <c r="F273" t="e">
        <f>IF('Items sous domaines Sciences '!#REF!=2,'Items sous domaines Sciences '!#REF!,0)</f>
        <v>#REF!</v>
      </c>
    </row>
    <row r="274" spans="1:6" customFormat="1" ht="12.75" hidden="1" customHeight="1" thickBot="1" x14ac:dyDescent="0.3">
      <c r="B274" s="8">
        <f>IF('Items sous domaines Sciences '!G276=2,'Items sous domaines Sciences '!B276,0)</f>
        <v>0</v>
      </c>
      <c r="C274" s="8">
        <f>IF('Items sous domaines Sciences '!G276=2,'Items sous domaines Sciences '!C276,0)</f>
        <v>0</v>
      </c>
      <c r="D274" s="8">
        <f>IF('Items sous domaines Sciences '!G276=2,'Items sous domaines Sciences '!D276,0)</f>
        <v>0</v>
      </c>
      <c r="E274" s="8">
        <f>IF('Items sous domaines Sciences '!G276=2,'Items sous domaines Sciences '!E276,0)</f>
        <v>0</v>
      </c>
      <c r="F274" t="e">
        <f>IF('Items sous domaines Sciences '!#REF!=2,'Items sous domaines Sciences '!#REF!,0)</f>
        <v>#REF!</v>
      </c>
    </row>
    <row r="275" spans="1:6" customFormat="1" ht="12.75" hidden="1" customHeight="1" thickBot="1" x14ac:dyDescent="0.3">
      <c r="B275" s="8">
        <f>IF('Items sous domaines Sciences '!G277=2,'Items sous domaines Sciences '!B277,0)</f>
        <v>0</v>
      </c>
      <c r="C275" s="8">
        <f>IF('Items sous domaines Sciences '!G277=2,'Items sous domaines Sciences '!C277,0)</f>
        <v>0</v>
      </c>
      <c r="D275" s="8">
        <f>IF('Items sous domaines Sciences '!G277=2,'Items sous domaines Sciences '!D277,0)</f>
        <v>0</v>
      </c>
      <c r="E275" s="8">
        <f>IF('Items sous domaines Sciences '!G277=2,'Items sous domaines Sciences '!E277,0)</f>
        <v>0</v>
      </c>
      <c r="F275" t="e">
        <f>IF('Items sous domaines Sciences '!#REF!=2,'Items sous domaines Sciences '!#REF!,0)</f>
        <v>#REF!</v>
      </c>
    </row>
    <row r="276" spans="1:6" customFormat="1" ht="12.75" hidden="1" customHeight="1" thickBot="1" x14ac:dyDescent="0.3">
      <c r="B276" s="8">
        <f>IF('Items sous domaines Sciences '!G278=2,'Items sous domaines Sciences '!B278,0)</f>
        <v>0</v>
      </c>
      <c r="C276" s="8">
        <f>IF('Items sous domaines Sciences '!G278=2,'Items sous domaines Sciences '!C278,0)</f>
        <v>0</v>
      </c>
      <c r="D276" s="8">
        <f>IF('Items sous domaines Sciences '!G278=2,'Items sous domaines Sciences '!D278,0)</f>
        <v>0</v>
      </c>
      <c r="E276" s="8">
        <f>IF('Items sous domaines Sciences '!G278=2,'Items sous domaines Sciences '!E278,0)</f>
        <v>0</v>
      </c>
      <c r="F276" t="e">
        <f>IF('Items sous domaines Sciences '!#REF!=2,'Items sous domaines Sciences '!#REF!,0)</f>
        <v>#REF!</v>
      </c>
    </row>
    <row r="277" spans="1:6" customFormat="1" ht="12.75" hidden="1" customHeight="1" thickBot="1" x14ac:dyDescent="0.3">
      <c r="B277" s="8">
        <f>IF('Items sous domaines Sciences '!G279=2,'Items sous domaines Sciences '!B279,0)</f>
        <v>0</v>
      </c>
      <c r="C277" s="8">
        <f>IF('Items sous domaines Sciences '!G279=2,'Items sous domaines Sciences '!C279,0)</f>
        <v>0</v>
      </c>
      <c r="D277" s="8">
        <f>IF('Items sous domaines Sciences '!G279=2,'Items sous domaines Sciences '!D279,0)</f>
        <v>0</v>
      </c>
      <c r="E277" s="8">
        <f>IF('Items sous domaines Sciences '!G279=2,'Items sous domaines Sciences '!E279,0)</f>
        <v>0</v>
      </c>
      <c r="F277" t="e">
        <f>IF('Items sous domaines Sciences '!#REF!=2,'Items sous domaines Sciences '!#REF!,0)</f>
        <v>#REF!</v>
      </c>
    </row>
    <row r="278" spans="1:6" customFormat="1" ht="12.75" hidden="1" customHeight="1" thickBot="1" x14ac:dyDescent="0.3">
      <c r="B278" s="8">
        <f>IF('Items sous domaines Sciences '!G280=2,'Items sous domaines Sciences '!B280,0)</f>
        <v>0</v>
      </c>
      <c r="C278" s="8">
        <f>IF('Items sous domaines Sciences '!G280=2,'Items sous domaines Sciences '!C280,0)</f>
        <v>0</v>
      </c>
      <c r="D278" s="8">
        <f>IF('Items sous domaines Sciences '!G280=2,'Items sous domaines Sciences '!D280,0)</f>
        <v>0</v>
      </c>
      <c r="E278" s="8">
        <f>IF('Items sous domaines Sciences '!G280=2,'Items sous domaines Sciences '!E280,0)</f>
        <v>0</v>
      </c>
      <c r="F278" t="e">
        <f>IF('Items sous domaines Sciences '!#REF!=2,'Items sous domaines Sciences '!#REF!,0)</f>
        <v>#REF!</v>
      </c>
    </row>
    <row r="279" spans="1:6" customFormat="1" ht="12.75" hidden="1" customHeight="1" thickBot="1" x14ac:dyDescent="0.3">
      <c r="B279" s="8">
        <f>IF('Items sous domaines Sciences '!G281=2,'Items sous domaines Sciences '!B281,0)</f>
        <v>0</v>
      </c>
      <c r="C279" s="8">
        <f>IF('Items sous domaines Sciences '!G281=2,'Items sous domaines Sciences '!C281,0)</f>
        <v>0</v>
      </c>
      <c r="D279" s="8">
        <f>IF('Items sous domaines Sciences '!G281=2,'Items sous domaines Sciences '!D281,0)</f>
        <v>0</v>
      </c>
      <c r="E279" s="8">
        <f>IF('Items sous domaines Sciences '!G281=2,'Items sous domaines Sciences '!E281,0)</f>
        <v>0</v>
      </c>
      <c r="F279" t="e">
        <f>IF('Items sous domaines Sciences '!#REF!=2,'Items sous domaines Sciences '!#REF!,0)</f>
        <v>#REF!</v>
      </c>
    </row>
    <row r="280" spans="1:6" customFormat="1" ht="12.75" hidden="1" customHeight="1" thickBot="1" x14ac:dyDescent="0.3">
      <c r="B280" s="8">
        <f>IF('Items sous domaines Sciences '!G282=2,'Items sous domaines Sciences '!B282,0)</f>
        <v>0</v>
      </c>
      <c r="C280" s="8">
        <f>IF('Items sous domaines Sciences '!G282=2,'Items sous domaines Sciences '!C282,0)</f>
        <v>0</v>
      </c>
      <c r="D280" s="8">
        <f>IF('Items sous domaines Sciences '!G282=2,'Items sous domaines Sciences '!D282,0)</f>
        <v>0</v>
      </c>
      <c r="E280" s="8">
        <f>IF('Items sous domaines Sciences '!G282=2,'Items sous domaines Sciences '!E282,0)</f>
        <v>0</v>
      </c>
      <c r="F280" t="e">
        <f>IF('Items sous domaines Sciences '!#REF!=2,'Items sous domaines Sciences '!#REF!,0)</f>
        <v>#REF!</v>
      </c>
    </row>
    <row r="281" spans="1:6" customFormat="1" ht="12.75" hidden="1" customHeight="1" thickBot="1" x14ac:dyDescent="0.3">
      <c r="B281" s="8">
        <f>IF('Items sous domaines Sciences '!G283=2,'Items sous domaines Sciences '!B283,0)</f>
        <v>0</v>
      </c>
      <c r="C281" s="8">
        <f>IF('Items sous domaines Sciences '!G283=2,'Items sous domaines Sciences '!C283,0)</f>
        <v>0</v>
      </c>
      <c r="D281" s="8">
        <f>IF('Items sous domaines Sciences '!G283=2,'Items sous domaines Sciences '!D283,0)</f>
        <v>0</v>
      </c>
      <c r="E281" s="8">
        <f>IF('Items sous domaines Sciences '!G283=2,'Items sous domaines Sciences '!E283,0)</f>
        <v>0</v>
      </c>
      <c r="F281" t="e">
        <f>IF('Items sous domaines Sciences '!#REF!=2,'Items sous domaines Sciences '!#REF!,0)</f>
        <v>#REF!</v>
      </c>
    </row>
    <row r="282" spans="1:6" customFormat="1" ht="12.75" hidden="1" customHeight="1" thickBot="1" x14ac:dyDescent="0.3">
      <c r="B282" s="8">
        <f>IF('Items sous domaines Sciences '!G284=2,'Items sous domaines Sciences '!B284,0)</f>
        <v>0</v>
      </c>
      <c r="C282" s="8">
        <f>IF('Items sous domaines Sciences '!G284=2,'Items sous domaines Sciences '!C284,0)</f>
        <v>0</v>
      </c>
      <c r="D282" s="8">
        <f>IF('Items sous domaines Sciences '!G284=2,'Items sous domaines Sciences '!D284,0)</f>
        <v>0</v>
      </c>
      <c r="E282" s="8">
        <f>IF('Items sous domaines Sciences '!G284=2,'Items sous domaines Sciences '!E284,0)</f>
        <v>0</v>
      </c>
      <c r="F282" t="e">
        <f>IF('Items sous domaines Sciences '!#REF!=2,'Items sous domaines Sciences '!#REF!,0)</f>
        <v>#REF!</v>
      </c>
    </row>
    <row r="283" spans="1:6" customFormat="1" ht="12.75" hidden="1" customHeight="1" thickBot="1" x14ac:dyDescent="0.3">
      <c r="A283" s="371" t="s">
        <v>419</v>
      </c>
      <c r="B283" s="8">
        <f>IF('Items sous domaines Sciences '!G285=2,'Items sous domaines Sciences '!B285,0)</f>
        <v>0</v>
      </c>
      <c r="C283" s="8">
        <f>IF('Items sous domaines Sciences '!G285=2,'Items sous domaines Sciences '!C285,0)</f>
        <v>0</v>
      </c>
      <c r="D283" s="8">
        <f>IF('Items sous domaines Sciences '!G285=2,'Items sous domaines Sciences '!D285,0)</f>
        <v>0</v>
      </c>
      <c r="E283" s="8">
        <f>IF('Items sous domaines Sciences '!G285=2,'Items sous domaines Sciences '!E285,0)</f>
        <v>0</v>
      </c>
      <c r="F283" t="e">
        <f>IF('Items sous domaines Sciences '!#REF!=2,'Items sous domaines Sciences '!#REF!,0)</f>
        <v>#REF!</v>
      </c>
    </row>
    <row r="284" spans="1:6" customFormat="1" ht="12.75" hidden="1" customHeight="1" thickBot="1" x14ac:dyDescent="0.3">
      <c r="A284" s="371"/>
      <c r="B284" s="8">
        <f>IF('Items sous domaines Sciences '!G286=2,'Items sous domaines Sciences '!B286,0)</f>
        <v>0</v>
      </c>
      <c r="C284" s="8">
        <f>IF('Items sous domaines Sciences '!G286=2,'Items sous domaines Sciences '!C286,0)</f>
        <v>0</v>
      </c>
      <c r="D284" s="8">
        <f>IF('Items sous domaines Sciences '!G286=2,'Items sous domaines Sciences '!D286,0)</f>
        <v>0</v>
      </c>
      <c r="E284" s="8">
        <f>IF('Items sous domaines Sciences '!G286=2,'Items sous domaines Sciences '!E286,0)</f>
        <v>0</v>
      </c>
      <c r="F284" t="e">
        <f>IF('Items sous domaines Sciences '!#REF!=2,'Items sous domaines Sciences '!#REF!,0)</f>
        <v>#REF!</v>
      </c>
    </row>
    <row r="285" spans="1:6" customFormat="1" ht="17.399999999999999" hidden="1" customHeight="1" thickBot="1" x14ac:dyDescent="0.3">
      <c r="A285" s="371"/>
      <c r="B285" s="8">
        <f>IF('Items sous domaines Sciences '!G287=2,'Items sous domaines Sciences '!B287,0)</f>
        <v>0</v>
      </c>
      <c r="C285" s="8">
        <f>IF('Items sous domaines Sciences '!G287=2,'Items sous domaines Sciences '!C287,0)</f>
        <v>0</v>
      </c>
      <c r="D285" s="8">
        <f>IF('Items sous domaines Sciences '!G287=2,'Items sous domaines Sciences '!D287,0)</f>
        <v>0</v>
      </c>
      <c r="E285" s="8">
        <f>IF('Items sous domaines Sciences '!G287=2,'Items sous domaines Sciences '!E287,0)</f>
        <v>0</v>
      </c>
      <c r="F285" t="e">
        <f>IF('Items sous domaines Sciences '!#REF!=2,'Items sous domaines Sciences '!#REF!,0)</f>
        <v>#REF!</v>
      </c>
    </row>
    <row r="286" spans="1:6" customFormat="1" ht="17.399999999999999" hidden="1" customHeight="1" thickBot="1" x14ac:dyDescent="0.3">
      <c r="A286" s="371"/>
      <c r="B286" s="8">
        <f>IF('Items sous domaines Sciences '!G288=2,'Items sous domaines Sciences '!B288,0)</f>
        <v>0</v>
      </c>
      <c r="C286" s="8">
        <f>IF('Items sous domaines Sciences '!G288=2,'Items sous domaines Sciences '!C288,0)</f>
        <v>0</v>
      </c>
      <c r="D286" s="8">
        <f>IF('Items sous domaines Sciences '!G288=2,'Items sous domaines Sciences '!D288,0)</f>
        <v>0</v>
      </c>
      <c r="E286" s="8">
        <f>IF('Items sous domaines Sciences '!G288=2,'Items sous domaines Sciences '!E288,0)</f>
        <v>0</v>
      </c>
      <c r="F286" t="e">
        <f>IF('Items sous domaines Sciences '!#REF!=2,'Items sous domaines Sciences '!#REF!,0)</f>
        <v>#REF!</v>
      </c>
    </row>
    <row r="287" spans="1:6" customFormat="1" ht="17.399999999999999" hidden="1" customHeight="1" thickBot="1" x14ac:dyDescent="0.3">
      <c r="A287" s="371"/>
      <c r="B287" s="8">
        <f>IF('Items sous domaines Sciences '!G289=2,'Items sous domaines Sciences '!B289,0)</f>
        <v>0</v>
      </c>
      <c r="C287" s="8">
        <f>IF('Items sous domaines Sciences '!G289=2,'Items sous domaines Sciences '!C289,0)</f>
        <v>0</v>
      </c>
      <c r="D287" s="8">
        <f>IF('Items sous domaines Sciences '!G289=2,'Items sous domaines Sciences '!D289,0)</f>
        <v>0</v>
      </c>
      <c r="E287" s="8">
        <f>IF('Items sous domaines Sciences '!G289=2,'Items sous domaines Sciences '!E289,0)</f>
        <v>0</v>
      </c>
      <c r="F287" t="e">
        <f>IF('Items sous domaines Sciences '!#REF!=2,'Items sous domaines Sciences '!#REF!,0)</f>
        <v>#REF!</v>
      </c>
    </row>
    <row r="288" spans="1:6" customFormat="1" ht="17.399999999999999" hidden="1" customHeight="1" thickBot="1" x14ac:dyDescent="0.3">
      <c r="A288" s="371"/>
      <c r="B288" s="8">
        <f>IF('Items sous domaines Sciences '!G290=2,'Items sous domaines Sciences '!B290,0)</f>
        <v>0</v>
      </c>
      <c r="C288" s="8">
        <f>IF('Items sous domaines Sciences '!G290=2,'Items sous domaines Sciences '!C290,0)</f>
        <v>0</v>
      </c>
      <c r="D288" s="8">
        <f>IF('Items sous domaines Sciences '!G290=2,'Items sous domaines Sciences '!D290,0)</f>
        <v>0</v>
      </c>
      <c r="E288" s="8">
        <f>IF('Items sous domaines Sciences '!G290=2,'Items sous domaines Sciences '!E290,0)</f>
        <v>0</v>
      </c>
      <c r="F288" t="e">
        <f>IF('Items sous domaines Sciences '!#REF!=2,'Items sous domaines Sciences '!#REF!,0)</f>
        <v>#REF!</v>
      </c>
    </row>
    <row r="289" spans="1:7" customFormat="1" ht="17.399999999999999" hidden="1" customHeight="1" thickBot="1" x14ac:dyDescent="0.3">
      <c r="A289" s="371"/>
      <c r="B289" s="8">
        <f>IF('Items sous domaines Sciences '!G291=2,'Items sous domaines Sciences '!B291,0)</f>
        <v>0</v>
      </c>
      <c r="C289" s="8">
        <f>IF('Items sous domaines Sciences '!G291=2,'Items sous domaines Sciences '!C291,0)</f>
        <v>0</v>
      </c>
      <c r="D289" s="8">
        <f>IF('Items sous domaines Sciences '!G291=2,'Items sous domaines Sciences '!D291,0)</f>
        <v>0</v>
      </c>
      <c r="E289" s="8">
        <f>IF('Items sous domaines Sciences '!G291=2,'Items sous domaines Sciences '!E291,0)</f>
        <v>0</v>
      </c>
      <c r="F289" t="e">
        <f>IF('Items sous domaines Sciences '!#REF!=2,'Items sous domaines Sciences '!#REF!,0)</f>
        <v>#REF!</v>
      </c>
    </row>
    <row r="290" spans="1:7" customFormat="1" ht="17.399999999999999" hidden="1" customHeight="1" thickBot="1" x14ac:dyDescent="0.3">
      <c r="A290" s="371"/>
      <c r="B290" s="8">
        <f>IF('Items sous domaines Sciences '!G292=2,'Items sous domaines Sciences '!B292,0)</f>
        <v>0</v>
      </c>
      <c r="C290" s="8">
        <f>IF('Items sous domaines Sciences '!G292=2,'Items sous domaines Sciences '!C292,0)</f>
        <v>0</v>
      </c>
      <c r="D290" s="8">
        <f>IF('Items sous domaines Sciences '!G292=2,'Items sous domaines Sciences '!D292,0)</f>
        <v>0</v>
      </c>
      <c r="E290" s="8">
        <f>IF('Items sous domaines Sciences '!G292=2,'Items sous domaines Sciences '!E292,0)</f>
        <v>0</v>
      </c>
      <c r="F290" t="e">
        <f>IF('Items sous domaines Sciences '!#REF!=2,'Items sous domaines Sciences '!#REF!,0)</f>
        <v>#REF!</v>
      </c>
    </row>
    <row r="291" spans="1:7" customFormat="1" ht="17.399999999999999" hidden="1" customHeight="1" thickBot="1" x14ac:dyDescent="0.3">
      <c r="A291" s="413" t="s">
        <v>448</v>
      </c>
      <c r="B291" s="8">
        <f>IF('Items sous domaines Sciences '!G293=2,'Items sous domaines Sciences '!B293,0)</f>
        <v>0</v>
      </c>
      <c r="C291" s="8">
        <f>IF('Items sous domaines Sciences '!G293=2,'Items sous domaines Sciences '!C293,0)</f>
        <v>0</v>
      </c>
      <c r="D291" s="8">
        <f>IF('Items sous domaines Sciences '!G293=2,'Items sous domaines Sciences '!D293,0)</f>
        <v>0</v>
      </c>
      <c r="E291" s="8">
        <f>IF('Items sous domaines Sciences '!G293=2,'Items sous domaines Sciences '!E293,0)</f>
        <v>0</v>
      </c>
      <c r="F291" s="339" t="s">
        <v>398</v>
      </c>
      <c r="G291" s="333" t="s">
        <v>420</v>
      </c>
    </row>
    <row r="292" spans="1:7" customFormat="1" ht="17.399999999999999" hidden="1" customHeight="1" thickBot="1" x14ac:dyDescent="0.3">
      <c r="A292" s="413"/>
      <c r="B292" s="8">
        <f>IF('Items sous domaines Sciences '!G294=2,'Items sous domaines Sciences '!B294,0)</f>
        <v>0</v>
      </c>
      <c r="C292" s="8">
        <f>IF('Items sous domaines Sciences '!G294=2,'Items sous domaines Sciences '!C294,0)</f>
        <v>0</v>
      </c>
      <c r="D292" s="8">
        <f>IF('Items sous domaines Sciences '!G294=2,'Items sous domaines Sciences '!D294,0)</f>
        <v>0</v>
      </c>
      <c r="E292" s="8">
        <f>IF('Items sous domaines Sciences '!G294=2,'Items sous domaines Sciences '!E294,0)</f>
        <v>0</v>
      </c>
      <c r="F292" s="340"/>
      <c r="G292" s="333"/>
    </row>
    <row r="293" spans="1:7" customFormat="1" ht="17.399999999999999" hidden="1" customHeight="1" thickBot="1" x14ac:dyDescent="0.3">
      <c r="A293" s="413"/>
      <c r="B293" s="8">
        <f>IF('Items sous domaines Sciences '!G295=2,'Items sous domaines Sciences '!B295,0)</f>
        <v>0</v>
      </c>
      <c r="C293" s="8">
        <f>IF('Items sous domaines Sciences '!G295=2,'Items sous domaines Sciences '!C295,0)</f>
        <v>0</v>
      </c>
      <c r="D293" s="8">
        <f>IF('Items sous domaines Sciences '!G295=2,'Items sous domaines Sciences '!D295,0)</f>
        <v>0</v>
      </c>
      <c r="E293" s="8">
        <f>IF('Items sous domaines Sciences '!G295=2,'Items sous domaines Sciences '!E295,0)</f>
        <v>0</v>
      </c>
      <c r="F293" s="340"/>
      <c r="G293" s="333"/>
    </row>
    <row r="294" spans="1:7" customFormat="1" ht="17.399999999999999" hidden="1" customHeight="1" thickBot="1" x14ac:dyDescent="0.3">
      <c r="A294" s="413"/>
      <c r="B294" s="8">
        <f>IF('Items sous domaines Sciences '!G296=2,'Items sous domaines Sciences '!B296,0)</f>
        <v>0</v>
      </c>
      <c r="C294" s="8">
        <f>IF('Items sous domaines Sciences '!G296=2,'Items sous domaines Sciences '!C296,0)</f>
        <v>0</v>
      </c>
      <c r="D294" s="8">
        <f>IF('Items sous domaines Sciences '!G296=2,'Items sous domaines Sciences '!D296,0)</f>
        <v>0</v>
      </c>
      <c r="E294" s="8">
        <f>IF('Items sous domaines Sciences '!G296=2,'Items sous domaines Sciences '!E296,0)</f>
        <v>0</v>
      </c>
      <c r="F294" s="340"/>
      <c r="G294" s="333" t="s">
        <v>449</v>
      </c>
    </row>
    <row r="295" spans="1:7" customFormat="1" ht="17.399999999999999" hidden="1" customHeight="1" thickBot="1" x14ac:dyDescent="0.3">
      <c r="A295" s="413"/>
      <c r="B295" s="8">
        <f>IF('Items sous domaines Sciences '!G297=2,'Items sous domaines Sciences '!B297,0)</f>
        <v>0</v>
      </c>
      <c r="C295" s="8">
        <f>IF('Items sous domaines Sciences '!G297=2,'Items sous domaines Sciences '!C297,0)</f>
        <v>0</v>
      </c>
      <c r="D295" s="8">
        <f>IF('Items sous domaines Sciences '!G297=2,'Items sous domaines Sciences '!D297,0)</f>
        <v>0</v>
      </c>
      <c r="E295" s="8">
        <f>IF('Items sous domaines Sciences '!G297=2,'Items sous domaines Sciences '!E297,0)</f>
        <v>0</v>
      </c>
      <c r="F295" s="340"/>
      <c r="G295" s="333"/>
    </row>
    <row r="296" spans="1:7" customFormat="1" ht="17.399999999999999" hidden="1" customHeight="1" thickBot="1" x14ac:dyDescent="0.3">
      <c r="A296" s="413"/>
      <c r="B296" s="8">
        <f>IF('Items sous domaines Sciences '!G298=2,'Items sous domaines Sciences '!B298,0)</f>
        <v>0</v>
      </c>
      <c r="C296" s="8">
        <f>IF('Items sous domaines Sciences '!G298=2,'Items sous domaines Sciences '!C298,0)</f>
        <v>0</v>
      </c>
      <c r="D296" s="8">
        <f>IF('Items sous domaines Sciences '!G298=2,'Items sous domaines Sciences '!D298,0)</f>
        <v>0</v>
      </c>
      <c r="E296" s="8">
        <f>IF('Items sous domaines Sciences '!G298=2,'Items sous domaines Sciences '!E298,0)</f>
        <v>0</v>
      </c>
      <c r="F296" s="340"/>
      <c r="G296" s="333"/>
    </row>
    <row r="297" spans="1:7" customFormat="1" ht="17.399999999999999" hidden="1" customHeight="1" thickBot="1" x14ac:dyDescent="0.3">
      <c r="A297" s="413"/>
      <c r="B297" s="8">
        <f>IF('Items sous domaines Sciences '!G299=2,'Items sous domaines Sciences '!B299,0)</f>
        <v>0</v>
      </c>
      <c r="C297" s="8">
        <f>IF('Items sous domaines Sciences '!G299=2,'Items sous domaines Sciences '!C299,0)</f>
        <v>0</v>
      </c>
      <c r="D297" s="8">
        <f>IF('Items sous domaines Sciences '!G299=2,'Items sous domaines Sciences '!D299,0)</f>
        <v>0</v>
      </c>
      <c r="E297" s="8">
        <f>IF('Items sous domaines Sciences '!G299=2,'Items sous domaines Sciences '!E299,0)</f>
        <v>0</v>
      </c>
      <c r="F297" s="340"/>
      <c r="G297" s="333"/>
    </row>
    <row r="298" spans="1:7" customFormat="1" ht="17.399999999999999" hidden="1" customHeight="1" thickBot="1" x14ac:dyDescent="0.3">
      <c r="A298" s="413"/>
      <c r="B298" s="8">
        <f>IF('Items sous domaines Sciences '!G300=2,'Items sous domaines Sciences '!B300,0)</f>
        <v>0</v>
      </c>
      <c r="C298" s="8">
        <f>IF('Items sous domaines Sciences '!G300=2,'Items sous domaines Sciences '!C300,0)</f>
        <v>0</v>
      </c>
      <c r="D298" s="8">
        <f>IF('Items sous domaines Sciences '!G300=2,'Items sous domaines Sciences '!D300,0)</f>
        <v>0</v>
      </c>
      <c r="E298" s="8">
        <f>IF('Items sous domaines Sciences '!G300=2,'Items sous domaines Sciences '!E300,0)</f>
        <v>0</v>
      </c>
      <c r="F298" s="340"/>
      <c r="G298" s="333"/>
    </row>
    <row r="299" spans="1:7" customFormat="1" ht="17.399999999999999" hidden="1" customHeight="1" thickBot="1" x14ac:dyDescent="0.3">
      <c r="A299" s="413"/>
      <c r="B299" s="8">
        <f>IF('Items sous domaines Sciences '!G301=2,'Items sous domaines Sciences '!B301,0)</f>
        <v>0</v>
      </c>
      <c r="C299" s="8">
        <f>IF('Items sous domaines Sciences '!G301=2,'Items sous domaines Sciences '!C301,0)</f>
        <v>0</v>
      </c>
      <c r="D299" s="8">
        <f>IF('Items sous domaines Sciences '!G301=2,'Items sous domaines Sciences '!D301,0)</f>
        <v>0</v>
      </c>
      <c r="E299" s="8">
        <f>IF('Items sous domaines Sciences '!G301=2,'Items sous domaines Sciences '!E301,0)</f>
        <v>0</v>
      </c>
      <c r="F299" s="341"/>
      <c r="G299" s="333"/>
    </row>
    <row r="300" spans="1:7" customFormat="1" ht="17.399999999999999" hidden="1" customHeight="1" thickBot="1" x14ac:dyDescent="0.3">
      <c r="B300" s="8">
        <f>IF('Items sous domaines Sciences '!G302=2,'Items sous domaines Sciences '!B302,0)</f>
        <v>0</v>
      </c>
      <c r="C300" s="8">
        <f>IF('Items sous domaines Sciences '!G302=2,'Items sous domaines Sciences '!C302,0)</f>
        <v>0</v>
      </c>
      <c r="D300" s="8">
        <f>IF('Items sous domaines Sciences '!G302=2,'Items sous domaines Sciences '!D302,0)</f>
        <v>0</v>
      </c>
      <c r="E300" s="8">
        <f>IF('Items sous domaines Sciences '!G302=2,'Items sous domaines Sciences '!E302,0)</f>
        <v>0</v>
      </c>
      <c r="F300" t="e">
        <f>IF('Items sous domaines Sciences '!#REF!=2,'Items sous domaines Sciences '!#REF!,0)</f>
        <v>#REF!</v>
      </c>
    </row>
    <row r="301" spans="1:7" customFormat="1" ht="17.399999999999999" hidden="1" customHeight="1" thickBot="1" x14ac:dyDescent="0.3">
      <c r="B301" s="8">
        <f>IF('Items sous domaines Sciences '!G303=2,'Items sous domaines Sciences '!B303,0)</f>
        <v>0</v>
      </c>
      <c r="C301" s="8">
        <f>IF('Items sous domaines Sciences '!G303=2,'Items sous domaines Sciences '!C303,0)</f>
        <v>0</v>
      </c>
      <c r="D301" s="8">
        <f>IF('Items sous domaines Sciences '!G303=2,'Items sous domaines Sciences '!D303,0)</f>
        <v>0</v>
      </c>
      <c r="E301" s="8">
        <f>IF('Items sous domaines Sciences '!G303=2,'Items sous domaines Sciences '!E303,0)</f>
        <v>0</v>
      </c>
      <c r="F301" t="e">
        <f>IF('Items sous domaines Sciences '!#REF!=2,'Items sous domaines Sciences '!#REF!,0)</f>
        <v>#REF!</v>
      </c>
    </row>
    <row r="302" spans="1:7" customFormat="1" ht="17.399999999999999" hidden="1" customHeight="1" thickBot="1" x14ac:dyDescent="0.3">
      <c r="B302" s="8">
        <f>IF('Items sous domaines Sciences '!G304=2,'Items sous domaines Sciences '!B304,0)</f>
        <v>0</v>
      </c>
      <c r="C302" s="8">
        <f>IF('Items sous domaines Sciences '!G304=2,'Items sous domaines Sciences '!C304,0)</f>
        <v>0</v>
      </c>
      <c r="D302" s="8">
        <f>IF('Items sous domaines Sciences '!G304=2,'Items sous domaines Sciences '!D304,0)</f>
        <v>0</v>
      </c>
      <c r="E302" s="8">
        <f>IF('Items sous domaines Sciences '!G304=2,'Items sous domaines Sciences '!E304,0)</f>
        <v>0</v>
      </c>
      <c r="F302" t="e">
        <f>IF('Items sous domaines Sciences '!#REF!=2,'Items sous domaines Sciences '!#REF!,0)</f>
        <v>#REF!</v>
      </c>
    </row>
    <row r="303" spans="1:7" customFormat="1" ht="17.399999999999999" hidden="1" customHeight="1" thickBot="1" x14ac:dyDescent="0.3">
      <c r="B303" s="8">
        <f>IF('Items sous domaines Sciences '!G305=2,'Items sous domaines Sciences '!B305,0)</f>
        <v>0</v>
      </c>
      <c r="C303" s="8">
        <f>IF('Items sous domaines Sciences '!G305=2,'Items sous domaines Sciences '!C305,0)</f>
        <v>0</v>
      </c>
      <c r="D303" s="8">
        <f>IF('Items sous domaines Sciences '!G305=2,'Items sous domaines Sciences '!D305,0)</f>
        <v>0</v>
      </c>
      <c r="E303" s="8">
        <f>IF('Items sous domaines Sciences '!G305=2,'Items sous domaines Sciences '!E305,0)</f>
        <v>0</v>
      </c>
      <c r="F303" t="e">
        <f>IF('Items sous domaines Sciences '!#REF!=2,'Items sous domaines Sciences '!#REF!,0)</f>
        <v>#REF!</v>
      </c>
    </row>
    <row r="304" spans="1:7" customFormat="1" ht="17.399999999999999" hidden="1" customHeight="1" thickBot="1" x14ac:dyDescent="0.3">
      <c r="B304" s="8">
        <f>IF('Items sous domaines Sciences '!G306=2,'Items sous domaines Sciences '!B306,0)</f>
        <v>0</v>
      </c>
      <c r="C304" s="8">
        <f>IF('Items sous domaines Sciences '!G306=2,'Items sous domaines Sciences '!C306,0)</f>
        <v>0</v>
      </c>
      <c r="D304" s="8">
        <f>IF('Items sous domaines Sciences '!G306=2,'Items sous domaines Sciences '!D306,0)</f>
        <v>0</v>
      </c>
      <c r="E304" s="8">
        <f>IF('Items sous domaines Sciences '!G306=2,'Items sous domaines Sciences '!E306,0)</f>
        <v>0</v>
      </c>
      <c r="F304" t="e">
        <f>IF('Items sous domaines Sciences '!#REF!=2,'Items sous domaines Sciences '!#REF!,0)</f>
        <v>#REF!</v>
      </c>
    </row>
    <row r="305" spans="1:6" customFormat="1" ht="17.399999999999999" hidden="1" customHeight="1" thickBot="1" x14ac:dyDescent="0.3">
      <c r="B305" s="8">
        <f>IF('Items sous domaines Sciences '!G307=2,'Items sous domaines Sciences '!B307,0)</f>
        <v>0</v>
      </c>
      <c r="C305" s="8">
        <f>IF('Items sous domaines Sciences '!G307=2,'Items sous domaines Sciences '!C307,0)</f>
        <v>0</v>
      </c>
      <c r="D305" s="8">
        <f>IF('Items sous domaines Sciences '!G307=2,'Items sous domaines Sciences '!D307,0)</f>
        <v>0</v>
      </c>
      <c r="E305" s="8">
        <f>IF('Items sous domaines Sciences '!G307=2,'Items sous domaines Sciences '!E307,0)</f>
        <v>0</v>
      </c>
      <c r="F305" t="e">
        <f>IF('Items sous domaines Sciences '!#REF!=2,'Items sous domaines Sciences '!#REF!,0)</f>
        <v>#REF!</v>
      </c>
    </row>
    <row r="306" spans="1:6" customFormat="1" ht="17.399999999999999" hidden="1" customHeight="1" thickBot="1" x14ac:dyDescent="0.3">
      <c r="B306" s="8">
        <f>IF('Items sous domaines Sciences '!G308=2,'Items sous domaines Sciences '!B308,0)</f>
        <v>0</v>
      </c>
      <c r="C306" s="8">
        <f>IF('Items sous domaines Sciences '!G308=2,'Items sous domaines Sciences '!C308,0)</f>
        <v>0</v>
      </c>
      <c r="D306" s="8">
        <f>IF('Items sous domaines Sciences '!G308=2,'Items sous domaines Sciences '!D308,0)</f>
        <v>0</v>
      </c>
      <c r="E306" s="8">
        <f>IF('Items sous domaines Sciences '!G308=2,'Items sous domaines Sciences '!E308,0)</f>
        <v>0</v>
      </c>
      <c r="F306" t="e">
        <f>IF('Items sous domaines Sciences '!#REF!=2,'Items sous domaines Sciences '!#REF!,0)</f>
        <v>#REF!</v>
      </c>
    </row>
    <row r="307" spans="1:6" customFormat="1" ht="17.399999999999999" hidden="1" customHeight="1" thickBot="1" x14ac:dyDescent="0.3">
      <c r="B307" s="8">
        <f>IF('Items sous domaines Sciences '!G309=2,'Items sous domaines Sciences '!B309,0)</f>
        <v>0</v>
      </c>
      <c r="C307" s="8">
        <f>IF('Items sous domaines Sciences '!G309=2,'Items sous domaines Sciences '!C309,0)</f>
        <v>0</v>
      </c>
      <c r="D307" s="8">
        <f>IF('Items sous domaines Sciences '!G309=2,'Items sous domaines Sciences '!D309,0)</f>
        <v>0</v>
      </c>
      <c r="E307" s="8">
        <f>IF('Items sous domaines Sciences '!G309=2,'Items sous domaines Sciences '!E309,0)</f>
        <v>0</v>
      </c>
      <c r="F307" t="e">
        <f>IF('Items sous domaines Sciences '!#REF!=2,'Items sous domaines Sciences '!#REF!,0)</f>
        <v>#REF!</v>
      </c>
    </row>
    <row r="308" spans="1:6" customFormat="1" ht="13.5" hidden="1" customHeight="1" thickBot="1" x14ac:dyDescent="0.3">
      <c r="B308" s="8">
        <f>IF('Items sous domaines Sciences '!G310=2,'Items sous domaines Sciences '!B310,0)</f>
        <v>0</v>
      </c>
      <c r="C308" s="8">
        <f>IF('Items sous domaines Sciences '!G310=2,'Items sous domaines Sciences '!C310,0)</f>
        <v>0</v>
      </c>
      <c r="D308" s="8">
        <f>IF('Items sous domaines Sciences '!G310=2,'Items sous domaines Sciences '!D310,0)</f>
        <v>0</v>
      </c>
      <c r="E308" s="8">
        <f>IF('Items sous domaines Sciences '!G310=2,'Items sous domaines Sciences '!E310,0)</f>
        <v>0</v>
      </c>
      <c r="F308" t="e">
        <f>IF('Items sous domaines Sciences '!#REF!=2,'Items sous domaines Sciences '!#REF!,0)</f>
        <v>#REF!</v>
      </c>
    </row>
    <row r="309" spans="1:6" customFormat="1" ht="13.5" hidden="1" customHeight="1" thickBot="1" x14ac:dyDescent="0.3">
      <c r="B309" s="8">
        <f>IF('Items sous domaines Sciences '!G311=2,'Items sous domaines Sciences '!B311,0)</f>
        <v>0</v>
      </c>
      <c r="C309" s="8">
        <f>IF('Items sous domaines Sciences '!G311=2,'Items sous domaines Sciences '!C311,0)</f>
        <v>0</v>
      </c>
      <c r="D309" s="8">
        <f>IF('Items sous domaines Sciences '!G311=2,'Items sous domaines Sciences '!D311,0)</f>
        <v>0</v>
      </c>
      <c r="E309" s="8">
        <f>IF('Items sous domaines Sciences '!G311=2,'Items sous domaines Sciences '!E311,0)</f>
        <v>0</v>
      </c>
      <c r="F309" t="e">
        <f>IF('Items sous domaines Sciences '!#REF!=2,'Items sous domaines Sciences '!#REF!,0)</f>
        <v>#REF!</v>
      </c>
    </row>
    <row r="310" spans="1:6" customFormat="1" ht="13.5" hidden="1" customHeight="1" thickBot="1" x14ac:dyDescent="0.3">
      <c r="B310" s="8">
        <f>IF('Items sous domaines Sciences '!G312=2,'Items sous domaines Sciences '!B312,0)</f>
        <v>0</v>
      </c>
      <c r="C310" s="8">
        <f>IF('Items sous domaines Sciences '!G312=2,'Items sous domaines Sciences '!C312,0)</f>
        <v>0</v>
      </c>
      <c r="D310" s="8">
        <f>IF('Items sous domaines Sciences '!G312=2,'Items sous domaines Sciences '!D312,0)</f>
        <v>0</v>
      </c>
      <c r="E310" s="8">
        <f>IF('Items sous domaines Sciences '!G312=2,'Items sous domaines Sciences '!E312,0)</f>
        <v>0</v>
      </c>
      <c r="F310" t="e">
        <f>IF('Items sous domaines Sciences '!#REF!=2,'Items sous domaines Sciences '!#REF!,0)</f>
        <v>#REF!</v>
      </c>
    </row>
    <row r="311" spans="1:6" customFormat="1" ht="13.5" hidden="1" customHeight="1" thickBot="1" x14ac:dyDescent="0.3">
      <c r="A311" s="402" t="s">
        <v>421</v>
      </c>
      <c r="B311" s="8">
        <f>IF('Items sous domaines Sciences '!G313=2,'Items sous domaines Sciences '!B313,0)</f>
        <v>0</v>
      </c>
      <c r="C311" s="8">
        <f>IF('Items sous domaines Sciences '!G313=2,'Items sous domaines Sciences '!C313,0)</f>
        <v>0</v>
      </c>
      <c r="D311" s="8">
        <f>IF('Items sous domaines Sciences '!G313=2,'Items sous domaines Sciences '!D313,0)</f>
        <v>0</v>
      </c>
      <c r="E311" s="8">
        <f>IF('Items sous domaines Sciences '!G313=2,'Items sous domaines Sciences '!E313,0)</f>
        <v>0</v>
      </c>
      <c r="F311" t="e">
        <f>IF('Items sous domaines Sciences '!#REF!=2,'Items sous domaines Sciences '!#REF!,0)</f>
        <v>#REF!</v>
      </c>
    </row>
    <row r="312" spans="1:6" customFormat="1" ht="13.5" hidden="1" customHeight="1" thickBot="1" x14ac:dyDescent="0.3">
      <c r="A312" s="372"/>
      <c r="B312" s="8">
        <f>IF('Items sous domaines Sciences '!G314=2,'Items sous domaines Sciences '!B314,0)</f>
        <v>0</v>
      </c>
      <c r="C312" s="8">
        <f>IF('Items sous domaines Sciences '!G314=2,'Items sous domaines Sciences '!C314,0)</f>
        <v>0</v>
      </c>
      <c r="D312" s="8">
        <f>IF('Items sous domaines Sciences '!G314=2,'Items sous domaines Sciences '!D314,0)</f>
        <v>0</v>
      </c>
      <c r="E312" s="8">
        <f>IF('Items sous domaines Sciences '!G314=2,'Items sous domaines Sciences '!E314,0)</f>
        <v>0</v>
      </c>
      <c r="F312" t="e">
        <f>IF('Items sous domaines Sciences '!#REF!=2,'Items sous domaines Sciences '!#REF!,0)</f>
        <v>#REF!</v>
      </c>
    </row>
    <row r="313" spans="1:6" customFormat="1" ht="13.5" hidden="1" customHeight="1" thickBot="1" x14ac:dyDescent="0.3">
      <c r="A313" s="372"/>
      <c r="B313" s="8">
        <f>IF('Items sous domaines Sciences '!G315=2,'Items sous domaines Sciences '!B315,0)</f>
        <v>0</v>
      </c>
      <c r="C313" s="8">
        <f>IF('Items sous domaines Sciences '!G315=2,'Items sous domaines Sciences '!C315,0)</f>
        <v>0</v>
      </c>
      <c r="D313" s="8">
        <f>IF('Items sous domaines Sciences '!G315=2,'Items sous domaines Sciences '!D315,0)</f>
        <v>0</v>
      </c>
      <c r="E313" s="8">
        <f>IF('Items sous domaines Sciences '!G315=2,'Items sous domaines Sciences '!E315,0)</f>
        <v>0</v>
      </c>
      <c r="F313" t="e">
        <f>IF('Items sous domaines Sciences '!#REF!=2,'Items sous domaines Sciences '!#REF!,0)</f>
        <v>#REF!</v>
      </c>
    </row>
    <row r="314" spans="1:6" customFormat="1" ht="13.5" hidden="1" customHeight="1" thickBot="1" x14ac:dyDescent="0.3">
      <c r="A314" s="372"/>
      <c r="B314" s="8">
        <f>IF('Items sous domaines Sciences '!G316=2,'Items sous domaines Sciences '!B316,0)</f>
        <v>0</v>
      </c>
      <c r="C314" s="8">
        <f>IF('Items sous domaines Sciences '!G316=2,'Items sous domaines Sciences '!C316,0)</f>
        <v>0</v>
      </c>
      <c r="D314" s="8">
        <f>IF('Items sous domaines Sciences '!G316=2,'Items sous domaines Sciences '!D316,0)</f>
        <v>0</v>
      </c>
      <c r="E314" s="8">
        <f>IF('Items sous domaines Sciences '!G316=2,'Items sous domaines Sciences '!E316,0)</f>
        <v>0</v>
      </c>
      <c r="F314" t="e">
        <f>IF('Items sous domaines Sciences '!#REF!=2,'Items sous domaines Sciences '!#REF!,0)</f>
        <v>#REF!</v>
      </c>
    </row>
    <row r="315" spans="1:6" customFormat="1" ht="13.5" hidden="1" customHeight="1" thickBot="1" x14ac:dyDescent="0.3">
      <c r="A315" s="372"/>
      <c r="B315" s="8">
        <f>IF('Items sous domaines Sciences '!G317=2,'Items sous domaines Sciences '!B317,0)</f>
        <v>0</v>
      </c>
      <c r="C315" s="8">
        <f>IF('Items sous domaines Sciences '!G317=2,'Items sous domaines Sciences '!C317,0)</f>
        <v>0</v>
      </c>
      <c r="D315" s="8">
        <f>IF('Items sous domaines Sciences '!G317=2,'Items sous domaines Sciences '!D317,0)</f>
        <v>0</v>
      </c>
      <c r="E315" s="8">
        <f>IF('Items sous domaines Sciences '!G317=2,'Items sous domaines Sciences '!E317,0)</f>
        <v>0</v>
      </c>
      <c r="F315" t="e">
        <f>IF('Items sous domaines Sciences '!#REF!=2,'Items sous domaines Sciences '!#REF!,0)</f>
        <v>#REF!</v>
      </c>
    </row>
    <row r="316" spans="1:6" customFormat="1" ht="13.5" hidden="1" customHeight="1" thickBot="1" x14ac:dyDescent="0.3">
      <c r="A316" s="372"/>
      <c r="B316" s="8">
        <f>IF('Items sous domaines Sciences '!G318=2,'Items sous domaines Sciences '!B318,0)</f>
        <v>0</v>
      </c>
      <c r="C316" s="8">
        <f>IF('Items sous domaines Sciences '!G318=2,'Items sous domaines Sciences '!C318,0)</f>
        <v>0</v>
      </c>
      <c r="D316" s="8">
        <f>IF('Items sous domaines Sciences '!G318=2,'Items sous domaines Sciences '!D318,0)</f>
        <v>0</v>
      </c>
      <c r="E316" s="8">
        <f>IF('Items sous domaines Sciences '!G318=2,'Items sous domaines Sciences '!E318,0)</f>
        <v>0</v>
      </c>
      <c r="F316" t="e">
        <f>IF('Items sous domaines Sciences '!#REF!=2,'Items sous domaines Sciences '!#REF!,0)</f>
        <v>#REF!</v>
      </c>
    </row>
    <row r="317" spans="1:6" customFormat="1" ht="13.5" hidden="1" customHeight="1" thickBot="1" x14ac:dyDescent="0.3">
      <c r="A317" s="372"/>
      <c r="B317" s="8">
        <f>IF('Items sous domaines Sciences '!G319=2,'Items sous domaines Sciences '!B319,0)</f>
        <v>0</v>
      </c>
      <c r="C317" s="8">
        <f>IF('Items sous domaines Sciences '!G319=2,'Items sous domaines Sciences '!C319,0)</f>
        <v>0</v>
      </c>
      <c r="D317" s="8">
        <f>IF('Items sous domaines Sciences '!G319=2,'Items sous domaines Sciences '!D319,0)</f>
        <v>0</v>
      </c>
      <c r="E317" s="8">
        <f>IF('Items sous domaines Sciences '!G319=2,'Items sous domaines Sciences '!E319,0)</f>
        <v>0</v>
      </c>
      <c r="F317" t="e">
        <f>IF('Items sous domaines Sciences '!#REF!=2,'Items sous domaines Sciences '!#REF!,0)</f>
        <v>#REF!</v>
      </c>
    </row>
    <row r="318" spans="1:6" customFormat="1" ht="12.75" hidden="1" customHeight="1" thickBot="1" x14ac:dyDescent="0.3">
      <c r="A318" s="371"/>
      <c r="B318" s="8">
        <f>IF('Items sous domaines Sciences '!G320=2,'Items sous domaines Sciences '!B320,0)</f>
        <v>0</v>
      </c>
      <c r="C318" s="8">
        <f>IF('Items sous domaines Sciences '!G320=2,'Items sous domaines Sciences '!C320,0)</f>
        <v>0</v>
      </c>
      <c r="D318" s="8">
        <f>IF('Items sous domaines Sciences '!G320=2,'Items sous domaines Sciences '!D320,0)</f>
        <v>0</v>
      </c>
      <c r="E318" s="8">
        <f>IF('Items sous domaines Sciences '!G320=2,'Items sous domaines Sciences '!E320,0)</f>
        <v>0</v>
      </c>
      <c r="F318" t="e">
        <f>IF('Items sous domaines Sciences '!#REF!=2,'Items sous domaines Sciences '!#REF!,0)</f>
        <v>#REF!</v>
      </c>
    </row>
    <row r="319" spans="1:6" customFormat="1" ht="13.5" hidden="1" customHeight="1" thickBot="1" x14ac:dyDescent="0.3">
      <c r="A319" s="372"/>
      <c r="B319" s="8">
        <f>IF('Items sous domaines Sciences '!G321=2,'Items sous domaines Sciences '!B321,0)</f>
        <v>0</v>
      </c>
      <c r="C319" s="8">
        <f>IF('Items sous domaines Sciences '!G321=2,'Items sous domaines Sciences '!C321,0)</f>
        <v>0</v>
      </c>
      <c r="D319" s="8">
        <f>IF('Items sous domaines Sciences '!G321=2,'Items sous domaines Sciences '!D321,0)</f>
        <v>0</v>
      </c>
      <c r="E319" s="8">
        <f>IF('Items sous domaines Sciences '!G321=2,'Items sous domaines Sciences '!E321,0)</f>
        <v>0</v>
      </c>
      <c r="F319" t="e">
        <f>IF('Items sous domaines Sciences '!#REF!=2,'Items sous domaines Sciences '!#REF!,0)</f>
        <v>#REF!</v>
      </c>
    </row>
    <row r="320" spans="1:6" customFormat="1" ht="13.5" hidden="1" customHeight="1" thickBot="1" x14ac:dyDescent="0.3">
      <c r="A320" s="371"/>
      <c r="B320" s="8">
        <f>IF('Items sous domaines Sciences '!G322=2,'Items sous domaines Sciences '!B322,0)</f>
        <v>0</v>
      </c>
      <c r="C320" s="8">
        <f>IF('Items sous domaines Sciences '!G322=2,'Items sous domaines Sciences '!C322,0)</f>
        <v>0</v>
      </c>
      <c r="D320" s="8">
        <f>IF('Items sous domaines Sciences '!G322=2,'Items sous domaines Sciences '!D322,0)</f>
        <v>0</v>
      </c>
      <c r="E320" s="8">
        <f>IF('Items sous domaines Sciences '!G322=2,'Items sous domaines Sciences '!E322,0)</f>
        <v>0</v>
      </c>
      <c r="F320" t="e">
        <f>IF('Items sous domaines Sciences '!#REF!=2,'Items sous domaines Sciences '!#REF!,0)</f>
        <v>#REF!</v>
      </c>
    </row>
    <row r="321" spans="1:6" customFormat="1" ht="13.5" hidden="1" customHeight="1" thickBot="1" x14ac:dyDescent="0.3">
      <c r="A321" s="371"/>
      <c r="B321" s="8">
        <f>IF('Items sous domaines Sciences '!G323=2,'Items sous domaines Sciences '!B323,0)</f>
        <v>0</v>
      </c>
      <c r="C321" s="8">
        <f>IF('Items sous domaines Sciences '!G323=2,'Items sous domaines Sciences '!C323,0)</f>
        <v>0</v>
      </c>
      <c r="D321" s="8">
        <f>IF('Items sous domaines Sciences '!G323=2,'Items sous domaines Sciences '!D323,0)</f>
        <v>0</v>
      </c>
      <c r="E321" s="8">
        <f>IF('Items sous domaines Sciences '!G323=2,'Items sous domaines Sciences '!E323,0)</f>
        <v>0</v>
      </c>
      <c r="F321" t="e">
        <f>IF('Items sous domaines Sciences '!#REF!=2,'Items sous domaines Sciences '!#REF!,0)</f>
        <v>#REF!</v>
      </c>
    </row>
    <row r="322" spans="1:6" customFormat="1" ht="13.5" hidden="1" customHeight="1" thickBot="1" x14ac:dyDescent="0.3">
      <c r="B322" s="8">
        <f>IF('Items sous domaines Sciences '!G324=2,'Items sous domaines Sciences '!B324,0)</f>
        <v>0</v>
      </c>
      <c r="C322" s="8">
        <f>IF('Items sous domaines Sciences '!G324=2,'Items sous domaines Sciences '!C324,0)</f>
        <v>0</v>
      </c>
      <c r="D322" s="8">
        <f>IF('Items sous domaines Sciences '!G324=2,'Items sous domaines Sciences '!D324,0)</f>
        <v>0</v>
      </c>
      <c r="E322" s="8">
        <f>IF('Items sous domaines Sciences '!G324=2,'Items sous domaines Sciences '!E324,0)</f>
        <v>0</v>
      </c>
      <c r="F322" t="e">
        <f>IF('Items sous domaines Sciences '!#REF!=2,'Items sous domaines Sciences '!#REF!,0)</f>
        <v>#REF!</v>
      </c>
    </row>
    <row r="323" spans="1:6" customFormat="1" ht="13.5" hidden="1" customHeight="1" thickBot="1" x14ac:dyDescent="0.3">
      <c r="B323" s="8">
        <f>IF('Items sous domaines Sciences '!G325=2,'Items sous domaines Sciences '!B325,0)</f>
        <v>0</v>
      </c>
      <c r="C323" s="8">
        <f>IF('Items sous domaines Sciences '!G325=2,'Items sous domaines Sciences '!C325,0)</f>
        <v>0</v>
      </c>
      <c r="D323" s="8">
        <f>IF('Items sous domaines Sciences '!G325=2,'Items sous domaines Sciences '!D325,0)</f>
        <v>0</v>
      </c>
      <c r="E323" s="8">
        <f>IF('Items sous domaines Sciences '!G325=2,'Items sous domaines Sciences '!E325,0)</f>
        <v>0</v>
      </c>
      <c r="F323" t="e">
        <f>IF('Items sous domaines Sciences '!#REF!=2,'Items sous domaines Sciences '!#REF!,0)</f>
        <v>#REF!</v>
      </c>
    </row>
    <row r="324" spans="1:6" customFormat="1" ht="13.5" hidden="1" customHeight="1" thickBot="1" x14ac:dyDescent="0.3">
      <c r="B324" s="8">
        <f>IF('Items sous domaines Sciences '!G326=2,'Items sous domaines Sciences '!B326,0)</f>
        <v>0</v>
      </c>
      <c r="C324" s="8">
        <f>IF('Items sous domaines Sciences '!G326=2,'Items sous domaines Sciences '!C326,0)</f>
        <v>0</v>
      </c>
      <c r="D324" s="8">
        <f>IF('Items sous domaines Sciences '!G326=2,'Items sous domaines Sciences '!D326,0)</f>
        <v>0</v>
      </c>
      <c r="E324" s="8">
        <f>IF('Items sous domaines Sciences '!G326=2,'Items sous domaines Sciences '!E326,0)</f>
        <v>0</v>
      </c>
      <c r="F324" t="e">
        <f>IF('Items sous domaines Sciences '!#REF!=2,'Items sous domaines Sciences '!#REF!,0)</f>
        <v>#REF!</v>
      </c>
    </row>
    <row r="325" spans="1:6" customFormat="1" ht="13.5" hidden="1" customHeight="1" thickBot="1" x14ac:dyDescent="0.3">
      <c r="B325" s="8">
        <f>IF('Items sous domaines Sciences '!G327=2,'Items sous domaines Sciences '!B327,0)</f>
        <v>0</v>
      </c>
      <c r="C325" s="8">
        <f>IF('Items sous domaines Sciences '!G327=2,'Items sous domaines Sciences '!C327,0)</f>
        <v>0</v>
      </c>
      <c r="D325" s="8">
        <f>IF('Items sous domaines Sciences '!G327=2,'Items sous domaines Sciences '!D327,0)</f>
        <v>0</v>
      </c>
      <c r="E325" s="8">
        <f>IF('Items sous domaines Sciences '!G327=2,'Items sous domaines Sciences '!E327,0)</f>
        <v>0</v>
      </c>
      <c r="F325" t="e">
        <f>IF('Items sous domaines Sciences '!#REF!=2,'Items sous domaines Sciences '!#REF!,0)</f>
        <v>#REF!</v>
      </c>
    </row>
    <row r="326" spans="1:6" customFormat="1" ht="13.5" hidden="1" customHeight="1" thickBot="1" x14ac:dyDescent="0.3">
      <c r="B326" s="8">
        <f>IF('Items sous domaines Sciences '!G328=2,'Items sous domaines Sciences '!B328,0)</f>
        <v>0</v>
      </c>
      <c r="C326" s="8">
        <f>IF('Items sous domaines Sciences '!G328=2,'Items sous domaines Sciences '!C328,0)</f>
        <v>0</v>
      </c>
      <c r="D326" s="8">
        <f>IF('Items sous domaines Sciences '!G328=2,'Items sous domaines Sciences '!D328,0)</f>
        <v>0</v>
      </c>
      <c r="E326" s="8">
        <f>IF('Items sous domaines Sciences '!G328=2,'Items sous domaines Sciences '!E328,0)</f>
        <v>0</v>
      </c>
      <c r="F326" t="e">
        <f>IF('Items sous domaines Sciences '!#REF!=2,'Items sous domaines Sciences '!#REF!,0)</f>
        <v>#REF!</v>
      </c>
    </row>
    <row r="327" spans="1:6" customFormat="1" ht="13.5" hidden="1" customHeight="1" thickBot="1" x14ac:dyDescent="0.3">
      <c r="B327" s="8">
        <f>IF('Items sous domaines Sciences '!G329=2,'Items sous domaines Sciences '!B329,0)</f>
        <v>0</v>
      </c>
      <c r="C327" s="8">
        <f>IF('Items sous domaines Sciences '!G329=2,'Items sous domaines Sciences '!C329,0)</f>
        <v>0</v>
      </c>
      <c r="D327" s="8">
        <f>IF('Items sous domaines Sciences '!G329=2,'Items sous domaines Sciences '!D329,0)</f>
        <v>0</v>
      </c>
      <c r="E327" s="8">
        <f>IF('Items sous domaines Sciences '!G329=2,'Items sous domaines Sciences '!E329,0)</f>
        <v>0</v>
      </c>
      <c r="F327" t="e">
        <f>IF('Items sous domaines Sciences '!#REF!=2,'Items sous domaines Sciences '!#REF!,0)</f>
        <v>#REF!</v>
      </c>
    </row>
    <row r="328" spans="1:6" customFormat="1" ht="13.5" hidden="1" customHeight="1" thickBot="1" x14ac:dyDescent="0.3">
      <c r="B328" s="8">
        <f>IF('Items sous domaines Sciences '!G330=2,'Items sous domaines Sciences '!B330,0)</f>
        <v>0</v>
      </c>
      <c r="C328" s="8">
        <f>IF('Items sous domaines Sciences '!G330=2,'Items sous domaines Sciences '!C330,0)</f>
        <v>0</v>
      </c>
      <c r="D328" s="8">
        <f>IF('Items sous domaines Sciences '!G330=2,'Items sous domaines Sciences '!D330,0)</f>
        <v>0</v>
      </c>
      <c r="E328" s="8">
        <f>IF('Items sous domaines Sciences '!G330=2,'Items sous domaines Sciences '!E330,0)</f>
        <v>0</v>
      </c>
      <c r="F328" t="e">
        <f>IF('Items sous domaines Sciences '!#REF!=2,'Items sous domaines Sciences '!#REF!,0)</f>
        <v>#REF!</v>
      </c>
    </row>
    <row r="329" spans="1:6" customFormat="1" ht="13.5" hidden="1" customHeight="1" thickBot="1" x14ac:dyDescent="0.3">
      <c r="B329" s="8">
        <f>IF('Items sous domaines Sciences '!G331=2,'Items sous domaines Sciences '!B331,0)</f>
        <v>0</v>
      </c>
      <c r="C329" s="8">
        <f>IF('Items sous domaines Sciences '!G331=2,'Items sous domaines Sciences '!C331,0)</f>
        <v>0</v>
      </c>
      <c r="D329" s="8">
        <f>IF('Items sous domaines Sciences '!G331=2,'Items sous domaines Sciences '!D331,0)</f>
        <v>0</v>
      </c>
      <c r="E329" s="8">
        <f>IF('Items sous domaines Sciences '!G331=2,'Items sous domaines Sciences '!E331,0)</f>
        <v>0</v>
      </c>
      <c r="F329" t="e">
        <f>IF('Items sous domaines Sciences '!#REF!=2,'Items sous domaines Sciences '!#REF!,0)</f>
        <v>#REF!</v>
      </c>
    </row>
    <row r="330" spans="1:6" customFormat="1" ht="13.5" hidden="1" customHeight="1" thickBot="1" x14ac:dyDescent="0.3">
      <c r="B330" s="8">
        <f>IF('Items sous domaines Sciences '!G332=2,'Items sous domaines Sciences '!B332,0)</f>
        <v>0</v>
      </c>
      <c r="C330" s="8">
        <f>IF('Items sous domaines Sciences '!G332=2,'Items sous domaines Sciences '!C332,0)</f>
        <v>0</v>
      </c>
      <c r="D330" s="8">
        <f>IF('Items sous domaines Sciences '!G332=2,'Items sous domaines Sciences '!D332,0)</f>
        <v>0</v>
      </c>
      <c r="E330" s="8">
        <f>IF('Items sous domaines Sciences '!G332=2,'Items sous domaines Sciences '!E332,0)</f>
        <v>0</v>
      </c>
      <c r="F330" t="e">
        <f>IF('Items sous domaines Sciences '!#REF!=2,'Items sous domaines Sciences '!#REF!,0)</f>
        <v>#REF!</v>
      </c>
    </row>
    <row r="331" spans="1:6" customFormat="1" ht="13.5" hidden="1" customHeight="1" thickBot="1" x14ac:dyDescent="0.3">
      <c r="B331" s="8">
        <f>IF('Items sous domaines Sciences '!G333=2,'Items sous domaines Sciences '!B333,0)</f>
        <v>0</v>
      </c>
      <c r="C331" s="8">
        <f>IF('Items sous domaines Sciences '!G333=2,'Items sous domaines Sciences '!C333,0)</f>
        <v>0</v>
      </c>
      <c r="D331" s="8">
        <f>IF('Items sous domaines Sciences '!G333=2,'Items sous domaines Sciences '!D333,0)</f>
        <v>0</v>
      </c>
      <c r="E331" s="8">
        <f>IF('Items sous domaines Sciences '!G333=2,'Items sous domaines Sciences '!E333,0)</f>
        <v>0</v>
      </c>
      <c r="F331" t="e">
        <f>IF('Items sous domaines Sciences '!#REF!=2,'Items sous domaines Sciences '!#REF!,0)</f>
        <v>#REF!</v>
      </c>
    </row>
    <row r="332" spans="1:6" customFormat="1" ht="13.5" hidden="1" customHeight="1" thickBot="1" x14ac:dyDescent="0.3">
      <c r="B332" s="8">
        <f>IF('Items sous domaines Sciences '!G334=2,'Items sous domaines Sciences '!B334,0)</f>
        <v>0</v>
      </c>
      <c r="C332" s="8">
        <f>IF('Items sous domaines Sciences '!G334=2,'Items sous domaines Sciences '!C334,0)</f>
        <v>0</v>
      </c>
      <c r="D332" s="8">
        <f>IF('Items sous domaines Sciences '!G334=2,'Items sous domaines Sciences '!D334,0)</f>
        <v>0</v>
      </c>
      <c r="E332" s="8">
        <f>IF('Items sous domaines Sciences '!G334=2,'Items sous domaines Sciences '!E334,0)</f>
        <v>0</v>
      </c>
      <c r="F332" t="e">
        <f>IF('Items sous domaines Sciences '!#REF!=2,'Items sous domaines Sciences '!#REF!,0)</f>
        <v>#REF!</v>
      </c>
    </row>
    <row r="333" spans="1:6" customFormat="1" ht="13.5" hidden="1" customHeight="1" thickBot="1" x14ac:dyDescent="0.3">
      <c r="B333" s="8">
        <f>IF('Items sous domaines Sciences '!G335=2,'Items sous domaines Sciences '!B335,0)</f>
        <v>0</v>
      </c>
      <c r="C333" s="8">
        <f>IF('Items sous domaines Sciences '!G335=2,'Items sous domaines Sciences '!C335,0)</f>
        <v>0</v>
      </c>
      <c r="D333" s="8">
        <f>IF('Items sous domaines Sciences '!G335=2,'Items sous domaines Sciences '!D335,0)</f>
        <v>0</v>
      </c>
      <c r="E333" s="8">
        <f>IF('Items sous domaines Sciences '!G335=2,'Items sous domaines Sciences '!E335,0)</f>
        <v>0</v>
      </c>
      <c r="F333" t="e">
        <f>IF('Items sous domaines Sciences '!#REF!=2,'Items sous domaines Sciences '!#REF!,0)</f>
        <v>#REF!</v>
      </c>
    </row>
    <row r="334" spans="1:6" customFormat="1" ht="13.5" hidden="1" customHeight="1" thickBot="1" x14ac:dyDescent="0.3">
      <c r="B334" s="8">
        <f>IF('Items sous domaines Sciences '!G336=2,'Items sous domaines Sciences '!B336,0)</f>
        <v>0</v>
      </c>
      <c r="C334" s="8">
        <f>IF('Items sous domaines Sciences '!G336=2,'Items sous domaines Sciences '!C336,0)</f>
        <v>0</v>
      </c>
      <c r="D334" s="8">
        <f>IF('Items sous domaines Sciences '!G336=2,'Items sous domaines Sciences '!D336,0)</f>
        <v>0</v>
      </c>
      <c r="E334" s="8">
        <f>IF('Items sous domaines Sciences '!G336=2,'Items sous domaines Sciences '!E336,0)</f>
        <v>0</v>
      </c>
      <c r="F334" t="e">
        <f>IF('Items sous domaines Sciences '!#REF!=2,'Items sous domaines Sciences '!#REF!,0)</f>
        <v>#REF!</v>
      </c>
    </row>
    <row r="335" spans="1:6" customFormat="1" ht="13.5" hidden="1" customHeight="1" thickBot="1" x14ac:dyDescent="0.3">
      <c r="B335" s="8">
        <f>IF('Items sous domaines Sciences '!G337=2,'Items sous domaines Sciences '!B337,0)</f>
        <v>0</v>
      </c>
      <c r="C335" s="8">
        <f>IF('Items sous domaines Sciences '!G337=2,'Items sous domaines Sciences '!C337,0)</f>
        <v>0</v>
      </c>
      <c r="D335" s="8">
        <f>IF('Items sous domaines Sciences '!G337=2,'Items sous domaines Sciences '!D337,0)</f>
        <v>0</v>
      </c>
      <c r="E335" s="8">
        <f>IF('Items sous domaines Sciences '!G337=2,'Items sous domaines Sciences '!E337,0)</f>
        <v>0</v>
      </c>
      <c r="F335" t="e">
        <f>IF('Items sous domaines Sciences '!#REF!=2,'Items sous domaines Sciences '!#REF!,0)</f>
        <v>#REF!</v>
      </c>
    </row>
    <row r="336" spans="1:6" customFormat="1" ht="13.5" hidden="1" customHeight="1" thickBot="1" x14ac:dyDescent="0.3">
      <c r="B336" s="8">
        <f>IF('Items sous domaines Sciences '!G338=2,'Items sous domaines Sciences '!B338,0)</f>
        <v>0</v>
      </c>
      <c r="C336" s="8">
        <f>IF('Items sous domaines Sciences '!G338=2,'Items sous domaines Sciences '!C338,0)</f>
        <v>0</v>
      </c>
      <c r="D336" s="8">
        <f>IF('Items sous domaines Sciences '!G338=2,'Items sous domaines Sciences '!D338,0)</f>
        <v>0</v>
      </c>
      <c r="E336" s="8">
        <f>IF('Items sous domaines Sciences '!G338=2,'Items sous domaines Sciences '!E338,0)</f>
        <v>0</v>
      </c>
      <c r="F336" t="e">
        <f>IF('Items sous domaines Sciences '!#REF!=2,'Items sous domaines Sciences '!#REF!,0)</f>
        <v>#REF!</v>
      </c>
    </row>
    <row r="337" spans="1:7" customFormat="1" ht="17.399999999999999" hidden="1" customHeight="1" thickBot="1" x14ac:dyDescent="0.3">
      <c r="B337" s="8">
        <f>IF('Items sous domaines Sciences '!G339=2,'Items sous domaines Sciences '!B339,0)</f>
        <v>0</v>
      </c>
      <c r="C337" s="8">
        <f>IF('Items sous domaines Sciences '!G339=2,'Items sous domaines Sciences '!C339,0)</f>
        <v>0</v>
      </c>
      <c r="D337" s="8">
        <f>IF('Items sous domaines Sciences '!G339=2,'Items sous domaines Sciences '!D339,0)</f>
        <v>0</v>
      </c>
      <c r="E337" s="8">
        <f>IF('Items sous domaines Sciences '!G339=2,'Items sous domaines Sciences '!E339,0)</f>
        <v>0</v>
      </c>
      <c r="F337" t="e">
        <f>IF('Items sous domaines Sciences '!#REF!=2,'Items sous domaines Sciences '!#REF!,0)</f>
        <v>#REF!</v>
      </c>
    </row>
    <row r="338" spans="1:7" customFormat="1" ht="17.399999999999999" hidden="1" customHeight="1" thickBot="1" x14ac:dyDescent="0.3">
      <c r="B338" s="8">
        <f>IF('Items sous domaines Sciences '!G340=2,'Items sous domaines Sciences '!B340,0)</f>
        <v>0</v>
      </c>
      <c r="C338" s="8">
        <f>IF('Items sous domaines Sciences '!G340=2,'Items sous domaines Sciences '!C340,0)</f>
        <v>0</v>
      </c>
      <c r="D338" s="8">
        <f>IF('Items sous domaines Sciences '!G340=2,'Items sous domaines Sciences '!D340,0)</f>
        <v>0</v>
      </c>
      <c r="E338" s="8">
        <f>IF('Items sous domaines Sciences '!G340=2,'Items sous domaines Sciences '!E340,0)</f>
        <v>0</v>
      </c>
      <c r="F338" t="e">
        <f>IF('Items sous domaines Sciences '!#REF!=2,'Items sous domaines Sciences '!#REF!,0)</f>
        <v>#REF!</v>
      </c>
    </row>
    <row r="339" spans="1:7" customFormat="1" ht="17.399999999999999" hidden="1" customHeight="1" thickBot="1" x14ac:dyDescent="0.3">
      <c r="B339" s="8">
        <f>IF('Items sous domaines Sciences '!G341=2,'Items sous domaines Sciences '!B341,0)</f>
        <v>0</v>
      </c>
      <c r="C339" s="8">
        <f>IF('Items sous domaines Sciences '!G341=2,'Items sous domaines Sciences '!C341,0)</f>
        <v>0</v>
      </c>
      <c r="D339" s="8">
        <f>IF('Items sous domaines Sciences '!G341=2,'Items sous domaines Sciences '!D341,0)</f>
        <v>0</v>
      </c>
      <c r="E339" s="8">
        <f>IF('Items sous domaines Sciences '!G341=2,'Items sous domaines Sciences '!E341,0)</f>
        <v>0</v>
      </c>
      <c r="F339" t="e">
        <f>IF('Items sous domaines Sciences '!#REF!=2,'Items sous domaines Sciences '!#REF!,0)</f>
        <v>#REF!</v>
      </c>
    </row>
    <row r="340" spans="1:7" customFormat="1" ht="17.399999999999999" hidden="1" customHeight="1" thickBot="1" x14ac:dyDescent="0.3">
      <c r="B340" s="8">
        <f>IF('Items sous domaines Sciences '!G342=2,'Items sous domaines Sciences '!B342,0)</f>
        <v>0</v>
      </c>
      <c r="C340" s="8">
        <f>IF('Items sous domaines Sciences '!G342=2,'Items sous domaines Sciences '!C342,0)</f>
        <v>0</v>
      </c>
      <c r="D340" s="8">
        <f>IF('Items sous domaines Sciences '!G342=2,'Items sous domaines Sciences '!D342,0)</f>
        <v>0</v>
      </c>
      <c r="E340" s="8">
        <f>IF('Items sous domaines Sciences '!G342=2,'Items sous domaines Sciences '!E342,0)</f>
        <v>0</v>
      </c>
      <c r="F340" t="e">
        <f>IF('Items sous domaines Sciences '!#REF!=2,'Items sous domaines Sciences '!#REF!,0)</f>
        <v>#REF!</v>
      </c>
    </row>
    <row r="341" spans="1:7" customFormat="1" ht="17.399999999999999" hidden="1" customHeight="1" thickBot="1" x14ac:dyDescent="0.3">
      <c r="B341" s="8">
        <f>IF('Items sous domaines Sciences '!G343=2,'Items sous domaines Sciences '!B343,0)</f>
        <v>0</v>
      </c>
      <c r="C341" s="8">
        <f>IF('Items sous domaines Sciences '!G343=2,'Items sous domaines Sciences '!C343,0)</f>
        <v>0</v>
      </c>
      <c r="D341" s="8">
        <f>IF('Items sous domaines Sciences '!G343=2,'Items sous domaines Sciences '!D343,0)</f>
        <v>0</v>
      </c>
      <c r="E341" s="8">
        <f>IF('Items sous domaines Sciences '!G343=2,'Items sous domaines Sciences '!E343,0)</f>
        <v>0</v>
      </c>
      <c r="F341" t="e">
        <f>IF('Items sous domaines Sciences '!#REF!=2,'Items sous domaines Sciences '!#REF!,0)</f>
        <v>#REF!</v>
      </c>
    </row>
    <row r="342" spans="1:7" customFormat="1" ht="17.399999999999999" hidden="1" customHeight="1" thickBot="1" x14ac:dyDescent="0.3">
      <c r="B342" s="8">
        <f>IF('Items sous domaines Sciences '!G344=2,'Items sous domaines Sciences '!B344,0)</f>
        <v>0</v>
      </c>
      <c r="C342" s="8">
        <f>IF('Items sous domaines Sciences '!G344=2,'Items sous domaines Sciences '!C344,0)</f>
        <v>0</v>
      </c>
      <c r="D342" s="8">
        <f>IF('Items sous domaines Sciences '!G344=2,'Items sous domaines Sciences '!D344,0)</f>
        <v>0</v>
      </c>
      <c r="E342" s="8">
        <f>IF('Items sous domaines Sciences '!G344=2,'Items sous domaines Sciences '!E344,0)</f>
        <v>0</v>
      </c>
      <c r="F342" t="e">
        <f>IF('Items sous domaines Sciences '!#REF!=2,'Items sous domaines Sciences '!#REF!,0)</f>
        <v>#REF!</v>
      </c>
    </row>
    <row r="343" spans="1:7" customFormat="1" ht="17.399999999999999" hidden="1" customHeight="1" thickBot="1" x14ac:dyDescent="0.3">
      <c r="A343" s="10" t="s">
        <v>423</v>
      </c>
      <c r="B343" s="8">
        <f>IF('Items sous domaines Sciences '!G345=2,'Items sous domaines Sciences '!B345,0)</f>
        <v>0</v>
      </c>
      <c r="C343" s="8">
        <f>IF('Items sous domaines Sciences '!G345=2,'Items sous domaines Sciences '!C345,0)</f>
        <v>0</v>
      </c>
      <c r="D343" s="8">
        <f>IF('Items sous domaines Sciences '!G345=2,'Items sous domaines Sciences '!D345,0)</f>
        <v>0</v>
      </c>
      <c r="E343" s="8">
        <f>IF('Items sous domaines Sciences '!G345=2,'Items sous domaines Sciences '!E345,0)</f>
        <v>0</v>
      </c>
      <c r="F343" t="e">
        <f>IF('Items sous domaines Sciences '!#REF!=2,'Items sous domaines Sciences '!#REF!,0)</f>
        <v>#REF!</v>
      </c>
    </row>
    <row r="344" spans="1:7" customFormat="1" ht="17.399999999999999" hidden="1" customHeight="1" thickBot="1" x14ac:dyDescent="0.3">
      <c r="A344" s="11"/>
      <c r="B344" s="8">
        <f>IF('Items sous domaines Sciences '!G346=2,'Items sous domaines Sciences '!B346,0)</f>
        <v>0</v>
      </c>
      <c r="C344" s="8">
        <f>IF('Items sous domaines Sciences '!G346=2,'Items sous domaines Sciences '!C346,0)</f>
        <v>0</v>
      </c>
      <c r="D344" s="8">
        <f>IF('Items sous domaines Sciences '!G346=2,'Items sous domaines Sciences '!D346,0)</f>
        <v>0</v>
      </c>
      <c r="E344" s="8">
        <f>IF('Items sous domaines Sciences '!G346=2,'Items sous domaines Sciences '!E346,0)</f>
        <v>0</v>
      </c>
      <c r="F344" t="e">
        <f>IF('Items sous domaines Sciences '!#REF!=2,'Items sous domaines Sciences '!#REF!,0)</f>
        <v>#REF!</v>
      </c>
    </row>
    <row r="345" spans="1:7" customFormat="1" ht="17.399999999999999" hidden="1" customHeight="1" thickBot="1" x14ac:dyDescent="0.3">
      <c r="A345" s="11"/>
      <c r="B345" s="8">
        <f>IF('Items sous domaines Sciences '!G347=2,'Items sous domaines Sciences '!B347,0)</f>
        <v>0</v>
      </c>
      <c r="C345" s="8">
        <f>IF('Items sous domaines Sciences '!G347=2,'Items sous domaines Sciences '!C347,0)</f>
        <v>0</v>
      </c>
      <c r="D345" s="8">
        <f>IF('Items sous domaines Sciences '!G347=2,'Items sous domaines Sciences '!D347,0)</f>
        <v>0</v>
      </c>
      <c r="E345" s="8">
        <f>IF('Items sous domaines Sciences '!G347=2,'Items sous domaines Sciences '!E347,0)</f>
        <v>0</v>
      </c>
      <c r="F345" t="e">
        <f>IF('Items sous domaines Sciences '!#REF!=2,'Items sous domaines Sciences '!#REF!,0)</f>
        <v>#REF!</v>
      </c>
    </row>
    <row r="346" spans="1:7" customFormat="1" ht="17.399999999999999" hidden="1" customHeight="1" thickBot="1" x14ac:dyDescent="0.3">
      <c r="A346" s="11"/>
      <c r="B346" s="8">
        <f>IF('Items sous domaines Sciences '!G348=2,'Items sous domaines Sciences '!B348,0)</f>
        <v>0</v>
      </c>
      <c r="C346" s="8">
        <f>IF('Items sous domaines Sciences '!G348=2,'Items sous domaines Sciences '!C348,0)</f>
        <v>0</v>
      </c>
      <c r="D346" s="8">
        <f>IF('Items sous domaines Sciences '!G348=2,'Items sous domaines Sciences '!D348,0)</f>
        <v>0</v>
      </c>
      <c r="E346" s="8">
        <f>IF('Items sous domaines Sciences '!G348=2,'Items sous domaines Sciences '!E348,0)</f>
        <v>0</v>
      </c>
      <c r="F346" t="e">
        <f>IF('Items sous domaines Sciences '!#REF!=2,'Items sous domaines Sciences '!#REF!,0)</f>
        <v>#REF!</v>
      </c>
    </row>
    <row r="347" spans="1:7" customFormat="1" ht="17.399999999999999" hidden="1" customHeight="1" thickBot="1" x14ac:dyDescent="0.3">
      <c r="A347" s="11"/>
      <c r="B347" s="8">
        <f>IF('Items sous domaines Sciences '!G349=2,'Items sous domaines Sciences '!B349,0)</f>
        <v>0</v>
      </c>
      <c r="C347" s="8">
        <f>IF('Items sous domaines Sciences '!G349=2,'Items sous domaines Sciences '!C349,0)</f>
        <v>0</v>
      </c>
      <c r="D347" s="8">
        <f>IF('Items sous domaines Sciences '!G349=2,'Items sous domaines Sciences '!D349,0)</f>
        <v>0</v>
      </c>
      <c r="E347" s="8">
        <f>IF('Items sous domaines Sciences '!G349=2,'Items sous domaines Sciences '!E349,0)</f>
        <v>0</v>
      </c>
      <c r="F347" t="e">
        <f>IF('Items sous domaines Sciences '!#REF!=2,'Items sous domaines Sciences '!#REF!,0)</f>
        <v>#REF!</v>
      </c>
    </row>
    <row r="348" spans="1:7" customFormat="1" ht="13.5" hidden="1" customHeight="1" thickBot="1" x14ac:dyDescent="0.3">
      <c r="A348" s="11"/>
      <c r="B348" s="8">
        <f>IF('Items sous domaines Sciences '!G350=2,'Items sous domaines Sciences '!B350,0)</f>
        <v>0</v>
      </c>
      <c r="C348" s="8">
        <f>IF('Items sous domaines Sciences '!G350=2,'Items sous domaines Sciences '!C350,0)</f>
        <v>0</v>
      </c>
      <c r="D348" s="8">
        <f>IF('Items sous domaines Sciences '!G350=2,'Items sous domaines Sciences '!D350,0)</f>
        <v>0</v>
      </c>
      <c r="E348" s="8">
        <f>IF('Items sous domaines Sciences '!G350=2,'Items sous domaines Sciences '!E350,0)</f>
        <v>0</v>
      </c>
      <c r="F348" t="e">
        <f>IF('Items sous domaines Sciences '!#REF!=2,'Items sous domaines Sciences '!#REF!,0)</f>
        <v>#REF!</v>
      </c>
    </row>
    <row r="349" spans="1:7" customFormat="1" ht="13.5" hidden="1" customHeight="1" thickBot="1" x14ac:dyDescent="0.3">
      <c r="A349" s="11"/>
      <c r="B349" s="8">
        <f>IF('Items sous domaines Sciences '!G351=2,'Items sous domaines Sciences '!B351,0)</f>
        <v>0</v>
      </c>
      <c r="C349" s="8">
        <f>IF('Items sous domaines Sciences '!G351=2,'Items sous domaines Sciences '!C351,0)</f>
        <v>0</v>
      </c>
      <c r="D349" s="8">
        <f>IF('Items sous domaines Sciences '!G351=2,'Items sous domaines Sciences '!D351,0)</f>
        <v>0</v>
      </c>
      <c r="E349" s="8">
        <f>IF('Items sous domaines Sciences '!G351=2,'Items sous domaines Sciences '!E351,0)</f>
        <v>0</v>
      </c>
      <c r="F349" t="e">
        <f>IF('Items sous domaines Sciences '!#REF!=2,'Items sous domaines Sciences '!#REF!,0)</f>
        <v>#REF!</v>
      </c>
    </row>
    <row r="350" spans="1:7" customFormat="1" ht="12.75" hidden="1" customHeight="1" thickBot="1" x14ac:dyDescent="0.3">
      <c r="A350" s="11"/>
      <c r="B350" s="8">
        <f>IF('Items sous domaines Sciences '!G352=2,'Items sous domaines Sciences '!B352,0)</f>
        <v>0</v>
      </c>
      <c r="C350" s="8">
        <f>IF('Items sous domaines Sciences '!G352=2,'Items sous domaines Sciences '!C352,0)</f>
        <v>0</v>
      </c>
      <c r="D350" s="8">
        <f>IF('Items sous domaines Sciences '!G352=2,'Items sous domaines Sciences '!D352,0)</f>
        <v>0</v>
      </c>
      <c r="E350" s="8">
        <f>IF('Items sous domaines Sciences '!G352=2,'Items sous domaines Sciences '!E352,0)</f>
        <v>0</v>
      </c>
      <c r="F350" t="e">
        <f>IF('Items sous domaines Sciences '!#REF!=2,'Items sous domaines Sciences '!#REF!,0)</f>
        <v>#REF!</v>
      </c>
    </row>
    <row r="351" spans="1:7" customFormat="1" ht="13.5" hidden="1" customHeight="1" thickBot="1" x14ac:dyDescent="0.3">
      <c r="A351" s="11"/>
      <c r="B351" s="8">
        <f>IF('Items sous domaines Sciences '!G353=2,'Items sous domaines Sciences '!B353,0)</f>
        <v>0</v>
      </c>
      <c r="C351" s="8">
        <f>IF('Items sous domaines Sciences '!G353=2,'Items sous domaines Sciences '!C353,0)</f>
        <v>0</v>
      </c>
      <c r="D351" s="8">
        <f>IF('Items sous domaines Sciences '!G353=2,'Items sous domaines Sciences '!D353,0)</f>
        <v>0</v>
      </c>
      <c r="E351" s="8">
        <f>IF('Items sous domaines Sciences '!G353=2,'Items sous domaines Sciences '!E353,0)</f>
        <v>0</v>
      </c>
      <c r="F351" t="e">
        <f>IF('Items sous domaines Sciences '!#REF!=2,'Items sous domaines Sciences '!#REF!,0)</f>
        <v>#REF!</v>
      </c>
    </row>
    <row r="352" spans="1:7" customFormat="1" ht="13.2" hidden="1" x14ac:dyDescent="0.25">
      <c r="A352" s="414" t="s">
        <v>450</v>
      </c>
      <c r="B352" s="8">
        <f>IF('Items sous domaines Sciences '!G354=2,'Items sous domaines Sciences '!B354,0)</f>
        <v>0</v>
      </c>
      <c r="C352" s="8">
        <f>IF('Items sous domaines Sciences '!G354=2,'Items sous domaines Sciences '!C354,0)</f>
        <v>0</v>
      </c>
      <c r="D352" s="8">
        <f>IF('Items sous domaines Sciences '!G354=2,'Items sous domaines Sciences '!D354,0)</f>
        <v>0</v>
      </c>
      <c r="E352" s="8">
        <f>IF('Items sous domaines Sciences '!G354=2,'Items sous domaines Sciences '!E354,0)</f>
        <v>0</v>
      </c>
      <c r="F352" s="409" t="s">
        <v>451</v>
      </c>
      <c r="G352" s="331" t="s">
        <v>452</v>
      </c>
    </row>
    <row r="353" spans="1:7" customFormat="1" ht="13.2" hidden="1" x14ac:dyDescent="0.25">
      <c r="A353" s="415"/>
      <c r="B353" s="8">
        <f>IF('Items sous domaines Sciences '!G355=2,'Items sous domaines Sciences '!B355,0)</f>
        <v>0</v>
      </c>
      <c r="C353" s="8">
        <f>IF('Items sous domaines Sciences '!G355=2,'Items sous domaines Sciences '!C355,0)</f>
        <v>0</v>
      </c>
      <c r="D353" s="8">
        <f>IF('Items sous domaines Sciences '!G355=2,'Items sous domaines Sciences '!D355,0)</f>
        <v>0</v>
      </c>
      <c r="E353" s="8">
        <f>IF('Items sous domaines Sciences '!G355=2,'Items sous domaines Sciences '!E355,0)</f>
        <v>0</v>
      </c>
      <c r="F353" s="410"/>
      <c r="G353" s="331"/>
    </row>
    <row r="354" spans="1:7" customFormat="1" ht="13.2" hidden="1" x14ac:dyDescent="0.25">
      <c r="A354" s="415"/>
      <c r="B354" s="8">
        <f>IF('Items sous domaines Sciences '!G356=2,'Items sous domaines Sciences '!B356,0)</f>
        <v>0</v>
      </c>
      <c r="C354" s="8">
        <f>IF('Items sous domaines Sciences '!G356=2,'Items sous domaines Sciences '!C356,0)</f>
        <v>0</v>
      </c>
      <c r="D354" s="8">
        <f>IF('Items sous domaines Sciences '!G356=2,'Items sous domaines Sciences '!D356,0)</f>
        <v>0</v>
      </c>
      <c r="E354" s="8">
        <f>IF('Items sous domaines Sciences '!G356=2,'Items sous domaines Sciences '!E356,0)</f>
        <v>0</v>
      </c>
      <c r="F354" s="410"/>
      <c r="G354" s="331"/>
    </row>
    <row r="355" spans="1:7" customFormat="1" ht="13.2" hidden="1" x14ac:dyDescent="0.25">
      <c r="A355" s="415"/>
      <c r="B355" s="8">
        <f>IF('Items sous domaines Sciences '!G357=2,'Items sous domaines Sciences '!B357,0)</f>
        <v>0</v>
      </c>
      <c r="C355" s="8">
        <f>IF('Items sous domaines Sciences '!G357=2,'Items sous domaines Sciences '!C357,0)</f>
        <v>0</v>
      </c>
      <c r="D355" s="8">
        <f>IF('Items sous domaines Sciences '!G357=2,'Items sous domaines Sciences '!D357,0)</f>
        <v>0</v>
      </c>
      <c r="E355" s="8">
        <f>IF('Items sous domaines Sciences '!G357=2,'Items sous domaines Sciences '!E357,0)</f>
        <v>0</v>
      </c>
      <c r="F355" s="410"/>
      <c r="G355" s="331"/>
    </row>
    <row r="356" spans="1:7" customFormat="1" ht="13.2" hidden="1" x14ac:dyDescent="0.25">
      <c r="A356" s="415"/>
      <c r="B356" s="8">
        <f>IF('Items sous domaines Sciences '!G358=2,'Items sous domaines Sciences '!B358,0)</f>
        <v>0</v>
      </c>
      <c r="C356" s="8">
        <f>IF('Items sous domaines Sciences '!G358=2,'Items sous domaines Sciences '!C358,0)</f>
        <v>0</v>
      </c>
      <c r="D356" s="8">
        <f>IF('Items sous domaines Sciences '!G358=2,'Items sous domaines Sciences '!D358,0)</f>
        <v>0</v>
      </c>
      <c r="E356" s="8">
        <f>IF('Items sous domaines Sciences '!G358=2,'Items sous domaines Sciences '!E358,0)</f>
        <v>0</v>
      </c>
      <c r="F356" s="410"/>
      <c r="G356" s="331"/>
    </row>
    <row r="357" spans="1:7" customFormat="1" ht="13.2" hidden="1" x14ac:dyDescent="0.25">
      <c r="A357" s="415"/>
      <c r="B357" s="8">
        <f>IF('Items sous domaines Sciences '!G359=2,'Items sous domaines Sciences '!B359,0)</f>
        <v>0</v>
      </c>
      <c r="C357" s="8">
        <f>IF('Items sous domaines Sciences '!G359=2,'Items sous domaines Sciences '!C359,0)</f>
        <v>0</v>
      </c>
      <c r="D357" s="8">
        <f>IF('Items sous domaines Sciences '!G359=2,'Items sous domaines Sciences '!D359,0)</f>
        <v>0</v>
      </c>
      <c r="E357" s="8">
        <f>IF('Items sous domaines Sciences '!G359=2,'Items sous domaines Sciences '!E359,0)</f>
        <v>0</v>
      </c>
      <c r="F357" s="410"/>
      <c r="G357" s="331"/>
    </row>
    <row r="358" spans="1:7" customFormat="1" ht="13.2" hidden="1" x14ac:dyDescent="0.25">
      <c r="A358" s="415"/>
      <c r="B358" s="8">
        <f>IF('Items sous domaines Sciences '!G360=2,'Items sous domaines Sciences '!B360,0)</f>
        <v>0</v>
      </c>
      <c r="C358" s="8">
        <f>IF('Items sous domaines Sciences '!G360=2,'Items sous domaines Sciences '!C360,0)</f>
        <v>0</v>
      </c>
      <c r="D358" s="8">
        <f>IF('Items sous domaines Sciences '!G360=2,'Items sous domaines Sciences '!D360,0)</f>
        <v>0</v>
      </c>
      <c r="E358" s="8">
        <f>IF('Items sous domaines Sciences '!G360=2,'Items sous domaines Sciences '!E360,0)</f>
        <v>0</v>
      </c>
      <c r="F358" s="410"/>
      <c r="G358" s="331"/>
    </row>
    <row r="359" spans="1:7" customFormat="1" ht="13.2" hidden="1" x14ac:dyDescent="0.25">
      <c r="A359" s="415"/>
      <c r="B359" s="8">
        <f>IF('Items sous domaines Sciences '!G361=2,'Items sous domaines Sciences '!B361,0)</f>
        <v>0</v>
      </c>
      <c r="C359" s="8">
        <f>IF('Items sous domaines Sciences '!G361=2,'Items sous domaines Sciences '!C361,0)</f>
        <v>0</v>
      </c>
      <c r="D359" s="8">
        <f>IF('Items sous domaines Sciences '!G361=2,'Items sous domaines Sciences '!D361,0)</f>
        <v>0</v>
      </c>
      <c r="E359" s="8">
        <f>IF('Items sous domaines Sciences '!G361=2,'Items sous domaines Sciences '!E361,0)</f>
        <v>0</v>
      </c>
      <c r="F359" s="410"/>
      <c r="G359" s="331"/>
    </row>
    <row r="360" spans="1:7" customFormat="1" ht="13.2" hidden="1" x14ac:dyDescent="0.25">
      <c r="A360" s="415"/>
      <c r="B360" s="8">
        <f>IF('Items sous domaines Sciences '!G362=2,'Items sous domaines Sciences '!B362,0)</f>
        <v>0</v>
      </c>
      <c r="C360" s="8">
        <f>IF('Items sous domaines Sciences '!G362=2,'Items sous domaines Sciences '!C362,0)</f>
        <v>0</v>
      </c>
      <c r="D360" s="8">
        <f>IF('Items sous domaines Sciences '!G362=2,'Items sous domaines Sciences '!D362,0)</f>
        <v>0</v>
      </c>
      <c r="E360" s="8">
        <f>IF('Items sous domaines Sciences '!G362=2,'Items sous domaines Sciences '!E362,0)</f>
        <v>0</v>
      </c>
      <c r="F360" s="410"/>
      <c r="G360" s="331"/>
    </row>
    <row r="361" spans="1:7" customFormat="1" ht="13.8" hidden="1" thickBot="1" x14ac:dyDescent="0.3">
      <c r="A361" s="416"/>
      <c r="B361" s="8">
        <f>IF('Items sous domaines Sciences '!G363=2,'Items sous domaines Sciences '!B363,0)</f>
        <v>0</v>
      </c>
      <c r="C361" s="8">
        <f>IF('Items sous domaines Sciences '!G363=2,'Items sous domaines Sciences '!C363,0)</f>
        <v>0</v>
      </c>
      <c r="D361" s="8">
        <f>IF('Items sous domaines Sciences '!G363=2,'Items sous domaines Sciences '!D363,0)</f>
        <v>0</v>
      </c>
      <c r="E361" s="8">
        <f>IF('Items sous domaines Sciences '!G363=2,'Items sous domaines Sciences '!E363,0)</f>
        <v>0</v>
      </c>
      <c r="F361" s="410"/>
      <c r="G361" s="331"/>
    </row>
    <row r="362" spans="1:7" customFormat="1" ht="13.5" hidden="1" customHeight="1" thickBot="1" x14ac:dyDescent="0.3">
      <c r="A362" s="7"/>
      <c r="B362" s="8">
        <f>IF('Items sous domaines Sciences '!G364=2,'Items sous domaines Sciences '!B364,0)</f>
        <v>0</v>
      </c>
      <c r="C362" s="8">
        <f>IF('Items sous domaines Sciences '!G364=2,'Items sous domaines Sciences '!C364,0)</f>
        <v>0</v>
      </c>
      <c r="D362" s="8">
        <f>IF('Items sous domaines Sciences '!G364=2,'Items sous domaines Sciences '!D364,0)</f>
        <v>0</v>
      </c>
      <c r="E362" s="8">
        <f>IF('Items sous domaines Sciences '!G364=2,'Items sous domaines Sciences '!E364,0)</f>
        <v>0</v>
      </c>
      <c r="F362" s="411"/>
      <c r="G362" s="332"/>
    </row>
    <row r="363" spans="1:7" customFormat="1" ht="13.5" hidden="1" customHeight="1" thickBot="1" x14ac:dyDescent="0.3">
      <c r="A363" s="10"/>
      <c r="B363" s="8">
        <f>IF('Items sous domaines Sciences '!G365=2,'Items sous domaines Sciences '!B365,0)</f>
        <v>0</v>
      </c>
      <c r="C363" s="8">
        <f>IF('Items sous domaines Sciences '!G365=2,'Items sous domaines Sciences '!C365,0)</f>
        <v>0</v>
      </c>
      <c r="D363" s="8">
        <f>IF('Items sous domaines Sciences '!G365=2,'Items sous domaines Sciences '!D365,0)</f>
        <v>0</v>
      </c>
      <c r="E363" s="8">
        <f>IF('Items sous domaines Sciences '!G365=2,'Items sous domaines Sciences '!E365,0)</f>
        <v>0</v>
      </c>
      <c r="F363" s="411"/>
      <c r="G363" s="332"/>
    </row>
    <row r="364" spans="1:7" customFormat="1" ht="13.5" hidden="1" customHeight="1" thickBot="1" x14ac:dyDescent="0.3">
      <c r="A364" s="11"/>
      <c r="B364" s="8">
        <f>IF('Items sous domaines Sciences '!G366=2,'Items sous domaines Sciences '!B366,0)</f>
        <v>0</v>
      </c>
      <c r="C364" s="8">
        <f>IF('Items sous domaines Sciences '!G366=2,'Items sous domaines Sciences '!C366,0)</f>
        <v>0</v>
      </c>
      <c r="D364" s="8">
        <f>IF('Items sous domaines Sciences '!G366=2,'Items sous domaines Sciences '!D366,0)</f>
        <v>0</v>
      </c>
      <c r="E364" s="8">
        <f>IF('Items sous domaines Sciences '!G366=2,'Items sous domaines Sciences '!E366,0)</f>
        <v>0</v>
      </c>
      <c r="F364" s="411"/>
      <c r="G364" s="332"/>
    </row>
    <row r="365" spans="1:7" customFormat="1" ht="13.5" hidden="1" customHeight="1" thickBot="1" x14ac:dyDescent="0.3">
      <c r="A365" s="11"/>
      <c r="B365" s="8">
        <f>IF('Items sous domaines Sciences '!G367=2,'Items sous domaines Sciences '!B367,0)</f>
        <v>0</v>
      </c>
      <c r="C365" s="8">
        <f>IF('Items sous domaines Sciences '!G367=2,'Items sous domaines Sciences '!C367,0)</f>
        <v>0</v>
      </c>
      <c r="D365" s="8">
        <f>IF('Items sous domaines Sciences '!G367=2,'Items sous domaines Sciences '!D367,0)</f>
        <v>0</v>
      </c>
      <c r="E365" s="8">
        <f>IF('Items sous domaines Sciences '!G367=2,'Items sous domaines Sciences '!E367,0)</f>
        <v>0</v>
      </c>
      <c r="F365" s="411"/>
      <c r="G365" s="332"/>
    </row>
    <row r="366" spans="1:7" customFormat="1" ht="13.5" hidden="1" customHeight="1" thickBot="1" x14ac:dyDescent="0.3">
      <c r="A366" s="11"/>
      <c r="B366" s="8">
        <f>IF('Items sous domaines Sciences '!G368=2,'Items sous domaines Sciences '!B368,0)</f>
        <v>0</v>
      </c>
      <c r="C366" s="8">
        <f>IF('Items sous domaines Sciences '!G368=2,'Items sous domaines Sciences '!C368,0)</f>
        <v>0</v>
      </c>
      <c r="D366" s="8">
        <f>IF('Items sous domaines Sciences '!G368=2,'Items sous domaines Sciences '!D368,0)</f>
        <v>0</v>
      </c>
      <c r="E366" s="8">
        <f>IF('Items sous domaines Sciences '!G368=2,'Items sous domaines Sciences '!E368,0)</f>
        <v>0</v>
      </c>
      <c r="F366" s="411"/>
      <c r="G366" s="332"/>
    </row>
    <row r="367" spans="1:7" customFormat="1" ht="13.5" hidden="1" customHeight="1" thickBot="1" x14ac:dyDescent="0.3">
      <c r="A367" s="11"/>
      <c r="B367" s="8">
        <f>IF('Items sous domaines Sciences '!G369=2,'Items sous domaines Sciences '!B369,0)</f>
        <v>0</v>
      </c>
      <c r="C367" s="8">
        <f>IF('Items sous domaines Sciences '!G369=2,'Items sous domaines Sciences '!C369,0)</f>
        <v>0</v>
      </c>
      <c r="D367" s="8">
        <f>IF('Items sous domaines Sciences '!G369=2,'Items sous domaines Sciences '!D369,0)</f>
        <v>0</v>
      </c>
      <c r="E367" s="8">
        <f>IF('Items sous domaines Sciences '!G369=2,'Items sous domaines Sciences '!E369,0)</f>
        <v>0</v>
      </c>
      <c r="F367" s="411"/>
      <c r="G367" s="332"/>
    </row>
    <row r="368" spans="1:7" customFormat="1" ht="13.5" hidden="1" customHeight="1" thickBot="1" x14ac:dyDescent="0.3">
      <c r="A368" s="11"/>
      <c r="B368" s="8">
        <f>IF('Items sous domaines Sciences '!G370=2,'Items sous domaines Sciences '!B370,0)</f>
        <v>0</v>
      </c>
      <c r="C368" s="8">
        <f>IF('Items sous domaines Sciences '!G370=2,'Items sous domaines Sciences '!C370,0)</f>
        <v>0</v>
      </c>
      <c r="D368" s="8">
        <f>IF('Items sous domaines Sciences '!G370=2,'Items sous domaines Sciences '!D370,0)</f>
        <v>0</v>
      </c>
      <c r="E368" s="8">
        <f>IF('Items sous domaines Sciences '!G370=2,'Items sous domaines Sciences '!E370,0)</f>
        <v>0</v>
      </c>
      <c r="F368" s="411"/>
      <c r="G368" s="332"/>
    </row>
    <row r="369" spans="1:7" customFormat="1" ht="13.5" hidden="1" customHeight="1" thickBot="1" x14ac:dyDescent="0.3">
      <c r="A369" s="11"/>
      <c r="B369" s="8">
        <f>IF('Items sous domaines Sciences '!G371=2,'Items sous domaines Sciences '!B371,0)</f>
        <v>0</v>
      </c>
      <c r="C369" s="8">
        <f>IF('Items sous domaines Sciences '!G371=2,'Items sous domaines Sciences '!C371,0)</f>
        <v>0</v>
      </c>
      <c r="D369" s="8">
        <f>IF('Items sous domaines Sciences '!G371=2,'Items sous domaines Sciences '!D371,0)</f>
        <v>0</v>
      </c>
      <c r="E369" s="8">
        <f>IF('Items sous domaines Sciences '!G371=2,'Items sous domaines Sciences '!E371,0)</f>
        <v>0</v>
      </c>
      <c r="F369" s="411"/>
      <c r="G369" s="332"/>
    </row>
    <row r="370" spans="1:7" customFormat="1" ht="13.5" hidden="1" customHeight="1" thickBot="1" x14ac:dyDescent="0.3">
      <c r="A370" s="403" t="s">
        <v>453</v>
      </c>
      <c r="B370" s="8">
        <f>IF('Items sous domaines Sciences '!G372=2,'Items sous domaines Sciences '!B372,0)</f>
        <v>0</v>
      </c>
      <c r="C370" s="8">
        <f>IF('Items sous domaines Sciences '!G372=2,'Items sous domaines Sciences '!C372,0)</f>
        <v>0</v>
      </c>
      <c r="D370" s="8">
        <f>IF('Items sous domaines Sciences '!G372=2,'Items sous domaines Sciences '!D372,0)</f>
        <v>0</v>
      </c>
      <c r="E370" s="8">
        <f>IF('Items sous domaines Sciences '!G372=2,'Items sous domaines Sciences '!E372,0)</f>
        <v>0</v>
      </c>
      <c r="F370" s="410"/>
      <c r="G370" s="331"/>
    </row>
    <row r="371" spans="1:7" customFormat="1" ht="13.2" hidden="1" x14ac:dyDescent="0.25">
      <c r="A371" s="403"/>
      <c r="B371" s="8">
        <f>IF('Items sous domaines Sciences '!G373=2,'Items sous domaines Sciences '!B373,0)</f>
        <v>0</v>
      </c>
      <c r="C371" s="8">
        <f>IF('Items sous domaines Sciences '!G373=2,'Items sous domaines Sciences '!C373,0)</f>
        <v>0</v>
      </c>
      <c r="D371" s="8">
        <f>IF('Items sous domaines Sciences '!G373=2,'Items sous domaines Sciences '!D373,0)</f>
        <v>0</v>
      </c>
      <c r="E371" s="8">
        <f>IF('Items sous domaines Sciences '!G373=2,'Items sous domaines Sciences '!E373,0)</f>
        <v>0</v>
      </c>
      <c r="F371" s="410"/>
      <c r="G371" s="331"/>
    </row>
    <row r="372" spans="1:7" customFormat="1" ht="13.2" hidden="1" x14ac:dyDescent="0.25">
      <c r="A372" s="403"/>
      <c r="B372" s="8">
        <f>IF('Items sous domaines Sciences '!G374=2,'Items sous domaines Sciences '!B374,0)</f>
        <v>0</v>
      </c>
      <c r="C372" s="8">
        <f>IF('Items sous domaines Sciences '!G374=2,'Items sous domaines Sciences '!C374,0)</f>
        <v>0</v>
      </c>
      <c r="D372" s="8">
        <f>IF('Items sous domaines Sciences '!G374=2,'Items sous domaines Sciences '!D374,0)</f>
        <v>0</v>
      </c>
      <c r="E372" s="8">
        <f>IF('Items sous domaines Sciences '!G374=2,'Items sous domaines Sciences '!E374,0)</f>
        <v>0</v>
      </c>
      <c r="F372" s="410"/>
      <c r="G372" s="331"/>
    </row>
    <row r="373" spans="1:7" customFormat="1" ht="13.2" hidden="1" x14ac:dyDescent="0.25">
      <c r="A373" s="403"/>
      <c r="B373" s="8">
        <f>IF('Items sous domaines Sciences '!G375=2,'Items sous domaines Sciences '!B375,0)</f>
        <v>0</v>
      </c>
      <c r="C373" s="8">
        <f>IF('Items sous domaines Sciences '!G375=2,'Items sous domaines Sciences '!C375,0)</f>
        <v>0</v>
      </c>
      <c r="D373" s="8">
        <f>IF('Items sous domaines Sciences '!G375=2,'Items sous domaines Sciences '!D375,0)</f>
        <v>0</v>
      </c>
      <c r="E373" s="8">
        <f>IF('Items sous domaines Sciences '!G375=2,'Items sous domaines Sciences '!E375,0)</f>
        <v>0</v>
      </c>
      <c r="F373" s="410"/>
      <c r="G373" s="331"/>
    </row>
    <row r="374" spans="1:7" customFormat="1" ht="13.2" hidden="1" x14ac:dyDescent="0.25">
      <c r="A374" s="403"/>
      <c r="B374" s="8">
        <f>IF('Items sous domaines Sciences '!G376=2,'Items sous domaines Sciences '!B376,0)</f>
        <v>0</v>
      </c>
      <c r="C374" s="8">
        <f>IF('Items sous domaines Sciences '!G376=2,'Items sous domaines Sciences '!C376,0)</f>
        <v>0</v>
      </c>
      <c r="D374" s="8">
        <f>IF('Items sous domaines Sciences '!G376=2,'Items sous domaines Sciences '!D376,0)</f>
        <v>0</v>
      </c>
      <c r="E374" s="8">
        <f>IF('Items sous domaines Sciences '!G376=2,'Items sous domaines Sciences '!E376,0)</f>
        <v>0</v>
      </c>
      <c r="F374" s="410"/>
      <c r="G374" s="331"/>
    </row>
    <row r="375" spans="1:7" customFormat="1" ht="13.2" hidden="1" x14ac:dyDescent="0.25">
      <c r="A375" s="403"/>
      <c r="B375" s="8">
        <f>IF('Items sous domaines Sciences '!G377=2,'Items sous domaines Sciences '!B377,0)</f>
        <v>0</v>
      </c>
      <c r="C375" s="8">
        <f>IF('Items sous domaines Sciences '!G377=2,'Items sous domaines Sciences '!C377,0)</f>
        <v>0</v>
      </c>
      <c r="D375" s="8">
        <f>IF('Items sous domaines Sciences '!G377=2,'Items sous domaines Sciences '!D377,0)</f>
        <v>0</v>
      </c>
      <c r="E375" s="8">
        <f>IF('Items sous domaines Sciences '!G377=2,'Items sous domaines Sciences '!E377,0)</f>
        <v>0</v>
      </c>
      <c r="F375" s="410"/>
      <c r="G375" s="331"/>
    </row>
    <row r="376" spans="1:7" customFormat="1" ht="13.2" hidden="1" x14ac:dyDescent="0.25">
      <c r="A376" s="403"/>
      <c r="B376" s="8">
        <f>IF('Items sous domaines Sciences '!G378=2,'Items sous domaines Sciences '!B378,0)</f>
        <v>0</v>
      </c>
      <c r="C376" s="8">
        <f>IF('Items sous domaines Sciences '!G378=2,'Items sous domaines Sciences '!C378,0)</f>
        <v>0</v>
      </c>
      <c r="D376" s="8">
        <f>IF('Items sous domaines Sciences '!G378=2,'Items sous domaines Sciences '!D378,0)</f>
        <v>0</v>
      </c>
      <c r="E376" s="8">
        <f>IF('Items sous domaines Sciences '!G378=2,'Items sous domaines Sciences '!E378,0)</f>
        <v>0</v>
      </c>
      <c r="F376" s="410"/>
      <c r="G376" s="331"/>
    </row>
    <row r="377" spans="1:7" customFormat="1" ht="13.8" hidden="1" thickBot="1" x14ac:dyDescent="0.3">
      <c r="A377" s="404"/>
      <c r="B377" s="8">
        <f>IF('Items sous domaines Sciences '!G379=2,'Items sous domaines Sciences '!B379,0)</f>
        <v>0</v>
      </c>
      <c r="C377" s="8">
        <f>IF('Items sous domaines Sciences '!G379=2,'Items sous domaines Sciences '!C379,0)</f>
        <v>0</v>
      </c>
      <c r="D377" s="8">
        <f>IF('Items sous domaines Sciences '!G379=2,'Items sous domaines Sciences '!D379,0)</f>
        <v>0</v>
      </c>
      <c r="E377" s="8">
        <f>IF('Items sous domaines Sciences '!G379=2,'Items sous domaines Sciences '!E379,0)</f>
        <v>0</v>
      </c>
      <c r="F377" s="410"/>
      <c r="G377" s="331"/>
    </row>
    <row r="378" spans="1:7" customFormat="1" ht="13.2" hidden="1" x14ac:dyDescent="0.25">
      <c r="A378" s="405" t="s">
        <v>454</v>
      </c>
      <c r="B378" s="8">
        <f>IF('Items sous domaines Sciences '!G380=2,'Items sous domaines Sciences '!B380,0)</f>
        <v>0</v>
      </c>
      <c r="C378" s="8">
        <f>IF('Items sous domaines Sciences '!G380=2,'Items sous domaines Sciences '!C380,0)</f>
        <v>0</v>
      </c>
      <c r="D378" s="8">
        <f>IF('Items sous domaines Sciences '!G380=2,'Items sous domaines Sciences '!D380,0)</f>
        <v>0</v>
      </c>
      <c r="E378" s="8">
        <f>IF('Items sous domaines Sciences '!G380=2,'Items sous domaines Sciences '!E380,0)</f>
        <v>0</v>
      </c>
      <c r="F378" s="410"/>
      <c r="G378" s="331"/>
    </row>
    <row r="379" spans="1:7" customFormat="1" ht="13.2" hidden="1" x14ac:dyDescent="0.25">
      <c r="A379" s="406"/>
      <c r="B379" s="8">
        <f>IF('Items sous domaines Sciences '!G381=2,'Items sous domaines Sciences '!B381,0)</f>
        <v>0</v>
      </c>
      <c r="C379" s="8">
        <f>IF('Items sous domaines Sciences '!G381=2,'Items sous domaines Sciences '!C381,0)</f>
        <v>0</v>
      </c>
      <c r="D379" s="8">
        <f>IF('Items sous domaines Sciences '!G381=2,'Items sous domaines Sciences '!D381,0)</f>
        <v>0</v>
      </c>
      <c r="E379" s="8">
        <f>IF('Items sous domaines Sciences '!G381=2,'Items sous domaines Sciences '!E381,0)</f>
        <v>0</v>
      </c>
      <c r="F379" s="410"/>
      <c r="G379" s="331"/>
    </row>
    <row r="380" spans="1:7" customFormat="1" ht="13.2" hidden="1" x14ac:dyDescent="0.25">
      <c r="A380" s="406"/>
      <c r="B380" s="8">
        <f>IF('Items sous domaines Sciences '!G382=2,'Items sous domaines Sciences '!B382,0)</f>
        <v>0</v>
      </c>
      <c r="C380" s="8">
        <f>IF('Items sous domaines Sciences '!G382=2,'Items sous domaines Sciences '!C382,0)</f>
        <v>0</v>
      </c>
      <c r="D380" s="8">
        <f>IF('Items sous domaines Sciences '!G382=2,'Items sous domaines Sciences '!D382,0)</f>
        <v>0</v>
      </c>
      <c r="E380" s="8">
        <f>IF('Items sous domaines Sciences '!G382=2,'Items sous domaines Sciences '!E382,0)</f>
        <v>0</v>
      </c>
      <c r="F380" s="410"/>
      <c r="G380" s="331"/>
    </row>
    <row r="381" spans="1:7" customFormat="1" ht="13.2" hidden="1" x14ac:dyDescent="0.25">
      <c r="A381" s="406"/>
      <c r="B381" s="8">
        <f>IF('Items sous domaines Sciences '!G383=2,'Items sous domaines Sciences '!B383,0)</f>
        <v>0</v>
      </c>
      <c r="C381" s="8">
        <f>IF('Items sous domaines Sciences '!G383=2,'Items sous domaines Sciences '!C383,0)</f>
        <v>0</v>
      </c>
      <c r="D381" s="8">
        <f>IF('Items sous domaines Sciences '!G383=2,'Items sous domaines Sciences '!D383,0)</f>
        <v>0</v>
      </c>
      <c r="E381" s="8">
        <f>IF('Items sous domaines Sciences '!G383=2,'Items sous domaines Sciences '!E383,0)</f>
        <v>0</v>
      </c>
      <c r="F381" s="410"/>
      <c r="G381" s="331"/>
    </row>
    <row r="382" spans="1:7" customFormat="1" ht="13.2" hidden="1" x14ac:dyDescent="0.25">
      <c r="A382" s="406"/>
      <c r="B382" s="8">
        <f>IF('Items sous domaines Sciences '!G384=2,'Items sous domaines Sciences '!B384,0)</f>
        <v>0</v>
      </c>
      <c r="C382" s="8">
        <f>IF('Items sous domaines Sciences '!G384=2,'Items sous domaines Sciences '!C384,0)</f>
        <v>0</v>
      </c>
      <c r="D382" s="8">
        <f>IF('Items sous domaines Sciences '!G384=2,'Items sous domaines Sciences '!D384,0)</f>
        <v>0</v>
      </c>
      <c r="E382" s="8">
        <f>IF('Items sous domaines Sciences '!G384=2,'Items sous domaines Sciences '!E384,0)</f>
        <v>0</v>
      </c>
      <c r="F382" s="410"/>
      <c r="G382" s="331"/>
    </row>
    <row r="383" spans="1:7" customFormat="1" ht="13.8" hidden="1" thickBot="1" x14ac:dyDescent="0.3">
      <c r="A383" s="407"/>
      <c r="B383" s="8">
        <f>IF('Items sous domaines Sciences '!G385=2,'Items sous domaines Sciences '!B385,0)</f>
        <v>0</v>
      </c>
      <c r="C383" s="8">
        <f>IF('Items sous domaines Sciences '!G385=2,'Items sous domaines Sciences '!C385,0)</f>
        <v>0</v>
      </c>
      <c r="D383" s="8">
        <f>IF('Items sous domaines Sciences '!G385=2,'Items sous domaines Sciences '!D385,0)</f>
        <v>0</v>
      </c>
      <c r="E383" s="8">
        <f>IF('Items sous domaines Sciences '!G385=2,'Items sous domaines Sciences '!E385,0)</f>
        <v>0</v>
      </c>
      <c r="F383" s="412"/>
      <c r="G383" s="331"/>
    </row>
    <row r="384" spans="1:7" customFormat="1" ht="13.2" hidden="1" x14ac:dyDescent="0.25">
      <c r="B384" s="8">
        <f>IF('Items sous domaines Sciences '!G386=2,'Items sous domaines Sciences '!B386,0)</f>
        <v>0</v>
      </c>
      <c r="C384" s="8">
        <f>IF('Items sous domaines Sciences '!G386=2,'Items sous domaines Sciences '!C386,0)</f>
        <v>0</v>
      </c>
      <c r="D384" s="8">
        <f>IF('Items sous domaines Sciences '!G386=2,'Items sous domaines Sciences '!D386,0)</f>
        <v>0</v>
      </c>
      <c r="E384" s="8">
        <f>IF('Items sous domaines Sciences '!G386=2,'Items sous domaines Sciences '!E386,0)</f>
        <v>0</v>
      </c>
      <c r="F384" t="e">
        <f>IF('Items sous domaines Sciences '!#REF!=2,'Items sous domaines Sciences '!#REF!,0)</f>
        <v>#REF!</v>
      </c>
    </row>
    <row r="385" spans="2:7" customFormat="1" ht="13.2" hidden="1" x14ac:dyDescent="0.25">
      <c r="B385" s="8">
        <f>IF('Items sous domaines Sciences '!G387=2,'Items sous domaines Sciences '!B387,0)</f>
        <v>0</v>
      </c>
      <c r="C385" s="8">
        <f>IF('Items sous domaines Sciences '!G387=2,'Items sous domaines Sciences '!C387,0)</f>
        <v>0</v>
      </c>
      <c r="D385" s="8">
        <f>IF('Items sous domaines Sciences '!G387=2,'Items sous domaines Sciences '!D387,0)</f>
        <v>0</v>
      </c>
      <c r="E385" s="8">
        <f>IF('Items sous domaines Sciences '!G387=2,'Items sous domaines Sciences '!E387,0)</f>
        <v>0</v>
      </c>
      <c r="F385" t="e">
        <f>IF('Items sous domaines Sciences '!#REF!=2,'Items sous domaines Sciences '!#REF!,0)</f>
        <v>#REF!</v>
      </c>
    </row>
    <row r="386" spans="2:7" customFormat="1" ht="13.2" hidden="1" x14ac:dyDescent="0.25">
      <c r="B386" s="8">
        <f>IF('Items sous domaines Sciences '!G388=2,'Items sous domaines Sciences '!B388,0)</f>
        <v>0</v>
      </c>
      <c r="C386" s="8">
        <f>IF('Items sous domaines Sciences '!G388=2,'Items sous domaines Sciences '!C388,0)</f>
        <v>0</v>
      </c>
      <c r="D386" s="8">
        <f>IF('Items sous domaines Sciences '!G388=2,'Items sous domaines Sciences '!D388,0)</f>
        <v>0</v>
      </c>
      <c r="E386" s="8">
        <f>IF('Items sous domaines Sciences '!G388=2,'Items sous domaines Sciences '!E388,0)</f>
        <v>0</v>
      </c>
      <c r="F386" t="e">
        <f>IF('Items sous domaines Sciences '!#REF!=2,'Items sous domaines Sciences '!#REF!,0)</f>
        <v>#REF!</v>
      </c>
    </row>
    <row r="387" spans="2:7" customFormat="1" ht="13.2" hidden="1" x14ac:dyDescent="0.25">
      <c r="B387" s="8">
        <f>IF('Items sous domaines Sciences '!G389=2,'Items sous domaines Sciences '!B389,0)</f>
        <v>0</v>
      </c>
      <c r="C387" s="8">
        <f>IF('Items sous domaines Sciences '!G389=2,'Items sous domaines Sciences '!C389,0)</f>
        <v>0</v>
      </c>
      <c r="D387" s="8">
        <f>IF('Items sous domaines Sciences '!G389=2,'Items sous domaines Sciences '!D389,0)</f>
        <v>0</v>
      </c>
      <c r="E387" s="8">
        <f>IF('Items sous domaines Sciences '!G389=2,'Items sous domaines Sciences '!E389,0)</f>
        <v>0</v>
      </c>
      <c r="F387" t="e">
        <f>IF('Items sous domaines Sciences '!#REF!=2,'Items sous domaines Sciences '!#REF!,0)</f>
        <v>#REF!</v>
      </c>
    </row>
    <row r="388" spans="2:7" customFormat="1" ht="13.2" hidden="1" x14ac:dyDescent="0.25">
      <c r="B388" s="8">
        <f>IF('Items sous domaines Sciences '!G390=2,'Items sous domaines Sciences '!B390,0)</f>
        <v>0</v>
      </c>
      <c r="C388" s="8">
        <f>IF('Items sous domaines Sciences '!G390=2,'Items sous domaines Sciences '!C390,0)</f>
        <v>0</v>
      </c>
      <c r="D388" s="8">
        <f>IF('Items sous domaines Sciences '!G390=2,'Items sous domaines Sciences '!D390,0)</f>
        <v>0</v>
      </c>
      <c r="E388" s="8">
        <f>IF('Items sous domaines Sciences '!G390=2,'Items sous domaines Sciences '!E390,0)</f>
        <v>0</v>
      </c>
      <c r="F388" t="e">
        <f>IF('Items sous domaines Sciences '!#REF!=2,'Items sous domaines Sciences '!#REF!,0)</f>
        <v>#REF!</v>
      </c>
    </row>
    <row r="389" spans="2:7" customFormat="1" ht="13.2" hidden="1" x14ac:dyDescent="0.25">
      <c r="B389" s="8">
        <f>IF('Items sous domaines Sciences '!G391=2,'Items sous domaines Sciences '!B391,0)</f>
        <v>0</v>
      </c>
      <c r="C389" s="8">
        <f>IF('Items sous domaines Sciences '!G391=2,'Items sous domaines Sciences '!C391,0)</f>
        <v>0</v>
      </c>
      <c r="D389" s="8">
        <f>IF('Items sous domaines Sciences '!G391=2,'Items sous domaines Sciences '!D391,0)</f>
        <v>0</v>
      </c>
      <c r="E389" s="8">
        <f>IF('Items sous domaines Sciences '!G391=2,'Items sous domaines Sciences '!E391,0)</f>
        <v>0</v>
      </c>
      <c r="F389" t="e">
        <f>IF('Items sous domaines Sciences '!#REF!=2,'Items sous domaines Sciences '!#REF!,0)</f>
        <v>#REF!</v>
      </c>
    </row>
    <row r="390" spans="2:7" customFormat="1" ht="13.2" hidden="1" x14ac:dyDescent="0.25">
      <c r="B390" s="8">
        <f>IF('Items sous domaines Sciences '!G392=2,'Items sous domaines Sciences '!B392,0)</f>
        <v>0</v>
      </c>
      <c r="C390" s="8">
        <f>IF('Items sous domaines Sciences '!G392=2,'Items sous domaines Sciences '!C392,0)</f>
        <v>0</v>
      </c>
      <c r="D390" s="8">
        <f>IF('Items sous domaines Sciences '!G392=2,'Items sous domaines Sciences '!D392,0)</f>
        <v>0</v>
      </c>
      <c r="E390" s="8">
        <f>IF('Items sous domaines Sciences '!G392=2,'Items sous domaines Sciences '!E392,0)</f>
        <v>0</v>
      </c>
      <c r="F390" t="e">
        <f>IF('Items sous domaines Sciences '!#REF!=2,'Items sous domaines Sciences '!#REF!,0)</f>
        <v>#REF!</v>
      </c>
    </row>
    <row r="391" spans="2:7" customFormat="1" ht="13.2" hidden="1" x14ac:dyDescent="0.25">
      <c r="B391" s="8">
        <f>IF('Items sous domaines Sciences '!G393=2,'Items sous domaines Sciences '!B393,0)</f>
        <v>0</v>
      </c>
      <c r="C391" s="8">
        <f>IF('Items sous domaines Sciences '!G393=2,'Items sous domaines Sciences '!C393,0)</f>
        <v>0</v>
      </c>
      <c r="D391" s="8">
        <f>IF('Items sous domaines Sciences '!G393=2,'Items sous domaines Sciences '!D393,0)</f>
        <v>0</v>
      </c>
      <c r="E391" s="8">
        <f>IF('Items sous domaines Sciences '!G393=2,'Items sous domaines Sciences '!E393,0)</f>
        <v>0</v>
      </c>
      <c r="F391" t="e">
        <f>IF('Items sous domaines Sciences '!#REF!=2,'Items sous domaines Sciences '!#REF!,0)</f>
        <v>#REF!</v>
      </c>
    </row>
    <row r="392" spans="2:7" customFormat="1" ht="13.2" hidden="1" x14ac:dyDescent="0.25">
      <c r="B392" s="8">
        <f>IF('Items sous domaines Sciences '!G394=2,'Items sous domaines Sciences '!B394,0)</f>
        <v>0</v>
      </c>
      <c r="C392" s="8">
        <f>IF('Items sous domaines Sciences '!G394=2,'Items sous domaines Sciences '!C394,0)</f>
        <v>0</v>
      </c>
      <c r="D392" s="8">
        <f>IF('Items sous domaines Sciences '!G394=2,'Items sous domaines Sciences '!D394,0)</f>
        <v>0</v>
      </c>
      <c r="E392" s="8">
        <f>IF('Items sous domaines Sciences '!G394=2,'Items sous domaines Sciences '!E394,0)</f>
        <v>0</v>
      </c>
      <c r="F392" t="e">
        <f>IF('Items sous domaines Sciences '!#REF!=2,'Items sous domaines Sciences '!#REF!,0)</f>
        <v>#REF!</v>
      </c>
    </row>
    <row r="393" spans="2:7" customFormat="1" ht="13.2" hidden="1" x14ac:dyDescent="0.25">
      <c r="B393" s="8">
        <f>IF('Items sous domaines Sciences '!G395=2,'Items sous domaines Sciences '!B395,0)</f>
        <v>0</v>
      </c>
      <c r="C393" s="8">
        <f>IF('Items sous domaines Sciences '!G395=2,'Items sous domaines Sciences '!C395,0)</f>
        <v>0</v>
      </c>
      <c r="D393" s="8">
        <f>IF('Items sous domaines Sciences '!G395=2,'Items sous domaines Sciences '!D395,0)</f>
        <v>0</v>
      </c>
      <c r="E393" s="8">
        <f>IF('Items sous domaines Sciences '!G395=2,'Items sous domaines Sciences '!E395,0)</f>
        <v>0</v>
      </c>
      <c r="F393" t="e">
        <f>IF('Items sous domaines Sciences '!#REF!=2,'Items sous domaines Sciences '!#REF!,0)</f>
        <v>#REF!</v>
      </c>
    </row>
    <row r="394" spans="2:7" customFormat="1" ht="13.2" hidden="1" x14ac:dyDescent="0.25">
      <c r="B394" s="8">
        <f>IF('Items sous domaines Sciences '!G396=2,'Items sous domaines Sciences '!B396,0)</f>
        <v>0</v>
      </c>
      <c r="C394" s="8">
        <f>IF('Items sous domaines Sciences '!G396=2,'Items sous domaines Sciences '!C396,0)</f>
        <v>0</v>
      </c>
      <c r="D394" s="8">
        <f>IF('Items sous domaines Sciences '!G396=2,'Items sous domaines Sciences '!D396,0)</f>
        <v>0</v>
      </c>
      <c r="E394" s="8">
        <f>IF('Items sous domaines Sciences '!G396=2,'Items sous domaines Sciences '!E396,0)</f>
        <v>0</v>
      </c>
      <c r="F394" t="e">
        <f>IF('Items sous domaines Sciences '!#REF!=2,'Items sous domaines Sciences '!#REF!,0)</f>
        <v>#REF!</v>
      </c>
    </row>
    <row r="395" spans="2:7" customFormat="1" ht="13.2" hidden="1" x14ac:dyDescent="0.25">
      <c r="B395" s="8">
        <f>IF('Items sous domaines Sciences '!G397=2,'Items sous domaines Sciences '!B397,0)</f>
        <v>0</v>
      </c>
      <c r="C395" s="8">
        <f>IF('Items sous domaines Sciences '!G397=2,'Items sous domaines Sciences '!C397,0)</f>
        <v>0</v>
      </c>
      <c r="D395" s="8">
        <f>IF('Items sous domaines Sciences '!G397=2,'Items sous domaines Sciences '!D397,0)</f>
        <v>0</v>
      </c>
      <c r="E395" s="8">
        <f>IF('Items sous domaines Sciences '!G397=2,'Items sous domaines Sciences '!E397,0)</f>
        <v>0</v>
      </c>
      <c r="F395" t="e">
        <f>IF('Items sous domaines Sciences '!#REF!=2,'Items sous domaines Sciences '!#REF!,0)</f>
        <v>#REF!</v>
      </c>
      <c r="G395" s="3"/>
    </row>
    <row r="396" spans="2:7" customFormat="1" ht="13.2" hidden="1" x14ac:dyDescent="0.25">
      <c r="B396" s="8">
        <f>IF('Items sous domaines Sciences '!G398=2,'Items sous domaines Sciences '!B398,0)</f>
        <v>0</v>
      </c>
      <c r="C396" s="8">
        <f>IF('Items sous domaines Sciences '!G398=2,'Items sous domaines Sciences '!C398,0)</f>
        <v>0</v>
      </c>
      <c r="D396" s="8">
        <f>IF('Items sous domaines Sciences '!G398=2,'Items sous domaines Sciences '!D398,0)</f>
        <v>0</v>
      </c>
      <c r="E396" s="8">
        <f>IF('Items sous domaines Sciences '!G398=2,'Items sous domaines Sciences '!E398,0)</f>
        <v>0</v>
      </c>
      <c r="F396" t="e">
        <f>IF('Items sous domaines Sciences '!#REF!=2,'Items sous domaines Sciences '!#REF!,0)</f>
        <v>#REF!</v>
      </c>
      <c r="G396" s="3"/>
    </row>
    <row r="397" spans="2:7" customFormat="1" ht="13.2" hidden="1" x14ac:dyDescent="0.25">
      <c r="B397" s="8">
        <f>IF('Items sous domaines Sciences '!G399=2,'Items sous domaines Sciences '!B399,0)</f>
        <v>0</v>
      </c>
      <c r="C397" s="8">
        <f>IF('Items sous domaines Sciences '!G399=2,'Items sous domaines Sciences '!C399,0)</f>
        <v>0</v>
      </c>
      <c r="D397" s="8">
        <f>IF('Items sous domaines Sciences '!G399=2,'Items sous domaines Sciences '!D399,0)</f>
        <v>0</v>
      </c>
      <c r="E397" s="8">
        <f>IF('Items sous domaines Sciences '!G399=2,'Items sous domaines Sciences '!E399,0)</f>
        <v>0</v>
      </c>
      <c r="F397" t="e">
        <f>IF('Items sous domaines Sciences '!#REF!=2,'Items sous domaines Sciences '!#REF!,0)</f>
        <v>#REF!</v>
      </c>
      <c r="G397" s="3"/>
    </row>
    <row r="398" spans="2:7" customFormat="1" ht="13.2" hidden="1" x14ac:dyDescent="0.25">
      <c r="B398" s="8">
        <f>IF('Items sous domaines Sciences '!G400=2,'Items sous domaines Sciences '!B400,0)</f>
        <v>0</v>
      </c>
      <c r="C398" s="8">
        <f>IF('Items sous domaines Sciences '!G400=2,'Items sous domaines Sciences '!C400,0)</f>
        <v>0</v>
      </c>
      <c r="D398" s="8">
        <f>IF('Items sous domaines Sciences '!G400=2,'Items sous domaines Sciences '!D400,0)</f>
        <v>0</v>
      </c>
      <c r="E398" s="8">
        <f>IF('Items sous domaines Sciences '!G400=2,'Items sous domaines Sciences '!E400,0)</f>
        <v>0</v>
      </c>
      <c r="F398" t="e">
        <f>IF('Items sous domaines Sciences '!#REF!=2,'Items sous domaines Sciences '!#REF!,0)</f>
        <v>#REF!</v>
      </c>
      <c r="G398" s="3"/>
    </row>
    <row r="399" spans="2:7" customFormat="1" ht="13.2" hidden="1" x14ac:dyDescent="0.25">
      <c r="B399" s="8">
        <f>IF('Items sous domaines Sciences '!G401=2,'Items sous domaines Sciences '!B401,0)</f>
        <v>0</v>
      </c>
      <c r="C399" s="8">
        <f>IF('Items sous domaines Sciences '!G401=2,'Items sous domaines Sciences '!C401,0)</f>
        <v>0</v>
      </c>
      <c r="D399" s="8">
        <f>IF('Items sous domaines Sciences '!G401=2,'Items sous domaines Sciences '!D401,0)</f>
        <v>0</v>
      </c>
      <c r="E399" s="8">
        <f>IF('Items sous domaines Sciences '!G401=2,'Items sous domaines Sciences '!E401,0)</f>
        <v>0</v>
      </c>
      <c r="F399" t="e">
        <f>IF('Items sous domaines Sciences '!#REF!=2,'Items sous domaines Sciences '!#REF!,0)</f>
        <v>#REF!</v>
      </c>
      <c r="G399" s="3"/>
    </row>
    <row r="400" spans="2:7" customFormat="1" ht="13.2" hidden="1" x14ac:dyDescent="0.25">
      <c r="B400" s="8">
        <f>IF('Items sous domaines Sciences '!G402=2,'Items sous domaines Sciences '!B402,0)</f>
        <v>0</v>
      </c>
      <c r="C400" s="8">
        <f>IF('Items sous domaines Sciences '!G402=2,'Items sous domaines Sciences '!C402,0)</f>
        <v>0</v>
      </c>
      <c r="D400" s="8">
        <f>IF('Items sous domaines Sciences '!G402=2,'Items sous domaines Sciences '!D402,0)</f>
        <v>0</v>
      </c>
      <c r="E400" s="8">
        <f>IF('Items sous domaines Sciences '!G402=2,'Items sous domaines Sciences '!E402,0)</f>
        <v>0</v>
      </c>
      <c r="F400" t="e">
        <f>IF('Items sous domaines Sciences '!#REF!=2,'Items sous domaines Sciences '!#REF!,0)</f>
        <v>#REF!</v>
      </c>
      <c r="G400" s="3"/>
    </row>
    <row r="401" spans="2:7" customFormat="1" ht="13.2" hidden="1" x14ac:dyDescent="0.25">
      <c r="B401" s="8">
        <f>IF('Items sous domaines Sciences '!G403=2,'Items sous domaines Sciences '!B403,0)</f>
        <v>0</v>
      </c>
      <c r="C401" s="8">
        <f>IF('Items sous domaines Sciences '!G403=2,'Items sous domaines Sciences '!C403,0)</f>
        <v>0</v>
      </c>
      <c r="D401" s="8">
        <f>IF('Items sous domaines Sciences '!G403=2,'Items sous domaines Sciences '!D403,0)</f>
        <v>0</v>
      </c>
      <c r="E401" s="8">
        <f>IF('Items sous domaines Sciences '!G403=2,'Items sous domaines Sciences '!E403,0)</f>
        <v>0</v>
      </c>
      <c r="F401" t="e">
        <f>IF('Items sous domaines Sciences '!#REF!=2,'Items sous domaines Sciences '!#REF!,0)</f>
        <v>#REF!</v>
      </c>
      <c r="G401" s="3"/>
    </row>
    <row r="402" spans="2:7" customFormat="1" ht="13.2" hidden="1" x14ac:dyDescent="0.25">
      <c r="B402" s="8">
        <f>IF('Items sous domaines Sciences '!G404=2,'Items sous domaines Sciences '!B404,0)</f>
        <v>0</v>
      </c>
      <c r="C402" s="8">
        <f>IF('Items sous domaines Sciences '!G404=2,'Items sous domaines Sciences '!C404,0)</f>
        <v>0</v>
      </c>
      <c r="D402" s="8">
        <f>IF('Items sous domaines Sciences '!G404=2,'Items sous domaines Sciences '!D404,0)</f>
        <v>0</v>
      </c>
      <c r="E402" s="8">
        <f>IF('Items sous domaines Sciences '!G404=2,'Items sous domaines Sciences '!E404,0)</f>
        <v>0</v>
      </c>
      <c r="F402" t="e">
        <f>IF('Items sous domaines Sciences '!#REF!=2,'Items sous domaines Sciences '!#REF!,0)</f>
        <v>#REF!</v>
      </c>
      <c r="G402" s="3"/>
    </row>
    <row r="403" spans="2:7" customFormat="1" ht="13.2" hidden="1" x14ac:dyDescent="0.25">
      <c r="B403" s="8">
        <f>IF('Items sous domaines Sciences '!G405=2,'Items sous domaines Sciences '!B405,0)</f>
        <v>0</v>
      </c>
      <c r="C403" s="8">
        <f>IF('Items sous domaines Sciences '!G405=2,'Items sous domaines Sciences '!C405,0)</f>
        <v>0</v>
      </c>
      <c r="D403" s="8">
        <f>IF('Items sous domaines Sciences '!G405=2,'Items sous domaines Sciences '!D405,0)</f>
        <v>0</v>
      </c>
      <c r="E403" s="8">
        <f>IF('Items sous domaines Sciences '!G405=2,'Items sous domaines Sciences '!E405,0)</f>
        <v>0</v>
      </c>
      <c r="F403" t="e">
        <f>IF('Items sous domaines Sciences '!#REF!=2,'Items sous domaines Sciences '!#REF!,0)</f>
        <v>#REF!</v>
      </c>
      <c r="G403" s="3"/>
    </row>
    <row r="404" spans="2:7" customFormat="1" ht="13.2" hidden="1" x14ac:dyDescent="0.25">
      <c r="B404" s="8">
        <f>IF('Items sous domaines Sciences '!G406=2,'Items sous domaines Sciences '!B406,0)</f>
        <v>0</v>
      </c>
      <c r="C404" s="8">
        <f>IF('Items sous domaines Sciences '!G406=2,'Items sous domaines Sciences '!C406,0)</f>
        <v>0</v>
      </c>
      <c r="D404" s="8">
        <f>IF('Items sous domaines Sciences '!G406=2,'Items sous domaines Sciences '!D406,0)</f>
        <v>0</v>
      </c>
      <c r="E404" s="8">
        <f>IF('Items sous domaines Sciences '!G406=2,'Items sous domaines Sciences '!E406,0)</f>
        <v>0</v>
      </c>
      <c r="F404" t="e">
        <f>IF('Items sous domaines Sciences '!#REF!=2,'Items sous domaines Sciences '!#REF!,0)</f>
        <v>#REF!</v>
      </c>
      <c r="G404" s="3"/>
    </row>
    <row r="405" spans="2:7" customFormat="1" ht="13.2" hidden="1" x14ac:dyDescent="0.25">
      <c r="B405" s="8">
        <f>IF('Items sous domaines Sciences '!G407=2,'Items sous domaines Sciences '!B407,0)</f>
        <v>0</v>
      </c>
      <c r="C405" s="8">
        <f>IF('Items sous domaines Sciences '!G407=2,'Items sous domaines Sciences '!C407,0)</f>
        <v>0</v>
      </c>
      <c r="D405" s="8">
        <f>IF('Items sous domaines Sciences '!G407=2,'Items sous domaines Sciences '!D407,0)</f>
        <v>0</v>
      </c>
      <c r="E405" s="8">
        <f>IF('Items sous domaines Sciences '!G407=2,'Items sous domaines Sciences '!E407,0)</f>
        <v>0</v>
      </c>
      <c r="F405" t="e">
        <f>IF('Items sous domaines Sciences '!#REF!=2,'Items sous domaines Sciences '!#REF!,0)</f>
        <v>#REF!</v>
      </c>
      <c r="G405" s="3"/>
    </row>
    <row r="406" spans="2:7" customFormat="1" ht="13.2" hidden="1" x14ac:dyDescent="0.25">
      <c r="B406" s="8">
        <f>IF('Items sous domaines Sciences '!G408=2,'Items sous domaines Sciences '!B408,0)</f>
        <v>0</v>
      </c>
      <c r="C406" s="8">
        <f>IF('Items sous domaines Sciences '!G408=2,'Items sous domaines Sciences '!C408,0)</f>
        <v>0</v>
      </c>
      <c r="D406" s="8">
        <f>IF('Items sous domaines Sciences '!G408=2,'Items sous domaines Sciences '!D408,0)</f>
        <v>0</v>
      </c>
      <c r="E406" s="8">
        <f>IF('Items sous domaines Sciences '!G408=2,'Items sous domaines Sciences '!E408,0)</f>
        <v>0</v>
      </c>
      <c r="F406" t="e">
        <f>IF('Items sous domaines Sciences '!#REF!=2,'Items sous domaines Sciences '!#REF!,0)</f>
        <v>#REF!</v>
      </c>
      <c r="G406" s="3"/>
    </row>
    <row r="407" spans="2:7" customFormat="1" ht="13.2" hidden="1" x14ac:dyDescent="0.25">
      <c r="B407" s="8">
        <f>IF('Items sous domaines Sciences '!G409=2,'Items sous domaines Sciences '!B409,0)</f>
        <v>0</v>
      </c>
      <c r="C407" s="8">
        <f>IF('Items sous domaines Sciences '!G409=2,'Items sous domaines Sciences '!C409,0)</f>
        <v>0</v>
      </c>
      <c r="D407" s="8">
        <f>IF('Items sous domaines Sciences '!G409=2,'Items sous domaines Sciences '!D409,0)</f>
        <v>0</v>
      </c>
      <c r="E407" s="8">
        <f>IF('Items sous domaines Sciences '!G409=2,'Items sous domaines Sciences '!E409,0)</f>
        <v>0</v>
      </c>
      <c r="F407" t="e">
        <f>IF('Items sous domaines Sciences '!#REF!=2,'Items sous domaines Sciences '!#REF!,0)</f>
        <v>#REF!</v>
      </c>
      <c r="G407" s="3"/>
    </row>
    <row r="408" spans="2:7" customFormat="1" ht="13.2" hidden="1" x14ac:dyDescent="0.25">
      <c r="B408" s="8">
        <f>IF('Items sous domaines Sciences '!G410=2,'Items sous domaines Sciences '!B410,0)</f>
        <v>0</v>
      </c>
      <c r="C408" s="8">
        <f>IF('Items sous domaines Sciences '!G410=2,'Items sous domaines Sciences '!C410,0)</f>
        <v>0</v>
      </c>
      <c r="D408" s="8">
        <f>IF('Items sous domaines Sciences '!G410=2,'Items sous domaines Sciences '!D410,0)</f>
        <v>0</v>
      </c>
      <c r="E408" s="8">
        <f>IF('Items sous domaines Sciences '!G410=2,'Items sous domaines Sciences '!E410,0)</f>
        <v>0</v>
      </c>
      <c r="F408" t="e">
        <f>IF('Items sous domaines Sciences '!#REF!=2,'Items sous domaines Sciences '!#REF!,0)</f>
        <v>#REF!</v>
      </c>
      <c r="G408" s="3"/>
    </row>
    <row r="409" spans="2:7" customFormat="1" ht="13.2" hidden="1" x14ac:dyDescent="0.25">
      <c r="B409" s="8">
        <f>IF('Items sous domaines Sciences '!G411=2,'Items sous domaines Sciences '!B411,0)</f>
        <v>0</v>
      </c>
      <c r="C409" s="8">
        <f>IF('Items sous domaines Sciences '!G411=2,'Items sous domaines Sciences '!C411,0)</f>
        <v>0</v>
      </c>
      <c r="D409" s="8">
        <f>IF('Items sous domaines Sciences '!G411=2,'Items sous domaines Sciences '!D411,0)</f>
        <v>0</v>
      </c>
      <c r="E409" s="8">
        <f>IF('Items sous domaines Sciences '!G411=2,'Items sous domaines Sciences '!E411,0)</f>
        <v>0</v>
      </c>
      <c r="F409" t="e">
        <f>IF('Items sous domaines Sciences '!#REF!=2,'Items sous domaines Sciences '!#REF!,0)</f>
        <v>#REF!</v>
      </c>
      <c r="G409" s="3"/>
    </row>
    <row r="410" spans="2:7" customFormat="1" ht="13.2" hidden="1" x14ac:dyDescent="0.25">
      <c r="B410" s="8">
        <f>IF('Items sous domaines Sciences '!G412=2,'Items sous domaines Sciences '!B412,0)</f>
        <v>0</v>
      </c>
      <c r="C410" s="8">
        <f>IF('Items sous domaines Sciences '!G412=2,'Items sous domaines Sciences '!C412,0)</f>
        <v>0</v>
      </c>
      <c r="D410" s="8">
        <f>IF('Items sous domaines Sciences '!G412=2,'Items sous domaines Sciences '!D412,0)</f>
        <v>0</v>
      </c>
      <c r="E410" s="8">
        <f>IF('Items sous domaines Sciences '!G412=2,'Items sous domaines Sciences '!E412,0)</f>
        <v>0</v>
      </c>
      <c r="F410" t="e">
        <f>IF('Items sous domaines Sciences '!#REF!=2,'Items sous domaines Sciences '!#REF!,0)</f>
        <v>#REF!</v>
      </c>
      <c r="G410" s="3"/>
    </row>
    <row r="411" spans="2:7" customFormat="1" ht="13.2" hidden="1" x14ac:dyDescent="0.25">
      <c r="B411" s="8">
        <f>IF('Items sous domaines Sciences '!G413=2,'Items sous domaines Sciences '!B413,0)</f>
        <v>0</v>
      </c>
      <c r="C411" s="8">
        <f>IF('Items sous domaines Sciences '!G413=2,'Items sous domaines Sciences '!C413,0)</f>
        <v>0</v>
      </c>
      <c r="D411" s="8">
        <f>IF('Items sous domaines Sciences '!G413=2,'Items sous domaines Sciences '!D413,0)</f>
        <v>0</v>
      </c>
      <c r="E411" s="8">
        <f>IF('Items sous domaines Sciences '!G413=2,'Items sous domaines Sciences '!E413,0)</f>
        <v>0</v>
      </c>
      <c r="F411" t="e">
        <f>IF('Items sous domaines Sciences '!#REF!=2,'Items sous domaines Sciences '!F311,0)</f>
        <v>#REF!</v>
      </c>
      <c r="G411" s="3"/>
    </row>
    <row r="412" spans="2:7" customFormat="1" ht="13.2" hidden="1" x14ac:dyDescent="0.25">
      <c r="B412" s="8">
        <f>IF('Items sous domaines Sciences '!G414=2,'Items sous domaines Sciences '!B414,0)</f>
        <v>0</v>
      </c>
      <c r="C412" s="8">
        <f>IF('Items sous domaines Sciences '!G414=2,'Items sous domaines Sciences '!C414,0)</f>
        <v>0</v>
      </c>
      <c r="D412" s="8">
        <f>IF('Items sous domaines Sciences '!G414=2,'Items sous domaines Sciences '!D414,0)</f>
        <v>0</v>
      </c>
      <c r="E412" s="8">
        <f>IF('Items sous domaines Sciences '!G414=2,'Items sous domaines Sciences '!E414,0)</f>
        <v>0</v>
      </c>
      <c r="F412" t="e">
        <f>IF('Items sous domaines Sciences '!#REF!=2,'Items sous domaines Sciences '!F312,0)</f>
        <v>#REF!</v>
      </c>
      <c r="G412" s="3"/>
    </row>
    <row r="413" spans="2:7" customFormat="1" ht="13.2" hidden="1" x14ac:dyDescent="0.25">
      <c r="B413" s="8">
        <f>IF('Items sous domaines Sciences '!G415=2,'Items sous domaines Sciences '!B415,0)</f>
        <v>0</v>
      </c>
      <c r="C413" s="8">
        <f>IF('Items sous domaines Sciences '!G415=2,'Items sous domaines Sciences '!C415,0)</f>
        <v>0</v>
      </c>
      <c r="D413" s="8">
        <f>IF('Items sous domaines Sciences '!G415=2,'Items sous domaines Sciences '!D415,0)</f>
        <v>0</v>
      </c>
      <c r="E413" s="8">
        <f>IF('Items sous domaines Sciences '!G415=2,'Items sous domaines Sciences '!E415,0)</f>
        <v>0</v>
      </c>
      <c r="F413" t="e">
        <f>IF('Items sous domaines Sciences '!#REF!=2,'Items sous domaines Sciences '!F313,0)</f>
        <v>#REF!</v>
      </c>
      <c r="G413" s="3"/>
    </row>
    <row r="414" spans="2:7" customFormat="1" ht="13.2" hidden="1" x14ac:dyDescent="0.25">
      <c r="B414" s="8">
        <f>IF('Items sous domaines Sciences '!G416=2,'Items sous domaines Sciences '!B416,0)</f>
        <v>0</v>
      </c>
      <c r="C414" s="8">
        <f>IF('Items sous domaines Sciences '!G416=2,'Items sous domaines Sciences '!C416,0)</f>
        <v>0</v>
      </c>
      <c r="D414" s="8">
        <f>IF('Items sous domaines Sciences '!G416=2,'Items sous domaines Sciences '!D416,0)</f>
        <v>0</v>
      </c>
      <c r="E414" s="8">
        <f>IF('Items sous domaines Sciences '!G416=2,'Items sous domaines Sciences '!E416,0)</f>
        <v>0</v>
      </c>
      <c r="F414" t="e">
        <f>IF('Items sous domaines Sciences '!#REF!=2,'Items sous domaines Sciences '!F314,0)</f>
        <v>#REF!</v>
      </c>
      <c r="G414" s="3"/>
    </row>
    <row r="415" spans="2:7" customFormat="1" ht="13.2" hidden="1" x14ac:dyDescent="0.25">
      <c r="B415" s="8">
        <f>IF('Items sous domaines Sciences '!G417=2,'Items sous domaines Sciences '!B417,0)</f>
        <v>0</v>
      </c>
      <c r="C415" s="8">
        <f>IF('Items sous domaines Sciences '!G417=2,'Items sous domaines Sciences '!C417,0)</f>
        <v>0</v>
      </c>
      <c r="D415" s="8">
        <f>IF('Items sous domaines Sciences '!G417=2,'Items sous domaines Sciences '!D417,0)</f>
        <v>0</v>
      </c>
      <c r="E415" s="8">
        <f>IF('Items sous domaines Sciences '!G417=2,'Items sous domaines Sciences '!E417,0)</f>
        <v>0</v>
      </c>
      <c r="F415" t="e">
        <f>IF('Items sous domaines Sciences '!#REF!=2,'Items sous domaines Sciences '!F315,0)</f>
        <v>#REF!</v>
      </c>
      <c r="G415" s="3"/>
    </row>
    <row r="416" spans="2:7" customFormat="1" ht="13.2" hidden="1" x14ac:dyDescent="0.25">
      <c r="B416" s="8">
        <f>IF('Items sous domaines Sciences '!G418=2,'Items sous domaines Sciences '!B418,0)</f>
        <v>0</v>
      </c>
      <c r="C416" s="8">
        <f>IF('Items sous domaines Sciences '!G418=2,'Items sous domaines Sciences '!C418,0)</f>
        <v>0</v>
      </c>
      <c r="D416" s="8">
        <f>IF('Items sous domaines Sciences '!G418=2,'Items sous domaines Sciences '!D418,0)</f>
        <v>0</v>
      </c>
      <c r="E416" s="8">
        <f>IF('Items sous domaines Sciences '!G418=2,'Items sous domaines Sciences '!E418,0)</f>
        <v>0</v>
      </c>
      <c r="F416" t="e">
        <f>IF('Items sous domaines Sciences '!#REF!=2,'Items sous domaines Sciences '!F316,0)</f>
        <v>#REF!</v>
      </c>
      <c r="G416" s="3"/>
    </row>
    <row r="417" spans="2:7" customFormat="1" ht="13.2" hidden="1" x14ac:dyDescent="0.25">
      <c r="B417" s="8">
        <f>IF('Items sous domaines Sciences '!G419=2,'Items sous domaines Sciences '!B419,0)</f>
        <v>0</v>
      </c>
      <c r="C417" s="8">
        <f>IF('Items sous domaines Sciences '!G419=2,'Items sous domaines Sciences '!C419,0)</f>
        <v>0</v>
      </c>
      <c r="D417" s="8">
        <f>IF('Items sous domaines Sciences '!G419=2,'Items sous domaines Sciences '!D419,0)</f>
        <v>0</v>
      </c>
      <c r="E417" s="8">
        <f>IF('Items sous domaines Sciences '!G419=2,'Items sous domaines Sciences '!E419,0)</f>
        <v>0</v>
      </c>
      <c r="F417" t="e">
        <f>IF('Items sous domaines Sciences '!#REF!=2,'Items sous domaines Sciences '!F317,0)</f>
        <v>#REF!</v>
      </c>
      <c r="G417" s="3"/>
    </row>
    <row r="418" spans="2:7" customFormat="1" ht="13.2" hidden="1" x14ac:dyDescent="0.25">
      <c r="B418" s="8">
        <f>IF('Items sous domaines Sciences '!G420=2,'Items sous domaines Sciences '!B420,0)</f>
        <v>0</v>
      </c>
      <c r="C418" s="8">
        <f>IF('Items sous domaines Sciences '!G420=2,'Items sous domaines Sciences '!C420,0)</f>
        <v>0</v>
      </c>
      <c r="D418" s="8">
        <f>IF('Items sous domaines Sciences '!G420=2,'Items sous domaines Sciences '!D420,0)</f>
        <v>0</v>
      </c>
      <c r="E418" s="8">
        <f>IF('Items sous domaines Sciences '!G420=2,'Items sous domaines Sciences '!E420,0)</f>
        <v>0</v>
      </c>
      <c r="F418" t="e">
        <f>IF('Items sous domaines Sciences '!#REF!=2,'Items sous domaines Sciences '!F318,0)</f>
        <v>#REF!</v>
      </c>
      <c r="G418" s="3"/>
    </row>
    <row r="419" spans="2:7" customFormat="1" ht="13.2" hidden="1" x14ac:dyDescent="0.25">
      <c r="B419" s="8">
        <f>IF('Items sous domaines Sciences '!G421=2,'Items sous domaines Sciences '!B421,0)</f>
        <v>0</v>
      </c>
      <c r="C419" s="8">
        <f>IF('Items sous domaines Sciences '!G421=2,'Items sous domaines Sciences '!C421,0)</f>
        <v>0</v>
      </c>
      <c r="D419" s="8">
        <f>IF('Items sous domaines Sciences '!G421=2,'Items sous domaines Sciences '!D421,0)</f>
        <v>0</v>
      </c>
      <c r="E419" s="8">
        <f>IF('Items sous domaines Sciences '!G421=2,'Items sous domaines Sciences '!E421,0)</f>
        <v>0</v>
      </c>
      <c r="F419" t="e">
        <f>IF('Items sous domaines Sciences '!#REF!=2,'Items sous domaines Sciences '!F319,0)</f>
        <v>#REF!</v>
      </c>
      <c r="G419" s="3"/>
    </row>
    <row r="420" spans="2:7" customFormat="1" ht="13.2" hidden="1" x14ac:dyDescent="0.25">
      <c r="B420" s="8">
        <f>IF('Items sous domaines Sciences '!G422=2,'Items sous domaines Sciences '!B422,0)</f>
        <v>0</v>
      </c>
      <c r="C420" s="8">
        <f>IF('Items sous domaines Sciences '!G422=2,'Items sous domaines Sciences '!C422,0)</f>
        <v>0</v>
      </c>
      <c r="D420" s="8">
        <f>IF('Items sous domaines Sciences '!G422=2,'Items sous domaines Sciences '!D422,0)</f>
        <v>0</v>
      </c>
      <c r="E420" s="8">
        <f>IF('Items sous domaines Sciences '!G422=2,'Items sous domaines Sciences '!E422,0)</f>
        <v>0</v>
      </c>
      <c r="F420" t="e">
        <f>IF('Items sous domaines Sciences '!#REF!=2,'Items sous domaines Sciences '!F320,0)</f>
        <v>#REF!</v>
      </c>
      <c r="G420" s="3"/>
    </row>
    <row r="421" spans="2:7" customFormat="1" ht="13.2" hidden="1" x14ac:dyDescent="0.25">
      <c r="B421" s="8">
        <f>IF('Items sous domaines Sciences '!G423=2,'Items sous domaines Sciences '!B423,0)</f>
        <v>0</v>
      </c>
      <c r="C421" s="8">
        <f>IF('Items sous domaines Sciences '!G423=2,'Items sous domaines Sciences '!C423,0)</f>
        <v>0</v>
      </c>
      <c r="D421" s="8">
        <f>IF('Items sous domaines Sciences '!G423=2,'Items sous domaines Sciences '!D423,0)</f>
        <v>0</v>
      </c>
      <c r="E421" s="8">
        <f>IF('Items sous domaines Sciences '!G423=2,'Items sous domaines Sciences '!E423,0)</f>
        <v>0</v>
      </c>
      <c r="F421" t="e">
        <f>IF('Items sous domaines Sciences '!#REF!=2,'Items sous domaines Sciences '!F321,0)</f>
        <v>#REF!</v>
      </c>
      <c r="G421" s="3"/>
    </row>
    <row r="422" spans="2:7" customFormat="1" ht="13.2" hidden="1" x14ac:dyDescent="0.25">
      <c r="B422" s="8">
        <f>IF('Items sous domaines Sciences '!G424=2,'Items sous domaines Sciences '!B424,0)</f>
        <v>0</v>
      </c>
      <c r="C422" s="8">
        <f>IF('Items sous domaines Sciences '!G424=2,'Items sous domaines Sciences '!C424,0)</f>
        <v>0</v>
      </c>
      <c r="D422" s="8">
        <f>IF('Items sous domaines Sciences '!G424=2,'Items sous domaines Sciences '!D424,0)</f>
        <v>0</v>
      </c>
      <c r="E422" s="8">
        <f>IF('Items sous domaines Sciences '!G424=2,'Items sous domaines Sciences '!E424,0)</f>
        <v>0</v>
      </c>
      <c r="F422" t="e">
        <f>IF('Items sous domaines Sciences '!#REF!=2,'Items sous domaines Sciences '!F322,0)</f>
        <v>#REF!</v>
      </c>
      <c r="G422" s="3"/>
    </row>
    <row r="423" spans="2:7" customFormat="1" ht="13.2" hidden="1" x14ac:dyDescent="0.25">
      <c r="B423" s="8">
        <f>IF('Items sous domaines Sciences '!G425=2,'Items sous domaines Sciences '!B425,0)</f>
        <v>0</v>
      </c>
      <c r="C423" s="8">
        <f>IF('Items sous domaines Sciences '!G425=2,'Items sous domaines Sciences '!C425,0)</f>
        <v>0</v>
      </c>
      <c r="D423" s="8">
        <f>IF('Items sous domaines Sciences '!G425=2,'Items sous domaines Sciences '!D425,0)</f>
        <v>0</v>
      </c>
      <c r="E423" s="8">
        <f>IF('Items sous domaines Sciences '!G425=2,'Items sous domaines Sciences '!E425,0)</f>
        <v>0</v>
      </c>
      <c r="F423" t="e">
        <f>IF('Items sous domaines Sciences '!#REF!=2,'Items sous domaines Sciences '!F323,0)</f>
        <v>#REF!</v>
      </c>
      <c r="G423" s="3"/>
    </row>
    <row r="424" spans="2:7" customFormat="1" ht="13.2" hidden="1" x14ac:dyDescent="0.25">
      <c r="B424" s="8">
        <f>IF('Items sous domaines Sciences '!G426=2,'Items sous domaines Sciences '!B426,0)</f>
        <v>0</v>
      </c>
      <c r="C424" s="8">
        <f>IF('Items sous domaines Sciences '!G426=2,'Items sous domaines Sciences '!C426,0)</f>
        <v>0</v>
      </c>
      <c r="D424" s="8">
        <f>IF('Items sous domaines Sciences '!G426=2,'Items sous domaines Sciences '!D426,0)</f>
        <v>0</v>
      </c>
      <c r="E424" s="8">
        <f>IF('Items sous domaines Sciences '!G426=2,'Items sous domaines Sciences '!E426,0)</f>
        <v>0</v>
      </c>
      <c r="F424" t="e">
        <f>IF('Items sous domaines Sciences '!#REF!=2,'Items sous domaines Sciences '!F324,0)</f>
        <v>#REF!</v>
      </c>
      <c r="G424" s="3"/>
    </row>
    <row r="425" spans="2:7" customFormat="1" ht="13.2" hidden="1" x14ac:dyDescent="0.25">
      <c r="B425" s="8">
        <f>IF('Items sous domaines Sciences '!G427=2,'Items sous domaines Sciences '!B427,0)</f>
        <v>0</v>
      </c>
      <c r="C425" s="8">
        <f>IF('Items sous domaines Sciences '!G427=2,'Items sous domaines Sciences '!C427,0)</f>
        <v>0</v>
      </c>
      <c r="D425" s="8">
        <f>IF('Items sous domaines Sciences '!G427=2,'Items sous domaines Sciences '!D427,0)</f>
        <v>0</v>
      </c>
      <c r="E425" s="8">
        <f>IF('Items sous domaines Sciences '!G427=2,'Items sous domaines Sciences '!E427,0)</f>
        <v>0</v>
      </c>
      <c r="F425" t="e">
        <f>IF('Items sous domaines Sciences '!#REF!=2,'Items sous domaines Sciences '!F325,0)</f>
        <v>#REF!</v>
      </c>
      <c r="G425" s="3"/>
    </row>
    <row r="426" spans="2:7" customFormat="1" ht="13.2" hidden="1" x14ac:dyDescent="0.25">
      <c r="B426" s="8">
        <f>IF('Items sous domaines Sciences '!G428=2,'Items sous domaines Sciences '!B428,0)</f>
        <v>0</v>
      </c>
      <c r="C426" s="8">
        <f>IF('Items sous domaines Sciences '!G428=2,'Items sous domaines Sciences '!C428,0)</f>
        <v>0</v>
      </c>
      <c r="D426" s="8">
        <f>IF('Items sous domaines Sciences '!G428=2,'Items sous domaines Sciences '!D428,0)</f>
        <v>0</v>
      </c>
      <c r="E426" s="8">
        <f>IF('Items sous domaines Sciences '!G428=2,'Items sous domaines Sciences '!E428,0)</f>
        <v>0</v>
      </c>
      <c r="F426" t="e">
        <f>IF('Items sous domaines Sciences '!#REF!=2,'Items sous domaines Sciences '!F326,0)</f>
        <v>#REF!</v>
      </c>
      <c r="G426" s="3"/>
    </row>
    <row r="427" spans="2:7" customFormat="1" ht="13.2" hidden="1" x14ac:dyDescent="0.25">
      <c r="B427" s="8">
        <f>IF('Items sous domaines Sciences '!G429=2,'Items sous domaines Sciences '!B429,0)</f>
        <v>0</v>
      </c>
      <c r="C427" s="8">
        <f>IF('Items sous domaines Sciences '!G429=2,'Items sous domaines Sciences '!C429,0)</f>
        <v>0</v>
      </c>
      <c r="D427" s="8">
        <f>IF('Items sous domaines Sciences '!G429=2,'Items sous domaines Sciences '!D429,0)</f>
        <v>0</v>
      </c>
      <c r="E427" s="8">
        <f>IF('Items sous domaines Sciences '!G429=2,'Items sous domaines Sciences '!E429,0)</f>
        <v>0</v>
      </c>
      <c r="F427" t="e">
        <f>IF('Items sous domaines Sciences '!#REF!=2,'Items sous domaines Sciences '!F327,0)</f>
        <v>#REF!</v>
      </c>
      <c r="G427" s="3"/>
    </row>
    <row r="428" spans="2:7" customFormat="1" ht="13.2" hidden="1" x14ac:dyDescent="0.25">
      <c r="B428" s="8">
        <f>IF('Items sous domaines Sciences '!G430=2,'Items sous domaines Sciences '!B430,0)</f>
        <v>0</v>
      </c>
      <c r="C428" s="8">
        <f>IF('Items sous domaines Sciences '!G430=2,'Items sous domaines Sciences '!C430,0)</f>
        <v>0</v>
      </c>
      <c r="D428" s="8">
        <f>IF('Items sous domaines Sciences '!G430=2,'Items sous domaines Sciences '!D430,0)</f>
        <v>0</v>
      </c>
      <c r="E428" s="8">
        <f>IF('Items sous domaines Sciences '!G430=2,'Items sous domaines Sciences '!E430,0)</f>
        <v>0</v>
      </c>
      <c r="F428" t="e">
        <f>IF('Items sous domaines Sciences '!#REF!=2,'Items sous domaines Sciences '!F328,0)</f>
        <v>#REF!</v>
      </c>
      <c r="G428" s="3"/>
    </row>
    <row r="429" spans="2:7" customFormat="1" ht="13.2" hidden="1" x14ac:dyDescent="0.25">
      <c r="B429" s="8">
        <f>IF('Items sous domaines Sciences '!G431=2,'Items sous domaines Sciences '!B431,0)</f>
        <v>0</v>
      </c>
      <c r="C429" s="8">
        <f>IF('Items sous domaines Sciences '!G431=2,'Items sous domaines Sciences '!C431,0)</f>
        <v>0</v>
      </c>
      <c r="D429" s="8">
        <f>IF('Items sous domaines Sciences '!G431=2,'Items sous domaines Sciences '!D431,0)</f>
        <v>0</v>
      </c>
      <c r="E429" s="8">
        <f>IF('Items sous domaines Sciences '!G431=2,'Items sous domaines Sciences '!E431,0)</f>
        <v>0</v>
      </c>
      <c r="F429" t="e">
        <f>IF('Items sous domaines Sciences '!#REF!=2,'Items sous domaines Sciences '!F329,0)</f>
        <v>#REF!</v>
      </c>
      <c r="G429" s="3"/>
    </row>
    <row r="430" spans="2:7" customFormat="1" ht="13.2" hidden="1" x14ac:dyDescent="0.25">
      <c r="B430" s="8">
        <f>IF('Items sous domaines Sciences '!G432=2,'Items sous domaines Sciences '!B432,0)</f>
        <v>0</v>
      </c>
      <c r="C430" s="8">
        <f>IF('Items sous domaines Sciences '!G432=2,'Items sous domaines Sciences '!C432,0)</f>
        <v>0</v>
      </c>
      <c r="D430" s="8">
        <f>IF('Items sous domaines Sciences '!G432=2,'Items sous domaines Sciences '!D432,0)</f>
        <v>0</v>
      </c>
      <c r="E430" s="8">
        <f>IF('Items sous domaines Sciences '!G432=2,'Items sous domaines Sciences '!E432,0)</f>
        <v>0</v>
      </c>
      <c r="F430" t="e">
        <f>IF('Items sous domaines Sciences '!#REF!=2,'Items sous domaines Sciences '!F330,0)</f>
        <v>#REF!</v>
      </c>
      <c r="G430" s="3"/>
    </row>
    <row r="431" spans="2:7" customFormat="1" ht="13.2" hidden="1" x14ac:dyDescent="0.25">
      <c r="B431" s="8">
        <f>IF('Items sous domaines Sciences '!G433=2,'Items sous domaines Sciences '!B433,0)</f>
        <v>0</v>
      </c>
      <c r="C431" s="8">
        <f>IF('Items sous domaines Sciences '!G433=2,'Items sous domaines Sciences '!C433,0)</f>
        <v>0</v>
      </c>
      <c r="D431" s="8">
        <f>IF('Items sous domaines Sciences '!G433=2,'Items sous domaines Sciences '!D433,0)</f>
        <v>0</v>
      </c>
      <c r="E431" s="8">
        <f>IF('Items sous domaines Sciences '!G433=2,'Items sous domaines Sciences '!E433,0)</f>
        <v>0</v>
      </c>
      <c r="F431" t="e">
        <f>IF('Items sous domaines Sciences '!#REF!=2,'Items sous domaines Sciences '!F331,0)</f>
        <v>#REF!</v>
      </c>
      <c r="G431" s="3"/>
    </row>
    <row r="432" spans="2:7" customFormat="1" ht="13.2" hidden="1" x14ac:dyDescent="0.25">
      <c r="B432" s="8">
        <f>IF('Items sous domaines Sciences '!G434=2,'Items sous domaines Sciences '!B434,0)</f>
        <v>0</v>
      </c>
      <c r="C432" s="8">
        <f>IF('Items sous domaines Sciences '!G434=2,'Items sous domaines Sciences '!C434,0)</f>
        <v>0</v>
      </c>
      <c r="D432" s="8">
        <f>IF('Items sous domaines Sciences '!G434=2,'Items sous domaines Sciences '!D434,0)</f>
        <v>0</v>
      </c>
      <c r="E432" s="8">
        <f>IF('Items sous domaines Sciences '!G434=2,'Items sous domaines Sciences '!E434,0)</f>
        <v>0</v>
      </c>
      <c r="F432">
        <f>IF('Items sous domaines Sciences '!G332=2,'Items sous domaines Sciences '!#REF!,0)</f>
        <v>0</v>
      </c>
      <c r="G432" s="3"/>
    </row>
    <row r="433" spans="2:7" customFormat="1" ht="13.2" hidden="1" x14ac:dyDescent="0.25">
      <c r="B433" s="8">
        <f>IF('Items sous domaines Sciences '!G435=2,'Items sous domaines Sciences '!B435,0)</f>
        <v>0</v>
      </c>
      <c r="C433" s="8">
        <f>IF('Items sous domaines Sciences '!G435=2,'Items sous domaines Sciences '!C435,0)</f>
        <v>0</v>
      </c>
      <c r="D433" s="8">
        <f>IF('Items sous domaines Sciences '!G435=2,'Items sous domaines Sciences '!D435,0)</f>
        <v>0</v>
      </c>
      <c r="E433" s="8">
        <f>IF('Items sous domaines Sciences '!G435=2,'Items sous domaines Sciences '!E435,0)</f>
        <v>0</v>
      </c>
      <c r="F433">
        <f>IF('Items sous domaines Sciences '!G333=2,'Items sous domaines Sciences '!#REF!,0)</f>
        <v>0</v>
      </c>
      <c r="G433" s="3"/>
    </row>
    <row r="434" spans="2:7" customFormat="1" ht="13.2" hidden="1" x14ac:dyDescent="0.25">
      <c r="B434" s="8">
        <f>IF('Items sous domaines Sciences '!G436=2,'Items sous domaines Sciences '!B436,0)</f>
        <v>0</v>
      </c>
      <c r="C434" s="8">
        <f>IF('Items sous domaines Sciences '!G436=2,'Items sous domaines Sciences '!C436,0)</f>
        <v>0</v>
      </c>
      <c r="D434" s="8">
        <f>IF('Items sous domaines Sciences '!G436=2,'Items sous domaines Sciences '!D436,0)</f>
        <v>0</v>
      </c>
      <c r="E434" s="8">
        <f>IF('Items sous domaines Sciences '!G436=2,'Items sous domaines Sciences '!E436,0)</f>
        <v>0</v>
      </c>
      <c r="F434">
        <f>IF('Items sous domaines Sciences '!G334=2,'Items sous domaines Sciences '!#REF!,0)</f>
        <v>0</v>
      </c>
      <c r="G434" s="3"/>
    </row>
    <row r="435" spans="2:7" customFormat="1" ht="13.2" hidden="1" x14ac:dyDescent="0.25">
      <c r="B435" s="8">
        <f>IF('Items sous domaines Sciences '!G437=2,'Items sous domaines Sciences '!B437,0)</f>
        <v>0</v>
      </c>
      <c r="C435" s="8">
        <f>IF('Items sous domaines Sciences '!G437=2,'Items sous domaines Sciences '!C437,0)</f>
        <v>0</v>
      </c>
      <c r="D435" s="8">
        <f>IF('Items sous domaines Sciences '!G437=2,'Items sous domaines Sciences '!D437,0)</f>
        <v>0</v>
      </c>
      <c r="E435" s="8">
        <f>IF('Items sous domaines Sciences '!G437=2,'Items sous domaines Sciences '!E437,0)</f>
        <v>0</v>
      </c>
      <c r="F435">
        <f>IF('Items sous domaines Sciences '!G335=2,'Items sous domaines Sciences '!#REF!,0)</f>
        <v>0</v>
      </c>
      <c r="G435" s="3"/>
    </row>
    <row r="436" spans="2:7" customFormat="1" ht="13.2" hidden="1" x14ac:dyDescent="0.25">
      <c r="B436" s="8">
        <f>IF('Items sous domaines Sciences '!G438=2,'Items sous domaines Sciences '!B438,0)</f>
        <v>0</v>
      </c>
      <c r="C436" s="8">
        <f>IF('Items sous domaines Sciences '!G438=2,'Items sous domaines Sciences '!C438,0)</f>
        <v>0</v>
      </c>
      <c r="D436" s="8">
        <f>IF('Items sous domaines Sciences '!G438=2,'Items sous domaines Sciences '!D438,0)</f>
        <v>0</v>
      </c>
      <c r="E436" s="8">
        <f>IF('Items sous domaines Sciences '!G438=2,'Items sous domaines Sciences '!E438,0)</f>
        <v>0</v>
      </c>
      <c r="F436">
        <f>IF('Items sous domaines Sciences '!G336=2,'Items sous domaines Sciences '!#REF!,0)</f>
        <v>0</v>
      </c>
      <c r="G436" s="3"/>
    </row>
    <row r="437" spans="2:7" customFormat="1" ht="13.2" hidden="1" x14ac:dyDescent="0.25">
      <c r="B437" s="8">
        <f>IF('Items sous domaines Sciences '!G439=2,'Items sous domaines Sciences '!B439,0)</f>
        <v>0</v>
      </c>
      <c r="C437" s="8">
        <f>IF('Items sous domaines Sciences '!G439=2,'Items sous domaines Sciences '!C439,0)</f>
        <v>0</v>
      </c>
      <c r="D437" s="8">
        <f>IF('Items sous domaines Sciences '!G439=2,'Items sous domaines Sciences '!D439,0)</f>
        <v>0</v>
      </c>
      <c r="E437" s="8">
        <f>IF('Items sous domaines Sciences '!G439=2,'Items sous domaines Sciences '!E439,0)</f>
        <v>0</v>
      </c>
      <c r="F437">
        <f>IF('Items sous domaines Sciences '!G337=2,'Items sous domaines Sciences '!#REF!,0)</f>
        <v>0</v>
      </c>
      <c r="G437" s="3"/>
    </row>
    <row r="438" spans="2:7" customFormat="1" ht="13.2" hidden="1" x14ac:dyDescent="0.25">
      <c r="B438" s="8">
        <f>IF('Items sous domaines Sciences '!G440=2,'Items sous domaines Sciences '!B440,0)</f>
        <v>0</v>
      </c>
      <c r="C438" s="8">
        <f>IF('Items sous domaines Sciences '!G440=2,'Items sous domaines Sciences '!C440,0)</f>
        <v>0</v>
      </c>
      <c r="D438" s="8">
        <f>IF('Items sous domaines Sciences '!G440=2,'Items sous domaines Sciences '!D440,0)</f>
        <v>0</v>
      </c>
      <c r="E438" s="8">
        <f>IF('Items sous domaines Sciences '!G440=2,'Items sous domaines Sciences '!E440,0)</f>
        <v>0</v>
      </c>
      <c r="F438">
        <f>IF('Items sous domaines Sciences '!G338=2,'Items sous domaines Sciences '!#REF!,0)</f>
        <v>0</v>
      </c>
      <c r="G438" s="3"/>
    </row>
    <row r="439" spans="2:7" customFormat="1" ht="13.2" hidden="1" x14ac:dyDescent="0.25">
      <c r="B439" s="8">
        <f>IF('Items sous domaines Sciences '!G441=2,'Items sous domaines Sciences '!B441,0)</f>
        <v>0</v>
      </c>
      <c r="C439" s="8">
        <f>IF('Items sous domaines Sciences '!G441=2,'Items sous domaines Sciences '!C441,0)</f>
        <v>0</v>
      </c>
      <c r="D439" s="8">
        <f>IF('Items sous domaines Sciences '!G441=2,'Items sous domaines Sciences '!D441,0)</f>
        <v>0</v>
      </c>
      <c r="E439" s="8">
        <f>IF('Items sous domaines Sciences '!G441=2,'Items sous domaines Sciences '!E441,0)</f>
        <v>0</v>
      </c>
      <c r="F439">
        <f>IF('Items sous domaines Sciences '!G339=2,'Items sous domaines Sciences '!#REF!,0)</f>
        <v>0</v>
      </c>
      <c r="G439" s="3"/>
    </row>
    <row r="440" spans="2:7" customFormat="1" ht="13.2" hidden="1" x14ac:dyDescent="0.25">
      <c r="B440" s="8">
        <f>IF('Items sous domaines Sciences '!G442=2,'Items sous domaines Sciences '!B442,0)</f>
        <v>0</v>
      </c>
      <c r="C440" s="8">
        <f>IF('Items sous domaines Sciences '!G442=2,'Items sous domaines Sciences '!C442,0)</f>
        <v>0</v>
      </c>
      <c r="D440" s="8">
        <f>IF('Items sous domaines Sciences '!G442=2,'Items sous domaines Sciences '!D442,0)</f>
        <v>0</v>
      </c>
      <c r="E440" s="8">
        <f>IF('Items sous domaines Sciences '!G442=2,'Items sous domaines Sciences '!E442,0)</f>
        <v>0</v>
      </c>
      <c r="F440">
        <f>IF('Items sous domaines Sciences '!G340=2,'Items sous domaines Sciences '!#REF!,0)</f>
        <v>0</v>
      </c>
      <c r="G440" s="3"/>
    </row>
    <row r="441" spans="2:7" customFormat="1" ht="13.2" hidden="1" x14ac:dyDescent="0.25">
      <c r="B441" s="8">
        <f>IF('Items sous domaines Sciences '!G443=2,'Items sous domaines Sciences '!B443,0)</f>
        <v>0</v>
      </c>
      <c r="C441" s="8">
        <f>IF('Items sous domaines Sciences '!G443=2,'Items sous domaines Sciences '!C443,0)</f>
        <v>0</v>
      </c>
      <c r="D441" s="8">
        <f>IF('Items sous domaines Sciences '!G443=2,'Items sous domaines Sciences '!D443,0)</f>
        <v>0</v>
      </c>
      <c r="E441" s="8">
        <f>IF('Items sous domaines Sciences '!G443=2,'Items sous domaines Sciences '!E443,0)</f>
        <v>0</v>
      </c>
      <c r="F441">
        <f>IF('Items sous domaines Sciences '!G341=2,'Items sous domaines Sciences '!#REF!,0)</f>
        <v>0</v>
      </c>
      <c r="G441" s="3"/>
    </row>
    <row r="442" spans="2:7" customFormat="1" ht="13.2" hidden="1" x14ac:dyDescent="0.25">
      <c r="B442" s="8">
        <f>IF('Items sous domaines Sciences '!G444=2,'Items sous domaines Sciences '!B444,0)</f>
        <v>0</v>
      </c>
      <c r="C442" s="8">
        <f>IF('Items sous domaines Sciences '!G444=2,'Items sous domaines Sciences '!C444,0)</f>
        <v>0</v>
      </c>
      <c r="D442" s="8">
        <f>IF('Items sous domaines Sciences '!G444=2,'Items sous domaines Sciences '!D444,0)</f>
        <v>0</v>
      </c>
      <c r="E442" s="8">
        <f>IF('Items sous domaines Sciences '!G444=2,'Items sous domaines Sciences '!E444,0)</f>
        <v>0</v>
      </c>
      <c r="F442">
        <f>IF('Items sous domaines Sciences '!G342=2,'Items sous domaines Sciences '!#REF!,0)</f>
        <v>0</v>
      </c>
      <c r="G442" s="3"/>
    </row>
    <row r="443" spans="2:7" customFormat="1" ht="13.2" hidden="1" x14ac:dyDescent="0.25">
      <c r="B443" s="8">
        <f>IF('Items sous domaines Sciences '!G445=2,'Items sous domaines Sciences '!B445,0)</f>
        <v>0</v>
      </c>
      <c r="C443" s="8">
        <f>IF('Items sous domaines Sciences '!G445=2,'Items sous domaines Sciences '!C445,0)</f>
        <v>0</v>
      </c>
      <c r="D443" s="8">
        <f>IF('Items sous domaines Sciences '!G445=2,'Items sous domaines Sciences '!D445,0)</f>
        <v>0</v>
      </c>
      <c r="E443" s="8">
        <f>IF('Items sous domaines Sciences '!G445=2,'Items sous domaines Sciences '!E445,0)</f>
        <v>0</v>
      </c>
      <c r="F443">
        <f>IF('Items sous domaines Sciences '!G343=2,'Items sous domaines Sciences '!#REF!,0)</f>
        <v>0</v>
      </c>
      <c r="G443" s="3"/>
    </row>
    <row r="444" spans="2:7" customFormat="1" ht="13.2" hidden="1" x14ac:dyDescent="0.25">
      <c r="B444" s="8">
        <f>IF('Items sous domaines Sciences '!G446=2,'Items sous domaines Sciences '!B446,0)</f>
        <v>0</v>
      </c>
      <c r="C444" s="8">
        <f>IF('Items sous domaines Sciences '!G446=2,'Items sous domaines Sciences '!C446,0)</f>
        <v>0</v>
      </c>
      <c r="D444" s="8">
        <f>IF('Items sous domaines Sciences '!G446=2,'Items sous domaines Sciences '!D446,0)</f>
        <v>0</v>
      </c>
      <c r="E444" s="8">
        <f>IF('Items sous domaines Sciences '!G446=2,'Items sous domaines Sciences '!E446,0)</f>
        <v>0</v>
      </c>
      <c r="F444">
        <f>IF('Items sous domaines Sciences '!G344=2,'Items sous domaines Sciences '!#REF!,0)</f>
        <v>0</v>
      </c>
      <c r="G444" s="3"/>
    </row>
    <row r="445" spans="2:7" customFormat="1" ht="13.2" hidden="1" x14ac:dyDescent="0.25">
      <c r="B445" s="8">
        <f>IF('Items sous domaines Sciences '!G447=2,'Items sous domaines Sciences '!B447,0)</f>
        <v>0</v>
      </c>
      <c r="C445" s="8">
        <f>IF('Items sous domaines Sciences '!G447=2,'Items sous domaines Sciences '!C447,0)</f>
        <v>0</v>
      </c>
      <c r="D445" s="8">
        <f>IF('Items sous domaines Sciences '!G447=2,'Items sous domaines Sciences '!D447,0)</f>
        <v>0</v>
      </c>
      <c r="E445" s="8">
        <f>IF('Items sous domaines Sciences '!G447=2,'Items sous domaines Sciences '!E447,0)</f>
        <v>0</v>
      </c>
      <c r="F445">
        <f>IF('Items sous domaines Sciences '!G345=2,'Items sous domaines Sciences '!#REF!,0)</f>
        <v>0</v>
      </c>
      <c r="G445" s="3"/>
    </row>
    <row r="446" spans="2:7" customFormat="1" ht="13.2" hidden="1" x14ac:dyDescent="0.25">
      <c r="B446" s="8">
        <f>IF('Items sous domaines Sciences '!G448=2,'Items sous domaines Sciences '!B448,0)</f>
        <v>0</v>
      </c>
      <c r="C446" s="8">
        <f>IF('Items sous domaines Sciences '!G448=2,'Items sous domaines Sciences '!C448,0)</f>
        <v>0</v>
      </c>
      <c r="D446" s="8">
        <f>IF('Items sous domaines Sciences '!G448=2,'Items sous domaines Sciences '!D448,0)</f>
        <v>0</v>
      </c>
      <c r="E446" s="8">
        <f>IF('Items sous domaines Sciences '!G448=2,'Items sous domaines Sciences '!E448,0)</f>
        <v>0</v>
      </c>
      <c r="F446">
        <f>IF('Items sous domaines Sciences '!G346=2,'Items sous domaines Sciences '!#REF!,0)</f>
        <v>0</v>
      </c>
      <c r="G446" s="3"/>
    </row>
    <row r="447" spans="2:7" customFormat="1" ht="13.2" hidden="1" x14ac:dyDescent="0.25">
      <c r="B447" s="8">
        <f>IF('Items sous domaines Sciences '!G449=2,'Items sous domaines Sciences '!B449,0)</f>
        <v>0</v>
      </c>
      <c r="C447" s="8">
        <f>IF('Items sous domaines Sciences '!G449=2,'Items sous domaines Sciences '!C449,0)</f>
        <v>0</v>
      </c>
      <c r="D447" s="8">
        <f>IF('Items sous domaines Sciences '!G449=2,'Items sous domaines Sciences '!D449,0)</f>
        <v>0</v>
      </c>
      <c r="E447" s="8">
        <f>IF('Items sous domaines Sciences '!G449=2,'Items sous domaines Sciences '!E449,0)</f>
        <v>0</v>
      </c>
      <c r="F447">
        <f>IF('Items sous domaines Sciences '!G347=2,'Items sous domaines Sciences '!#REF!,0)</f>
        <v>0</v>
      </c>
      <c r="G447" s="3"/>
    </row>
    <row r="448" spans="2:7" customFormat="1" ht="13.2" hidden="1" x14ac:dyDescent="0.25">
      <c r="B448" s="8">
        <f>IF('Items sous domaines Sciences '!G450=2,'Items sous domaines Sciences '!B450,0)</f>
        <v>0</v>
      </c>
      <c r="C448" s="8">
        <f>IF('Items sous domaines Sciences '!G450=2,'Items sous domaines Sciences '!C450,0)</f>
        <v>0</v>
      </c>
      <c r="D448" s="8">
        <f>IF('Items sous domaines Sciences '!G450=2,'Items sous domaines Sciences '!D450,0)</f>
        <v>0</v>
      </c>
      <c r="E448" s="8">
        <f>IF('Items sous domaines Sciences '!G450=2,'Items sous domaines Sciences '!E450,0)</f>
        <v>0</v>
      </c>
      <c r="F448">
        <f>IF('Items sous domaines Sciences '!G348=2,'Items sous domaines Sciences '!#REF!,0)</f>
        <v>0</v>
      </c>
      <c r="G448" s="3"/>
    </row>
    <row r="449" spans="2:7" customFormat="1" ht="13.2" hidden="1" x14ac:dyDescent="0.25">
      <c r="B449" s="8">
        <f>IF('Items sous domaines Sciences '!G451=2,'Items sous domaines Sciences '!B451,0)</f>
        <v>0</v>
      </c>
      <c r="C449" s="8">
        <f>IF('Items sous domaines Sciences '!G451=2,'Items sous domaines Sciences '!C451,0)</f>
        <v>0</v>
      </c>
      <c r="D449" s="8">
        <f>IF('Items sous domaines Sciences '!G451=2,'Items sous domaines Sciences '!D451,0)</f>
        <v>0</v>
      </c>
      <c r="E449" s="8">
        <f>IF('Items sous domaines Sciences '!G451=2,'Items sous domaines Sciences '!E451,0)</f>
        <v>0</v>
      </c>
      <c r="F449">
        <f>IF('Items sous domaines Sciences '!G349=2,'Items sous domaines Sciences '!#REF!,0)</f>
        <v>0</v>
      </c>
      <c r="G449" s="3"/>
    </row>
    <row r="450" spans="2:7" customFormat="1" ht="13.2" hidden="1" x14ac:dyDescent="0.25">
      <c r="B450" s="8">
        <f>IF('Items sous domaines Sciences '!G452=2,'Items sous domaines Sciences '!B452,0)</f>
        <v>0</v>
      </c>
      <c r="C450" s="8">
        <f>IF('Items sous domaines Sciences '!G452=2,'Items sous domaines Sciences '!C452,0)</f>
        <v>0</v>
      </c>
      <c r="D450" s="8">
        <f>IF('Items sous domaines Sciences '!G452=2,'Items sous domaines Sciences '!D452,0)</f>
        <v>0</v>
      </c>
      <c r="E450" s="8">
        <f>IF('Items sous domaines Sciences '!G452=2,'Items sous domaines Sciences '!E452,0)</f>
        <v>0</v>
      </c>
      <c r="F450">
        <f>IF('Items sous domaines Sciences '!G350=2,'Items sous domaines Sciences '!#REF!,0)</f>
        <v>0</v>
      </c>
      <c r="G450" s="3"/>
    </row>
    <row r="451" spans="2:7" customFormat="1" ht="13.2" hidden="1" x14ac:dyDescent="0.25">
      <c r="B451" s="8">
        <f>IF('Items sous domaines Sciences '!G453=2,'Items sous domaines Sciences '!B453,0)</f>
        <v>0</v>
      </c>
      <c r="C451" s="8">
        <f>IF('Items sous domaines Sciences '!G453=2,'Items sous domaines Sciences '!C453,0)</f>
        <v>0</v>
      </c>
      <c r="D451" s="8">
        <f>IF('Items sous domaines Sciences '!G453=2,'Items sous domaines Sciences '!D453,0)</f>
        <v>0</v>
      </c>
      <c r="E451" s="8">
        <f>IF('Items sous domaines Sciences '!G453=2,'Items sous domaines Sciences '!E453,0)</f>
        <v>0</v>
      </c>
      <c r="F451">
        <f>IF('Items sous domaines Sciences '!G351=2,'Items sous domaines Sciences '!#REF!,0)</f>
        <v>0</v>
      </c>
      <c r="G451" s="3"/>
    </row>
    <row r="452" spans="2:7" customFormat="1" ht="13.2" hidden="1" x14ac:dyDescent="0.25">
      <c r="B452" s="8">
        <f>IF('Items sous domaines Sciences '!G454=2,'Items sous domaines Sciences '!B454,0)</f>
        <v>0</v>
      </c>
      <c r="C452" s="8">
        <f>IF('Items sous domaines Sciences '!G454=2,'Items sous domaines Sciences '!C454,0)</f>
        <v>0</v>
      </c>
      <c r="D452" s="8">
        <f>IF('Items sous domaines Sciences '!G454=2,'Items sous domaines Sciences '!D454,0)</f>
        <v>0</v>
      </c>
      <c r="E452" s="8">
        <f>IF('Items sous domaines Sciences '!G454=2,'Items sous domaines Sciences '!E454,0)</f>
        <v>0</v>
      </c>
      <c r="F452">
        <f>IF('Items sous domaines Sciences '!G352=2,'Items sous domaines Sciences '!#REF!,0)</f>
        <v>0</v>
      </c>
      <c r="G452" s="3"/>
    </row>
    <row r="453" spans="2:7" customFormat="1" ht="13.2" hidden="1" x14ac:dyDescent="0.25">
      <c r="B453" s="8">
        <f>IF('Items sous domaines Sciences '!G455=2,'Items sous domaines Sciences '!B455,0)</f>
        <v>0</v>
      </c>
      <c r="C453" s="8">
        <f>IF('Items sous domaines Sciences '!G455=2,'Items sous domaines Sciences '!C455,0)</f>
        <v>0</v>
      </c>
      <c r="D453" s="8">
        <f>IF('Items sous domaines Sciences '!G455=2,'Items sous domaines Sciences '!D455,0)</f>
        <v>0</v>
      </c>
      <c r="E453" s="8">
        <f>IF('Items sous domaines Sciences '!G455=2,'Items sous domaines Sciences '!E455,0)</f>
        <v>0</v>
      </c>
      <c r="F453">
        <f>IF('Items sous domaines Sciences '!G353=2,'Items sous domaines Sciences '!#REF!,0)</f>
        <v>0</v>
      </c>
      <c r="G453" s="3"/>
    </row>
    <row r="454" spans="2:7" customFormat="1" ht="13.2" hidden="1" x14ac:dyDescent="0.25">
      <c r="B454" s="8">
        <f>IF('Items sous domaines Sciences '!G456=2,'Items sous domaines Sciences '!B456,0)</f>
        <v>0</v>
      </c>
      <c r="C454" s="8">
        <f>IF('Items sous domaines Sciences '!G456=2,'Items sous domaines Sciences '!C456,0)</f>
        <v>0</v>
      </c>
      <c r="D454" s="8">
        <f>IF('Items sous domaines Sciences '!G456=2,'Items sous domaines Sciences '!D456,0)</f>
        <v>0</v>
      </c>
      <c r="E454" s="8">
        <f>IF('Items sous domaines Sciences '!G456=2,'Items sous domaines Sciences '!E456,0)</f>
        <v>0</v>
      </c>
      <c r="F454">
        <f>IF('Items sous domaines Sciences '!G354=2,'Items sous domaines Sciences '!#REF!,0)</f>
        <v>0</v>
      </c>
      <c r="G454" s="3"/>
    </row>
    <row r="455" spans="2:7" customFormat="1" ht="13.2" hidden="1" x14ac:dyDescent="0.25">
      <c r="B455" s="8">
        <f>IF('Items sous domaines Sciences '!G457=2,'Items sous domaines Sciences '!B457,0)</f>
        <v>0</v>
      </c>
      <c r="C455" s="8">
        <f>IF('Items sous domaines Sciences '!G457=2,'Items sous domaines Sciences '!C457,0)</f>
        <v>0</v>
      </c>
      <c r="D455" s="8">
        <f>IF('Items sous domaines Sciences '!G457=2,'Items sous domaines Sciences '!D457,0)</f>
        <v>0</v>
      </c>
      <c r="E455" s="8">
        <f>IF('Items sous domaines Sciences '!G457=2,'Items sous domaines Sciences '!E457,0)</f>
        <v>0</v>
      </c>
      <c r="F455">
        <f>IF('Items sous domaines Sciences '!G355=2,'Items sous domaines Sciences '!#REF!,0)</f>
        <v>0</v>
      </c>
      <c r="G455" s="3"/>
    </row>
    <row r="456" spans="2:7" customFormat="1" ht="13.2" hidden="1" x14ac:dyDescent="0.25">
      <c r="B456" s="8">
        <f>IF('Items sous domaines Sciences '!G458=2,'Items sous domaines Sciences '!B458,0)</f>
        <v>0</v>
      </c>
      <c r="C456" s="8">
        <f>IF('Items sous domaines Sciences '!G458=2,'Items sous domaines Sciences '!C458,0)</f>
        <v>0</v>
      </c>
      <c r="D456" s="8">
        <f>IF('Items sous domaines Sciences '!G458=2,'Items sous domaines Sciences '!D458,0)</f>
        <v>0</v>
      </c>
      <c r="E456" s="8">
        <f>IF('Items sous domaines Sciences '!G458=2,'Items sous domaines Sciences '!E458,0)</f>
        <v>0</v>
      </c>
      <c r="F456">
        <f>IF('Items sous domaines Sciences '!G356=2,'Items sous domaines Sciences '!#REF!,0)</f>
        <v>0</v>
      </c>
      <c r="G456" s="3"/>
    </row>
    <row r="457" spans="2:7" customFormat="1" ht="13.2" hidden="1" x14ac:dyDescent="0.25">
      <c r="B457" s="8">
        <f>IF('Items sous domaines Sciences '!G459=2,'Items sous domaines Sciences '!B459,0)</f>
        <v>0</v>
      </c>
      <c r="C457" s="8">
        <f>IF('Items sous domaines Sciences '!G459=2,'Items sous domaines Sciences '!C459,0)</f>
        <v>0</v>
      </c>
      <c r="D457" s="8">
        <f>IF('Items sous domaines Sciences '!G459=2,'Items sous domaines Sciences '!D459,0)</f>
        <v>0</v>
      </c>
      <c r="E457" s="8">
        <f>IF('Items sous domaines Sciences '!G459=2,'Items sous domaines Sciences '!E459,0)</f>
        <v>0</v>
      </c>
      <c r="F457">
        <f>IF('Items sous domaines Sciences '!G357=2,'Items sous domaines Sciences '!#REF!,0)</f>
        <v>0</v>
      </c>
      <c r="G457" s="3"/>
    </row>
    <row r="458" spans="2:7" customFormat="1" ht="13.2" hidden="1" x14ac:dyDescent="0.25">
      <c r="B458" s="8">
        <f>IF('Items sous domaines Sciences '!G460=2,'Items sous domaines Sciences '!B460,0)</f>
        <v>0</v>
      </c>
      <c r="C458" s="8">
        <f>IF('Items sous domaines Sciences '!G460=2,'Items sous domaines Sciences '!C460,0)</f>
        <v>0</v>
      </c>
      <c r="D458" s="8">
        <f>IF('Items sous domaines Sciences '!G460=2,'Items sous domaines Sciences '!D460,0)</f>
        <v>0</v>
      </c>
      <c r="E458" s="8">
        <f>IF('Items sous domaines Sciences '!G460=2,'Items sous domaines Sciences '!E460,0)</f>
        <v>0</v>
      </c>
      <c r="F458">
        <f>IF('Items sous domaines Sciences '!G358=2,'Items sous domaines Sciences '!#REF!,0)</f>
        <v>0</v>
      </c>
      <c r="G458" s="3"/>
    </row>
    <row r="459" spans="2:7" customFormat="1" ht="13.2" hidden="1" x14ac:dyDescent="0.25">
      <c r="B459" s="8">
        <f>IF('Items sous domaines Sciences '!G461=2,'Items sous domaines Sciences '!B461,0)</f>
        <v>0</v>
      </c>
      <c r="C459" s="8">
        <f>IF('Items sous domaines Sciences '!G461=2,'Items sous domaines Sciences '!C461,0)</f>
        <v>0</v>
      </c>
      <c r="D459" s="8">
        <f>IF('Items sous domaines Sciences '!G461=2,'Items sous domaines Sciences '!D461,0)</f>
        <v>0</v>
      </c>
      <c r="E459" s="8">
        <f>IF('Items sous domaines Sciences '!G461=2,'Items sous domaines Sciences '!E461,0)</f>
        <v>0</v>
      </c>
      <c r="F459">
        <f>IF('Items sous domaines Sciences '!G359=2,'Items sous domaines Sciences '!#REF!,0)</f>
        <v>0</v>
      </c>
      <c r="G459" s="3"/>
    </row>
    <row r="460" spans="2:7" customFormat="1" ht="13.2" hidden="1" x14ac:dyDescent="0.25">
      <c r="B460" s="8">
        <f>IF('Items sous domaines Sciences '!G462=2,'Items sous domaines Sciences '!B462,0)</f>
        <v>0</v>
      </c>
      <c r="C460" s="8">
        <f>IF('Items sous domaines Sciences '!G462=2,'Items sous domaines Sciences '!C462,0)</f>
        <v>0</v>
      </c>
      <c r="D460" s="8">
        <f>IF('Items sous domaines Sciences '!G462=2,'Items sous domaines Sciences '!D462,0)</f>
        <v>0</v>
      </c>
      <c r="E460" s="8">
        <f>IF('Items sous domaines Sciences '!G462=2,'Items sous domaines Sciences '!E462,0)</f>
        <v>0</v>
      </c>
      <c r="F460">
        <f>IF('Items sous domaines Sciences '!G360=2,'Items sous domaines Sciences '!#REF!,0)</f>
        <v>0</v>
      </c>
      <c r="G460" s="3"/>
    </row>
    <row r="461" spans="2:7" customFormat="1" ht="13.2" hidden="1" x14ac:dyDescent="0.25">
      <c r="B461" s="8">
        <f>IF('Items sous domaines Sciences '!G463=2,'Items sous domaines Sciences '!B463,0)</f>
        <v>0</v>
      </c>
      <c r="C461" s="8">
        <f>IF('Items sous domaines Sciences '!G463=2,'Items sous domaines Sciences '!C463,0)</f>
        <v>0</v>
      </c>
      <c r="D461" s="8">
        <f>IF('Items sous domaines Sciences '!G463=2,'Items sous domaines Sciences '!D463,0)</f>
        <v>0</v>
      </c>
      <c r="E461" s="8">
        <f>IF('Items sous domaines Sciences '!G463=2,'Items sous domaines Sciences '!E463,0)</f>
        <v>0</v>
      </c>
      <c r="F461">
        <f>IF('Items sous domaines Sciences '!G361=2,'Items sous domaines Sciences '!#REF!,0)</f>
        <v>0</v>
      </c>
      <c r="G461" s="3"/>
    </row>
    <row r="462" spans="2:7" customFormat="1" ht="13.2" hidden="1" x14ac:dyDescent="0.25">
      <c r="B462" s="8">
        <f>IF('Items sous domaines Sciences '!G464=2,'Items sous domaines Sciences '!B464,0)</f>
        <v>0</v>
      </c>
      <c r="C462" s="8">
        <f>IF('Items sous domaines Sciences '!G464=2,'Items sous domaines Sciences '!C464,0)</f>
        <v>0</v>
      </c>
      <c r="D462" s="8">
        <f>IF('Items sous domaines Sciences '!G464=2,'Items sous domaines Sciences '!D464,0)</f>
        <v>0</v>
      </c>
      <c r="E462" s="8">
        <f>IF('Items sous domaines Sciences '!G464=2,'Items sous domaines Sciences '!E464,0)</f>
        <v>0</v>
      </c>
      <c r="F462">
        <f>IF('Items sous domaines Sciences '!G362=2,'Items sous domaines Sciences '!#REF!,0)</f>
        <v>0</v>
      </c>
      <c r="G462" s="3"/>
    </row>
    <row r="463" spans="2:7" customFormat="1" ht="13.2" hidden="1" x14ac:dyDescent="0.25">
      <c r="B463" s="8">
        <f>IF('Items sous domaines Sciences '!G465=2,'Items sous domaines Sciences '!B465,0)</f>
        <v>0</v>
      </c>
      <c r="C463" s="8">
        <f>IF('Items sous domaines Sciences '!G465=2,'Items sous domaines Sciences '!C465,0)</f>
        <v>0</v>
      </c>
      <c r="D463" s="8">
        <f>IF('Items sous domaines Sciences '!G465=2,'Items sous domaines Sciences '!D465,0)</f>
        <v>0</v>
      </c>
      <c r="E463" s="8">
        <f>IF('Items sous domaines Sciences '!G465=2,'Items sous domaines Sciences '!E465,0)</f>
        <v>0</v>
      </c>
      <c r="F463">
        <f>IF('Items sous domaines Sciences '!G363=2,'Items sous domaines Sciences '!#REF!,0)</f>
        <v>0</v>
      </c>
      <c r="G463" s="3"/>
    </row>
    <row r="464" spans="2:7" customFormat="1" ht="13.2" hidden="1" x14ac:dyDescent="0.25">
      <c r="B464" s="8">
        <f>IF('Items sous domaines Sciences '!G466=2,'Items sous domaines Sciences '!B466,0)</f>
        <v>0</v>
      </c>
      <c r="C464" s="8">
        <f>IF('Items sous domaines Sciences '!G466=2,'Items sous domaines Sciences '!C466,0)</f>
        <v>0</v>
      </c>
      <c r="D464" s="8">
        <f>IF('Items sous domaines Sciences '!G466=2,'Items sous domaines Sciences '!D466,0)</f>
        <v>0</v>
      </c>
      <c r="E464" s="8">
        <f>IF('Items sous domaines Sciences '!G466=2,'Items sous domaines Sciences '!E466,0)</f>
        <v>0</v>
      </c>
      <c r="F464">
        <f>IF('Items sous domaines Sciences '!G364=2,'Items sous domaines Sciences '!#REF!,0)</f>
        <v>0</v>
      </c>
      <c r="G464" s="3"/>
    </row>
    <row r="465" spans="2:7" customFormat="1" ht="13.2" hidden="1" x14ac:dyDescent="0.25">
      <c r="B465" s="8">
        <f>IF('Items sous domaines Sciences '!G467=2,'Items sous domaines Sciences '!B467,0)</f>
        <v>0</v>
      </c>
      <c r="C465" s="8">
        <f>IF('Items sous domaines Sciences '!G467=2,'Items sous domaines Sciences '!C467,0)</f>
        <v>0</v>
      </c>
      <c r="D465" s="8">
        <f>IF('Items sous domaines Sciences '!G467=2,'Items sous domaines Sciences '!D467,0)</f>
        <v>0</v>
      </c>
      <c r="E465" s="8">
        <f>IF('Items sous domaines Sciences '!G467=2,'Items sous domaines Sciences '!E467,0)</f>
        <v>0</v>
      </c>
      <c r="F465">
        <f>IF('Items sous domaines Sciences '!G365=2,'Items sous domaines Sciences '!#REF!,0)</f>
        <v>0</v>
      </c>
      <c r="G465" s="3"/>
    </row>
    <row r="466" spans="2:7" customFormat="1" ht="13.2" hidden="1" x14ac:dyDescent="0.25">
      <c r="B466" s="8">
        <f>IF('Items sous domaines Sciences '!G468=2,'Items sous domaines Sciences '!B468,0)</f>
        <v>0</v>
      </c>
      <c r="C466" s="8">
        <f>IF('Items sous domaines Sciences '!G468=2,'Items sous domaines Sciences '!C468,0)</f>
        <v>0</v>
      </c>
      <c r="D466" s="8">
        <f>IF('Items sous domaines Sciences '!G468=2,'Items sous domaines Sciences '!D468,0)</f>
        <v>0</v>
      </c>
      <c r="E466" s="8">
        <f>IF('Items sous domaines Sciences '!G468=2,'Items sous domaines Sciences '!E468,0)</f>
        <v>0</v>
      </c>
      <c r="F466">
        <f>IF('Items sous domaines Sciences '!G366=2,'Items sous domaines Sciences '!#REF!,0)</f>
        <v>0</v>
      </c>
      <c r="G466" s="3"/>
    </row>
    <row r="467" spans="2:7" customFormat="1" ht="13.2" hidden="1" x14ac:dyDescent="0.25">
      <c r="B467" s="8">
        <f>IF('Items sous domaines Sciences '!G469=2,'Items sous domaines Sciences '!B469,0)</f>
        <v>0</v>
      </c>
      <c r="C467" s="8">
        <f>IF('Items sous domaines Sciences '!G469=2,'Items sous domaines Sciences '!C469,0)</f>
        <v>0</v>
      </c>
      <c r="D467" s="8">
        <f>IF('Items sous domaines Sciences '!G469=2,'Items sous domaines Sciences '!D469,0)</f>
        <v>0</v>
      </c>
      <c r="E467" s="8">
        <f>IF('Items sous domaines Sciences '!G469=2,'Items sous domaines Sciences '!E469,0)</f>
        <v>0</v>
      </c>
      <c r="F467">
        <f>IF('Items sous domaines Sciences '!G367=2,'Items sous domaines Sciences '!#REF!,0)</f>
        <v>0</v>
      </c>
      <c r="G467" s="3"/>
    </row>
    <row r="468" spans="2:7" customFormat="1" ht="13.2" hidden="1" x14ac:dyDescent="0.25">
      <c r="B468" s="8">
        <f>IF('Items sous domaines Sciences '!G470=2,'Items sous domaines Sciences '!B470,0)</f>
        <v>0</v>
      </c>
      <c r="C468" s="8">
        <f>IF('Items sous domaines Sciences '!G470=2,'Items sous domaines Sciences '!C470,0)</f>
        <v>0</v>
      </c>
      <c r="D468" s="8">
        <f>IF('Items sous domaines Sciences '!G470=2,'Items sous domaines Sciences '!D470,0)</f>
        <v>0</v>
      </c>
      <c r="E468" s="8">
        <f>IF('Items sous domaines Sciences '!G470=2,'Items sous domaines Sciences '!E470,0)</f>
        <v>0</v>
      </c>
      <c r="F468">
        <f>IF('Items sous domaines Sciences '!G368=2,'Items sous domaines Sciences '!#REF!,0)</f>
        <v>0</v>
      </c>
      <c r="G468" s="3"/>
    </row>
    <row r="469" spans="2:7" customFormat="1" ht="13.2" hidden="1" x14ac:dyDescent="0.25">
      <c r="B469" s="8">
        <f>IF('Items sous domaines Sciences '!G471=2,'Items sous domaines Sciences '!B471,0)</f>
        <v>0</v>
      </c>
      <c r="C469" s="8">
        <f>IF('Items sous domaines Sciences '!G471=2,'Items sous domaines Sciences '!C471,0)</f>
        <v>0</v>
      </c>
      <c r="D469" s="8">
        <f>IF('Items sous domaines Sciences '!G471=2,'Items sous domaines Sciences '!D471,0)</f>
        <v>0</v>
      </c>
      <c r="E469" s="8">
        <f>IF('Items sous domaines Sciences '!G471=2,'Items sous domaines Sciences '!E471,0)</f>
        <v>0</v>
      </c>
      <c r="F469">
        <f>IF('Items sous domaines Sciences '!G369=2,'Items sous domaines Sciences '!#REF!,0)</f>
        <v>0</v>
      </c>
      <c r="G469" s="3"/>
    </row>
    <row r="470" spans="2:7" customFormat="1" ht="13.2" hidden="1" x14ac:dyDescent="0.25">
      <c r="B470" s="8">
        <f>IF('Items sous domaines Sciences '!G472=2,'Items sous domaines Sciences '!B472,0)</f>
        <v>0</v>
      </c>
      <c r="C470" s="8">
        <f>IF('Items sous domaines Sciences '!G472=2,'Items sous domaines Sciences '!C472,0)</f>
        <v>0</v>
      </c>
      <c r="D470" s="8">
        <f>IF('Items sous domaines Sciences '!G472=2,'Items sous domaines Sciences '!D472,0)</f>
        <v>0</v>
      </c>
      <c r="E470" s="8">
        <f>IF('Items sous domaines Sciences '!G472=2,'Items sous domaines Sciences '!E472,0)</f>
        <v>0</v>
      </c>
      <c r="F470">
        <f>IF('Items sous domaines Sciences '!G370=2,'Items sous domaines Sciences '!#REF!,0)</f>
        <v>0</v>
      </c>
      <c r="G470" s="3"/>
    </row>
    <row r="471" spans="2:7" customFormat="1" ht="13.2" hidden="1" x14ac:dyDescent="0.25">
      <c r="B471" s="8">
        <f>IF('Items sous domaines Sciences '!G473=2,'Items sous domaines Sciences '!B473,0)</f>
        <v>0</v>
      </c>
      <c r="C471" s="8">
        <f>IF('Items sous domaines Sciences '!G473=2,'Items sous domaines Sciences '!C473,0)</f>
        <v>0</v>
      </c>
      <c r="D471" s="8">
        <f>IF('Items sous domaines Sciences '!G473=2,'Items sous domaines Sciences '!D473,0)</f>
        <v>0</v>
      </c>
      <c r="E471" s="8">
        <f>IF('Items sous domaines Sciences '!G473=2,'Items sous domaines Sciences '!E473,0)</f>
        <v>0</v>
      </c>
      <c r="F471">
        <f>IF('Items sous domaines Sciences '!G371=2,'Items sous domaines Sciences '!#REF!,0)</f>
        <v>0</v>
      </c>
      <c r="G471" s="3"/>
    </row>
    <row r="472" spans="2:7" customFormat="1" ht="13.2" hidden="1" x14ac:dyDescent="0.25">
      <c r="B472" s="8">
        <f>IF('Items sous domaines Sciences '!G474=2,'Items sous domaines Sciences '!B474,0)</f>
        <v>0</v>
      </c>
      <c r="C472" s="8">
        <f>IF('Items sous domaines Sciences '!G474=2,'Items sous domaines Sciences '!C474,0)</f>
        <v>0</v>
      </c>
      <c r="D472" s="8">
        <f>IF('Items sous domaines Sciences '!G474=2,'Items sous domaines Sciences '!D474,0)</f>
        <v>0</v>
      </c>
      <c r="E472" s="8">
        <f>IF('Items sous domaines Sciences '!G474=2,'Items sous domaines Sciences '!E474,0)</f>
        <v>0</v>
      </c>
      <c r="F472">
        <f>IF('Items sous domaines Sciences '!G372=2,'Items sous domaines Sciences '!#REF!,0)</f>
        <v>0</v>
      </c>
      <c r="G472" s="3"/>
    </row>
    <row r="473" spans="2:7" customFormat="1" ht="13.2" hidden="1" x14ac:dyDescent="0.25">
      <c r="B473" s="8">
        <f>IF('Items sous domaines Sciences '!G475=2,'Items sous domaines Sciences '!B475,0)</f>
        <v>0</v>
      </c>
      <c r="C473" s="8">
        <f>IF('Items sous domaines Sciences '!G475=2,'Items sous domaines Sciences '!C475,0)</f>
        <v>0</v>
      </c>
      <c r="D473" s="8">
        <f>IF('Items sous domaines Sciences '!G475=2,'Items sous domaines Sciences '!D475,0)</f>
        <v>0</v>
      </c>
      <c r="E473" s="8">
        <f>IF('Items sous domaines Sciences '!G475=2,'Items sous domaines Sciences '!E475,0)</f>
        <v>0</v>
      </c>
      <c r="F473">
        <f>IF('Items sous domaines Sciences '!G373=2,'Items sous domaines Sciences '!#REF!,0)</f>
        <v>0</v>
      </c>
      <c r="G473" s="3"/>
    </row>
    <row r="474" spans="2:7" customFormat="1" ht="13.2" hidden="1" x14ac:dyDescent="0.25">
      <c r="B474" s="8">
        <f>IF('Items sous domaines Sciences '!G476=2,'Items sous domaines Sciences '!B476,0)</f>
        <v>0</v>
      </c>
      <c r="C474" s="8">
        <f>IF('Items sous domaines Sciences '!G476=2,'Items sous domaines Sciences '!C476,0)</f>
        <v>0</v>
      </c>
      <c r="D474" s="8">
        <f>IF('Items sous domaines Sciences '!G476=2,'Items sous domaines Sciences '!D476,0)</f>
        <v>0</v>
      </c>
      <c r="E474" s="8">
        <f>IF('Items sous domaines Sciences '!G476=2,'Items sous domaines Sciences '!E476,0)</f>
        <v>0</v>
      </c>
      <c r="F474">
        <f>IF('Items sous domaines Sciences '!G374=2,'Items sous domaines Sciences '!#REF!,0)</f>
        <v>0</v>
      </c>
      <c r="G474" s="3"/>
    </row>
    <row r="475" spans="2:7" customFormat="1" ht="13.2" hidden="1" x14ac:dyDescent="0.25">
      <c r="B475" s="8">
        <f>IF('Items sous domaines Sciences '!G477=2,'Items sous domaines Sciences '!B477,0)</f>
        <v>0</v>
      </c>
      <c r="C475" s="8">
        <f>IF('Items sous domaines Sciences '!G477=2,'Items sous domaines Sciences '!C477,0)</f>
        <v>0</v>
      </c>
      <c r="D475" s="8">
        <f>IF('Items sous domaines Sciences '!G477=2,'Items sous domaines Sciences '!D477,0)</f>
        <v>0</v>
      </c>
      <c r="E475" s="8">
        <f>IF('Items sous domaines Sciences '!G477=2,'Items sous domaines Sciences '!E477,0)</f>
        <v>0</v>
      </c>
      <c r="F475">
        <f>IF('Items sous domaines Sciences '!G375=2,'Items sous domaines Sciences '!#REF!,0)</f>
        <v>0</v>
      </c>
      <c r="G475" s="3"/>
    </row>
    <row r="476" spans="2:7" customFormat="1" ht="13.2" hidden="1" x14ac:dyDescent="0.25">
      <c r="B476" s="8">
        <f>IF('Items sous domaines Sciences '!G478=2,'Items sous domaines Sciences '!B478,0)</f>
        <v>0</v>
      </c>
      <c r="C476" s="8">
        <f>IF('Items sous domaines Sciences '!G478=2,'Items sous domaines Sciences '!C478,0)</f>
        <v>0</v>
      </c>
      <c r="D476" s="8">
        <f>IF('Items sous domaines Sciences '!G478=2,'Items sous domaines Sciences '!D478,0)</f>
        <v>0</v>
      </c>
      <c r="E476" s="8">
        <f>IF('Items sous domaines Sciences '!G478=2,'Items sous domaines Sciences '!E478,0)</f>
        <v>0</v>
      </c>
      <c r="F476">
        <f>IF('Items sous domaines Sciences '!G376=2,'Items sous domaines Sciences '!#REF!,0)</f>
        <v>0</v>
      </c>
      <c r="G476" s="3"/>
    </row>
    <row r="477" spans="2:7" customFormat="1" ht="13.2" hidden="1" x14ac:dyDescent="0.25">
      <c r="B477" s="8">
        <f>IF('Items sous domaines Sciences '!G479=2,'Items sous domaines Sciences '!B479,0)</f>
        <v>0</v>
      </c>
      <c r="C477" s="8">
        <f>IF('Items sous domaines Sciences '!G479=2,'Items sous domaines Sciences '!C479,0)</f>
        <v>0</v>
      </c>
      <c r="D477" s="8">
        <f>IF('Items sous domaines Sciences '!G479=2,'Items sous domaines Sciences '!D479,0)</f>
        <v>0</v>
      </c>
      <c r="E477" s="8">
        <f>IF('Items sous domaines Sciences '!G479=2,'Items sous domaines Sciences '!E479,0)</f>
        <v>0</v>
      </c>
      <c r="F477">
        <f>IF('Items sous domaines Sciences '!G377=2,'Items sous domaines Sciences '!#REF!,0)</f>
        <v>0</v>
      </c>
      <c r="G477" s="3"/>
    </row>
    <row r="478" spans="2:7" customFormat="1" ht="13.2" hidden="1" x14ac:dyDescent="0.25">
      <c r="B478" s="8">
        <f>IF('Items sous domaines Sciences '!G480=2,'Items sous domaines Sciences '!B480,0)</f>
        <v>0</v>
      </c>
      <c r="C478" s="8">
        <f>IF('Items sous domaines Sciences '!G480=2,'Items sous domaines Sciences '!C480,0)</f>
        <v>0</v>
      </c>
      <c r="D478" s="8">
        <f>IF('Items sous domaines Sciences '!G480=2,'Items sous domaines Sciences '!D480,0)</f>
        <v>0</v>
      </c>
      <c r="E478" s="8">
        <f>IF('Items sous domaines Sciences '!G480=2,'Items sous domaines Sciences '!E480,0)</f>
        <v>0</v>
      </c>
      <c r="F478">
        <f>IF('Items sous domaines Sciences '!G378=2,'Items sous domaines Sciences '!#REF!,0)</f>
        <v>0</v>
      </c>
      <c r="G478" s="3"/>
    </row>
    <row r="479" spans="2:7" customFormat="1" ht="13.2" hidden="1" x14ac:dyDescent="0.25">
      <c r="B479" s="8">
        <f>IF('Items sous domaines Sciences '!G481=2,'Items sous domaines Sciences '!B481,0)</f>
        <v>0</v>
      </c>
      <c r="C479" s="8">
        <f>IF('Items sous domaines Sciences '!G481=2,'Items sous domaines Sciences '!C481,0)</f>
        <v>0</v>
      </c>
      <c r="D479" s="8">
        <f>IF('Items sous domaines Sciences '!G481=2,'Items sous domaines Sciences '!D481,0)</f>
        <v>0</v>
      </c>
      <c r="E479" s="8">
        <f>IF('Items sous domaines Sciences '!G481=2,'Items sous domaines Sciences '!E481,0)</f>
        <v>0</v>
      </c>
      <c r="F479">
        <f>IF('Items sous domaines Sciences '!G379=2,'Items sous domaines Sciences '!#REF!,0)</f>
        <v>0</v>
      </c>
      <c r="G479" s="3"/>
    </row>
    <row r="480" spans="2:7" customFormat="1" ht="13.2" hidden="1" x14ac:dyDescent="0.25">
      <c r="B480" s="8">
        <f>IF('Items sous domaines Sciences '!G482=2,'Items sous domaines Sciences '!B482,0)</f>
        <v>0</v>
      </c>
      <c r="C480" s="8">
        <f>IF('Items sous domaines Sciences '!G482=2,'Items sous domaines Sciences '!C482,0)</f>
        <v>0</v>
      </c>
      <c r="D480" s="8">
        <f>IF('Items sous domaines Sciences '!G482=2,'Items sous domaines Sciences '!D482,0)</f>
        <v>0</v>
      </c>
      <c r="E480" s="8">
        <f>IF('Items sous domaines Sciences '!G482=2,'Items sous domaines Sciences '!E482,0)</f>
        <v>0</v>
      </c>
      <c r="F480">
        <f>IF('Items sous domaines Sciences '!G380=2,'Items sous domaines Sciences '!#REF!,0)</f>
        <v>0</v>
      </c>
      <c r="G480" s="3"/>
    </row>
    <row r="481" spans="2:7" customFormat="1" ht="13.2" hidden="1" x14ac:dyDescent="0.25">
      <c r="B481" s="8">
        <f>IF('Items sous domaines Sciences '!G483=2,'Items sous domaines Sciences '!B483,0)</f>
        <v>0</v>
      </c>
      <c r="C481" s="8">
        <f>IF('Items sous domaines Sciences '!G483=2,'Items sous domaines Sciences '!C483,0)</f>
        <v>0</v>
      </c>
      <c r="D481" s="8">
        <f>IF('Items sous domaines Sciences '!G483=2,'Items sous domaines Sciences '!D483,0)</f>
        <v>0</v>
      </c>
      <c r="E481" s="8">
        <f>IF('Items sous domaines Sciences '!G483=2,'Items sous domaines Sciences '!E483,0)</f>
        <v>0</v>
      </c>
      <c r="F481">
        <f>IF('Items sous domaines Sciences '!G381=2,'Items sous domaines Sciences '!#REF!,0)</f>
        <v>0</v>
      </c>
      <c r="G481" s="3"/>
    </row>
    <row r="482" spans="2:7" customFormat="1" ht="13.2" hidden="1" x14ac:dyDescent="0.25">
      <c r="B482" s="8">
        <f>IF('Items sous domaines Sciences '!G484=2,'Items sous domaines Sciences '!B484,0)</f>
        <v>0</v>
      </c>
      <c r="C482" s="8">
        <f>IF('Items sous domaines Sciences '!G484=2,'Items sous domaines Sciences '!C484,0)</f>
        <v>0</v>
      </c>
      <c r="D482" s="8">
        <f>IF('Items sous domaines Sciences '!G484=2,'Items sous domaines Sciences '!D484,0)</f>
        <v>0</v>
      </c>
      <c r="E482" s="8">
        <f>IF('Items sous domaines Sciences '!G484=2,'Items sous domaines Sciences '!E484,0)</f>
        <v>0</v>
      </c>
      <c r="F482">
        <f>IF('Items sous domaines Sciences '!G382=2,'Items sous domaines Sciences '!#REF!,0)</f>
        <v>0</v>
      </c>
      <c r="G482" s="3"/>
    </row>
    <row r="483" spans="2:7" customFormat="1" ht="13.2" hidden="1" x14ac:dyDescent="0.25">
      <c r="B483" s="8">
        <f>IF('Items sous domaines Sciences '!G485=2,'Items sous domaines Sciences '!B485,0)</f>
        <v>0</v>
      </c>
      <c r="C483" s="8">
        <f>IF('Items sous domaines Sciences '!G485=2,'Items sous domaines Sciences '!C485,0)</f>
        <v>0</v>
      </c>
      <c r="D483" s="8">
        <f>IF('Items sous domaines Sciences '!G485=2,'Items sous domaines Sciences '!D485,0)</f>
        <v>0</v>
      </c>
      <c r="E483" s="8">
        <f>IF('Items sous domaines Sciences '!G485=2,'Items sous domaines Sciences '!E485,0)</f>
        <v>0</v>
      </c>
      <c r="F483">
        <f>IF('Items sous domaines Sciences '!G383=2,'Items sous domaines Sciences '!#REF!,0)</f>
        <v>0</v>
      </c>
      <c r="G483" s="3"/>
    </row>
    <row r="484" spans="2:7" customFormat="1" ht="13.2" hidden="1" x14ac:dyDescent="0.25">
      <c r="B484" s="8">
        <f>IF('Items sous domaines Sciences '!G486=2,'Items sous domaines Sciences '!B486,0)</f>
        <v>0</v>
      </c>
      <c r="C484" s="8">
        <f>IF('Items sous domaines Sciences '!G486=2,'Items sous domaines Sciences '!C486,0)</f>
        <v>0</v>
      </c>
      <c r="D484" s="8">
        <f>IF('Items sous domaines Sciences '!G486=2,'Items sous domaines Sciences '!D486,0)</f>
        <v>0</v>
      </c>
      <c r="E484" s="8">
        <f>IF('Items sous domaines Sciences '!G486=2,'Items sous domaines Sciences '!E486,0)</f>
        <v>0</v>
      </c>
      <c r="F484">
        <f>IF('Items sous domaines Sciences '!G384=2,'Items sous domaines Sciences '!#REF!,0)</f>
        <v>0</v>
      </c>
      <c r="G484" s="3"/>
    </row>
    <row r="485" spans="2:7" customFormat="1" ht="13.2" hidden="1" x14ac:dyDescent="0.25">
      <c r="B485" s="8">
        <f>IF('Items sous domaines Sciences '!G487=2,'Items sous domaines Sciences '!B487,0)</f>
        <v>0</v>
      </c>
      <c r="C485" s="8">
        <f>IF('Items sous domaines Sciences '!G487=2,'Items sous domaines Sciences '!C487,0)</f>
        <v>0</v>
      </c>
      <c r="D485" s="8">
        <f>IF('Items sous domaines Sciences '!G487=2,'Items sous domaines Sciences '!D487,0)</f>
        <v>0</v>
      </c>
      <c r="E485" s="8">
        <f>IF('Items sous domaines Sciences '!G487=2,'Items sous domaines Sciences '!E487,0)</f>
        <v>0</v>
      </c>
      <c r="F485">
        <f>IF('Items sous domaines Sciences '!G385=2,'Items sous domaines Sciences '!#REF!,0)</f>
        <v>0</v>
      </c>
      <c r="G485" s="3"/>
    </row>
    <row r="486" spans="2:7" customFormat="1" ht="13.2" hidden="1" x14ac:dyDescent="0.25">
      <c r="B486" s="8">
        <f>IF('Items sous domaines Sciences '!G488=2,'Items sous domaines Sciences '!B488,0)</f>
        <v>0</v>
      </c>
      <c r="C486" s="8">
        <f>IF('Items sous domaines Sciences '!G488=2,'Items sous domaines Sciences '!C488,0)</f>
        <v>0</v>
      </c>
      <c r="D486" s="8">
        <f>IF('Items sous domaines Sciences '!G488=2,'Items sous domaines Sciences '!D488,0)</f>
        <v>0</v>
      </c>
      <c r="E486" s="8">
        <f>IF('Items sous domaines Sciences '!G488=2,'Items sous domaines Sciences '!E488,0)</f>
        <v>0</v>
      </c>
      <c r="F486">
        <f>IF('Items sous domaines Sciences '!G386=2,'Items sous domaines Sciences '!#REF!,0)</f>
        <v>0</v>
      </c>
      <c r="G486" s="3"/>
    </row>
    <row r="487" spans="2:7" customFormat="1" ht="13.2" hidden="1" x14ac:dyDescent="0.25">
      <c r="B487" s="8">
        <f>IF('Items sous domaines Sciences '!G387=2,'Items sous domaines Sciences '!B387,0)</f>
        <v>0</v>
      </c>
      <c r="C487" s="8" t="b">
        <f>IF('Items sous domaines Sciences '!G387=2,'Items sous domaines Sciences '!C387)</f>
        <v>0</v>
      </c>
      <c r="D487" s="8">
        <f>IF('Items sous domaines Sciences '!G387=2,'Items sous domaines Sciences '!D387,0)</f>
        <v>0</v>
      </c>
      <c r="E487" s="8">
        <f>IF('Items sous domaines Sciences '!G387=2,'Items sous domaines Sciences '!E387,0)</f>
        <v>0</v>
      </c>
      <c r="F487">
        <f>IF('Items sous domaines Sciences '!G387=2,'Items sous domaines Sciences '!#REF!,0)</f>
        <v>0</v>
      </c>
      <c r="G487" s="3"/>
    </row>
    <row r="488" spans="2:7" customFormat="1" ht="13.2" hidden="1" x14ac:dyDescent="0.25">
      <c r="B488" s="8">
        <f>IF('Items sous domaines Sciences '!G388=2,'Items sous domaines Sciences '!B388,0)</f>
        <v>0</v>
      </c>
      <c r="C488" s="8" t="b">
        <f>IF('Items sous domaines Sciences '!G388=2,'Items sous domaines Sciences '!C388)</f>
        <v>0</v>
      </c>
      <c r="D488" s="8">
        <f>IF('Items sous domaines Sciences '!G388=2,'Items sous domaines Sciences '!D388,0)</f>
        <v>0</v>
      </c>
      <c r="E488" s="8">
        <f>IF('Items sous domaines Sciences '!G388=2,'Items sous domaines Sciences '!E388,0)</f>
        <v>0</v>
      </c>
      <c r="F488">
        <f>IF('Items sous domaines Sciences '!G388=2,'Items sous domaines Sciences '!#REF!,0)</f>
        <v>0</v>
      </c>
      <c r="G488" s="3"/>
    </row>
    <row r="489" spans="2:7" customFormat="1" ht="13.2" hidden="1" x14ac:dyDescent="0.25">
      <c r="B489" s="8">
        <f>IF('Items sous domaines Sciences '!G389=2,'Items sous domaines Sciences '!B389,0)</f>
        <v>0</v>
      </c>
      <c r="C489" s="8" t="b">
        <f>IF('Items sous domaines Sciences '!G389=2,'Items sous domaines Sciences '!C389)</f>
        <v>0</v>
      </c>
      <c r="D489" s="8">
        <f>IF('Items sous domaines Sciences '!G389=2,'Items sous domaines Sciences '!D389,0)</f>
        <v>0</v>
      </c>
      <c r="E489" s="8">
        <f>IF('Items sous domaines Sciences '!G389=2,'Items sous domaines Sciences '!E389,0)</f>
        <v>0</v>
      </c>
      <c r="F489">
        <f>IF('Items sous domaines Sciences '!G389=2,'Items sous domaines Sciences '!#REF!,0)</f>
        <v>0</v>
      </c>
      <c r="G489" s="3"/>
    </row>
    <row r="490" spans="2:7" customFormat="1" ht="13.2" hidden="1" x14ac:dyDescent="0.25">
      <c r="B490" s="8">
        <f>IF('Items sous domaines Sciences '!G390=2,'Items sous domaines Sciences '!B390,0)</f>
        <v>0</v>
      </c>
      <c r="C490" s="8" t="b">
        <f>IF('Items sous domaines Sciences '!G390=2,'Items sous domaines Sciences '!C390)</f>
        <v>0</v>
      </c>
      <c r="D490" s="8">
        <f>IF('Items sous domaines Sciences '!G390=2,'Items sous domaines Sciences '!D390,0)</f>
        <v>0</v>
      </c>
      <c r="E490" s="8">
        <f>IF('Items sous domaines Sciences '!G390=2,'Items sous domaines Sciences '!E390,0)</f>
        <v>0</v>
      </c>
      <c r="F490">
        <f>IF('Items sous domaines Sciences '!G390=2,'Items sous domaines Sciences '!#REF!,0)</f>
        <v>0</v>
      </c>
      <c r="G490" s="3"/>
    </row>
    <row r="491" spans="2:7" customFormat="1" ht="13.2" hidden="1" x14ac:dyDescent="0.25">
      <c r="B491" s="8">
        <f>IF('Items sous domaines Sciences '!G391=2,'Items sous domaines Sciences '!B391,0)</f>
        <v>0</v>
      </c>
      <c r="C491" s="8" t="b">
        <f>IF('Items sous domaines Sciences '!G391=2,'Items sous domaines Sciences '!C391)</f>
        <v>0</v>
      </c>
      <c r="D491" s="8">
        <f>IF('Items sous domaines Sciences '!G391=2,'Items sous domaines Sciences '!D391,0)</f>
        <v>0</v>
      </c>
      <c r="E491" s="8">
        <f>IF('Items sous domaines Sciences '!G391=2,'Items sous domaines Sciences '!E391,0)</f>
        <v>0</v>
      </c>
      <c r="F491">
        <f>IF('Items sous domaines Sciences '!G391=2,'Items sous domaines Sciences '!#REF!,0)</f>
        <v>0</v>
      </c>
      <c r="G491" s="3"/>
    </row>
    <row r="492" spans="2:7" customFormat="1" ht="17.399999999999999" hidden="1" x14ac:dyDescent="0.25">
      <c r="C492" s="1"/>
      <c r="D492" s="5"/>
      <c r="E492" s="5"/>
      <c r="F492" s="4"/>
      <c r="G492" s="3"/>
    </row>
    <row r="493" spans="2:7" ht="18.600000000000001" thickTop="1" x14ac:dyDescent="0.3">
      <c r="F493" s="285"/>
      <c r="G493" s="46"/>
    </row>
  </sheetData>
  <autoFilter ref="A7:W492" xr:uid="{00000000-0009-0000-0000-000004000000}">
    <filterColumn colId="1">
      <filters>
        <filter val="Chimie"/>
        <filter val="Mécanique"/>
        <filter val="Thermique-Thermodynamique"/>
      </filters>
    </filterColumn>
  </autoFilter>
  <mergeCells count="41">
    <mergeCell ref="A206:A254"/>
    <mergeCell ref="A89:A111"/>
    <mergeCell ref="A113:A127"/>
    <mergeCell ref="A129:A137"/>
    <mergeCell ref="A158:A189"/>
    <mergeCell ref="A191:A192"/>
    <mergeCell ref="A1:F3"/>
    <mergeCell ref="A4:F6"/>
    <mergeCell ref="F11:F14"/>
    <mergeCell ref="A34:A54"/>
    <mergeCell ref="G3:G5"/>
    <mergeCell ref="G6:G8"/>
    <mergeCell ref="G11:G14"/>
    <mergeCell ref="A11:A14"/>
    <mergeCell ref="A30:A31"/>
    <mergeCell ref="F34:F254"/>
    <mergeCell ref="G34:G54"/>
    <mergeCell ref="G206:G208"/>
    <mergeCell ref="G209:G213"/>
    <mergeCell ref="G248:G254"/>
    <mergeCell ref="A57:A61"/>
    <mergeCell ref="A63:A72"/>
    <mergeCell ref="G57:G73"/>
    <mergeCell ref="G352:G383"/>
    <mergeCell ref="G256:G266"/>
    <mergeCell ref="G234:G247"/>
    <mergeCell ref="G215:G229"/>
    <mergeCell ref="G129:G137"/>
    <mergeCell ref="G95:G111"/>
    <mergeCell ref="G294:G299"/>
    <mergeCell ref="G291:G293"/>
    <mergeCell ref="A370:A377"/>
    <mergeCell ref="A378:A383"/>
    <mergeCell ref="A256:A266"/>
    <mergeCell ref="F352:F383"/>
    <mergeCell ref="F291:F299"/>
    <mergeCell ref="F256:F266"/>
    <mergeCell ref="A283:A290"/>
    <mergeCell ref="A311:A321"/>
    <mergeCell ref="A291:A299"/>
    <mergeCell ref="A352:A361"/>
  </mergeCells>
  <hyperlinks>
    <hyperlink ref="G11" r:id="rId1" xr:uid="{00000000-0004-0000-0400-000000000000}"/>
    <hyperlink ref="G57" r:id="rId2" xr:uid="{00000000-0004-0000-0400-000001000000}"/>
    <hyperlink ref="G129" r:id="rId3" display="https://uel.unisciel.fr/mathematiques/geometrie_analytique/geometrie_analytique/co/geometrie_analytique.html" xr:uid="{00000000-0004-0000-0400-000002000000}"/>
    <hyperlink ref="G95" r:id="rId4" display="https://uel.unisciel.fr/physique/outils_nancy/outils_nancy_ch11/co/apprendre_ch11.html" xr:uid="{00000000-0004-0000-0400-000003000000}"/>
    <hyperlink ref="G256" r:id="rId5" xr:uid="{00000000-0004-0000-0400-000004000000}"/>
    <hyperlink ref="G291" r:id="rId6" display="https://uel.unisciel.fr/mathematiques/eq_diff/eq_diff/co/eq_diff.html" xr:uid="{00000000-0004-0000-0400-000005000000}"/>
    <hyperlink ref="G294" r:id="rId7" display="https://uel.unisciel.fr/mathematiques/sys_diff/sys_diff/co/sys_diff.html" xr:uid="{00000000-0004-0000-0400-000006000000}"/>
    <hyperlink ref="G352" r:id="rId8" xr:uid="{00000000-0004-0000-0400-000007000000}"/>
    <hyperlink ref="H57" r:id="rId9" xr:uid="{00000000-0004-0000-0400-000008000000}"/>
    <hyperlink ref="H58" r:id="rId10" xr:uid="{00000000-0004-0000-0400-000009000000}"/>
    <hyperlink ref="H59" r:id="rId11" xr:uid="{00000000-0004-0000-0400-00000A000000}"/>
    <hyperlink ref="G34" r:id="rId12" xr:uid="{00000000-0004-0000-0400-00000B000000}"/>
    <hyperlink ref="G215" r:id="rId13" xr:uid="{00000000-0004-0000-0400-00000C000000}"/>
    <hyperlink ref="G206" r:id="rId14" xr:uid="{00000000-0004-0000-0400-00000D000000}"/>
    <hyperlink ref="G209" r:id="rId15" xr:uid="{00000000-0004-0000-0400-00000E000000}"/>
    <hyperlink ref="G248" r:id="rId16" xr:uid="{00000000-0004-0000-0400-00000F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5C88DA"/>
  </sheetPr>
  <dimension ref="A1:G489"/>
  <sheetViews>
    <sheetView topLeftCell="B1" zoomScale="76" zoomScaleNormal="85" workbookViewId="0">
      <selection activeCell="E281" sqref="E281"/>
    </sheetView>
  </sheetViews>
  <sheetFormatPr baseColWidth="10" defaultColWidth="11.44140625" defaultRowHeight="17.399999999999999" x14ac:dyDescent="0.25"/>
  <cols>
    <col min="1" max="1" width="28.6640625" style="266" customWidth="1"/>
    <col min="2" max="2" width="40.6640625" style="31" customWidth="1"/>
    <col min="3" max="3" width="27.88671875" style="263" customWidth="1"/>
    <col min="4" max="4" width="40.6640625" style="264" customWidth="1"/>
    <col min="5" max="5" width="140.6640625" style="264" customWidth="1"/>
    <col min="6" max="6" width="24.88671875" style="265" customWidth="1"/>
    <col min="7" max="7" width="28.6640625" style="31" customWidth="1"/>
    <col min="8" max="16384" width="11.44140625" style="31"/>
  </cols>
  <sheetData>
    <row r="1" spans="1:7" ht="17.399999999999999" customHeight="1" thickTop="1" x14ac:dyDescent="0.25">
      <c r="A1" s="343" t="s">
        <v>380</v>
      </c>
      <c r="B1" s="344"/>
      <c r="C1" s="344"/>
      <c r="D1" s="344"/>
      <c r="E1" s="344"/>
      <c r="F1" s="344"/>
      <c r="G1" s="259"/>
    </row>
    <row r="2" spans="1:7" ht="17.399999999999999" customHeight="1" x14ac:dyDescent="0.25">
      <c r="A2" s="345"/>
      <c r="B2" s="346"/>
      <c r="C2" s="346"/>
      <c r="D2" s="346"/>
      <c r="E2" s="346"/>
      <c r="F2" s="346"/>
      <c r="G2" s="260"/>
    </row>
    <row r="3" spans="1:7" ht="17.25" customHeight="1" thickBot="1" x14ac:dyDescent="0.3">
      <c r="A3" s="465"/>
      <c r="B3" s="466"/>
      <c r="C3" s="466"/>
      <c r="D3" s="466"/>
      <c r="E3" s="466"/>
      <c r="F3" s="466"/>
      <c r="G3" s="423" t="s">
        <v>16</v>
      </c>
    </row>
    <row r="4" spans="1:7" ht="12.75" customHeight="1" x14ac:dyDescent="0.25">
      <c r="A4" s="358" t="s">
        <v>455</v>
      </c>
      <c r="B4" s="359"/>
      <c r="C4" s="359"/>
      <c r="D4" s="360"/>
      <c r="E4" s="359"/>
      <c r="F4" s="359"/>
      <c r="G4" s="447"/>
    </row>
    <row r="5" spans="1:7" ht="17.399999999999999" customHeight="1" x14ac:dyDescent="0.25">
      <c r="A5" s="361"/>
      <c r="B5" s="362"/>
      <c r="C5" s="362"/>
      <c r="D5" s="363"/>
      <c r="E5" s="362"/>
      <c r="F5" s="362"/>
      <c r="G5" s="447"/>
    </row>
    <row r="6" spans="1:7" ht="17.399999999999999" customHeight="1" thickBot="1" x14ac:dyDescent="0.3">
      <c r="A6" s="364"/>
      <c r="B6" s="365"/>
      <c r="C6" s="365"/>
      <c r="D6" s="366"/>
      <c r="E6" s="365"/>
      <c r="F6" s="365"/>
      <c r="G6" s="334" t="s">
        <v>19</v>
      </c>
    </row>
    <row r="7" spans="1:7" s="261" customFormat="1" ht="19.95" customHeight="1" thickBot="1" x14ac:dyDescent="0.3">
      <c r="A7" s="238" t="str">
        <f>'A1 CPI S1'!A7</f>
        <v>UE du DS</v>
      </c>
      <c r="B7" s="239" t="str">
        <f>'A1 CPI S1'!B7</f>
        <v>Domaine</v>
      </c>
      <c r="C7" s="239" t="str">
        <f>'A1 CPI S1'!C7</f>
        <v>Discipline</v>
      </c>
      <c r="D7" s="239" t="str">
        <f>'A1 CPI S1'!D7</f>
        <v>Chapitres</v>
      </c>
      <c r="E7" s="239" t="str">
        <f>'A1 CPI S1'!E7</f>
        <v>Thèmes</v>
      </c>
      <c r="F7" s="239" t="str">
        <f>'A1 CPI S1'!F7</f>
        <v>Utilisation</v>
      </c>
      <c r="G7" s="448"/>
    </row>
    <row r="8" spans="1:7" customFormat="1" ht="25.2" hidden="1" customHeight="1" thickBot="1" x14ac:dyDescent="0.3">
      <c r="A8" s="420" t="s">
        <v>456</v>
      </c>
      <c r="B8">
        <f>IF('Items sous domaines Sciences '!G10=3,'Items sous domaines Sciences '!B10,0)</f>
        <v>0</v>
      </c>
      <c r="C8">
        <f>IF('Items sous domaines Sciences '!G10=3,'Items sous domaines Sciences '!C10,0)</f>
        <v>0</v>
      </c>
      <c r="D8">
        <f>IF('Items sous domaines Sciences '!G10=3,'Items sous domaines Sciences '!D10,0)</f>
        <v>0</v>
      </c>
      <c r="E8">
        <f>IF('Items sous domaines Sciences '!G10=3,'Items sous domaines Sciences '!E10,0)</f>
        <v>0</v>
      </c>
      <c r="F8" t="e">
        <f>IF('Items sous domaines Sciences '!#REF!=1,'Items sous domaines Sciences '!#REF!,0)</f>
        <v>#REF!</v>
      </c>
    </row>
    <row r="9" spans="1:7" customFormat="1" ht="22.2" hidden="1" customHeight="1" thickBot="1" x14ac:dyDescent="0.3">
      <c r="A9" s="421"/>
      <c r="B9" s="8">
        <f>IF('Items sous domaines Sciences '!G11=3,'Items sous domaines Sciences '!B11,0)</f>
        <v>0</v>
      </c>
      <c r="C9" s="8">
        <f>IF('Items sous domaines Sciences '!G11=3,'Items sous domaines Sciences '!C11,0)</f>
        <v>0</v>
      </c>
      <c r="D9" s="8">
        <f>IF('Items sous domaines Sciences '!G11=3,'Items sous domaines Sciences '!D11,0)</f>
        <v>0</v>
      </c>
      <c r="E9" s="8">
        <f>IF('Items sous domaines Sciences '!G11=3,'Items sous domaines Sciences '!E11,0)</f>
        <v>0</v>
      </c>
      <c r="F9">
        <f>IF('Items sous domaines Sciences '!G22=1,'Items sous domaines Sciences '!#REF!,0)</f>
        <v>0</v>
      </c>
    </row>
    <row r="10" spans="1:7" customFormat="1" ht="17.399999999999999" hidden="1" customHeight="1" thickBot="1" x14ac:dyDescent="0.3">
      <c r="A10" s="421"/>
      <c r="B10" s="8">
        <f>IF('Items sous domaines Sciences '!G12=3,'Items sous domaines Sciences '!B12,0)</f>
        <v>0</v>
      </c>
      <c r="C10" s="8">
        <f>IF('Items sous domaines Sciences '!G12=3,'Items sous domaines Sciences '!C12,0)</f>
        <v>0</v>
      </c>
      <c r="D10" s="8">
        <f>IF('Items sous domaines Sciences '!G12=3,'Items sous domaines Sciences '!D12,0)</f>
        <v>0</v>
      </c>
      <c r="E10" s="8">
        <f>IF('Items sous domaines Sciences '!G12=3,'Items sous domaines Sciences '!E12,0)</f>
        <v>0</v>
      </c>
      <c r="F10">
        <f>IF('Items sous domaines Sciences '!G23=1,'Items sous domaines Sciences '!#REF!,0)</f>
        <v>0</v>
      </c>
    </row>
    <row r="11" spans="1:7" customFormat="1" ht="17.399999999999999" hidden="1" customHeight="1" thickBot="1" x14ac:dyDescent="0.3">
      <c r="A11" s="421"/>
      <c r="B11" s="8">
        <f>IF('Items sous domaines Sciences '!G13=3,'Items sous domaines Sciences '!B13,0)</f>
        <v>0</v>
      </c>
      <c r="C11" s="8">
        <f>IF('Items sous domaines Sciences '!G13=3,'Items sous domaines Sciences '!C13,0)</f>
        <v>0</v>
      </c>
      <c r="D11" s="8">
        <f>IF('Items sous domaines Sciences '!G13=3,'Items sous domaines Sciences '!D13,0)</f>
        <v>0</v>
      </c>
      <c r="E11" s="8">
        <f>IF('Items sous domaines Sciences '!G13=3,'Items sous domaines Sciences '!E13,0)</f>
        <v>0</v>
      </c>
      <c r="F11">
        <f>IF('Items sous domaines Sciences '!G24=1,'Items sous domaines Sciences '!#REF!,0)</f>
        <v>0</v>
      </c>
    </row>
    <row r="12" spans="1:7" customFormat="1" ht="30.6" hidden="1" customHeight="1" thickBot="1" x14ac:dyDescent="0.3">
      <c r="A12" s="421"/>
      <c r="B12" s="8">
        <f>IF('Items sous domaines Sciences '!G14=3,'Items sous domaines Sciences '!B14,0)</f>
        <v>0</v>
      </c>
      <c r="C12" s="8">
        <f>IF('Items sous domaines Sciences '!G14=3,'Items sous domaines Sciences '!C14,0)</f>
        <v>0</v>
      </c>
      <c r="D12" s="8">
        <f>IF('Items sous domaines Sciences '!G14=3,'Items sous domaines Sciences '!D14,0)</f>
        <v>0</v>
      </c>
      <c r="E12" s="8">
        <f>IF('Items sous domaines Sciences '!G14=3,'Items sous domaines Sciences '!E14,0)</f>
        <v>0</v>
      </c>
      <c r="F12">
        <f>IF('Items sous domaines Sciences '!G25=1,'Items sous domaines Sciences '!#REF!,0)</f>
        <v>0</v>
      </c>
    </row>
    <row r="13" spans="1:7" customFormat="1" ht="27" hidden="1" customHeight="1" thickBot="1" x14ac:dyDescent="0.3">
      <c r="A13" s="421"/>
      <c r="B13" s="8">
        <f>IF('Items sous domaines Sciences '!G15=3,'Items sous domaines Sciences '!B15,0)</f>
        <v>0</v>
      </c>
      <c r="C13" s="8">
        <f>IF('Items sous domaines Sciences '!G15=3,'Items sous domaines Sciences '!C15,0)</f>
        <v>0</v>
      </c>
      <c r="D13" s="8">
        <f>IF('Items sous domaines Sciences '!G15=3,'Items sous domaines Sciences '!D15,0)</f>
        <v>0</v>
      </c>
      <c r="E13" s="8">
        <f>IF('Items sous domaines Sciences '!G15=3,'Items sous domaines Sciences '!E15,0)</f>
        <v>0</v>
      </c>
      <c r="F13">
        <f>IF('Items sous domaines Sciences '!G26=1,'Items sous domaines Sciences '!#REF!,0)</f>
        <v>0</v>
      </c>
    </row>
    <row r="14" spans="1:7" customFormat="1" ht="17.399999999999999" hidden="1" customHeight="1" thickBot="1" x14ac:dyDescent="0.3">
      <c r="A14" s="421"/>
      <c r="B14" s="8">
        <f>IF('Items sous domaines Sciences '!G16=3,'Items sous domaines Sciences '!B16,0)</f>
        <v>0</v>
      </c>
      <c r="C14" s="8">
        <f>IF('Items sous domaines Sciences '!G16=3,'Items sous domaines Sciences '!C16,0)</f>
        <v>0</v>
      </c>
      <c r="D14" s="8">
        <f>IF('Items sous domaines Sciences '!G16=3,'Items sous domaines Sciences '!D16,0)</f>
        <v>0</v>
      </c>
      <c r="E14" s="8">
        <f>IF('Items sous domaines Sciences '!G16=3,'Items sous domaines Sciences '!E16,0)</f>
        <v>0</v>
      </c>
      <c r="F14">
        <f>IF('Items sous domaines Sciences '!G27=1,'Items sous domaines Sciences '!#REF!,0)</f>
        <v>0</v>
      </c>
    </row>
    <row r="15" spans="1:7" customFormat="1" ht="17.399999999999999" hidden="1" customHeight="1" thickBot="1" x14ac:dyDescent="0.3">
      <c r="A15" s="421"/>
      <c r="B15" s="8">
        <f>IF('Items sous domaines Sciences '!G17=3,'Items sous domaines Sciences '!B17,0)</f>
        <v>0</v>
      </c>
      <c r="C15" s="8">
        <f>IF('Items sous domaines Sciences '!G17=3,'Items sous domaines Sciences '!C17,0)</f>
        <v>0</v>
      </c>
      <c r="D15" s="8">
        <f>IF('Items sous domaines Sciences '!G17=3,'Items sous domaines Sciences '!D17,0)</f>
        <v>0</v>
      </c>
      <c r="E15" s="8">
        <f>IF('Items sous domaines Sciences '!G17=3,'Items sous domaines Sciences '!E17,0)</f>
        <v>0</v>
      </c>
      <c r="F15">
        <f>IF('Items sous domaines Sciences '!G28=1,'Items sous domaines Sciences '!#REF!,0)</f>
        <v>0</v>
      </c>
    </row>
    <row r="16" spans="1:7" customFormat="1" ht="17.399999999999999" hidden="1" customHeight="1" thickBot="1" x14ac:dyDescent="0.3">
      <c r="A16" s="421"/>
      <c r="B16" s="8">
        <f>IF('Items sous domaines Sciences '!G18=3,'Items sous domaines Sciences '!B18,0)</f>
        <v>0</v>
      </c>
      <c r="C16" s="8">
        <f>IF('Items sous domaines Sciences '!G18=3,'Items sous domaines Sciences '!C18,0)</f>
        <v>0</v>
      </c>
      <c r="D16" s="8">
        <f>IF('Items sous domaines Sciences '!G18=3,'Items sous domaines Sciences '!D18,0)</f>
        <v>0</v>
      </c>
      <c r="E16" s="8">
        <f>IF('Items sous domaines Sciences '!G18=3,'Items sous domaines Sciences '!E18,0)</f>
        <v>0</v>
      </c>
      <c r="F16">
        <f>IF('Items sous domaines Sciences '!G29=1,'Items sous domaines Sciences '!#REF!,0)</f>
        <v>0</v>
      </c>
    </row>
    <row r="17" spans="1:6" customFormat="1" ht="17.399999999999999" hidden="1" customHeight="1" thickBot="1" x14ac:dyDescent="0.3">
      <c r="A17" s="421"/>
      <c r="B17" s="8">
        <f>IF('Items sous domaines Sciences '!G19=3,'Items sous domaines Sciences '!B19,0)</f>
        <v>0</v>
      </c>
      <c r="C17" s="8">
        <f>IF('Items sous domaines Sciences '!G19=3,'Items sous domaines Sciences '!C19,0)</f>
        <v>0</v>
      </c>
      <c r="D17" s="8">
        <f>IF('Items sous domaines Sciences '!G19=3,'Items sous domaines Sciences '!D19,0)</f>
        <v>0</v>
      </c>
      <c r="E17" s="8">
        <f>IF('Items sous domaines Sciences '!G19=3,'Items sous domaines Sciences '!E19,0)</f>
        <v>0</v>
      </c>
      <c r="F17">
        <f>IF('Items sous domaines Sciences '!G30=1,'Items sous domaines Sciences '!#REF!,0)</f>
        <v>0</v>
      </c>
    </row>
    <row r="18" spans="1:6" customFormat="1" ht="17.399999999999999" hidden="1" customHeight="1" thickBot="1" x14ac:dyDescent="0.3">
      <c r="A18" s="421"/>
      <c r="B18" s="8">
        <f>IF('Items sous domaines Sciences '!G20=3,'Items sous domaines Sciences '!B20,0)</f>
        <v>0</v>
      </c>
      <c r="C18" s="8">
        <f>IF('Items sous domaines Sciences '!G20=3,'Items sous domaines Sciences '!C20,0)</f>
        <v>0</v>
      </c>
      <c r="D18" s="8">
        <f>IF('Items sous domaines Sciences '!G20=3,'Items sous domaines Sciences '!D20,0)</f>
        <v>0</v>
      </c>
      <c r="E18" s="8">
        <f>IF('Items sous domaines Sciences '!G20=3,'Items sous domaines Sciences '!E20,0)</f>
        <v>0</v>
      </c>
      <c r="F18">
        <f>IF('Items sous domaines Sciences '!G31=1,'Items sous domaines Sciences '!#REF!,0)</f>
        <v>0</v>
      </c>
    </row>
    <row r="19" spans="1:6" customFormat="1" ht="17.399999999999999" hidden="1" customHeight="1" thickBot="1" x14ac:dyDescent="0.3">
      <c r="A19" s="421"/>
      <c r="B19" s="8">
        <f>IF('Items sous domaines Sciences '!G21=3,'Items sous domaines Sciences '!B21,0)</f>
        <v>0</v>
      </c>
      <c r="C19" s="8">
        <f>IF('Items sous domaines Sciences '!G21=3,'Items sous domaines Sciences '!C21,0)</f>
        <v>0</v>
      </c>
      <c r="D19" s="8">
        <f>IF('Items sous domaines Sciences '!G21=3,'Items sous domaines Sciences '!D21,0)</f>
        <v>0</v>
      </c>
      <c r="E19" s="8">
        <f>IF('Items sous domaines Sciences '!G21=3,'Items sous domaines Sciences '!E21,0)</f>
        <v>0</v>
      </c>
      <c r="F19">
        <f>IF('Items sous domaines Sciences '!G32=1,'Items sous domaines Sciences '!#REF!,0)</f>
        <v>0</v>
      </c>
    </row>
    <row r="20" spans="1:6" customFormat="1" ht="17.399999999999999" hidden="1" customHeight="1" thickBot="1" x14ac:dyDescent="0.3">
      <c r="A20" s="421"/>
      <c r="B20" s="8">
        <f>IF('Items sous domaines Sciences '!G22=3,'Items sous domaines Sciences '!B22,0)</f>
        <v>0</v>
      </c>
      <c r="C20" s="8">
        <f>IF('Items sous domaines Sciences '!G22=3,'Items sous domaines Sciences '!C22,0)</f>
        <v>0</v>
      </c>
      <c r="D20" s="8">
        <f>IF('Items sous domaines Sciences '!G22=3,'Items sous domaines Sciences '!D22,0)</f>
        <v>0</v>
      </c>
      <c r="E20" s="8">
        <f>IF('Items sous domaines Sciences '!G22=3,'Items sous domaines Sciences '!E22,0)</f>
        <v>0</v>
      </c>
      <c r="F20">
        <f>IF('Items sous domaines Sciences '!G33=1,'Items sous domaines Sciences '!#REF!,0)</f>
        <v>0</v>
      </c>
    </row>
    <row r="21" spans="1:6" customFormat="1" ht="17.399999999999999" hidden="1" customHeight="1" thickBot="1" x14ac:dyDescent="0.3">
      <c r="A21" s="421"/>
      <c r="B21" s="8">
        <f>IF('Items sous domaines Sciences '!G23=3,'Items sous domaines Sciences '!B23,0)</f>
        <v>0</v>
      </c>
      <c r="C21" s="8">
        <f>IF('Items sous domaines Sciences '!G23=3,'Items sous domaines Sciences '!C23,0)</f>
        <v>0</v>
      </c>
      <c r="D21" s="8">
        <f>IF('Items sous domaines Sciences '!G23=3,'Items sous domaines Sciences '!D23,0)</f>
        <v>0</v>
      </c>
      <c r="E21" s="8">
        <f>IF('Items sous domaines Sciences '!G23=3,'Items sous domaines Sciences '!E23,0)</f>
        <v>0</v>
      </c>
      <c r="F21">
        <f>IF('Items sous domaines Sciences '!G34=1,'Items sous domaines Sciences '!#REF!,0)</f>
        <v>0</v>
      </c>
    </row>
    <row r="22" spans="1:6" customFormat="1" ht="17.399999999999999" hidden="1" customHeight="1" thickBot="1" x14ac:dyDescent="0.3">
      <c r="A22" s="421"/>
      <c r="B22" s="8">
        <f>IF('Items sous domaines Sciences '!G24=3,'Items sous domaines Sciences '!B24,0)</f>
        <v>0</v>
      </c>
      <c r="C22" s="8">
        <f>IF('Items sous domaines Sciences '!G24=3,'Items sous domaines Sciences '!C24,0)</f>
        <v>0</v>
      </c>
      <c r="D22" s="8">
        <f>IF('Items sous domaines Sciences '!G24=3,'Items sous domaines Sciences '!D24,0)</f>
        <v>0</v>
      </c>
      <c r="E22" s="8">
        <f>IF('Items sous domaines Sciences '!G24=3,'Items sous domaines Sciences '!E24,0)</f>
        <v>0</v>
      </c>
      <c r="F22">
        <f>IF('Items sous domaines Sciences '!G35=1,'Items sous domaines Sciences '!#REF!,0)</f>
        <v>0</v>
      </c>
    </row>
    <row r="23" spans="1:6" customFormat="1" ht="17.399999999999999" hidden="1" customHeight="1" thickBot="1" x14ac:dyDescent="0.3">
      <c r="A23" s="421"/>
      <c r="B23" s="8">
        <f>IF('Items sous domaines Sciences '!G25=3,'Items sous domaines Sciences '!B25,0)</f>
        <v>0</v>
      </c>
      <c r="C23" s="8">
        <f>IF('Items sous domaines Sciences '!G25=3,'Items sous domaines Sciences '!C25,0)</f>
        <v>0</v>
      </c>
      <c r="D23" s="8">
        <f>IF('Items sous domaines Sciences '!G25=3,'Items sous domaines Sciences '!D25,0)</f>
        <v>0</v>
      </c>
      <c r="E23" s="8">
        <f>IF('Items sous domaines Sciences '!G25=3,'Items sous domaines Sciences '!E25,0)</f>
        <v>0</v>
      </c>
      <c r="F23" t="e">
        <f>IF('Items sous domaines Sciences '!#REF!=1,'Items sous domaines Sciences '!#REF!,0)</f>
        <v>#REF!</v>
      </c>
    </row>
    <row r="24" spans="1:6" customFormat="1" ht="17.399999999999999" hidden="1" customHeight="1" thickBot="1" x14ac:dyDescent="0.3">
      <c r="A24" s="421"/>
      <c r="B24" s="8">
        <f>IF('Items sous domaines Sciences '!G26=3,'Items sous domaines Sciences '!B26,0)</f>
        <v>0</v>
      </c>
      <c r="C24" s="8">
        <f>IF('Items sous domaines Sciences '!G26=3,'Items sous domaines Sciences '!C26,0)</f>
        <v>0</v>
      </c>
      <c r="D24" s="8">
        <f>IF('Items sous domaines Sciences '!G26=3,'Items sous domaines Sciences '!D26,0)</f>
        <v>0</v>
      </c>
      <c r="E24" s="8">
        <f>IF('Items sous domaines Sciences '!G26=3,'Items sous domaines Sciences '!E26,0)</f>
        <v>0</v>
      </c>
      <c r="F24" t="e">
        <f>IF('Items sous domaines Sciences '!#REF!=1,'Items sous domaines Sciences '!#REF!,0)</f>
        <v>#REF!</v>
      </c>
    </row>
    <row r="25" spans="1:6" customFormat="1" ht="17.399999999999999" hidden="1" customHeight="1" thickBot="1" x14ac:dyDescent="0.3">
      <c r="A25" s="421"/>
      <c r="B25" s="8">
        <f>IF('Items sous domaines Sciences '!G27=3,'Items sous domaines Sciences '!B27,0)</f>
        <v>0</v>
      </c>
      <c r="C25" s="8">
        <f>IF('Items sous domaines Sciences '!G27=3,'Items sous domaines Sciences '!C27,0)</f>
        <v>0</v>
      </c>
      <c r="D25" s="8">
        <f>IF('Items sous domaines Sciences '!G27=3,'Items sous domaines Sciences '!D27,0)</f>
        <v>0</v>
      </c>
      <c r="E25" s="8">
        <f>IF('Items sous domaines Sciences '!G27=3,'Items sous domaines Sciences '!E27,0)</f>
        <v>0</v>
      </c>
      <c r="F25">
        <f>IF('Items sous domaines Sciences '!G78=1,'Items sous domaines Sciences '!#REF!,0)</f>
        <v>0</v>
      </c>
    </row>
    <row r="26" spans="1:6" customFormat="1" ht="17.399999999999999" hidden="1" customHeight="1" thickBot="1" x14ac:dyDescent="0.3">
      <c r="A26" s="421"/>
      <c r="B26" s="8">
        <f>IF('Items sous domaines Sciences '!G28=3,'Items sous domaines Sciences '!B28,0)</f>
        <v>0</v>
      </c>
      <c r="C26" s="8">
        <f>IF('Items sous domaines Sciences '!G28=3,'Items sous domaines Sciences '!C28,0)</f>
        <v>0</v>
      </c>
      <c r="D26" s="8">
        <f>IF('Items sous domaines Sciences '!G28=3,'Items sous domaines Sciences '!D28,0)</f>
        <v>0</v>
      </c>
      <c r="E26" s="8">
        <f>IF('Items sous domaines Sciences '!G28=3,'Items sous domaines Sciences '!E28,0)</f>
        <v>0</v>
      </c>
      <c r="F26">
        <f>IF('Items sous domaines Sciences '!G108=1,'Items sous domaines Sciences '!#REF!,0)</f>
        <v>0</v>
      </c>
    </row>
    <row r="27" spans="1:6" customFormat="1" ht="17.399999999999999" hidden="1" customHeight="1" thickBot="1" x14ac:dyDescent="0.3">
      <c r="A27" s="421"/>
      <c r="B27" s="8">
        <f>IF('Items sous domaines Sciences '!G29=3,'Items sous domaines Sciences '!B29,0)</f>
        <v>0</v>
      </c>
      <c r="C27" s="8">
        <f>IF('Items sous domaines Sciences '!G29=3,'Items sous domaines Sciences '!C29,0)</f>
        <v>0</v>
      </c>
      <c r="D27" s="8">
        <f>IF('Items sous domaines Sciences '!G29=3,'Items sous domaines Sciences '!D29,0)</f>
        <v>0</v>
      </c>
      <c r="E27" s="8">
        <f>IF('Items sous domaines Sciences '!G29=3,'Items sous domaines Sciences '!E29,0)</f>
        <v>0</v>
      </c>
      <c r="F27">
        <f>IF('Items sous domaines Sciences '!G109=1,'Items sous domaines Sciences '!#REF!,0)</f>
        <v>0</v>
      </c>
    </row>
    <row r="28" spans="1:6" customFormat="1" ht="17.399999999999999" hidden="1" customHeight="1" thickBot="1" x14ac:dyDescent="0.3">
      <c r="A28" s="421"/>
      <c r="B28" s="8">
        <f>IF('Items sous domaines Sciences '!G30=3,'Items sous domaines Sciences '!B30,0)</f>
        <v>0</v>
      </c>
      <c r="C28" s="8">
        <f>IF('Items sous domaines Sciences '!G30=3,'Items sous domaines Sciences '!C30,0)</f>
        <v>0</v>
      </c>
      <c r="D28" s="8">
        <f>IF('Items sous domaines Sciences '!G30=3,'Items sous domaines Sciences '!D30,0)</f>
        <v>0</v>
      </c>
      <c r="E28" s="8">
        <f>IF('Items sous domaines Sciences '!G30=3,'Items sous domaines Sciences '!E30,0)</f>
        <v>0</v>
      </c>
      <c r="F28">
        <f>IF('Items sous domaines Sciences '!G110=1,'Items sous domaines Sciences '!#REF!,0)</f>
        <v>0</v>
      </c>
    </row>
    <row r="29" spans="1:6" customFormat="1" ht="17.399999999999999" hidden="1" customHeight="1" thickBot="1" x14ac:dyDescent="0.3">
      <c r="A29" s="421"/>
      <c r="B29" s="8">
        <f>IF('Items sous domaines Sciences '!G31=3,'Items sous domaines Sciences '!B31,0)</f>
        <v>0</v>
      </c>
      <c r="C29" s="8">
        <f>IF('Items sous domaines Sciences '!G31=3,'Items sous domaines Sciences '!C31,0)</f>
        <v>0</v>
      </c>
      <c r="D29" s="8">
        <f>IF('Items sous domaines Sciences '!G31=3,'Items sous domaines Sciences '!D31,0)</f>
        <v>0</v>
      </c>
      <c r="E29" s="8">
        <f>IF('Items sous domaines Sciences '!G31=3,'Items sous domaines Sciences '!E31,0)</f>
        <v>0</v>
      </c>
      <c r="F29">
        <f>IF('Items sous domaines Sciences '!G111=1,'Items sous domaines Sciences '!#REF!,0)</f>
        <v>0</v>
      </c>
    </row>
    <row r="30" spans="1:6" customFormat="1" ht="22.2" hidden="1" customHeight="1" thickBot="1" x14ac:dyDescent="0.3">
      <c r="A30" s="421"/>
      <c r="B30" s="8">
        <f>IF('Items sous domaines Sciences '!G32=3,'Items sous domaines Sciences '!B32,0)</f>
        <v>0</v>
      </c>
      <c r="C30" s="8">
        <f>IF('Items sous domaines Sciences '!G32=3,'Items sous domaines Sciences '!C32,0)</f>
        <v>0</v>
      </c>
      <c r="D30" s="8">
        <f>IF('Items sous domaines Sciences '!G32=3,'Items sous domaines Sciences '!D32,0)</f>
        <v>0</v>
      </c>
      <c r="E30" s="8">
        <f>IF('Items sous domaines Sciences '!G32=3,'Items sous domaines Sciences '!E32,0)</f>
        <v>0</v>
      </c>
      <c r="F30">
        <f>IF('Items sous domaines Sciences '!G112=1,'Items sous domaines Sciences '!#REF!,0)</f>
        <v>0</v>
      </c>
    </row>
    <row r="31" spans="1:6" s="2" customFormat="1" ht="17.399999999999999" hidden="1" customHeight="1" thickBot="1" x14ac:dyDescent="0.3">
      <c r="A31" s="421"/>
      <c r="B31" s="8">
        <f>IF('Items sous domaines Sciences '!G33=3,'Items sous domaines Sciences '!B33,0)</f>
        <v>0</v>
      </c>
      <c r="C31" s="8">
        <f>IF('Items sous domaines Sciences '!G33=3,'Items sous domaines Sciences '!C33,0)</f>
        <v>0</v>
      </c>
      <c r="D31" s="8">
        <f>IF('Items sous domaines Sciences '!G33=3,'Items sous domaines Sciences '!D33,0)</f>
        <v>0</v>
      </c>
      <c r="E31" s="8">
        <f>IF('Items sous domaines Sciences '!G33=3,'Items sous domaines Sciences '!E33,0)</f>
        <v>0</v>
      </c>
      <c r="F31">
        <f>IF('Items sous domaines Sciences '!G129=1,'Items sous domaines Sciences '!#REF!,0)</f>
        <v>0</v>
      </c>
    </row>
    <row r="32" spans="1:6" s="2" customFormat="1" ht="17.399999999999999" hidden="1" customHeight="1" thickBot="1" x14ac:dyDescent="0.3">
      <c r="A32" s="421"/>
      <c r="B32" s="8">
        <f>IF('Items sous domaines Sciences '!G34=3,'Items sous domaines Sciences '!B34,0)</f>
        <v>0</v>
      </c>
      <c r="C32" s="8">
        <f>IF('Items sous domaines Sciences '!G34=3,'Items sous domaines Sciences '!C34,0)</f>
        <v>0</v>
      </c>
      <c r="D32" s="8">
        <f>IF('Items sous domaines Sciences '!G34=3,'Items sous domaines Sciences '!D34,0)</f>
        <v>0</v>
      </c>
      <c r="E32" s="8">
        <f>IF('Items sous domaines Sciences '!G34=3,'Items sous domaines Sciences '!E34,0)</f>
        <v>0</v>
      </c>
      <c r="F32">
        <f>IF('Items sous domaines Sciences '!G130=1,'Items sous domaines Sciences '!#REF!,0)</f>
        <v>0</v>
      </c>
    </row>
    <row r="33" spans="1:7" s="2" customFormat="1" ht="17.399999999999999" hidden="1" customHeight="1" thickBot="1" x14ac:dyDescent="0.3">
      <c r="A33" s="421"/>
      <c r="B33" s="8">
        <f>IF('Items sous domaines Sciences '!G35=3,'Items sous domaines Sciences '!B35,0)</f>
        <v>0</v>
      </c>
      <c r="C33" s="8">
        <f>IF('Items sous domaines Sciences '!G35=3,'Items sous domaines Sciences '!C35,0)</f>
        <v>0</v>
      </c>
      <c r="D33" s="8">
        <f>IF('Items sous domaines Sciences '!G35=3,'Items sous domaines Sciences '!D35,0)</f>
        <v>0</v>
      </c>
      <c r="E33" s="8">
        <f>IF('Items sous domaines Sciences '!G35=3,'Items sous domaines Sciences '!E35,0)</f>
        <v>0</v>
      </c>
      <c r="F33">
        <f>IF('Items sous domaines Sciences '!G131=1,'Items sous domaines Sciences '!#REF!,0)</f>
        <v>0</v>
      </c>
    </row>
    <row r="34" spans="1:7" s="2" customFormat="1" ht="17.399999999999999" hidden="1" customHeight="1" thickBot="1" x14ac:dyDescent="0.3">
      <c r="A34" s="421"/>
      <c r="B34" s="8">
        <f>IF('Items sous domaines Sciences '!G36=3,'Items sous domaines Sciences '!B36,0)</f>
        <v>0</v>
      </c>
      <c r="C34" s="8">
        <f>IF('Items sous domaines Sciences '!G36=3,'Items sous domaines Sciences '!C36,0)</f>
        <v>0</v>
      </c>
      <c r="D34" s="8">
        <f>IF('Items sous domaines Sciences '!G36=3,'Items sous domaines Sciences '!D36,0)</f>
        <v>0</v>
      </c>
      <c r="E34" s="8">
        <f>IF('Items sous domaines Sciences '!G36=3,'Items sous domaines Sciences '!E36,0)</f>
        <v>0</v>
      </c>
      <c r="F34">
        <f>IF('Items sous domaines Sciences '!G132=1,'Items sous domaines Sciences '!#REF!,0)</f>
        <v>0</v>
      </c>
    </row>
    <row r="35" spans="1:7" s="2" customFormat="1" ht="17.399999999999999" hidden="1" customHeight="1" thickBot="1" x14ac:dyDescent="0.3">
      <c r="A35" s="421"/>
      <c r="B35" s="8">
        <f>IF('Items sous domaines Sciences '!G37=3,'Items sous domaines Sciences '!B37,0)</f>
        <v>0</v>
      </c>
      <c r="C35" s="8">
        <f>IF('Items sous domaines Sciences '!G37=3,'Items sous domaines Sciences '!C37,0)</f>
        <v>0</v>
      </c>
      <c r="D35" s="8">
        <f>IF('Items sous domaines Sciences '!G37=3,'Items sous domaines Sciences '!D37,0)</f>
        <v>0</v>
      </c>
      <c r="E35" s="8">
        <f>IF('Items sous domaines Sciences '!G37=3,'Items sous domaines Sciences '!E37,0)</f>
        <v>0</v>
      </c>
      <c r="F35">
        <f>IF('Items sous domaines Sciences '!G182=1,'Items sous domaines Sciences '!#REF!,0)</f>
        <v>0</v>
      </c>
    </row>
    <row r="36" spans="1:7" s="2" customFormat="1" ht="17.399999999999999" hidden="1" customHeight="1" thickBot="1" x14ac:dyDescent="0.3">
      <c r="A36" s="421"/>
      <c r="B36" s="8">
        <f>IF('Items sous domaines Sciences '!G38=3,'Items sous domaines Sciences '!B38,0)</f>
        <v>0</v>
      </c>
      <c r="C36" s="8">
        <f>IF('Items sous domaines Sciences '!G38=3,'Items sous domaines Sciences '!C38,0)</f>
        <v>0</v>
      </c>
      <c r="D36" s="8">
        <f>IF('Items sous domaines Sciences '!G38=3,'Items sous domaines Sciences '!D38,0)</f>
        <v>0</v>
      </c>
      <c r="E36" s="8">
        <f>IF('Items sous domaines Sciences '!G38=3,'Items sous domaines Sciences '!E38,0)</f>
        <v>0</v>
      </c>
      <c r="F36">
        <f>IF('Items sous domaines Sciences '!G192=1,'Items sous domaines Sciences '!#REF!,0)</f>
        <v>0</v>
      </c>
    </row>
    <row r="37" spans="1:7" s="2" customFormat="1" ht="17.399999999999999" hidden="1" customHeight="1" thickBot="1" x14ac:dyDescent="0.3">
      <c r="A37" s="421"/>
      <c r="B37" s="8">
        <f>IF('Items sous domaines Sciences '!G39=3,'Items sous domaines Sciences '!B39,0)</f>
        <v>0</v>
      </c>
      <c r="C37" s="8">
        <f>IF('Items sous domaines Sciences '!G39=3,'Items sous domaines Sciences '!C39,0)</f>
        <v>0</v>
      </c>
      <c r="D37" s="8">
        <f>IF('Items sous domaines Sciences '!G39=3,'Items sous domaines Sciences '!D39,0)</f>
        <v>0</v>
      </c>
      <c r="E37" s="8">
        <f>IF('Items sous domaines Sciences '!G39=3,'Items sous domaines Sciences '!E39,0)</f>
        <v>0</v>
      </c>
      <c r="F37">
        <f>IF('Items sous domaines Sciences '!G193=1,'Items sous domaines Sciences '!#REF!,0)</f>
        <v>0</v>
      </c>
    </row>
    <row r="38" spans="1:7" customFormat="1" ht="17.399999999999999" hidden="1" customHeight="1" thickBot="1" x14ac:dyDescent="0.3">
      <c r="A38" s="421"/>
      <c r="B38" s="8">
        <f>IF('Items sous domaines Sciences '!G40=3,'Items sous domaines Sciences '!B40,0)</f>
        <v>0</v>
      </c>
      <c r="C38" s="8">
        <f>IF('Items sous domaines Sciences '!G40=3,'Items sous domaines Sciences '!C40,0)</f>
        <v>0</v>
      </c>
      <c r="D38" s="8">
        <f>IF('Items sous domaines Sciences '!G40=3,'Items sous domaines Sciences '!D40,0)</f>
        <v>0</v>
      </c>
      <c r="E38" s="8">
        <f>IF('Items sous domaines Sciences '!G40=3,'Items sous domaines Sciences '!E40,0)</f>
        <v>0</v>
      </c>
      <c r="F38">
        <f>IF('Items sous domaines Sciences '!G194=1,'Items sous domaines Sciences '!#REF!,0)</f>
        <v>0</v>
      </c>
    </row>
    <row r="39" spans="1:7" customFormat="1" ht="17.399999999999999" hidden="1" customHeight="1" thickBot="1" x14ac:dyDescent="0.3">
      <c r="A39" s="421"/>
      <c r="B39" s="8">
        <f>IF('Items sous domaines Sciences '!G41=3,'Items sous domaines Sciences '!B41,0)</f>
        <v>0</v>
      </c>
      <c r="C39" s="8">
        <f>IF('Items sous domaines Sciences '!G41=3,'Items sous domaines Sciences '!C41,0)</f>
        <v>0</v>
      </c>
      <c r="D39" s="8">
        <f>IF('Items sous domaines Sciences '!G41=3,'Items sous domaines Sciences '!D41,0)</f>
        <v>0</v>
      </c>
      <c r="E39" s="8">
        <f>IF('Items sous domaines Sciences '!G41=3,'Items sous domaines Sciences '!E41,0)</f>
        <v>0</v>
      </c>
      <c r="F39">
        <f>IF('Items sous domaines Sciences '!G207=1,'Items sous domaines Sciences '!#REF!,0)</f>
        <v>0</v>
      </c>
    </row>
    <row r="40" spans="1:7" customFormat="1" ht="17.399999999999999" hidden="1" customHeight="1" thickBot="1" x14ac:dyDescent="0.3">
      <c r="A40" s="421"/>
      <c r="B40" s="8">
        <f>IF('Items sous domaines Sciences '!G42=3,'Items sous domaines Sciences '!B42,0)</f>
        <v>0</v>
      </c>
      <c r="C40" s="8">
        <f>IF('Items sous domaines Sciences '!G42=3,'Items sous domaines Sciences '!C42,0)</f>
        <v>0</v>
      </c>
      <c r="D40" s="8">
        <f>IF('Items sous domaines Sciences '!G42=3,'Items sous domaines Sciences '!D42,0)</f>
        <v>0</v>
      </c>
      <c r="E40" s="8">
        <f>IF('Items sous domaines Sciences '!G42=3,'Items sous domaines Sciences '!E42,0)</f>
        <v>0</v>
      </c>
      <c r="F40" s="379" t="s">
        <v>457</v>
      </c>
      <c r="G40" s="331" t="s">
        <v>390</v>
      </c>
    </row>
    <row r="41" spans="1:7" customFormat="1" ht="17.399999999999999" hidden="1" customHeight="1" thickBot="1" x14ac:dyDescent="0.3">
      <c r="A41" s="421"/>
      <c r="B41" s="8">
        <f>IF('Items sous domaines Sciences '!G43=3,'Items sous domaines Sciences '!B43,0)</f>
        <v>0</v>
      </c>
      <c r="C41" s="8">
        <f>IF('Items sous domaines Sciences '!G43=3,'Items sous domaines Sciences '!C43,0)</f>
        <v>0</v>
      </c>
      <c r="D41" s="8">
        <f>IF('Items sous domaines Sciences '!G43=3,'Items sous domaines Sciences '!D43,0)</f>
        <v>0</v>
      </c>
      <c r="E41" s="8">
        <f>IF('Items sous domaines Sciences '!G43=3,'Items sous domaines Sciences '!E43,0)</f>
        <v>0</v>
      </c>
      <c r="F41" s="380"/>
      <c r="G41" s="374"/>
    </row>
    <row r="42" spans="1:7" customFormat="1" ht="17.399999999999999" hidden="1" customHeight="1" thickBot="1" x14ac:dyDescent="0.3">
      <c r="A42" s="421"/>
      <c r="B42" s="8">
        <f>IF('Items sous domaines Sciences '!G44=3,'Items sous domaines Sciences '!B44,0)</f>
        <v>0</v>
      </c>
      <c r="C42" s="8">
        <f>IF('Items sous domaines Sciences '!G44=3,'Items sous domaines Sciences '!C44,0)</f>
        <v>0</v>
      </c>
      <c r="D42" s="8">
        <f>IF('Items sous domaines Sciences '!G44=3,'Items sous domaines Sciences '!D44,0)</f>
        <v>0</v>
      </c>
      <c r="E42" s="8">
        <f>IF('Items sous domaines Sciences '!G44=3,'Items sous domaines Sciences '!E44,0)</f>
        <v>0</v>
      </c>
      <c r="F42" s="380"/>
      <c r="G42" s="374"/>
    </row>
    <row r="43" spans="1:7" customFormat="1" ht="17.399999999999999" hidden="1" customHeight="1" thickBot="1" x14ac:dyDescent="0.3">
      <c r="A43" s="421"/>
      <c r="B43" s="8">
        <f>IF('Items sous domaines Sciences '!G45=3,'Items sous domaines Sciences '!B45,0)</f>
        <v>0</v>
      </c>
      <c r="C43" s="8">
        <f>IF('Items sous domaines Sciences '!G45=3,'Items sous domaines Sciences '!C45,0)</f>
        <v>0</v>
      </c>
      <c r="D43" s="8">
        <f>IF('Items sous domaines Sciences '!G45=3,'Items sous domaines Sciences '!D45,0)</f>
        <v>0</v>
      </c>
      <c r="E43" s="8">
        <f>IF('Items sous domaines Sciences '!G45=3,'Items sous domaines Sciences '!E45,0)</f>
        <v>0</v>
      </c>
      <c r="F43" s="380"/>
      <c r="G43" s="374"/>
    </row>
    <row r="44" spans="1:7" customFormat="1" ht="17.399999999999999" hidden="1" customHeight="1" thickBot="1" x14ac:dyDescent="0.3">
      <c r="A44" s="421"/>
      <c r="B44" s="8">
        <f>IF('Items sous domaines Sciences '!G46=3,'Items sous domaines Sciences '!B46,0)</f>
        <v>0</v>
      </c>
      <c r="C44" s="8">
        <f>IF('Items sous domaines Sciences '!G46=3,'Items sous domaines Sciences '!C46,0)</f>
        <v>0</v>
      </c>
      <c r="D44" s="8">
        <f>IF('Items sous domaines Sciences '!G46=3,'Items sous domaines Sciences '!D46,0)</f>
        <v>0</v>
      </c>
      <c r="E44" s="8">
        <f>IF('Items sous domaines Sciences '!G46=3,'Items sous domaines Sciences '!E46,0)</f>
        <v>0</v>
      </c>
      <c r="F44" s="380"/>
      <c r="G44" s="374"/>
    </row>
    <row r="45" spans="1:7" customFormat="1" ht="17.399999999999999" hidden="1" customHeight="1" thickBot="1" x14ac:dyDescent="0.3">
      <c r="A45" s="421"/>
      <c r="B45" s="8">
        <f>IF('Items sous domaines Sciences '!G47=3,'Items sous domaines Sciences '!B47,0)</f>
        <v>0</v>
      </c>
      <c r="C45" s="8">
        <f>IF('Items sous domaines Sciences '!G47=3,'Items sous domaines Sciences '!C47,0)</f>
        <v>0</v>
      </c>
      <c r="D45" s="8">
        <f>IF('Items sous domaines Sciences '!G47=3,'Items sous domaines Sciences '!D47,0)</f>
        <v>0</v>
      </c>
      <c r="E45" s="8">
        <f>IF('Items sous domaines Sciences '!G47=3,'Items sous domaines Sciences '!E47,0)</f>
        <v>0</v>
      </c>
      <c r="F45" s="380"/>
      <c r="G45" s="374"/>
    </row>
    <row r="46" spans="1:7" customFormat="1" ht="27.6" hidden="1" customHeight="1" thickBot="1" x14ac:dyDescent="0.3">
      <c r="A46" s="421"/>
      <c r="B46" s="8">
        <f>IF('Items sous domaines Sciences '!G48=3,'Items sous domaines Sciences '!B48,0)</f>
        <v>0</v>
      </c>
      <c r="C46" s="8">
        <f>IF('Items sous domaines Sciences '!G48=3,'Items sous domaines Sciences '!C48,0)</f>
        <v>0</v>
      </c>
      <c r="D46" s="8">
        <f>IF('Items sous domaines Sciences '!G48=3,'Items sous domaines Sciences '!D48,0)</f>
        <v>0</v>
      </c>
      <c r="E46" s="8">
        <f>IF('Items sous domaines Sciences '!G48=3,'Items sous domaines Sciences '!E48,0)</f>
        <v>0</v>
      </c>
      <c r="F46" s="380"/>
      <c r="G46" s="374"/>
    </row>
    <row r="47" spans="1:7" customFormat="1" ht="17.399999999999999" hidden="1" customHeight="1" thickBot="1" x14ac:dyDescent="0.3">
      <c r="A47" s="421"/>
      <c r="B47" s="8">
        <f>IF('Items sous domaines Sciences '!G49=3,'Items sous domaines Sciences '!B49,0)</f>
        <v>0</v>
      </c>
      <c r="C47" s="8">
        <f>IF('Items sous domaines Sciences '!G49=3,'Items sous domaines Sciences '!C49,0)</f>
        <v>0</v>
      </c>
      <c r="D47" s="8">
        <f>IF('Items sous domaines Sciences '!G49=3,'Items sous domaines Sciences '!D49,0)</f>
        <v>0</v>
      </c>
      <c r="E47" s="8">
        <f>IF('Items sous domaines Sciences '!G49=3,'Items sous domaines Sciences '!E49,0)</f>
        <v>0</v>
      </c>
      <c r="F47" s="380"/>
      <c r="G47" s="374"/>
    </row>
    <row r="48" spans="1:7" customFormat="1" ht="17.399999999999999" hidden="1" customHeight="1" thickBot="1" x14ac:dyDescent="0.3">
      <c r="A48" s="421"/>
      <c r="B48" s="8">
        <f>IF('Items sous domaines Sciences '!G50=3,'Items sous domaines Sciences '!B50,0)</f>
        <v>0</v>
      </c>
      <c r="C48" s="8">
        <f>IF('Items sous domaines Sciences '!G50=3,'Items sous domaines Sciences '!C50,0)</f>
        <v>0</v>
      </c>
      <c r="D48" s="8">
        <f>IF('Items sous domaines Sciences '!G50=3,'Items sous domaines Sciences '!D50,0)</f>
        <v>0</v>
      </c>
      <c r="E48" s="8">
        <f>IF('Items sous domaines Sciences '!G50=3,'Items sous domaines Sciences '!E50,0)</f>
        <v>0</v>
      </c>
      <c r="F48" s="380"/>
      <c r="G48" s="374"/>
    </row>
    <row r="49" spans="1:7" customFormat="1" ht="17.399999999999999" hidden="1" customHeight="1" thickBot="1" x14ac:dyDescent="0.3">
      <c r="A49" s="421"/>
      <c r="B49" s="8">
        <f>IF('Items sous domaines Sciences '!G51=3,'Items sous domaines Sciences '!B51,0)</f>
        <v>0</v>
      </c>
      <c r="C49" s="8">
        <f>IF('Items sous domaines Sciences '!G51=3,'Items sous domaines Sciences '!C51,0)</f>
        <v>0</v>
      </c>
      <c r="D49" s="8">
        <f>IF('Items sous domaines Sciences '!G51=3,'Items sous domaines Sciences '!D51,0)</f>
        <v>0</v>
      </c>
      <c r="E49" s="8">
        <f>IF('Items sous domaines Sciences '!G51=3,'Items sous domaines Sciences '!E51,0)</f>
        <v>0</v>
      </c>
      <c r="F49" s="380"/>
      <c r="G49" s="374"/>
    </row>
    <row r="50" spans="1:7" customFormat="1" ht="17.399999999999999" hidden="1" customHeight="1" thickBot="1" x14ac:dyDescent="0.3">
      <c r="A50" s="421"/>
      <c r="B50" s="8">
        <f>IF('Items sous domaines Sciences '!G52=3,'Items sous domaines Sciences '!B52,0)</f>
        <v>0</v>
      </c>
      <c r="C50" s="8">
        <f>IF('Items sous domaines Sciences '!G52=3,'Items sous domaines Sciences '!C52,0)</f>
        <v>0</v>
      </c>
      <c r="D50" s="8">
        <f>IF('Items sous domaines Sciences '!G52=3,'Items sous domaines Sciences '!D52,0)</f>
        <v>0</v>
      </c>
      <c r="E50" s="8">
        <f>IF('Items sous domaines Sciences '!G52=3,'Items sous domaines Sciences '!E52,0)</f>
        <v>0</v>
      </c>
      <c r="F50" s="380"/>
      <c r="G50" s="374"/>
    </row>
    <row r="51" spans="1:7" customFormat="1" ht="17.399999999999999" hidden="1" customHeight="1" thickBot="1" x14ac:dyDescent="0.3">
      <c r="A51" s="421"/>
      <c r="B51" s="8">
        <f>IF('Items sous domaines Sciences '!G53=3,'Items sous domaines Sciences '!B53,0)</f>
        <v>0</v>
      </c>
      <c r="C51" s="8">
        <f>IF('Items sous domaines Sciences '!G53=3,'Items sous domaines Sciences '!C53,0)</f>
        <v>0</v>
      </c>
      <c r="D51" s="8">
        <f>IF('Items sous domaines Sciences '!G53=3,'Items sous domaines Sciences '!D53,0)</f>
        <v>0</v>
      </c>
      <c r="E51" s="8">
        <f>IF('Items sous domaines Sciences '!G53=3,'Items sous domaines Sciences '!E53,0)</f>
        <v>0</v>
      </c>
      <c r="F51" s="380"/>
      <c r="G51" s="374"/>
    </row>
    <row r="52" spans="1:7" customFormat="1" ht="27.6" hidden="1" customHeight="1" thickBot="1" x14ac:dyDescent="0.3">
      <c r="A52" s="421"/>
      <c r="B52" s="8">
        <f>IF('Items sous domaines Sciences '!G54=3,'Items sous domaines Sciences '!B54,0)</f>
        <v>0</v>
      </c>
      <c r="C52" s="8">
        <f>IF('Items sous domaines Sciences '!G54=3,'Items sous domaines Sciences '!C54,0)</f>
        <v>0</v>
      </c>
      <c r="D52" s="8">
        <f>IF('Items sous domaines Sciences '!G54=3,'Items sous domaines Sciences '!D54,0)</f>
        <v>0</v>
      </c>
      <c r="E52" s="8">
        <f>IF('Items sous domaines Sciences '!G54=3,'Items sous domaines Sciences '!E54,0)</f>
        <v>0</v>
      </c>
      <c r="F52" s="380"/>
      <c r="G52" s="374"/>
    </row>
    <row r="53" spans="1:7" customFormat="1" ht="22.2" hidden="1" customHeight="1" thickBot="1" x14ac:dyDescent="0.3">
      <c r="A53" s="421"/>
      <c r="B53" s="8">
        <f>IF('Items sous domaines Sciences '!G55=3,'Items sous domaines Sciences '!B55,0)</f>
        <v>0</v>
      </c>
      <c r="C53" s="8">
        <f>IF('Items sous domaines Sciences '!G55=3,'Items sous domaines Sciences '!C55,0)</f>
        <v>0</v>
      </c>
      <c r="D53" s="8">
        <f>IF('Items sous domaines Sciences '!G55=3,'Items sous domaines Sciences '!D55,0)</f>
        <v>0</v>
      </c>
      <c r="E53" s="8">
        <f>IF('Items sous domaines Sciences '!G55=3,'Items sous domaines Sciences '!E55,0)</f>
        <v>0</v>
      </c>
      <c r="F53" s="380"/>
      <c r="G53" s="374"/>
    </row>
    <row r="54" spans="1:7" s="3" customFormat="1" ht="27.6" hidden="1" customHeight="1" thickBot="1" x14ac:dyDescent="0.3">
      <c r="A54" s="421"/>
      <c r="B54" s="8">
        <f>IF('Items sous domaines Sciences '!G56=3,'Items sous domaines Sciences '!B56,0)</f>
        <v>0</v>
      </c>
      <c r="C54" s="8">
        <f>IF('Items sous domaines Sciences '!G56=3,'Items sous domaines Sciences '!C56,0)</f>
        <v>0</v>
      </c>
      <c r="D54" s="8">
        <f>IF('Items sous domaines Sciences '!G56=3,'Items sous domaines Sciences '!D56,0)</f>
        <v>0</v>
      </c>
      <c r="E54" s="8">
        <f>IF('Items sous domaines Sciences '!G56=3,'Items sous domaines Sciences '!E56,0)</f>
        <v>0</v>
      </c>
      <c r="F54" s="380"/>
      <c r="G54" s="374"/>
    </row>
    <row r="55" spans="1:7" ht="19.95" customHeight="1" thickTop="1" x14ac:dyDescent="0.25">
      <c r="A55" s="421"/>
      <c r="B55" s="55" t="str">
        <f>IF('Items sous domaines Sciences '!G57=3,'Items sous domaines Sciences '!B57,0)</f>
        <v>Mécanique</v>
      </c>
      <c r="C55" s="225" t="str">
        <f>IF('Items sous domaines Sciences '!G57=3,'Items sous domaines Sciences '!C57,0)</f>
        <v>Fluides</v>
      </c>
      <c r="D55" s="226" t="str">
        <f>IF('Items sous domaines Sciences '!G57=3,'Items sous domaines Sciences '!D57,0)</f>
        <v>Mécanique des fluides</v>
      </c>
      <c r="E55" s="226" t="str">
        <f>IF('Items sous domaines Sciences '!G57=3,'Items sous domaines Sciences '!E57,0)</f>
        <v>Établir l'équation locale de la statique des fluides à partir d'un bilan de forces.</v>
      </c>
      <c r="F55" s="430"/>
      <c r="G55" s="454"/>
    </row>
    <row r="56" spans="1:7" ht="19.95" customHeight="1" x14ac:dyDescent="0.25">
      <c r="A56" s="421"/>
      <c r="B56" s="55" t="str">
        <f>IF('Items sous domaines Sciences '!G58=3,'Items sous domaines Sciences '!B58,0)</f>
        <v>Mécanique</v>
      </c>
      <c r="C56" s="212" t="str">
        <f>IF('Items sous domaines Sciences '!G58=3,'Items sous domaines Sciences '!C58,0)</f>
        <v>Fluides</v>
      </c>
      <c r="D56" s="215">
        <f>IF('Items sous domaines Sciences '!G58=3,'Items sous domaines Sciences '!D58,0)</f>
        <v>0</v>
      </c>
      <c r="E56" s="209" t="str">
        <f>IF('Items sous domaines Sciences '!G58=3,'Items sous domaines Sciences '!E58,0)</f>
        <v>Déterminer un champ de pression.</v>
      </c>
      <c r="F56" s="431"/>
      <c r="G56" s="456"/>
    </row>
    <row r="57" spans="1:7" ht="19.95" customHeight="1" x14ac:dyDescent="0.25">
      <c r="A57" s="421"/>
      <c r="B57" s="55" t="str">
        <f>IF('Items sous domaines Sciences '!G59=3,'Items sous domaines Sciences '!B59,0)</f>
        <v>Mécanique</v>
      </c>
      <c r="C57" s="213" t="str">
        <f>IF('Items sous domaines Sciences '!G59=3,'Items sous domaines Sciences '!C59,0)</f>
        <v>Fluides</v>
      </c>
      <c r="D57" s="216">
        <f>IF('Items sous domaines Sciences '!G59=3,'Items sous domaines Sciences '!D59,0)</f>
        <v>0</v>
      </c>
      <c r="E57" s="216" t="str">
        <f>IF('Items sous domaines Sciences '!G59=3,'Items sous domaines Sciences '!E59,0)</f>
        <v>Calculer une intégrale multiple.</v>
      </c>
      <c r="F57" s="431"/>
      <c r="G57" s="456"/>
    </row>
    <row r="58" spans="1:7" ht="19.95" customHeight="1" x14ac:dyDescent="0.25">
      <c r="A58" s="421"/>
      <c r="B58" s="55" t="str">
        <f>IF('Items sous domaines Sciences '!G60=3,'Items sous domaines Sciences '!B60,0)</f>
        <v>Mécanique</v>
      </c>
      <c r="C58" s="212" t="str">
        <f>IF('Items sous domaines Sciences '!G60=3,'Items sous domaines Sciences '!C60,0)</f>
        <v>Fluides</v>
      </c>
      <c r="D58" s="215">
        <f>IF('Items sous domaines Sciences '!G60=3,'Items sous domaines Sciences '!D60,0)</f>
        <v>0</v>
      </c>
      <c r="E58" s="209" t="str">
        <f>IF('Items sous domaines Sciences '!G60=3,'Items sous domaines Sciences '!E60,0)</f>
        <v>Calculer la résultante des forces de pression sur une surface.</v>
      </c>
      <c r="F58" s="431"/>
      <c r="G58" s="456"/>
    </row>
    <row r="59" spans="1:7" ht="19.95" customHeight="1" x14ac:dyDescent="0.25">
      <c r="A59" s="421"/>
      <c r="B59" s="55" t="str">
        <f>IF('Items sous domaines Sciences '!G61=3,'Items sous domaines Sciences '!B61,0)</f>
        <v>Mécanique</v>
      </c>
      <c r="C59" s="213" t="str">
        <f>IF('Items sous domaines Sciences '!G61=3,'Items sous domaines Sciences '!C61,0)</f>
        <v>Fluides</v>
      </c>
      <c r="D59" s="216">
        <f>IF('Items sous domaines Sciences '!G61=3,'Items sous domaines Sciences '!D61,0)</f>
        <v>0</v>
      </c>
      <c r="E59" s="216" t="str">
        <f>IF('Items sous domaines Sciences '!G61=3,'Items sous domaines Sciences '!E61,0)</f>
        <v>Appliquer le théorème Bernoulli sur un fluide en mouvement.</v>
      </c>
      <c r="F59" s="431"/>
      <c r="G59" s="456"/>
    </row>
    <row r="60" spans="1:7" ht="19.95" customHeight="1" x14ac:dyDescent="0.25">
      <c r="A60" s="421"/>
      <c r="B60" s="55" t="str">
        <f>IF('Items sous domaines Sciences '!G62=3,'Items sous domaines Sciences '!B62,0)</f>
        <v>Mécanique</v>
      </c>
      <c r="C60" s="212" t="str">
        <f>IF('Items sous domaines Sciences '!G62=3,'Items sous domaines Sciences '!C62,0)</f>
        <v>Fluides</v>
      </c>
      <c r="D60" s="215">
        <f>IF('Items sous domaines Sciences '!G62=3,'Items sous domaines Sciences '!D62,0)</f>
        <v>0</v>
      </c>
      <c r="E60" s="209" t="str">
        <f>IF('Items sous domaines Sciences '!G62=3,'Items sous domaines Sciences '!E62,0)</f>
        <v>Distinguer un écoulement d'un fluide parfait d'un écoulement d'un fluide réel.</v>
      </c>
      <c r="F60" s="431"/>
      <c r="G60" s="456"/>
    </row>
    <row r="61" spans="1:7" ht="19.95" customHeight="1" x14ac:dyDescent="0.25">
      <c r="A61" s="421"/>
      <c r="B61" s="55" t="str">
        <f>IF('Items sous domaines Sciences '!G63=3,'Items sous domaines Sciences '!B63,0)</f>
        <v>Mécanique</v>
      </c>
      <c r="C61" s="213" t="str">
        <f>IF('Items sous domaines Sciences '!G63=3,'Items sous domaines Sciences '!C63,0)</f>
        <v>Fluides</v>
      </c>
      <c r="D61" s="216">
        <f>IF('Items sous domaines Sciences '!G63=3,'Items sous domaines Sciences '!D63,0)</f>
        <v>0</v>
      </c>
      <c r="E61" s="216" t="str">
        <f>IF('Items sous domaines Sciences '!G63=3,'Items sous domaines Sciences '!E63,0)</f>
        <v>Calculer les pertes de charges singulières ou régulières.</v>
      </c>
      <c r="F61" s="431"/>
      <c r="G61" s="456"/>
    </row>
    <row r="62" spans="1:7" ht="19.95" customHeight="1" x14ac:dyDescent="0.25">
      <c r="A62" s="421"/>
      <c r="B62" s="55" t="str">
        <f>IF('Items sous domaines Sciences '!G64=3,'Items sous domaines Sciences '!B64,0)</f>
        <v>Mécanique</v>
      </c>
      <c r="C62" s="212" t="str">
        <f>IF('Items sous domaines Sciences '!G64=3,'Items sous domaines Sciences '!C64,0)</f>
        <v>Fluides</v>
      </c>
      <c r="D62" s="215">
        <f>IF('Items sous domaines Sciences '!G64=3,'Items sous domaines Sciences '!D64,0)</f>
        <v>0</v>
      </c>
      <c r="E62" s="209" t="str">
        <f>IF('Items sous domaines Sciences '!G64=3,'Items sous domaines Sciences '!E64,0)</f>
        <v>Déterminer les différents types d'écoulements d'un fluide réel à l'aide de nombre adimensionnel.</v>
      </c>
      <c r="F62" s="431"/>
      <c r="G62" s="455"/>
    </row>
    <row r="63" spans="1:7" ht="19.95" customHeight="1" x14ac:dyDescent="0.25">
      <c r="A63" s="421"/>
      <c r="B63" s="55" t="str">
        <f>IF('Items sous domaines Sciences '!G65=3,'Items sous domaines Sciences '!B65,0)</f>
        <v>Mécanique</v>
      </c>
      <c r="C63" s="213" t="str">
        <f>IF('Items sous domaines Sciences '!G65=3,'Items sous domaines Sciences '!C65,0)</f>
        <v>Fluides</v>
      </c>
      <c r="D63" s="216">
        <f>IF('Items sous domaines Sciences '!G65=3,'Items sous domaines Sciences '!D65,0)</f>
        <v>0</v>
      </c>
      <c r="E63" s="216" t="str">
        <f>IF('Items sous domaines Sciences '!G65=3,'Items sous domaines Sciences '!E65,0)</f>
        <v>Comparer des circuits équipés de deux pompes centrifuges en série ou en parallèle.</v>
      </c>
      <c r="F63" s="431"/>
      <c r="G63" s="456"/>
    </row>
    <row r="64" spans="1:7" ht="19.95" customHeight="1" x14ac:dyDescent="0.25">
      <c r="A64" s="421"/>
      <c r="B64" s="55" t="str">
        <f>IF('Items sous domaines Sciences '!G66=3,'Items sous domaines Sciences '!B66,0)</f>
        <v>Mécanique</v>
      </c>
      <c r="C64" s="212" t="str">
        <f>IF('Items sous domaines Sciences '!G66=3,'Items sous domaines Sciences '!C66,0)</f>
        <v>Fluides</v>
      </c>
      <c r="D64" s="215">
        <f>IF('Items sous domaines Sciences '!G66=3,'Items sous domaines Sciences '!D66,0)</f>
        <v>0</v>
      </c>
      <c r="E64" s="209" t="str">
        <f>IF('Items sous domaines Sciences '!G66=3,'Items sous domaines Sciences '!E66,0)</f>
        <v>Différencier les types de pompes existantes.</v>
      </c>
      <c r="F64" s="431"/>
      <c r="G64" s="456"/>
    </row>
    <row r="65" spans="1:7" ht="19.95" customHeight="1" x14ac:dyDescent="0.25">
      <c r="A65" s="421"/>
      <c r="B65" s="55" t="str">
        <f>IF('Items sous domaines Sciences '!G67=3,'Items sous domaines Sciences '!B67,0)</f>
        <v>Mécanique</v>
      </c>
      <c r="C65" s="213" t="str">
        <f>IF('Items sous domaines Sciences '!G67=3,'Items sous domaines Sciences '!C67,0)</f>
        <v>Fluides</v>
      </c>
      <c r="D65" s="216">
        <f>IF('Items sous domaines Sciences '!G67=3,'Items sous domaines Sciences '!D67,0)</f>
        <v>0</v>
      </c>
      <c r="E65" s="216" t="str">
        <f>IF('Items sous domaines Sciences '!G67=3,'Items sous domaines Sciences '!E67,0)</f>
        <v>Sélectionner les organes hydrauliques adéquats.</v>
      </c>
      <c r="F65" s="431"/>
      <c r="G65" s="456"/>
    </row>
    <row r="66" spans="1:7" ht="19.95" customHeight="1" thickBot="1" x14ac:dyDescent="0.3">
      <c r="A66" s="421"/>
      <c r="B66" s="55" t="str">
        <f>IF('Items sous domaines Sciences '!G68=3,'Items sous domaines Sciences '!B68,0)</f>
        <v>Mécanique</v>
      </c>
      <c r="C66" s="229" t="str">
        <f>IF('Items sous domaines Sciences '!G68=3,'Items sous domaines Sciences '!C68,0)</f>
        <v>Fluides</v>
      </c>
      <c r="D66" s="230">
        <f>IF('Items sous domaines Sciences '!G68=3,'Items sous domaines Sciences '!D68,0)</f>
        <v>0</v>
      </c>
      <c r="E66" s="231" t="str">
        <f>IF('Items sous domaines Sciences '!G68=3,'Items sous domaines Sciences '!E68,0)</f>
        <v>Sélectionner une pompe pour répondre à un réseau hydraulique particulier (HMT, NPSH).</v>
      </c>
      <c r="F66" s="449"/>
      <c r="G66" s="457"/>
    </row>
    <row r="67" spans="1:7" customFormat="1" ht="17.399999999999999" hidden="1" customHeight="1" thickBot="1" x14ac:dyDescent="0.3">
      <c r="A67" s="421"/>
      <c r="B67">
        <f>IF('Items sous domaines Sciences '!G69=3,'Items sous domaines Sciences '!B69,0)</f>
        <v>0</v>
      </c>
      <c r="C67">
        <f>IF('Items sous domaines Sciences '!G69=3,'Items sous domaines Sciences '!C69,0)</f>
        <v>0</v>
      </c>
      <c r="D67">
        <f>IF('Items sous domaines Sciences '!G69=3,'Items sous domaines Sciences '!D69,0)</f>
        <v>0</v>
      </c>
      <c r="E67">
        <f>IF('Items sous domaines Sciences '!G69=3,'Items sous domaines Sciences '!E69,0)</f>
        <v>0</v>
      </c>
      <c r="F67" s="380"/>
      <c r="G67" s="374"/>
    </row>
    <row r="68" spans="1:7" customFormat="1" ht="17.399999999999999" hidden="1" customHeight="1" thickBot="1" x14ac:dyDescent="0.3">
      <c r="A68" s="421"/>
      <c r="B68" s="8">
        <f>IF('Items sous domaines Sciences '!G70=3,'Items sous domaines Sciences '!B70,0)</f>
        <v>0</v>
      </c>
      <c r="C68" s="8">
        <f>IF('Items sous domaines Sciences '!G70=3,'Items sous domaines Sciences '!C70,0)</f>
        <v>0</v>
      </c>
      <c r="D68" s="8">
        <f>IF('Items sous domaines Sciences '!G70=3,'Items sous domaines Sciences '!D70,0)</f>
        <v>0</v>
      </c>
      <c r="E68" s="8">
        <f>IF('Items sous domaines Sciences '!G70=3,'Items sous domaines Sciences '!E70,0)</f>
        <v>0</v>
      </c>
      <c r="F68" s="380"/>
      <c r="G68" s="374"/>
    </row>
    <row r="69" spans="1:7" customFormat="1" ht="22.2" hidden="1" customHeight="1" thickBot="1" x14ac:dyDescent="0.3">
      <c r="A69" s="421"/>
      <c r="B69" s="8">
        <f>IF('Items sous domaines Sciences '!G71=3,'Items sous domaines Sciences '!B71,0)</f>
        <v>0</v>
      </c>
      <c r="C69" s="8">
        <f>IF('Items sous domaines Sciences '!G71=3,'Items sous domaines Sciences '!C71,0)</f>
        <v>0</v>
      </c>
      <c r="D69" s="8">
        <f>IF('Items sous domaines Sciences '!G71=3,'Items sous domaines Sciences '!D71,0)</f>
        <v>0</v>
      </c>
      <c r="E69" s="8">
        <f>IF('Items sous domaines Sciences '!G71=3,'Items sous domaines Sciences '!E71,0)</f>
        <v>0</v>
      </c>
      <c r="F69" s="380"/>
      <c r="G69" s="374"/>
    </row>
    <row r="70" spans="1:7" customFormat="1" ht="17.399999999999999" hidden="1" customHeight="1" thickBot="1" x14ac:dyDescent="0.3">
      <c r="A70" s="421"/>
      <c r="B70" s="8">
        <f>IF('Items sous domaines Sciences '!G72=3,'Items sous domaines Sciences '!B72,0)</f>
        <v>0</v>
      </c>
      <c r="C70" s="8">
        <f>IF('Items sous domaines Sciences '!G72=3,'Items sous domaines Sciences '!C72,0)</f>
        <v>0</v>
      </c>
      <c r="D70" s="8">
        <f>IF('Items sous domaines Sciences '!G72=3,'Items sous domaines Sciences '!D72,0)</f>
        <v>0</v>
      </c>
      <c r="E70" s="8">
        <f>IF('Items sous domaines Sciences '!G72=3,'Items sous domaines Sciences '!E72,0)</f>
        <v>0</v>
      </c>
      <c r="F70" s="380"/>
      <c r="G70" s="374"/>
    </row>
    <row r="71" spans="1:7" customFormat="1" ht="27.6" hidden="1" customHeight="1" thickBot="1" x14ac:dyDescent="0.3">
      <c r="A71" s="421"/>
      <c r="B71" s="8">
        <f>IF('Items sous domaines Sciences '!G73=3,'Items sous domaines Sciences '!B73,0)</f>
        <v>0</v>
      </c>
      <c r="C71" s="8">
        <f>IF('Items sous domaines Sciences '!G73=3,'Items sous domaines Sciences '!C73,0)</f>
        <v>0</v>
      </c>
      <c r="D71" s="8">
        <f>IF('Items sous domaines Sciences '!G73=3,'Items sous domaines Sciences '!D73,0)</f>
        <v>0</v>
      </c>
      <c r="E71" s="8">
        <f>IF('Items sous domaines Sciences '!G73=3,'Items sous domaines Sciences '!E73,0)</f>
        <v>0</v>
      </c>
      <c r="F71" s="380"/>
      <c r="G71" s="374"/>
    </row>
    <row r="72" spans="1:7" customFormat="1" ht="17.399999999999999" hidden="1" customHeight="1" thickBot="1" x14ac:dyDescent="0.3">
      <c r="A72" s="421"/>
      <c r="B72" s="8">
        <f>IF('Items sous domaines Sciences '!G74=3,'Items sous domaines Sciences '!B74,0)</f>
        <v>0</v>
      </c>
      <c r="C72" s="8">
        <f>IF('Items sous domaines Sciences '!G74=3,'Items sous domaines Sciences '!C74,0)</f>
        <v>0</v>
      </c>
      <c r="D72" s="8">
        <f>IF('Items sous domaines Sciences '!G74=3,'Items sous domaines Sciences '!D74,0)</f>
        <v>0</v>
      </c>
      <c r="E72" s="8">
        <f>IF('Items sous domaines Sciences '!G74=3,'Items sous domaines Sciences '!E74,0)</f>
        <v>0</v>
      </c>
      <c r="F72" s="380"/>
      <c r="G72" s="374"/>
    </row>
    <row r="73" spans="1:7" customFormat="1" ht="17.399999999999999" hidden="1" customHeight="1" thickBot="1" x14ac:dyDescent="0.3">
      <c r="A73" s="421"/>
      <c r="B73" s="8">
        <f>IF('Items sous domaines Sciences '!G75=3,'Items sous domaines Sciences '!B75,0)</f>
        <v>0</v>
      </c>
      <c r="C73" s="8">
        <f>IF('Items sous domaines Sciences '!G75=3,'Items sous domaines Sciences '!C75,0)</f>
        <v>0</v>
      </c>
      <c r="D73" s="8">
        <f>IF('Items sous domaines Sciences '!G75=3,'Items sous domaines Sciences '!D75,0)</f>
        <v>0</v>
      </c>
      <c r="E73" s="8">
        <f>IF('Items sous domaines Sciences '!G75=3,'Items sous domaines Sciences '!E75,0)</f>
        <v>0</v>
      </c>
      <c r="F73" s="380"/>
      <c r="G73" s="374"/>
    </row>
    <row r="74" spans="1:7" customFormat="1" ht="17.399999999999999" hidden="1" customHeight="1" thickBot="1" x14ac:dyDescent="0.3">
      <c r="A74" s="421"/>
      <c r="B74" s="8">
        <f>IF('Items sous domaines Sciences '!G76=3,'Items sous domaines Sciences '!B76,0)</f>
        <v>0</v>
      </c>
      <c r="C74" s="8">
        <f>IF('Items sous domaines Sciences '!G76=3,'Items sous domaines Sciences '!C76,0)</f>
        <v>0</v>
      </c>
      <c r="D74" s="8">
        <f>IF('Items sous domaines Sciences '!G76=3,'Items sous domaines Sciences '!D76,0)</f>
        <v>0</v>
      </c>
      <c r="E74" s="8">
        <f>IF('Items sous domaines Sciences '!G76=3,'Items sous domaines Sciences '!E76,0)</f>
        <v>0</v>
      </c>
      <c r="F74" s="380"/>
      <c r="G74" s="374"/>
    </row>
    <row r="75" spans="1:7" customFormat="1" ht="17.399999999999999" hidden="1" customHeight="1" thickBot="1" x14ac:dyDescent="0.3">
      <c r="A75" s="421"/>
      <c r="B75" s="8">
        <f>IF('Items sous domaines Sciences '!G77=3,'Items sous domaines Sciences '!B77,0)</f>
        <v>0</v>
      </c>
      <c r="C75" s="8">
        <f>IF('Items sous domaines Sciences '!G77=3,'Items sous domaines Sciences '!C77,0)</f>
        <v>0</v>
      </c>
      <c r="D75" s="8">
        <f>IF('Items sous domaines Sciences '!G77=3,'Items sous domaines Sciences '!D77,0)</f>
        <v>0</v>
      </c>
      <c r="E75" s="8">
        <f>IF('Items sous domaines Sciences '!G77=3,'Items sous domaines Sciences '!E77,0)</f>
        <v>0</v>
      </c>
      <c r="F75" s="380"/>
      <c r="G75" s="367"/>
    </row>
    <row r="76" spans="1:7" customFormat="1" ht="17.399999999999999" hidden="1" customHeight="1" thickBot="1" x14ac:dyDescent="0.3">
      <c r="A76" s="421"/>
      <c r="B76" s="8">
        <f>IF('Items sous domaines Sciences '!G78=3,'Items sous domaines Sciences '!B78,0)</f>
        <v>0</v>
      </c>
      <c r="C76" s="8">
        <f>IF('Items sous domaines Sciences '!G78=3,'Items sous domaines Sciences '!C78,0)</f>
        <v>0</v>
      </c>
      <c r="D76" s="8">
        <f>IF('Items sous domaines Sciences '!G78=3,'Items sous domaines Sciences '!D78,0)</f>
        <v>0</v>
      </c>
      <c r="E76" s="8">
        <f>IF('Items sous domaines Sciences '!G78=3,'Items sous domaines Sciences '!E78,0)</f>
        <v>0</v>
      </c>
      <c r="F76" s="380"/>
      <c r="G76" s="367"/>
    </row>
    <row r="77" spans="1:7" customFormat="1" ht="17.399999999999999" hidden="1" customHeight="1" thickBot="1" x14ac:dyDescent="0.3">
      <c r="A77" s="421"/>
      <c r="B77" s="8">
        <f>IF('Items sous domaines Sciences '!G79=3,'Items sous domaines Sciences '!B79,0)</f>
        <v>0</v>
      </c>
      <c r="C77" s="8">
        <f>IF('Items sous domaines Sciences '!G79=3,'Items sous domaines Sciences '!C79,0)</f>
        <v>0</v>
      </c>
      <c r="D77" s="8">
        <f>IF('Items sous domaines Sciences '!G79=3,'Items sous domaines Sciences '!D79,0)</f>
        <v>0</v>
      </c>
      <c r="E77" s="8">
        <f>IF('Items sous domaines Sciences '!G79=3,'Items sous domaines Sciences '!E79,0)</f>
        <v>0</v>
      </c>
      <c r="F77" s="380"/>
      <c r="G77" s="367"/>
    </row>
    <row r="78" spans="1:7" customFormat="1" ht="17.399999999999999" hidden="1" customHeight="1" thickBot="1" x14ac:dyDescent="0.3">
      <c r="A78" s="421"/>
      <c r="B78" s="8">
        <f>IF('Items sous domaines Sciences '!G80=3,'Items sous domaines Sciences '!B80,0)</f>
        <v>0</v>
      </c>
      <c r="C78" s="8">
        <f>IF('Items sous domaines Sciences '!G80=3,'Items sous domaines Sciences '!C80,0)</f>
        <v>0</v>
      </c>
      <c r="D78" s="8">
        <f>IF('Items sous domaines Sciences '!G80=3,'Items sous domaines Sciences '!D80,0)</f>
        <v>0</v>
      </c>
      <c r="E78" s="8">
        <f>IF('Items sous domaines Sciences '!G80=3,'Items sous domaines Sciences '!E80,0)</f>
        <v>0</v>
      </c>
      <c r="F78" s="380"/>
      <c r="G78" s="367"/>
    </row>
    <row r="79" spans="1:7" customFormat="1" ht="17.399999999999999" hidden="1" customHeight="1" thickBot="1" x14ac:dyDescent="0.3">
      <c r="A79" s="421"/>
      <c r="B79" s="8">
        <f>IF('Items sous domaines Sciences '!G81=3,'Items sous domaines Sciences '!B81,0)</f>
        <v>0</v>
      </c>
      <c r="C79" s="8">
        <f>IF('Items sous domaines Sciences '!G81=3,'Items sous domaines Sciences '!C81,0)</f>
        <v>0</v>
      </c>
      <c r="D79" s="8">
        <f>IF('Items sous domaines Sciences '!G81=3,'Items sous domaines Sciences '!D81,0)</f>
        <v>0</v>
      </c>
      <c r="E79" s="8">
        <f>IF('Items sous domaines Sciences '!G81=3,'Items sous domaines Sciences '!E81,0)</f>
        <v>0</v>
      </c>
      <c r="F79" s="380"/>
      <c r="G79" s="367"/>
    </row>
    <row r="80" spans="1:7" customFormat="1" ht="17.399999999999999" hidden="1" customHeight="1" thickBot="1" x14ac:dyDescent="0.3">
      <c r="A80" s="421"/>
      <c r="B80" s="8">
        <f>IF('Items sous domaines Sciences '!G82=3,'Items sous domaines Sciences '!B82,0)</f>
        <v>0</v>
      </c>
      <c r="C80" s="8">
        <f>IF('Items sous domaines Sciences '!G82=3,'Items sous domaines Sciences '!C82,0)</f>
        <v>0</v>
      </c>
      <c r="D80" s="8">
        <f>IF('Items sous domaines Sciences '!G82=3,'Items sous domaines Sciences '!D82,0)</f>
        <v>0</v>
      </c>
      <c r="E80" s="8">
        <f>IF('Items sous domaines Sciences '!G82=3,'Items sous domaines Sciences '!E82,0)</f>
        <v>0</v>
      </c>
      <c r="F80" s="380"/>
      <c r="G80" s="367"/>
    </row>
    <row r="81" spans="1:7" customFormat="1" ht="17.399999999999999" hidden="1" customHeight="1" thickBot="1" x14ac:dyDescent="0.3">
      <c r="A81" s="421"/>
      <c r="B81" s="8">
        <f>IF('Items sous domaines Sciences '!G83=3,'Items sous domaines Sciences '!B83,0)</f>
        <v>0</v>
      </c>
      <c r="C81" s="8">
        <f>IF('Items sous domaines Sciences '!G83=3,'Items sous domaines Sciences '!C83,0)</f>
        <v>0</v>
      </c>
      <c r="D81" s="8">
        <f>IF('Items sous domaines Sciences '!G83=3,'Items sous domaines Sciences '!D83,0)</f>
        <v>0</v>
      </c>
      <c r="E81" s="8">
        <f>IF('Items sous domaines Sciences '!G83=3,'Items sous domaines Sciences '!E83,0)</f>
        <v>0</v>
      </c>
      <c r="F81" s="380"/>
      <c r="G81" s="367"/>
    </row>
    <row r="82" spans="1:7" customFormat="1" ht="17.399999999999999" hidden="1" customHeight="1" thickBot="1" x14ac:dyDescent="0.3">
      <c r="A82" s="421"/>
      <c r="B82" s="8">
        <f>IF('Items sous domaines Sciences '!G84=3,'Items sous domaines Sciences '!B84,0)</f>
        <v>0</v>
      </c>
      <c r="C82" s="8">
        <f>IF('Items sous domaines Sciences '!G84=3,'Items sous domaines Sciences '!C84,0)</f>
        <v>0</v>
      </c>
      <c r="D82" s="8">
        <f>IF('Items sous domaines Sciences '!G84=3,'Items sous domaines Sciences '!D84,0)</f>
        <v>0</v>
      </c>
      <c r="E82" s="8">
        <f>IF('Items sous domaines Sciences '!G84=3,'Items sous domaines Sciences '!E84,0)</f>
        <v>0</v>
      </c>
      <c r="F82" s="380"/>
      <c r="G82" s="367"/>
    </row>
    <row r="83" spans="1:7" customFormat="1" ht="17.399999999999999" hidden="1" customHeight="1" thickBot="1" x14ac:dyDescent="0.3">
      <c r="A83" s="421"/>
      <c r="B83" s="8">
        <f>IF('Items sous domaines Sciences '!G85=3,'Items sous domaines Sciences '!B85,0)</f>
        <v>0</v>
      </c>
      <c r="C83" s="8">
        <f>IF('Items sous domaines Sciences '!G85=3,'Items sous domaines Sciences '!C85,0)</f>
        <v>0</v>
      </c>
      <c r="D83" s="8">
        <f>IF('Items sous domaines Sciences '!G85=3,'Items sous domaines Sciences '!D85,0)</f>
        <v>0</v>
      </c>
      <c r="E83" s="8">
        <f>IF('Items sous domaines Sciences '!G85=3,'Items sous domaines Sciences '!E85,0)</f>
        <v>0</v>
      </c>
      <c r="F83" s="380"/>
      <c r="G83" s="367"/>
    </row>
    <row r="84" spans="1:7" customFormat="1" ht="17.399999999999999" hidden="1" customHeight="1" thickBot="1" x14ac:dyDescent="0.3">
      <c r="A84" s="421"/>
      <c r="B84" s="8">
        <f>IF('Items sous domaines Sciences '!G86=3,'Items sous domaines Sciences '!B86,0)</f>
        <v>0</v>
      </c>
      <c r="C84" s="8">
        <f>IF('Items sous domaines Sciences '!G86=3,'Items sous domaines Sciences '!C86,0)</f>
        <v>0</v>
      </c>
      <c r="D84" s="8">
        <f>IF('Items sous domaines Sciences '!G86=3,'Items sous domaines Sciences '!D86,0)</f>
        <v>0</v>
      </c>
      <c r="E84" s="8">
        <f>IF('Items sous domaines Sciences '!G86=3,'Items sous domaines Sciences '!E86,0)</f>
        <v>0</v>
      </c>
      <c r="F84" s="380"/>
      <c r="G84" s="367"/>
    </row>
    <row r="85" spans="1:7" customFormat="1" ht="17.399999999999999" hidden="1" customHeight="1" thickBot="1" x14ac:dyDescent="0.3">
      <c r="A85" s="421"/>
      <c r="B85" s="8">
        <f>IF('Items sous domaines Sciences '!G87=3,'Items sous domaines Sciences '!B87,0)</f>
        <v>0</v>
      </c>
      <c r="C85" s="8">
        <f>IF('Items sous domaines Sciences '!G87=3,'Items sous domaines Sciences '!C87,0)</f>
        <v>0</v>
      </c>
      <c r="D85" s="8">
        <f>IF('Items sous domaines Sciences '!G87=3,'Items sous domaines Sciences '!D87,0)</f>
        <v>0</v>
      </c>
      <c r="E85" s="8">
        <f>IF('Items sous domaines Sciences '!G87=3,'Items sous domaines Sciences '!E87,0)</f>
        <v>0</v>
      </c>
      <c r="F85" s="380"/>
      <c r="G85" s="367"/>
    </row>
    <row r="86" spans="1:7" customFormat="1" ht="17.399999999999999" hidden="1" customHeight="1" thickBot="1" x14ac:dyDescent="0.3">
      <c r="A86" s="421"/>
      <c r="B86" s="8">
        <f>IF('Items sous domaines Sciences '!G88=3,'Items sous domaines Sciences '!B88,0)</f>
        <v>0</v>
      </c>
      <c r="C86" s="8">
        <f>IF('Items sous domaines Sciences '!G88=3,'Items sous domaines Sciences '!C88,0)</f>
        <v>0</v>
      </c>
      <c r="D86" s="8">
        <f>IF('Items sous domaines Sciences '!G88=3,'Items sous domaines Sciences '!D88,0)</f>
        <v>0</v>
      </c>
      <c r="E86" s="8">
        <f>IF('Items sous domaines Sciences '!G88=3,'Items sous domaines Sciences '!E88,0)</f>
        <v>0</v>
      </c>
      <c r="F86" s="380"/>
      <c r="G86" s="367"/>
    </row>
    <row r="87" spans="1:7" customFormat="1" ht="17.399999999999999" hidden="1" customHeight="1" thickBot="1" x14ac:dyDescent="0.3">
      <c r="A87" s="421"/>
      <c r="B87" s="8">
        <f>IF('Items sous domaines Sciences '!G89=3,'Items sous domaines Sciences '!B89,0)</f>
        <v>0</v>
      </c>
      <c r="C87" s="8">
        <f>IF('Items sous domaines Sciences '!G89=3,'Items sous domaines Sciences '!C89,0)</f>
        <v>0</v>
      </c>
      <c r="D87" s="8">
        <f>IF('Items sous domaines Sciences '!G89=3,'Items sous domaines Sciences '!D89,0)</f>
        <v>0</v>
      </c>
      <c r="E87" s="8">
        <f>IF('Items sous domaines Sciences '!G89=3,'Items sous domaines Sciences '!E89,0)</f>
        <v>0</v>
      </c>
      <c r="F87" s="380"/>
      <c r="G87" s="367"/>
    </row>
    <row r="88" spans="1:7" customFormat="1" ht="17.399999999999999" hidden="1" customHeight="1" thickBot="1" x14ac:dyDescent="0.3">
      <c r="A88" s="421"/>
      <c r="B88" s="8">
        <f>IF('Items sous domaines Sciences '!G90=3,'Items sous domaines Sciences '!B90,0)</f>
        <v>0</v>
      </c>
      <c r="C88" s="8">
        <f>IF('Items sous domaines Sciences '!G90=3,'Items sous domaines Sciences '!C90,0)</f>
        <v>0</v>
      </c>
      <c r="D88" s="8">
        <f>IF('Items sous domaines Sciences '!G90=3,'Items sous domaines Sciences '!D90,0)</f>
        <v>0</v>
      </c>
      <c r="E88" s="8">
        <f>IF('Items sous domaines Sciences '!G90=3,'Items sous domaines Sciences '!E90,0)</f>
        <v>0</v>
      </c>
      <c r="F88" s="380"/>
      <c r="G88" s="374"/>
    </row>
    <row r="89" spans="1:7" customFormat="1" ht="17.399999999999999" hidden="1" customHeight="1" thickBot="1" x14ac:dyDescent="0.3">
      <c r="A89" s="421"/>
      <c r="B89" s="8">
        <f>IF('Items sous domaines Sciences '!G91=3,'Items sous domaines Sciences '!B91,0)</f>
        <v>0</v>
      </c>
      <c r="C89" s="8">
        <f>IF('Items sous domaines Sciences '!G91=3,'Items sous domaines Sciences '!C91,0)</f>
        <v>0</v>
      </c>
      <c r="D89" s="8">
        <f>IF('Items sous domaines Sciences '!G91=3,'Items sous domaines Sciences '!D91,0)</f>
        <v>0</v>
      </c>
      <c r="E89" s="8">
        <f>IF('Items sous domaines Sciences '!G91=3,'Items sous domaines Sciences '!E91,0)</f>
        <v>0</v>
      </c>
      <c r="F89" s="380"/>
      <c r="G89" s="374"/>
    </row>
    <row r="90" spans="1:7" customFormat="1" ht="17.399999999999999" hidden="1" customHeight="1" thickBot="1" x14ac:dyDescent="0.3">
      <c r="A90" s="421"/>
      <c r="B90" s="8">
        <f>IF('Items sous domaines Sciences '!G92=3,'Items sous domaines Sciences '!B92,0)</f>
        <v>0</v>
      </c>
      <c r="C90" s="8">
        <f>IF('Items sous domaines Sciences '!G92=3,'Items sous domaines Sciences '!C92,0)</f>
        <v>0</v>
      </c>
      <c r="D90" s="8">
        <f>IF('Items sous domaines Sciences '!G92=3,'Items sous domaines Sciences '!D92,0)</f>
        <v>0</v>
      </c>
      <c r="E90" s="8">
        <f>IF('Items sous domaines Sciences '!G92=3,'Items sous domaines Sciences '!E92,0)</f>
        <v>0</v>
      </c>
      <c r="F90" s="380"/>
      <c r="G90" s="374"/>
    </row>
    <row r="91" spans="1:7" customFormat="1" ht="17.399999999999999" hidden="1" customHeight="1" thickBot="1" x14ac:dyDescent="0.3">
      <c r="A91" s="421"/>
      <c r="B91" s="8">
        <f>IF('Items sous domaines Sciences '!G93=3,'Items sous domaines Sciences '!B93,0)</f>
        <v>0</v>
      </c>
      <c r="C91" s="8">
        <f>IF('Items sous domaines Sciences '!G93=3,'Items sous domaines Sciences '!C93,0)</f>
        <v>0</v>
      </c>
      <c r="D91" s="8">
        <f>IF('Items sous domaines Sciences '!G93=3,'Items sous domaines Sciences '!D93,0)</f>
        <v>0</v>
      </c>
      <c r="E91" s="8">
        <f>IF('Items sous domaines Sciences '!G93=3,'Items sous domaines Sciences '!E93,0)</f>
        <v>0</v>
      </c>
      <c r="F91" s="380"/>
      <c r="G91" s="374"/>
    </row>
    <row r="92" spans="1:7" customFormat="1" ht="17.399999999999999" hidden="1" customHeight="1" thickBot="1" x14ac:dyDescent="0.3">
      <c r="A92" s="421"/>
      <c r="B92" s="8">
        <f>IF('Items sous domaines Sciences '!G94=3,'Items sous domaines Sciences '!B94,0)</f>
        <v>0</v>
      </c>
      <c r="C92" s="8">
        <f>IF('Items sous domaines Sciences '!G94=3,'Items sous domaines Sciences '!C94,0)</f>
        <v>0</v>
      </c>
      <c r="D92" s="8">
        <f>IF('Items sous domaines Sciences '!G94=3,'Items sous domaines Sciences '!D94,0)</f>
        <v>0</v>
      </c>
      <c r="E92" s="8">
        <f>IF('Items sous domaines Sciences '!G94=3,'Items sous domaines Sciences '!E94,0)</f>
        <v>0</v>
      </c>
      <c r="F92" s="380"/>
      <c r="G92" s="374"/>
    </row>
    <row r="93" spans="1:7" customFormat="1" ht="17.7" hidden="1" customHeight="1" thickBot="1" x14ac:dyDescent="0.3">
      <c r="A93" s="421"/>
      <c r="B93" s="8">
        <f>IF('Items sous domaines Sciences '!G95=3,'Items sous domaines Sciences '!B95,0)</f>
        <v>0</v>
      </c>
      <c r="C93" s="8">
        <f>IF('Items sous domaines Sciences '!G95=3,'Items sous domaines Sciences '!C95,0)</f>
        <v>0</v>
      </c>
      <c r="D93" s="8">
        <f>IF('Items sous domaines Sciences '!G95=3,'Items sous domaines Sciences '!D95,0)</f>
        <v>0</v>
      </c>
      <c r="E93" s="8">
        <f>IF('Items sous domaines Sciences '!G95=3,'Items sous domaines Sciences '!E95,0)</f>
        <v>0</v>
      </c>
      <c r="F93" s="380"/>
      <c r="G93" s="374"/>
    </row>
    <row r="94" spans="1:7" customFormat="1" ht="17.7" hidden="1" customHeight="1" thickBot="1" x14ac:dyDescent="0.3">
      <c r="A94" s="421"/>
      <c r="B94" s="8">
        <f>IF('Items sous domaines Sciences '!G96=3,'Items sous domaines Sciences '!B96,0)</f>
        <v>0</v>
      </c>
      <c r="C94" s="8">
        <f>IF('Items sous domaines Sciences '!G96=3,'Items sous domaines Sciences '!C96,0)</f>
        <v>0</v>
      </c>
      <c r="D94" s="8">
        <f>IF('Items sous domaines Sciences '!G96=3,'Items sous domaines Sciences '!D96,0)</f>
        <v>0</v>
      </c>
      <c r="E94" s="8">
        <f>IF('Items sous domaines Sciences '!G96=3,'Items sous domaines Sciences '!E96,0)</f>
        <v>0</v>
      </c>
      <c r="F94" s="380"/>
      <c r="G94" s="374"/>
    </row>
    <row r="95" spans="1:7" customFormat="1" ht="17.7" hidden="1" customHeight="1" thickBot="1" x14ac:dyDescent="0.3">
      <c r="A95" s="421"/>
      <c r="B95" s="8">
        <f>IF('Items sous domaines Sciences '!G97=3,'Items sous domaines Sciences '!B97,0)</f>
        <v>0</v>
      </c>
      <c r="C95" s="8">
        <f>IF('Items sous domaines Sciences '!G97=3,'Items sous domaines Sciences '!C97,0)</f>
        <v>0</v>
      </c>
      <c r="D95" s="8">
        <f>IF('Items sous domaines Sciences '!G97=3,'Items sous domaines Sciences '!D97,0)</f>
        <v>0</v>
      </c>
      <c r="E95" s="8">
        <f>IF('Items sous domaines Sciences '!G97=3,'Items sous domaines Sciences '!E97,0)</f>
        <v>0</v>
      </c>
      <c r="F95" s="380"/>
      <c r="G95" s="374"/>
    </row>
    <row r="96" spans="1:7" customFormat="1" ht="17.7" hidden="1" customHeight="1" thickBot="1" x14ac:dyDescent="0.3">
      <c r="A96" s="421"/>
      <c r="B96" s="8">
        <f>IF('Items sous domaines Sciences '!G98=3,'Items sous domaines Sciences '!B98,0)</f>
        <v>0</v>
      </c>
      <c r="C96" s="8">
        <f>IF('Items sous domaines Sciences '!G98=3,'Items sous domaines Sciences '!C98,0)</f>
        <v>0</v>
      </c>
      <c r="D96" s="8">
        <f>IF('Items sous domaines Sciences '!G98=3,'Items sous domaines Sciences '!D98,0)</f>
        <v>0</v>
      </c>
      <c r="E96" s="8">
        <f>IF('Items sous domaines Sciences '!G98=3,'Items sous domaines Sciences '!E98,0)</f>
        <v>0</v>
      </c>
      <c r="F96" s="380"/>
      <c r="G96" s="374"/>
    </row>
    <row r="97" spans="1:7" customFormat="1" ht="17.7" hidden="1" customHeight="1" thickBot="1" x14ac:dyDescent="0.3">
      <c r="A97" s="421"/>
      <c r="B97" s="8">
        <f>IF('Items sous domaines Sciences '!G99=3,'Items sous domaines Sciences '!B99,0)</f>
        <v>0</v>
      </c>
      <c r="C97" s="8">
        <f>IF('Items sous domaines Sciences '!G99=3,'Items sous domaines Sciences '!C99,0)</f>
        <v>0</v>
      </c>
      <c r="D97" s="8">
        <f>IF('Items sous domaines Sciences '!G99=3,'Items sous domaines Sciences '!D99,0)</f>
        <v>0</v>
      </c>
      <c r="E97" s="8">
        <f>IF('Items sous domaines Sciences '!G99=3,'Items sous domaines Sciences '!E99,0)</f>
        <v>0</v>
      </c>
      <c r="F97" s="380"/>
      <c r="G97" s="374"/>
    </row>
    <row r="98" spans="1:7" customFormat="1" ht="17.7" hidden="1" customHeight="1" thickBot="1" x14ac:dyDescent="0.3">
      <c r="A98" s="421"/>
      <c r="B98" s="8">
        <f>IF('Items sous domaines Sciences '!G100=3,'Items sous domaines Sciences '!B100,0)</f>
        <v>0</v>
      </c>
      <c r="C98" s="8">
        <f>IF('Items sous domaines Sciences '!G100=3,'Items sous domaines Sciences '!C100,0)</f>
        <v>0</v>
      </c>
      <c r="D98" s="8">
        <f>IF('Items sous domaines Sciences '!G100=3,'Items sous domaines Sciences '!D100,0)</f>
        <v>0</v>
      </c>
      <c r="E98" s="8">
        <f>IF('Items sous domaines Sciences '!G100=3,'Items sous domaines Sciences '!E100,0)</f>
        <v>0</v>
      </c>
      <c r="F98" s="380"/>
      <c r="G98" s="374"/>
    </row>
    <row r="99" spans="1:7" customFormat="1" ht="17.7" hidden="1" customHeight="1" thickBot="1" x14ac:dyDescent="0.3">
      <c r="A99" s="421"/>
      <c r="B99" s="8">
        <f>IF('Items sous domaines Sciences '!G101=3,'Items sous domaines Sciences '!B101,0)</f>
        <v>0</v>
      </c>
      <c r="C99" s="8">
        <f>IF('Items sous domaines Sciences '!G101=3,'Items sous domaines Sciences '!C101,0)</f>
        <v>0</v>
      </c>
      <c r="D99" s="8">
        <f>IF('Items sous domaines Sciences '!G101=3,'Items sous domaines Sciences '!D101,0)</f>
        <v>0</v>
      </c>
      <c r="E99" s="8">
        <f>IF('Items sous domaines Sciences '!G101=3,'Items sous domaines Sciences '!E101,0)</f>
        <v>0</v>
      </c>
      <c r="F99" s="380"/>
      <c r="G99" s="374"/>
    </row>
    <row r="100" spans="1:7" customFormat="1" ht="17.7" hidden="1" customHeight="1" thickBot="1" x14ac:dyDescent="0.3">
      <c r="A100" s="421"/>
      <c r="B100" s="8">
        <f>IF('Items sous domaines Sciences '!G102=3,'Items sous domaines Sciences '!B102,0)</f>
        <v>0</v>
      </c>
      <c r="C100" s="8">
        <f>IF('Items sous domaines Sciences '!G102=3,'Items sous domaines Sciences '!C102,0)</f>
        <v>0</v>
      </c>
      <c r="D100" s="8">
        <f>IF('Items sous domaines Sciences '!G102=3,'Items sous domaines Sciences '!D102,0)</f>
        <v>0</v>
      </c>
      <c r="E100" s="8">
        <f>IF('Items sous domaines Sciences '!G102=3,'Items sous domaines Sciences '!E102,0)</f>
        <v>0</v>
      </c>
      <c r="F100" s="380"/>
      <c r="G100" s="374"/>
    </row>
    <row r="101" spans="1:7" customFormat="1" ht="17.7" hidden="1" customHeight="1" thickBot="1" x14ac:dyDescent="0.3">
      <c r="A101" s="421"/>
      <c r="B101" s="8">
        <f>IF('Items sous domaines Sciences '!G103=3,'Items sous domaines Sciences '!B103,0)</f>
        <v>0</v>
      </c>
      <c r="C101" s="8">
        <f>IF('Items sous domaines Sciences '!G103=3,'Items sous domaines Sciences '!C103,0)</f>
        <v>0</v>
      </c>
      <c r="D101" s="8">
        <f>IF('Items sous domaines Sciences '!G103=3,'Items sous domaines Sciences '!D103,0)</f>
        <v>0</v>
      </c>
      <c r="E101" s="8">
        <f>IF('Items sous domaines Sciences '!G103=3,'Items sous domaines Sciences '!E103,0)</f>
        <v>0</v>
      </c>
      <c r="F101" s="380"/>
      <c r="G101" s="374"/>
    </row>
    <row r="102" spans="1:7" customFormat="1" ht="17.7" hidden="1" customHeight="1" thickBot="1" x14ac:dyDescent="0.3">
      <c r="A102" s="12"/>
      <c r="B102" s="8">
        <f>IF('Items sous domaines Sciences '!G104=3,'Items sous domaines Sciences '!B104,0)</f>
        <v>0</v>
      </c>
      <c r="C102" s="8">
        <f>IF('Items sous domaines Sciences '!G104=3,'Items sous domaines Sciences '!C104,0)</f>
        <v>0</v>
      </c>
      <c r="D102" s="8">
        <f>IF('Items sous domaines Sciences '!G104=3,'Items sous domaines Sciences '!D104,0)</f>
        <v>0</v>
      </c>
      <c r="E102" s="8">
        <f>IF('Items sous domaines Sciences '!G104=3,'Items sous domaines Sciences '!E104,0)</f>
        <v>0</v>
      </c>
      <c r="F102" t="e">
        <f>IF('Items sous domaines Sciences '!#REF!=1,'Items sous domaines Sciences '!#REF!,0)</f>
        <v>#REF!</v>
      </c>
    </row>
    <row r="103" spans="1:7" customFormat="1" ht="17.7" hidden="1" customHeight="1" thickBot="1" x14ac:dyDescent="0.3">
      <c r="A103" s="12"/>
      <c r="B103" s="8">
        <f>IF('Items sous domaines Sciences '!G105=3,'Items sous domaines Sciences '!B105,0)</f>
        <v>0</v>
      </c>
      <c r="C103" s="8">
        <f>IF('Items sous domaines Sciences '!G105=3,'Items sous domaines Sciences '!C105,0)</f>
        <v>0</v>
      </c>
      <c r="D103" s="8">
        <f>IF('Items sous domaines Sciences '!G105=3,'Items sous domaines Sciences '!D105,0)</f>
        <v>0</v>
      </c>
      <c r="E103" s="8">
        <f>IF('Items sous domaines Sciences '!G105=3,'Items sous domaines Sciences '!E105,0)</f>
        <v>0</v>
      </c>
      <c r="F103" t="e">
        <f>IF('Items sous domaines Sciences '!#REF!=1,'Items sous domaines Sciences '!#REF!,0)</f>
        <v>#REF!</v>
      </c>
    </row>
    <row r="104" spans="1:7" customFormat="1" ht="17.7" hidden="1" customHeight="1" thickBot="1" x14ac:dyDescent="0.3">
      <c r="A104" s="12"/>
      <c r="B104" s="8">
        <f>IF('Items sous domaines Sciences '!G106=3,'Items sous domaines Sciences '!B106,0)</f>
        <v>0</v>
      </c>
      <c r="C104" s="8">
        <f>IF('Items sous domaines Sciences '!G106=3,'Items sous domaines Sciences '!C106,0)</f>
        <v>0</v>
      </c>
      <c r="D104" s="8">
        <f>IF('Items sous domaines Sciences '!G106=3,'Items sous domaines Sciences '!D106,0)</f>
        <v>0</v>
      </c>
      <c r="E104" s="8">
        <f>IF('Items sous domaines Sciences '!G106=3,'Items sous domaines Sciences '!E106,0)</f>
        <v>0</v>
      </c>
      <c r="F104" t="e">
        <f>IF('Items sous domaines Sciences '!#REF!=1,'Items sous domaines Sciences '!#REF!,0)</f>
        <v>#REF!</v>
      </c>
    </row>
    <row r="105" spans="1:7" customFormat="1" ht="17.7" hidden="1" customHeight="1" thickBot="1" x14ac:dyDescent="0.3">
      <c r="A105" s="12"/>
      <c r="B105" s="8">
        <f>IF('Items sous domaines Sciences '!G107=3,'Items sous domaines Sciences '!B107,0)</f>
        <v>0</v>
      </c>
      <c r="C105" s="8">
        <f>IF('Items sous domaines Sciences '!G107=3,'Items sous domaines Sciences '!C107,0)</f>
        <v>0</v>
      </c>
      <c r="D105" s="8">
        <f>IF('Items sous domaines Sciences '!G107=3,'Items sous domaines Sciences '!D107,0)</f>
        <v>0</v>
      </c>
      <c r="E105" s="8">
        <f>IF('Items sous domaines Sciences '!G107=3,'Items sous domaines Sciences '!E107,0)</f>
        <v>0</v>
      </c>
      <c r="F105" t="e">
        <f>IF('Items sous domaines Sciences '!#REF!=1,'Items sous domaines Sciences '!#REF!,0)</f>
        <v>#REF!</v>
      </c>
    </row>
    <row r="106" spans="1:7" customFormat="1" ht="17.7" hidden="1" customHeight="1" thickBot="1" x14ac:dyDescent="0.3">
      <c r="A106" s="12"/>
      <c r="B106" s="8">
        <f>IF('Items sous domaines Sciences '!G108=3,'Items sous domaines Sciences '!B108,0)</f>
        <v>0</v>
      </c>
      <c r="C106" s="8">
        <f>IF('Items sous domaines Sciences '!G108=3,'Items sous domaines Sciences '!C108,0)</f>
        <v>0</v>
      </c>
      <c r="D106" s="8">
        <f>IF('Items sous domaines Sciences '!G108=3,'Items sous domaines Sciences '!D108,0)</f>
        <v>0</v>
      </c>
      <c r="E106" s="8">
        <f>IF('Items sous domaines Sciences '!G108=3,'Items sous domaines Sciences '!E108,0)</f>
        <v>0</v>
      </c>
      <c r="F106" t="e">
        <f>IF('Items sous domaines Sciences '!#REF!=1,'Items sous domaines Sciences '!#REF!,0)</f>
        <v>#REF!</v>
      </c>
    </row>
    <row r="107" spans="1:7" customFormat="1" ht="17.7" hidden="1" customHeight="1" thickBot="1" x14ac:dyDescent="0.3">
      <c r="A107" s="12"/>
      <c r="B107" s="8">
        <f>IF('Items sous domaines Sciences '!G109=3,'Items sous domaines Sciences '!B109,0)</f>
        <v>0</v>
      </c>
      <c r="C107" s="8">
        <f>IF('Items sous domaines Sciences '!G109=3,'Items sous domaines Sciences '!C109,0)</f>
        <v>0</v>
      </c>
      <c r="D107" s="8">
        <f>IF('Items sous domaines Sciences '!G109=3,'Items sous domaines Sciences '!D109,0)</f>
        <v>0</v>
      </c>
      <c r="E107" s="8">
        <f>IF('Items sous domaines Sciences '!G109=3,'Items sous domaines Sciences '!E109,0)</f>
        <v>0</v>
      </c>
      <c r="F107" t="e">
        <f>IF('Items sous domaines Sciences '!#REF!=1,'Items sous domaines Sciences '!#REF!,0)</f>
        <v>#REF!</v>
      </c>
    </row>
    <row r="108" spans="1:7" customFormat="1" ht="22.2" hidden="1" customHeight="1" thickBot="1" x14ac:dyDescent="0.3">
      <c r="A108" s="12"/>
      <c r="B108" s="8">
        <f>IF('Items sous domaines Sciences '!G110=3,'Items sous domaines Sciences '!B110,0)</f>
        <v>0</v>
      </c>
      <c r="C108" s="8">
        <f>IF('Items sous domaines Sciences '!G110=3,'Items sous domaines Sciences '!C110,0)</f>
        <v>0</v>
      </c>
      <c r="D108" s="8">
        <f>IF('Items sous domaines Sciences '!G110=3,'Items sous domaines Sciences '!D110,0)</f>
        <v>0</v>
      </c>
      <c r="E108" s="8">
        <f>IF('Items sous domaines Sciences '!G110=3,'Items sous domaines Sciences '!E110,0)</f>
        <v>0</v>
      </c>
      <c r="F108" t="e">
        <f>IF('Items sous domaines Sciences '!#REF!=1,'Items sous domaines Sciences '!#REF!,0)</f>
        <v>#REF!</v>
      </c>
    </row>
    <row r="109" spans="1:7" customFormat="1" ht="17.7" hidden="1" customHeight="1" thickBot="1" x14ac:dyDescent="0.3">
      <c r="A109" s="12"/>
      <c r="B109" s="8">
        <f>IF('Items sous domaines Sciences '!G111=3,'Items sous domaines Sciences '!B111,0)</f>
        <v>0</v>
      </c>
      <c r="C109" s="8">
        <f>IF('Items sous domaines Sciences '!G111=3,'Items sous domaines Sciences '!C111,0)</f>
        <v>0</v>
      </c>
      <c r="D109" s="8">
        <f>IF('Items sous domaines Sciences '!G111=3,'Items sous domaines Sciences '!D111,0)</f>
        <v>0</v>
      </c>
      <c r="E109" s="8">
        <f>IF('Items sous domaines Sciences '!G111=3,'Items sous domaines Sciences '!E111,0)</f>
        <v>0</v>
      </c>
      <c r="F109" t="e">
        <f>IF('Items sous domaines Sciences '!#REF!=1,'Items sous domaines Sciences '!#REF!,0)</f>
        <v>#REF!</v>
      </c>
    </row>
    <row r="110" spans="1:7" customFormat="1" ht="17.7" hidden="1" customHeight="1" thickBot="1" x14ac:dyDescent="0.3">
      <c r="A110" s="12"/>
      <c r="B110" s="8">
        <f>IF('Items sous domaines Sciences '!G112=3,'Items sous domaines Sciences '!B112,0)</f>
        <v>0</v>
      </c>
      <c r="C110" s="8">
        <f>IF('Items sous domaines Sciences '!G112=3,'Items sous domaines Sciences '!C112,0)</f>
        <v>0</v>
      </c>
      <c r="D110" s="8">
        <f>IF('Items sous domaines Sciences '!G112=3,'Items sous domaines Sciences '!D112,0)</f>
        <v>0</v>
      </c>
      <c r="E110" s="8">
        <f>IF('Items sous domaines Sciences '!G112=3,'Items sous domaines Sciences '!E112,0)</f>
        <v>0</v>
      </c>
      <c r="F110" t="e">
        <f>IF('Items sous domaines Sciences '!#REF!=1,'Items sous domaines Sciences '!#REF!,0)</f>
        <v>#REF!</v>
      </c>
    </row>
    <row r="111" spans="1:7" customFormat="1" ht="17.7" hidden="1" customHeight="1" thickBot="1" x14ac:dyDescent="0.3">
      <c r="A111" s="12"/>
      <c r="B111" s="8">
        <f>IF('Items sous domaines Sciences '!G113=3,'Items sous domaines Sciences '!B113,0)</f>
        <v>0</v>
      </c>
      <c r="C111" s="8">
        <f>IF('Items sous domaines Sciences '!G113=3,'Items sous domaines Sciences '!C113,0)</f>
        <v>0</v>
      </c>
      <c r="D111" s="8">
        <f>IF('Items sous domaines Sciences '!G113=3,'Items sous domaines Sciences '!D113,0)</f>
        <v>0</v>
      </c>
      <c r="E111" s="8">
        <f>IF('Items sous domaines Sciences '!G113=3,'Items sous domaines Sciences '!E113,0)</f>
        <v>0</v>
      </c>
      <c r="F111" t="e">
        <f>IF('Items sous domaines Sciences '!#REF!=1,'Items sous domaines Sciences '!#REF!,0)</f>
        <v>#REF!</v>
      </c>
    </row>
    <row r="112" spans="1:7" customFormat="1" ht="17.7" hidden="1" customHeight="1" thickBot="1" x14ac:dyDescent="0.3">
      <c r="A112" s="12"/>
      <c r="B112" s="8">
        <f>IF('Items sous domaines Sciences '!G114=3,'Items sous domaines Sciences '!B114,0)</f>
        <v>0</v>
      </c>
      <c r="C112" s="8">
        <f>IF('Items sous domaines Sciences '!G114=3,'Items sous domaines Sciences '!C114,0)</f>
        <v>0</v>
      </c>
      <c r="D112" s="8">
        <f>IF('Items sous domaines Sciences '!G114=3,'Items sous domaines Sciences '!D114,0)</f>
        <v>0</v>
      </c>
      <c r="E112" s="8">
        <f>IF('Items sous domaines Sciences '!G114=3,'Items sous domaines Sciences '!E114,0)</f>
        <v>0</v>
      </c>
      <c r="F112" t="e">
        <f>IF('Items sous domaines Sciences '!#REF!=1,'Items sous domaines Sciences '!#REF!,0)</f>
        <v>#REF!</v>
      </c>
    </row>
    <row r="113" spans="1:6" customFormat="1" ht="17.7" hidden="1" customHeight="1" thickBot="1" x14ac:dyDescent="0.3">
      <c r="A113" s="468" t="s">
        <v>458</v>
      </c>
      <c r="B113" s="8">
        <f>IF('Items sous domaines Sciences '!G115=3,'Items sous domaines Sciences '!B115,0)</f>
        <v>0</v>
      </c>
      <c r="C113" s="8">
        <f>IF('Items sous domaines Sciences '!G115=3,'Items sous domaines Sciences '!C115,0)</f>
        <v>0</v>
      </c>
      <c r="D113" s="8">
        <f>IF('Items sous domaines Sciences '!G115=3,'Items sous domaines Sciences '!D115,0)</f>
        <v>0</v>
      </c>
      <c r="E113" s="8">
        <f>IF('Items sous domaines Sciences '!G115=3,'Items sous domaines Sciences '!E115,0)</f>
        <v>0</v>
      </c>
      <c r="F113" t="e">
        <f>IF('Items sous domaines Sciences '!#REF!=1,'Items sous domaines Sciences '!#REF!,0)</f>
        <v>#REF!</v>
      </c>
    </row>
    <row r="114" spans="1:6" customFormat="1" ht="17.7" hidden="1" customHeight="1" thickBot="1" x14ac:dyDescent="0.3">
      <c r="A114" s="469"/>
      <c r="B114" s="8">
        <f>IF('Items sous domaines Sciences '!G116=3,'Items sous domaines Sciences '!B116,0)</f>
        <v>0</v>
      </c>
      <c r="C114" s="8">
        <f>IF('Items sous domaines Sciences '!G116=3,'Items sous domaines Sciences '!C116,0)</f>
        <v>0</v>
      </c>
      <c r="D114" s="8">
        <f>IF('Items sous domaines Sciences '!G116=3,'Items sous domaines Sciences '!D116,0)</f>
        <v>0</v>
      </c>
      <c r="E114" s="8">
        <f>IF('Items sous domaines Sciences '!G116=3,'Items sous domaines Sciences '!E116,0)</f>
        <v>0</v>
      </c>
      <c r="F114" t="e">
        <f>IF('Items sous domaines Sciences '!#REF!=1,'Items sous domaines Sciences '!#REF!,0)</f>
        <v>#REF!</v>
      </c>
    </row>
    <row r="115" spans="1:6" customFormat="1" ht="26.25" hidden="1" customHeight="1" thickBot="1" x14ac:dyDescent="0.3">
      <c r="A115" s="469"/>
      <c r="B115" s="8">
        <f>IF('Items sous domaines Sciences '!G117=3,'Items sous domaines Sciences '!B117,0)</f>
        <v>0</v>
      </c>
      <c r="C115" s="8">
        <f>IF('Items sous domaines Sciences '!G117=3,'Items sous domaines Sciences '!C117,0)</f>
        <v>0</v>
      </c>
      <c r="D115" s="8">
        <f>IF('Items sous domaines Sciences '!G117=3,'Items sous domaines Sciences '!D117,0)</f>
        <v>0</v>
      </c>
      <c r="E115" s="8">
        <f>IF('Items sous domaines Sciences '!G117=3,'Items sous domaines Sciences '!E117,0)</f>
        <v>0</v>
      </c>
      <c r="F115" t="e">
        <f>IF('Items sous domaines Sciences '!#REF!=1,'Items sous domaines Sciences '!#REF!,0)</f>
        <v>#REF!</v>
      </c>
    </row>
    <row r="116" spans="1:6" customFormat="1" ht="17.7" hidden="1" customHeight="1" thickBot="1" x14ac:dyDescent="0.3">
      <c r="A116" s="469"/>
      <c r="B116" s="8">
        <f>IF('Items sous domaines Sciences '!G118=3,'Items sous domaines Sciences '!B118,0)</f>
        <v>0</v>
      </c>
      <c r="C116" s="8">
        <f>IF('Items sous domaines Sciences '!G118=3,'Items sous domaines Sciences '!C118,0)</f>
        <v>0</v>
      </c>
      <c r="D116" s="8">
        <f>IF('Items sous domaines Sciences '!G118=3,'Items sous domaines Sciences '!D118,0)</f>
        <v>0</v>
      </c>
      <c r="E116" s="8">
        <f>IF('Items sous domaines Sciences '!G118=3,'Items sous domaines Sciences '!E118,0)</f>
        <v>0</v>
      </c>
      <c r="F116" t="e">
        <f>IF('Items sous domaines Sciences '!#REF!=1,'Items sous domaines Sciences '!#REF!,0)</f>
        <v>#REF!</v>
      </c>
    </row>
    <row r="117" spans="1:6" customFormat="1" ht="17.7" hidden="1" customHeight="1" thickBot="1" x14ac:dyDescent="0.3">
      <c r="A117" s="469"/>
      <c r="B117" s="8">
        <f>IF('Items sous domaines Sciences '!G119=3,'Items sous domaines Sciences '!B119,0)</f>
        <v>0</v>
      </c>
      <c r="C117" s="8">
        <f>IF('Items sous domaines Sciences '!G119=3,'Items sous domaines Sciences '!C119,0)</f>
        <v>0</v>
      </c>
      <c r="D117" s="8">
        <f>IF('Items sous domaines Sciences '!G119=3,'Items sous domaines Sciences '!D119,0)</f>
        <v>0</v>
      </c>
      <c r="E117" s="8">
        <f>IF('Items sous domaines Sciences '!G119=3,'Items sous domaines Sciences '!E119,0)</f>
        <v>0</v>
      </c>
      <c r="F117" t="e">
        <f>IF('Items sous domaines Sciences '!#REF!=1,'Items sous domaines Sciences '!#REF!,0)</f>
        <v>#REF!</v>
      </c>
    </row>
    <row r="118" spans="1:6" customFormat="1" ht="17.7" hidden="1" customHeight="1" thickBot="1" x14ac:dyDescent="0.3">
      <c r="A118" s="469"/>
      <c r="B118" s="8">
        <f>IF('Items sous domaines Sciences '!G120=3,'Items sous domaines Sciences '!B120,0)</f>
        <v>0</v>
      </c>
      <c r="C118" s="8">
        <f>IF('Items sous domaines Sciences '!G120=3,'Items sous domaines Sciences '!C120,0)</f>
        <v>0</v>
      </c>
      <c r="D118" s="8">
        <f>IF('Items sous domaines Sciences '!G120=3,'Items sous domaines Sciences '!D120,0)</f>
        <v>0</v>
      </c>
      <c r="E118" s="8">
        <f>IF('Items sous domaines Sciences '!G120=3,'Items sous domaines Sciences '!E120,0)</f>
        <v>0</v>
      </c>
      <c r="F118" t="e">
        <f>IF('Items sous domaines Sciences '!#REF!=1,'Items sous domaines Sciences '!#REF!,0)</f>
        <v>#REF!</v>
      </c>
    </row>
    <row r="119" spans="1:6" customFormat="1" ht="17.7" hidden="1" customHeight="1" thickBot="1" x14ac:dyDescent="0.3">
      <c r="A119" s="469"/>
      <c r="B119" s="8">
        <f>IF('Items sous domaines Sciences '!G121=3,'Items sous domaines Sciences '!B121,0)</f>
        <v>0</v>
      </c>
      <c r="C119" s="8">
        <f>IF('Items sous domaines Sciences '!G121=3,'Items sous domaines Sciences '!C121,0)</f>
        <v>0</v>
      </c>
      <c r="D119" s="8">
        <f>IF('Items sous domaines Sciences '!G121=3,'Items sous domaines Sciences '!D121,0)</f>
        <v>0</v>
      </c>
      <c r="E119" s="8">
        <f>IF('Items sous domaines Sciences '!G121=3,'Items sous domaines Sciences '!E121,0)</f>
        <v>0</v>
      </c>
      <c r="F119" t="e">
        <f>IF('Items sous domaines Sciences '!#REF!=1,'Items sous domaines Sciences '!#REF!,0)</f>
        <v>#REF!</v>
      </c>
    </row>
    <row r="120" spans="1:6" customFormat="1" ht="17.7" hidden="1" customHeight="1" thickBot="1" x14ac:dyDescent="0.3">
      <c r="A120" s="469"/>
      <c r="B120" s="8">
        <f>IF('Items sous domaines Sciences '!G122=3,'Items sous domaines Sciences '!B122,0)</f>
        <v>0</v>
      </c>
      <c r="C120" s="8">
        <f>IF('Items sous domaines Sciences '!G122=3,'Items sous domaines Sciences '!C122,0)</f>
        <v>0</v>
      </c>
      <c r="D120" s="8">
        <f>IF('Items sous domaines Sciences '!G122=3,'Items sous domaines Sciences '!D122,0)</f>
        <v>0</v>
      </c>
      <c r="E120" s="8">
        <f>IF('Items sous domaines Sciences '!G122=3,'Items sous domaines Sciences '!E122,0)</f>
        <v>0</v>
      </c>
      <c r="F120" t="e">
        <f>IF('Items sous domaines Sciences '!#REF!=1,'Items sous domaines Sciences '!#REF!,0)</f>
        <v>#REF!</v>
      </c>
    </row>
    <row r="121" spans="1:6" customFormat="1" ht="17.7" hidden="1" customHeight="1" thickBot="1" x14ac:dyDescent="0.3">
      <c r="A121" s="469"/>
      <c r="B121" s="8">
        <f>IF('Items sous domaines Sciences '!G123=3,'Items sous domaines Sciences '!B123,0)</f>
        <v>0</v>
      </c>
      <c r="C121" s="8">
        <f>IF('Items sous domaines Sciences '!G123=3,'Items sous domaines Sciences '!C123,0)</f>
        <v>0</v>
      </c>
      <c r="D121" s="8">
        <f>IF('Items sous domaines Sciences '!G123=3,'Items sous domaines Sciences '!D123,0)</f>
        <v>0</v>
      </c>
      <c r="E121" s="8">
        <f>IF('Items sous domaines Sciences '!G123=3,'Items sous domaines Sciences '!E123,0)</f>
        <v>0</v>
      </c>
      <c r="F121" t="e">
        <f>IF('Items sous domaines Sciences '!#REF!=1,'Items sous domaines Sciences '!#REF!,0)</f>
        <v>#REF!</v>
      </c>
    </row>
    <row r="122" spans="1:6" customFormat="1" ht="17.7" hidden="1" customHeight="1" thickBot="1" x14ac:dyDescent="0.3">
      <c r="A122" s="469"/>
      <c r="B122" s="8">
        <f>IF('Items sous domaines Sciences '!G124=3,'Items sous domaines Sciences '!B124,0)</f>
        <v>0</v>
      </c>
      <c r="C122" s="8">
        <f>IF('Items sous domaines Sciences '!G124=3,'Items sous domaines Sciences '!C124,0)</f>
        <v>0</v>
      </c>
      <c r="D122" s="8">
        <f>IF('Items sous domaines Sciences '!G124=3,'Items sous domaines Sciences '!D124,0)</f>
        <v>0</v>
      </c>
      <c r="E122" s="8">
        <f>IF('Items sous domaines Sciences '!G124=3,'Items sous domaines Sciences '!E124,0)</f>
        <v>0</v>
      </c>
      <c r="F122" t="e">
        <f>IF('Items sous domaines Sciences '!#REF!=1,'Items sous domaines Sciences '!#REF!,0)</f>
        <v>#REF!</v>
      </c>
    </row>
    <row r="123" spans="1:6" customFormat="1" ht="17.7" hidden="1" customHeight="1" thickBot="1" x14ac:dyDescent="0.3">
      <c r="A123" s="469"/>
      <c r="B123" s="8">
        <f>IF('Items sous domaines Sciences '!G125=3,'Items sous domaines Sciences '!B125,0)</f>
        <v>0</v>
      </c>
      <c r="C123" s="8">
        <f>IF('Items sous domaines Sciences '!G125=3,'Items sous domaines Sciences '!C125,0)</f>
        <v>0</v>
      </c>
      <c r="D123" s="8">
        <f>IF('Items sous domaines Sciences '!G125=3,'Items sous domaines Sciences '!D125,0)</f>
        <v>0</v>
      </c>
      <c r="E123" s="8">
        <f>IF('Items sous domaines Sciences '!G125=3,'Items sous domaines Sciences '!E125,0)</f>
        <v>0</v>
      </c>
      <c r="F123" t="e">
        <f>IF('Items sous domaines Sciences '!#REF!=1,'Items sous domaines Sciences '!#REF!,0)</f>
        <v>#REF!</v>
      </c>
    </row>
    <row r="124" spans="1:6" customFormat="1" ht="17.7" hidden="1" customHeight="1" thickBot="1" x14ac:dyDescent="0.3">
      <c r="A124" s="469"/>
      <c r="B124" s="8">
        <f>IF('Items sous domaines Sciences '!G126=3,'Items sous domaines Sciences '!B126,0)</f>
        <v>0</v>
      </c>
      <c r="C124" s="8">
        <f>IF('Items sous domaines Sciences '!G126=3,'Items sous domaines Sciences '!C126,0)</f>
        <v>0</v>
      </c>
      <c r="D124" s="8">
        <f>IF('Items sous domaines Sciences '!G126=3,'Items sous domaines Sciences '!D126,0)</f>
        <v>0</v>
      </c>
      <c r="E124" s="8">
        <f>IF('Items sous domaines Sciences '!G126=3,'Items sous domaines Sciences '!E126,0)</f>
        <v>0</v>
      </c>
      <c r="F124" t="e">
        <f>IF('Items sous domaines Sciences '!#REF!=1,'Items sous domaines Sciences '!#REF!,0)</f>
        <v>#REF!</v>
      </c>
    </row>
    <row r="125" spans="1:6" customFormat="1" ht="17.7" hidden="1" customHeight="1" thickBot="1" x14ac:dyDescent="0.3">
      <c r="A125" s="469"/>
      <c r="B125" s="8">
        <f>IF('Items sous domaines Sciences '!G127=3,'Items sous domaines Sciences '!B127,0)</f>
        <v>0</v>
      </c>
      <c r="C125" s="8">
        <f>IF('Items sous domaines Sciences '!G127=3,'Items sous domaines Sciences '!C127,0)</f>
        <v>0</v>
      </c>
      <c r="D125" s="8">
        <f>IF('Items sous domaines Sciences '!G127=3,'Items sous domaines Sciences '!D127,0)</f>
        <v>0</v>
      </c>
      <c r="E125" s="8">
        <f>IF('Items sous domaines Sciences '!G127=3,'Items sous domaines Sciences '!E127,0)</f>
        <v>0</v>
      </c>
      <c r="F125" t="e">
        <f>IF('Items sous domaines Sciences '!#REF!=1,'Items sous domaines Sciences '!#REF!,0)</f>
        <v>#REF!</v>
      </c>
    </row>
    <row r="126" spans="1:6" customFormat="1" ht="17.7" hidden="1" customHeight="1" thickBot="1" x14ac:dyDescent="0.3">
      <c r="A126" s="469"/>
      <c r="B126" s="8">
        <f>IF('Items sous domaines Sciences '!G128=3,'Items sous domaines Sciences '!B128,0)</f>
        <v>0</v>
      </c>
      <c r="C126" s="8">
        <f>IF('Items sous domaines Sciences '!G128=3,'Items sous domaines Sciences '!C128,0)</f>
        <v>0</v>
      </c>
      <c r="D126" s="8">
        <f>IF('Items sous domaines Sciences '!G128=3,'Items sous domaines Sciences '!D128,0)</f>
        <v>0</v>
      </c>
      <c r="E126" s="8">
        <f>IF('Items sous domaines Sciences '!G128=3,'Items sous domaines Sciences '!E128,0)</f>
        <v>0</v>
      </c>
      <c r="F126" t="e">
        <f>IF('Items sous domaines Sciences '!#REF!=1,'Items sous domaines Sciences '!#REF!,0)</f>
        <v>#REF!</v>
      </c>
    </row>
    <row r="127" spans="1:6" customFormat="1" ht="17.7" hidden="1" customHeight="1" thickBot="1" x14ac:dyDescent="0.3">
      <c r="A127" s="470"/>
      <c r="B127" s="8">
        <f>IF('Items sous domaines Sciences '!G129=3,'Items sous domaines Sciences '!B129,0)</f>
        <v>0</v>
      </c>
      <c r="C127" s="8">
        <f>IF('Items sous domaines Sciences '!G129=3,'Items sous domaines Sciences '!C129,0)</f>
        <v>0</v>
      </c>
      <c r="D127" s="8">
        <f>IF('Items sous domaines Sciences '!G129=3,'Items sous domaines Sciences '!D129,0)</f>
        <v>0</v>
      </c>
      <c r="E127" s="8">
        <f>IF('Items sous domaines Sciences '!G129=3,'Items sous domaines Sciences '!E129,0)</f>
        <v>0</v>
      </c>
      <c r="F127" t="e">
        <f>IF('Items sous domaines Sciences '!#REF!=1,'Items sous domaines Sciences '!#REF!,0)</f>
        <v>#REF!</v>
      </c>
    </row>
    <row r="128" spans="1:6" customFormat="1" ht="17.7" hidden="1" customHeight="1" thickBot="1" x14ac:dyDescent="0.3">
      <c r="A128" s="12"/>
      <c r="B128" s="8">
        <f>IF('Items sous domaines Sciences '!G130=3,'Items sous domaines Sciences '!B130,0)</f>
        <v>0</v>
      </c>
      <c r="C128" s="8">
        <f>IF('Items sous domaines Sciences '!G130=3,'Items sous domaines Sciences '!C130,0)</f>
        <v>0</v>
      </c>
      <c r="D128" s="8">
        <f>IF('Items sous domaines Sciences '!G130=3,'Items sous domaines Sciences '!D130,0)</f>
        <v>0</v>
      </c>
      <c r="E128" s="8">
        <f>IF('Items sous domaines Sciences '!G130=3,'Items sous domaines Sciences '!E130,0)</f>
        <v>0</v>
      </c>
      <c r="F128" t="e">
        <f>IF('Items sous domaines Sciences '!#REF!=1,'Items sous domaines Sciences '!#REF!,0)</f>
        <v>#REF!</v>
      </c>
    </row>
    <row r="129" spans="1:7" customFormat="1" ht="17.7" hidden="1" customHeight="1" thickBot="1" x14ac:dyDescent="0.3">
      <c r="A129" s="471" t="s">
        <v>459</v>
      </c>
      <c r="B129" s="8">
        <f>IF('Items sous domaines Sciences '!G131=3,'Items sous domaines Sciences '!B131,0)</f>
        <v>0</v>
      </c>
      <c r="C129" s="8">
        <f>IF('Items sous domaines Sciences '!G131=3,'Items sous domaines Sciences '!C131,0)</f>
        <v>0</v>
      </c>
      <c r="D129" s="8">
        <f>IF('Items sous domaines Sciences '!G131=3,'Items sous domaines Sciences '!D131,0)</f>
        <v>0</v>
      </c>
      <c r="E129" s="8">
        <f>IF('Items sous domaines Sciences '!G131=3,'Items sous domaines Sciences '!E131,0)</f>
        <v>0</v>
      </c>
      <c r="F129" t="e">
        <f>IF('Items sous domaines Sciences '!#REF!=1,'Items sous domaines Sciences '!#REF!,0)</f>
        <v>#REF!</v>
      </c>
    </row>
    <row r="130" spans="1:7" customFormat="1" ht="17.7" hidden="1" customHeight="1" thickBot="1" x14ac:dyDescent="0.3">
      <c r="A130" s="471"/>
      <c r="B130" s="8">
        <f>IF('Items sous domaines Sciences '!G132=3,'Items sous domaines Sciences '!B132,0)</f>
        <v>0</v>
      </c>
      <c r="C130" s="8">
        <f>IF('Items sous domaines Sciences '!G132=3,'Items sous domaines Sciences '!C132,0)</f>
        <v>0</v>
      </c>
      <c r="D130" s="8">
        <f>IF('Items sous domaines Sciences '!G132=3,'Items sous domaines Sciences '!D132,0)</f>
        <v>0</v>
      </c>
      <c r="E130" s="8">
        <f>IF('Items sous domaines Sciences '!G132=3,'Items sous domaines Sciences '!E132,0)</f>
        <v>0</v>
      </c>
      <c r="F130" t="e">
        <f>IF('Items sous domaines Sciences '!#REF!=1,'Items sous domaines Sciences '!#REF!,0)</f>
        <v>#REF!</v>
      </c>
    </row>
    <row r="131" spans="1:7" customFormat="1" ht="17.7" hidden="1" customHeight="1" thickBot="1" x14ac:dyDescent="0.3">
      <c r="A131" s="471"/>
      <c r="B131" s="8">
        <f>IF('Items sous domaines Sciences '!G133=3,'Items sous domaines Sciences '!B133,0)</f>
        <v>0</v>
      </c>
      <c r="C131" s="8">
        <f>IF('Items sous domaines Sciences '!G133=3,'Items sous domaines Sciences '!C133,0)</f>
        <v>0</v>
      </c>
      <c r="D131" s="8">
        <f>IF('Items sous domaines Sciences '!G133=3,'Items sous domaines Sciences '!D133,0)</f>
        <v>0</v>
      </c>
      <c r="E131" s="8">
        <f>IF('Items sous domaines Sciences '!G133=3,'Items sous domaines Sciences '!E133,0)</f>
        <v>0</v>
      </c>
      <c r="F131" t="e">
        <f>IF('Items sous domaines Sciences '!#REF!=1,'Items sous domaines Sciences '!#REF!,0)</f>
        <v>#REF!</v>
      </c>
    </row>
    <row r="132" spans="1:7" customFormat="1" ht="17.7" hidden="1" customHeight="1" thickBot="1" x14ac:dyDescent="0.3">
      <c r="A132" s="471"/>
      <c r="B132" s="8">
        <f>IF('Items sous domaines Sciences '!G134=3,'Items sous domaines Sciences '!B134,0)</f>
        <v>0</v>
      </c>
      <c r="C132" s="8">
        <f>IF('Items sous domaines Sciences '!G134=3,'Items sous domaines Sciences '!C134,0)</f>
        <v>0</v>
      </c>
      <c r="D132" s="8">
        <f>IF('Items sous domaines Sciences '!G134=3,'Items sous domaines Sciences '!D134,0)</f>
        <v>0</v>
      </c>
      <c r="E132" s="8">
        <f>IF('Items sous domaines Sciences '!G134=3,'Items sous domaines Sciences '!E134,0)</f>
        <v>0</v>
      </c>
      <c r="F132" t="e">
        <f>IF('Items sous domaines Sciences '!#REF!=1,'Items sous domaines Sciences '!#REF!,0)</f>
        <v>#REF!</v>
      </c>
    </row>
    <row r="133" spans="1:7" customFormat="1" ht="17.7" hidden="1" customHeight="1" thickBot="1" x14ac:dyDescent="0.3">
      <c r="A133" s="471"/>
      <c r="B133" s="8">
        <f>IF('Items sous domaines Sciences '!G135=3,'Items sous domaines Sciences '!B135,0)</f>
        <v>0</v>
      </c>
      <c r="C133" s="8">
        <f>IF('Items sous domaines Sciences '!G135=3,'Items sous domaines Sciences '!C135,0)</f>
        <v>0</v>
      </c>
      <c r="D133" s="8">
        <f>IF('Items sous domaines Sciences '!G135=3,'Items sous domaines Sciences '!D135,0)</f>
        <v>0</v>
      </c>
      <c r="E133" s="8">
        <f>IF('Items sous domaines Sciences '!G135=3,'Items sous domaines Sciences '!E135,0)</f>
        <v>0</v>
      </c>
      <c r="F133" t="e">
        <f>IF('Items sous domaines Sciences '!#REF!=1,'Items sous domaines Sciences '!#REF!,0)</f>
        <v>#REF!</v>
      </c>
    </row>
    <row r="134" spans="1:7" customFormat="1" ht="17.7" hidden="1" customHeight="1" thickBot="1" x14ac:dyDescent="0.3">
      <c r="A134" s="471"/>
      <c r="B134" s="8">
        <f>IF('Items sous domaines Sciences '!G136=3,'Items sous domaines Sciences '!B136,0)</f>
        <v>0</v>
      </c>
      <c r="C134" s="8">
        <f>IF('Items sous domaines Sciences '!G136=3,'Items sous domaines Sciences '!C136,0)</f>
        <v>0</v>
      </c>
      <c r="D134" s="8">
        <f>IF('Items sous domaines Sciences '!G136=3,'Items sous domaines Sciences '!D136,0)</f>
        <v>0</v>
      </c>
      <c r="E134" s="8">
        <f>IF('Items sous domaines Sciences '!G136=3,'Items sous domaines Sciences '!E136,0)</f>
        <v>0</v>
      </c>
      <c r="F134" t="e">
        <f>IF('Items sous domaines Sciences '!#REF!=1,'Items sous domaines Sciences '!#REF!,0)</f>
        <v>#REF!</v>
      </c>
    </row>
    <row r="135" spans="1:7" customFormat="1" ht="17.7" hidden="1" customHeight="1" thickBot="1" x14ac:dyDescent="0.3">
      <c r="A135" s="471"/>
      <c r="B135" s="8">
        <f>IF('Items sous domaines Sciences '!G137=3,'Items sous domaines Sciences '!B137,0)</f>
        <v>0</v>
      </c>
      <c r="C135" s="8">
        <f>IF('Items sous domaines Sciences '!G137=3,'Items sous domaines Sciences '!C137,0)</f>
        <v>0</v>
      </c>
      <c r="D135" s="8">
        <f>IF('Items sous domaines Sciences '!G137=3,'Items sous domaines Sciences '!D137,0)</f>
        <v>0</v>
      </c>
      <c r="E135" s="8">
        <f>IF('Items sous domaines Sciences '!G137=3,'Items sous domaines Sciences '!E137,0)</f>
        <v>0</v>
      </c>
      <c r="F135" t="e">
        <f>IF('Items sous domaines Sciences '!#REF!=1,'Items sous domaines Sciences '!#REF!,0)</f>
        <v>#REF!</v>
      </c>
    </row>
    <row r="136" spans="1:7" customFormat="1" ht="17.7" hidden="1" customHeight="1" thickBot="1" x14ac:dyDescent="0.3">
      <c r="A136" s="471"/>
      <c r="B136" s="8">
        <f>IF('Items sous domaines Sciences '!G138=3,'Items sous domaines Sciences '!B138,0)</f>
        <v>0</v>
      </c>
      <c r="C136" s="8">
        <f>IF('Items sous domaines Sciences '!G138=3,'Items sous domaines Sciences '!C138,0)</f>
        <v>0</v>
      </c>
      <c r="D136" s="8">
        <f>IF('Items sous domaines Sciences '!G138=3,'Items sous domaines Sciences '!D138,0)</f>
        <v>0</v>
      </c>
      <c r="E136" s="8">
        <f>IF('Items sous domaines Sciences '!G138=3,'Items sous domaines Sciences '!E138,0)</f>
        <v>0</v>
      </c>
      <c r="F136" t="e">
        <f>IF('Items sous domaines Sciences '!#REF!=1,'Items sous domaines Sciences '!#REF!,0)</f>
        <v>#REF!</v>
      </c>
    </row>
    <row r="137" spans="1:7" customFormat="1" ht="17.7" hidden="1" customHeight="1" thickBot="1" x14ac:dyDescent="0.3">
      <c r="A137" s="471"/>
      <c r="B137" s="8">
        <f>IF('Items sous domaines Sciences '!G139=3,'Items sous domaines Sciences '!B139,0)</f>
        <v>0</v>
      </c>
      <c r="C137" s="8">
        <f>IF('Items sous domaines Sciences '!G139=3,'Items sous domaines Sciences '!C139,0)</f>
        <v>0</v>
      </c>
      <c r="D137" s="8">
        <f>IF('Items sous domaines Sciences '!G139=3,'Items sous domaines Sciences '!D139,0)</f>
        <v>0</v>
      </c>
      <c r="E137" s="8">
        <f>IF('Items sous domaines Sciences '!G139=3,'Items sous domaines Sciences '!E139,0)</f>
        <v>0</v>
      </c>
      <c r="F137" t="e">
        <f>IF('Items sous domaines Sciences '!#REF!=1,'Items sous domaines Sciences '!#REF!,0)</f>
        <v>#REF!</v>
      </c>
    </row>
    <row r="138" spans="1:7" customFormat="1" ht="17.7" hidden="1" customHeight="1" thickBot="1" x14ac:dyDescent="0.3">
      <c r="A138" s="12"/>
      <c r="B138" s="8">
        <f>IF('Items sous domaines Sciences '!G140=3,'Items sous domaines Sciences '!B140,0)</f>
        <v>0</v>
      </c>
      <c r="C138" s="8">
        <f>IF('Items sous domaines Sciences '!G140=3,'Items sous domaines Sciences '!C140,0)</f>
        <v>0</v>
      </c>
      <c r="D138" s="8">
        <f>IF('Items sous domaines Sciences '!G140=3,'Items sous domaines Sciences '!D140,0)</f>
        <v>0</v>
      </c>
      <c r="E138" s="8">
        <f>IF('Items sous domaines Sciences '!G140=3,'Items sous domaines Sciences '!E140,0)</f>
        <v>0</v>
      </c>
      <c r="F138" t="e">
        <f>IF('Items sous domaines Sciences '!#REF!=1,'Items sous domaines Sciences '!#REF!,0)</f>
        <v>#REF!</v>
      </c>
    </row>
    <row r="139" spans="1:7" customFormat="1" ht="17.7" hidden="1" customHeight="1" thickBot="1" x14ac:dyDescent="0.3">
      <c r="A139" s="12"/>
      <c r="B139" s="8">
        <f>IF('Items sous domaines Sciences '!G141=3,'Items sous domaines Sciences '!B141,0)</f>
        <v>0</v>
      </c>
      <c r="C139" s="8">
        <f>IF('Items sous domaines Sciences '!G141=3,'Items sous domaines Sciences '!C141,0)</f>
        <v>0</v>
      </c>
      <c r="D139" s="8">
        <f>IF('Items sous domaines Sciences '!G141=3,'Items sous domaines Sciences '!D141,0)</f>
        <v>0</v>
      </c>
      <c r="E139" s="8">
        <f>IF('Items sous domaines Sciences '!G141=3,'Items sous domaines Sciences '!E141,0)</f>
        <v>0</v>
      </c>
      <c r="F139" t="e">
        <f>IF('Items sous domaines Sciences '!#REF!=1,'Items sous domaines Sciences '!#REF!,0)</f>
        <v>#REF!</v>
      </c>
    </row>
    <row r="140" spans="1:7" customFormat="1" ht="17.7" hidden="1" customHeight="1" thickBot="1" x14ac:dyDescent="0.3">
      <c r="A140" s="12"/>
      <c r="B140" s="8">
        <f>IF('Items sous domaines Sciences '!G142=3,'Items sous domaines Sciences '!B142,0)</f>
        <v>0</v>
      </c>
      <c r="C140" s="8">
        <f>IF('Items sous domaines Sciences '!G142=3,'Items sous domaines Sciences '!C142,0)</f>
        <v>0</v>
      </c>
      <c r="D140" s="8">
        <f>IF('Items sous domaines Sciences '!G142=3,'Items sous domaines Sciences '!D142,0)</f>
        <v>0</v>
      </c>
      <c r="E140" s="8">
        <f>IF('Items sous domaines Sciences '!G142=3,'Items sous domaines Sciences '!E142,0)</f>
        <v>0</v>
      </c>
      <c r="F140" t="e">
        <f>IF('Items sous domaines Sciences '!#REF!=1,'Items sous domaines Sciences '!#REF!,0)</f>
        <v>#REF!</v>
      </c>
    </row>
    <row r="141" spans="1:7" customFormat="1" ht="17.7" hidden="1" customHeight="1" thickBot="1" x14ac:dyDescent="0.3">
      <c r="A141" s="12"/>
      <c r="B141" s="8">
        <f>IF('Items sous domaines Sciences '!G143=3,'Items sous domaines Sciences '!B143,0)</f>
        <v>0</v>
      </c>
      <c r="C141" s="8">
        <f>IF('Items sous domaines Sciences '!G143=3,'Items sous domaines Sciences '!C143,0)</f>
        <v>0</v>
      </c>
      <c r="D141" s="8">
        <f>IF('Items sous domaines Sciences '!G143=3,'Items sous domaines Sciences '!D143,0)</f>
        <v>0</v>
      </c>
      <c r="E141" s="8">
        <f>IF('Items sous domaines Sciences '!G143=3,'Items sous domaines Sciences '!E143,0)</f>
        <v>0</v>
      </c>
      <c r="F141" t="e">
        <f>IF('Items sous domaines Sciences '!#REF!=1,'Items sous domaines Sciences '!#REF!,0)</f>
        <v>#REF!</v>
      </c>
    </row>
    <row r="142" spans="1:7" customFormat="1" ht="17.7" hidden="1" customHeight="1" thickBot="1" x14ac:dyDescent="0.3">
      <c r="A142" s="12"/>
      <c r="B142" s="8">
        <f>IF('Items sous domaines Sciences '!G144=3,'Items sous domaines Sciences '!B144,0)</f>
        <v>0</v>
      </c>
      <c r="C142" s="8">
        <f>IF('Items sous domaines Sciences '!G144=3,'Items sous domaines Sciences '!C144,0)</f>
        <v>0</v>
      </c>
      <c r="D142" s="8">
        <f>IF('Items sous domaines Sciences '!G144=3,'Items sous domaines Sciences '!D144,0)</f>
        <v>0</v>
      </c>
      <c r="E142" s="8">
        <f>IF('Items sous domaines Sciences '!G144=3,'Items sous domaines Sciences '!E144,0)</f>
        <v>0</v>
      </c>
      <c r="F142" t="e">
        <f>IF('Items sous domaines Sciences '!#REF!=1,'Items sous domaines Sciences '!#REF!,0)</f>
        <v>#REF!</v>
      </c>
    </row>
    <row r="143" spans="1:7" ht="19.95" customHeight="1" thickTop="1" x14ac:dyDescent="0.25">
      <c r="A143" s="473" t="s">
        <v>460</v>
      </c>
      <c r="B143" s="57" t="str">
        <f>IF('Items sous domaines Sciences '!G145=3,'Items sous domaines Sciences '!B145,0)</f>
        <v>Electricité - Electromagnétisme</v>
      </c>
      <c r="C143" s="225" t="str">
        <f>IF('Items sous domaines Sciences '!G145=3,'Items sous domaines Sciences '!C145,0)</f>
        <v>Electromagnétisme</v>
      </c>
      <c r="D143" s="226" t="str">
        <f>IF('Items sous domaines Sciences '!G145=3,'Items sous domaines Sciences '!D145,0)</f>
        <v>Electronique de puissance</v>
      </c>
      <c r="E143" s="226" t="str">
        <f>IF('Items sous domaines Sciences '!G145=3,'Items sous domaines Sciences '!E145,0)</f>
        <v>Comprendre le fonctionnement des composants de base de l'électronique de puissance : diode, thrystor, transistor de puissance en commutation, triac</v>
      </c>
      <c r="F143" s="430" t="s">
        <v>461</v>
      </c>
      <c r="G143" s="259"/>
    </row>
    <row r="144" spans="1:7" ht="19.95" customHeight="1" x14ac:dyDescent="0.25">
      <c r="A144" s="474"/>
      <c r="B144" s="57" t="str">
        <f>IF('Items sous domaines Sciences '!G146=3,'Items sous domaines Sciences '!B146,0)</f>
        <v>Electricité - Electromagnétisme</v>
      </c>
      <c r="C144" s="212" t="str">
        <f>IF('Items sous domaines Sciences '!G146=3,'Items sous domaines Sciences '!C146,0)</f>
        <v>Electromagnétisme</v>
      </c>
      <c r="D144" s="215">
        <f>IF('Items sous domaines Sciences '!G146=3,'Items sous domaines Sciences '!D146,0)</f>
        <v>0</v>
      </c>
      <c r="E144" s="209" t="str">
        <f>IF('Items sous domaines Sciences '!G146=3,'Items sous domaines Sciences '!E146,0)</f>
        <v>Expliquer la forme d'onde de la tension de sortie d'un onduleur.</v>
      </c>
      <c r="F144" s="431"/>
      <c r="G144" s="260"/>
    </row>
    <row r="145" spans="1:7" ht="19.95" customHeight="1" x14ac:dyDescent="0.25">
      <c r="A145" s="474"/>
      <c r="B145" s="57" t="str">
        <f>IF('Items sous domaines Sciences '!G147=3,'Items sous domaines Sciences '!B147,0)</f>
        <v>Electricité - Electromagnétisme</v>
      </c>
      <c r="C145" s="213" t="str">
        <f>IF('Items sous domaines Sciences '!G147=3,'Items sous domaines Sciences '!C147,0)</f>
        <v>Electromagnétisme</v>
      </c>
      <c r="D145" s="216">
        <f>IF('Items sous domaines Sciences '!G147=3,'Items sous domaines Sciences '!D147,0)</f>
        <v>0</v>
      </c>
      <c r="E145" s="216" t="str">
        <f>IF('Items sous domaines Sciences '!G147=3,'Items sous domaines Sciences '!E147,0)</f>
        <v>Expliquer la forme d'onde de la tension de sortie d'un redresseur.</v>
      </c>
      <c r="F145" s="431"/>
      <c r="G145" s="260"/>
    </row>
    <row r="146" spans="1:7" ht="19.95" customHeight="1" x14ac:dyDescent="0.25">
      <c r="A146" s="474"/>
      <c r="B146" s="57" t="str">
        <f>IF('Items sous domaines Sciences '!G148=3,'Items sous domaines Sciences '!B148,0)</f>
        <v>Electricité - Electromagnétisme</v>
      </c>
      <c r="C146" s="212" t="str">
        <f>IF('Items sous domaines Sciences '!G148=3,'Items sous domaines Sciences '!C148,0)</f>
        <v>Electromagnétisme</v>
      </c>
      <c r="D146" s="215">
        <f>IF('Items sous domaines Sciences '!G148=3,'Items sous domaines Sciences '!D148,0)</f>
        <v>0</v>
      </c>
      <c r="E146" s="209" t="str">
        <f>IF('Items sous domaines Sciences '!G148=3,'Items sous domaines Sciences '!E148,0)</f>
        <v>Expliquer la forme d'onde de la tension de sortie d'un hacheur.</v>
      </c>
      <c r="F146" s="431"/>
      <c r="G146" s="260"/>
    </row>
    <row r="147" spans="1:7" ht="19.95" customHeight="1" x14ac:dyDescent="0.25">
      <c r="A147" s="474"/>
      <c r="B147" s="57" t="str">
        <f>IF('Items sous domaines Sciences '!G149=3,'Items sous domaines Sciences '!B149,0)</f>
        <v>Electricité - Electromagnétisme</v>
      </c>
      <c r="C147" s="213" t="str">
        <f>IF('Items sous domaines Sciences '!G149=3,'Items sous domaines Sciences '!C149,0)</f>
        <v>Electromagnétisme</v>
      </c>
      <c r="D147" s="216">
        <f>IF('Items sous domaines Sciences '!G149=3,'Items sous domaines Sciences '!D149,0)</f>
        <v>0</v>
      </c>
      <c r="E147" s="216" t="str">
        <f>IF('Items sous domaines Sciences '!G149=3,'Items sous domaines Sciences '!E149,0)</f>
        <v>Citer la structure des circuits de redressement et d'ondulation de base.</v>
      </c>
      <c r="F147" s="431"/>
      <c r="G147" s="260"/>
    </row>
    <row r="148" spans="1:7" ht="19.95" customHeight="1" x14ac:dyDescent="0.25">
      <c r="A148" s="474"/>
      <c r="B148" s="57" t="str">
        <f>IF('Items sous domaines Sciences '!G150=3,'Items sous domaines Sciences '!B150,0)</f>
        <v>Electricité - Electromagnétisme</v>
      </c>
      <c r="C148" s="212" t="str">
        <f>IF('Items sous domaines Sciences '!G150=3,'Items sous domaines Sciences '!C150,0)</f>
        <v>Electromagnétisme</v>
      </c>
      <c r="D148" s="215" t="str">
        <f>IF('Items sous domaines Sciences '!G150=3,'Items sous domaines Sciences '!D150,0)</f>
        <v>Stockage de l'énergie électrique</v>
      </c>
      <c r="E148" s="209" t="str">
        <f>IF('Items sous domaines Sciences '!G150=3,'Items sous domaines Sciences '!E150,0)</f>
        <v>Calculer l'énergie et la puissance d'un accumulateur.</v>
      </c>
      <c r="F148" s="431"/>
      <c r="G148" s="260"/>
    </row>
    <row r="149" spans="1:7" ht="19.95" customHeight="1" x14ac:dyDescent="0.25">
      <c r="A149" s="474"/>
      <c r="B149" s="57" t="str">
        <f>IF('Items sous domaines Sciences '!G151=3,'Items sous domaines Sciences '!B151,0)</f>
        <v>Electricité - Electromagnétisme</v>
      </c>
      <c r="C149" s="213" t="str">
        <f>IF('Items sous domaines Sciences '!G151=3,'Items sous domaines Sciences '!C151,0)</f>
        <v>Electromagnétisme</v>
      </c>
      <c r="D149" s="216">
        <f>IF('Items sous domaines Sciences '!G151=3,'Items sous domaines Sciences '!D151,0)</f>
        <v>0</v>
      </c>
      <c r="E149" s="216" t="str">
        <f>IF('Items sous domaines Sciences '!G151=3,'Items sous domaines Sciences '!E151,0)</f>
        <v>Citer les caractéristiques des accumulateurs en phase de charge et de décharge.</v>
      </c>
      <c r="F149" s="431"/>
      <c r="G149" s="260"/>
    </row>
    <row r="150" spans="1:7" ht="19.95" customHeight="1" x14ac:dyDescent="0.25">
      <c r="A150" s="474"/>
      <c r="B150" s="57" t="str">
        <f>IF('Items sous domaines Sciences '!G152=3,'Items sous domaines Sciences '!B152,0)</f>
        <v>Electricité - Electromagnétisme</v>
      </c>
      <c r="C150" s="212" t="str">
        <f>IF('Items sous domaines Sciences '!G152=3,'Items sous domaines Sciences '!C152,0)</f>
        <v>Electromagnétisme</v>
      </c>
      <c r="D150" s="215">
        <f>IF('Items sous domaines Sciences '!G152=3,'Items sous domaines Sciences '!D152,0)</f>
        <v>0</v>
      </c>
      <c r="E150" s="209" t="str">
        <f>IF('Items sous domaines Sciences '!G152=3,'Items sous domaines Sciences '!E152,0)</f>
        <v>Citer les différents principes et technologies d'accumulateurs d'énergie électrique.</v>
      </c>
      <c r="F150" s="431"/>
      <c r="G150" s="260"/>
    </row>
    <row r="151" spans="1:7" ht="19.95" customHeight="1" x14ac:dyDescent="0.25">
      <c r="A151" s="474"/>
      <c r="B151" s="57" t="str">
        <f>IF('Items sous domaines Sciences '!G153=3,'Items sous domaines Sciences '!B153,0)</f>
        <v>Electricité - Electromagnétisme</v>
      </c>
      <c r="C151" s="213" t="str">
        <f>IF('Items sous domaines Sciences '!G153=3,'Items sous domaines Sciences '!C153,0)</f>
        <v>Electromagnétisme</v>
      </c>
      <c r="D151" s="216" t="str">
        <f>IF('Items sous domaines Sciences '!G153=3,'Items sous domaines Sciences '!D153,0)</f>
        <v>Transformateur</v>
      </c>
      <c r="E151" s="216" t="str">
        <f>IF('Items sous domaines Sciences '!G153=3,'Items sous domaines Sciences '!E153,0)</f>
        <v>Utiliser un multimètre (ampèremètre, voltmètre, ohmmètre).</v>
      </c>
      <c r="F151" s="431"/>
      <c r="G151" s="260"/>
    </row>
    <row r="152" spans="1:7" ht="19.95" customHeight="1" x14ac:dyDescent="0.25">
      <c r="A152" s="474"/>
      <c r="B152" s="57" t="str">
        <f>IF('Items sous domaines Sciences '!G154=3,'Items sous domaines Sciences '!B154,0)</f>
        <v>Electricité - Electromagnétisme</v>
      </c>
      <c r="C152" s="212" t="str">
        <f>IF('Items sous domaines Sciences '!G154=3,'Items sous domaines Sciences '!C154,0)</f>
        <v>Electromagnétisme</v>
      </c>
      <c r="D152" s="215">
        <f>IF('Items sous domaines Sciences '!G154=3,'Items sous domaines Sciences '!D154,0)</f>
        <v>0</v>
      </c>
      <c r="E152" s="209" t="str">
        <f>IF('Items sous domaines Sciences '!G154=3,'Items sous domaines Sciences '!E154,0)</f>
        <v>Comprendre les principes de fonctionnement des composants électroniques de base.</v>
      </c>
      <c r="F152" s="431"/>
      <c r="G152" s="260"/>
    </row>
    <row r="153" spans="1:7" ht="19.95" customHeight="1" x14ac:dyDescent="0.25">
      <c r="A153" s="474"/>
      <c r="B153" s="57" t="str">
        <f>IF('Items sous domaines Sciences '!G155=3,'Items sous domaines Sciences '!B155,0)</f>
        <v>Electricité - Electromagnétisme</v>
      </c>
      <c r="C153" s="213" t="str">
        <f>IF('Items sous domaines Sciences '!G155=3,'Items sous domaines Sciences '!C155,0)</f>
        <v>Electromagnétisme</v>
      </c>
      <c r="D153" s="216">
        <f>IF('Items sous domaines Sciences '!G155=3,'Items sous domaines Sciences '!D155,0)</f>
        <v>0</v>
      </c>
      <c r="E153" s="216" t="str">
        <f>IF('Items sous domaines Sciences '!G155=3,'Items sous domaines Sciences '!E155,0)</f>
        <v>Citer les lois de base du courant.</v>
      </c>
      <c r="F153" s="431"/>
      <c r="G153" s="260"/>
    </row>
    <row r="154" spans="1:7" ht="19.95" customHeight="1" x14ac:dyDescent="0.25">
      <c r="A154" s="474"/>
      <c r="B154" s="57" t="str">
        <f>IF('Items sous domaines Sciences '!G156=3,'Items sous domaines Sciences '!B156,0)</f>
        <v>Electricité - Electromagnétisme</v>
      </c>
      <c r="C154" s="212" t="str">
        <f>IF('Items sous domaines Sciences '!G156=3,'Items sous domaines Sciences '!C156,0)</f>
        <v>Electromagnétisme</v>
      </c>
      <c r="D154" s="215">
        <f>IF('Items sous domaines Sciences '!G156=3,'Items sous domaines Sciences '!D156,0)</f>
        <v>0</v>
      </c>
      <c r="E154" s="209" t="str">
        <f>IF('Items sous domaines Sciences '!G156=3,'Items sous domaines Sciences '!E156,0)</f>
        <v>Citer la structure d'un transformateur et le modéliser par un schéma électrique équivalent.</v>
      </c>
      <c r="F154" s="431"/>
      <c r="G154" s="260"/>
    </row>
    <row r="155" spans="1:7" ht="19.95" customHeight="1" x14ac:dyDescent="0.25">
      <c r="A155" s="474"/>
      <c r="B155" s="57" t="str">
        <f>IF('Items sous domaines Sciences '!G157=3,'Items sous domaines Sciences '!B157,0)</f>
        <v>Electricité - Electromagnétisme</v>
      </c>
      <c r="C155" s="213" t="str">
        <f>IF('Items sous domaines Sciences '!G157=3,'Items sous domaines Sciences '!C157,0)</f>
        <v>Electromagnétisme</v>
      </c>
      <c r="D155" s="216">
        <f>IF('Items sous domaines Sciences '!G157=3,'Items sous domaines Sciences '!D157,0)</f>
        <v>0</v>
      </c>
      <c r="E155" s="216" t="str">
        <f>IF('Items sous domaines Sciences '!G157=3,'Items sous domaines Sciences '!E157,0)</f>
        <v>Appliquer les principes des circuits magnétiques à un transformateur.</v>
      </c>
      <c r="F155" s="431"/>
      <c r="G155" s="260"/>
    </row>
    <row r="156" spans="1:7" ht="19.95" customHeight="1" x14ac:dyDescent="0.25">
      <c r="A156" s="474"/>
      <c r="B156" s="57" t="str">
        <f>IF('Items sous domaines Sciences '!G158=3,'Items sous domaines Sciences '!B158,0)</f>
        <v>Electricité - Electromagnétisme</v>
      </c>
      <c r="C156" s="212" t="str">
        <f>IF('Items sous domaines Sciences '!G158=3,'Items sous domaines Sciences '!C158,0)</f>
        <v>Electromagnétisme</v>
      </c>
      <c r="D156" s="215">
        <f>IF('Items sous domaines Sciences '!G158=3,'Items sous domaines Sciences '!D158,0)</f>
        <v>0</v>
      </c>
      <c r="E156" s="209" t="str">
        <f>IF('Items sous domaines Sciences '!G158=3,'Items sous domaines Sciences '!E158,0)</f>
        <v>Établir les bilans de puissance d'un transformateur et calculer ses caractéristiques électriques.</v>
      </c>
      <c r="F156" s="431"/>
      <c r="G156" s="260"/>
    </row>
    <row r="157" spans="1:7" ht="19.95" customHeight="1" x14ac:dyDescent="0.25">
      <c r="A157" s="474"/>
      <c r="B157" s="57" t="str">
        <f>IF('Items sous domaines Sciences '!G159=3,'Items sous domaines Sciences '!B159,0)</f>
        <v>Electricité - Electromagnétisme</v>
      </c>
      <c r="C157" s="213" t="str">
        <f>IF('Items sous domaines Sciences '!G159=3,'Items sous domaines Sciences '!C159,0)</f>
        <v>Electromagnétisme</v>
      </c>
      <c r="D157" s="216">
        <f>IF('Items sous domaines Sciences '!G159=3,'Items sous domaines Sciences '!D159,0)</f>
        <v>0</v>
      </c>
      <c r="E157" s="216" t="str">
        <f>IF('Items sous domaines Sciences '!G159=3,'Items sous domaines Sciences '!E159,0)</f>
        <v>Utiliser le principe de l'isolation électrique entre les circuits primaire et secondaire.</v>
      </c>
      <c r="F157" s="431"/>
      <c r="G157" s="260"/>
    </row>
    <row r="158" spans="1:7" ht="19.95" customHeight="1" x14ac:dyDescent="0.25">
      <c r="A158" s="474"/>
      <c r="B158" s="57" t="str">
        <f>IF('Items sous domaines Sciences '!G160=3,'Items sous domaines Sciences '!B160,0)</f>
        <v>Electricité - Electromagnétisme</v>
      </c>
      <c r="C158" s="212" t="str">
        <f>IF('Items sous domaines Sciences '!G160=3,'Items sous domaines Sciences '!C160,0)</f>
        <v>Electromagnétisme</v>
      </c>
      <c r="D158" s="215" t="str">
        <f>IF('Items sous domaines Sciences '!G160=3,'Items sous domaines Sciences '!D160,0)</f>
        <v>Actionneurs électriques</v>
      </c>
      <c r="E158" s="209" t="str">
        <f>IF('Items sous domaines Sciences '!G160=3,'Items sous domaines Sciences '!E160,0)</f>
        <v>Citer les différentes structures d'une machine à courant continu et le cas particulier du moteur universel.</v>
      </c>
      <c r="F158" s="431"/>
      <c r="G158" s="260"/>
    </row>
    <row r="159" spans="1:7" ht="19.95" customHeight="1" x14ac:dyDescent="0.25">
      <c r="A159" s="474"/>
      <c r="B159" s="57" t="str">
        <f>IF('Items sous domaines Sciences '!G161=3,'Items sous domaines Sciences '!B161,0)</f>
        <v>Electricité - Electromagnétisme</v>
      </c>
      <c r="C159" s="213" t="str">
        <f>IF('Items sous domaines Sciences '!G161=3,'Items sous domaines Sciences '!C161,0)</f>
        <v>Electromagnétisme</v>
      </c>
      <c r="D159" s="216">
        <f>IF('Items sous domaines Sciences '!G161=3,'Items sous domaines Sciences '!D161,0)</f>
        <v>0</v>
      </c>
      <c r="E159" s="216" t="str">
        <f>IF('Items sous domaines Sciences '!G161=3,'Items sous domaines Sciences '!E161,0)</f>
        <v>Établir le bilan de puissance d'une machine à courant continu et calculer ses grandeurs électromécaniques.</v>
      </c>
      <c r="F159" s="431"/>
      <c r="G159" s="260"/>
    </row>
    <row r="160" spans="1:7" ht="19.95" customHeight="1" x14ac:dyDescent="0.25">
      <c r="A160" s="474"/>
      <c r="B160" s="57" t="str">
        <f>IF('Items sous domaines Sciences '!G162=3,'Items sous domaines Sciences '!B162,0)</f>
        <v>Electricité - Electromagnétisme</v>
      </c>
      <c r="C160" s="212" t="str">
        <f>IF('Items sous domaines Sciences '!G162=3,'Items sous domaines Sciences '!C162,0)</f>
        <v>Electromagnétisme</v>
      </c>
      <c r="D160" s="215">
        <f>IF('Items sous domaines Sciences '!G162=3,'Items sous domaines Sciences '!D162,0)</f>
        <v>0</v>
      </c>
      <c r="E160" s="209" t="str">
        <f>IF('Items sous domaines Sciences '!G162=3,'Items sous domaines Sciences '!E162,0)</f>
        <v>Utiliser les lois de fonctionnement des machines en courant continu.</v>
      </c>
      <c r="F160" s="431"/>
      <c r="G160" s="260"/>
    </row>
    <row r="161" spans="1:7" ht="19.95" customHeight="1" x14ac:dyDescent="0.25">
      <c r="A161" s="474"/>
      <c r="B161" s="57" t="str">
        <f>IF('Items sous domaines Sciences '!G163=3,'Items sous domaines Sciences '!B163,0)</f>
        <v>Electricité - Electromagnétisme</v>
      </c>
      <c r="C161" s="213" t="str">
        <f>IF('Items sous domaines Sciences '!G163=3,'Items sous domaines Sciences '!C163,0)</f>
        <v>Electromagnétisme</v>
      </c>
      <c r="D161" s="216">
        <f>IF('Items sous domaines Sciences '!G163=3,'Items sous domaines Sciences '!D163,0)</f>
        <v>0</v>
      </c>
      <c r="E161" s="216" t="str">
        <f>IF('Items sous domaines Sciences '!G163=3,'Items sous domaines Sciences '!E163,0)</f>
        <v>Lister la structure d'un électroaimant.</v>
      </c>
      <c r="F161" s="431"/>
      <c r="G161" s="260"/>
    </row>
    <row r="162" spans="1:7" ht="19.95" customHeight="1" x14ac:dyDescent="0.25">
      <c r="A162" s="474"/>
      <c r="B162" s="57" t="str">
        <f>IF('Items sous domaines Sciences '!G164=3,'Items sous domaines Sciences '!B164,0)</f>
        <v>Electricité - Electromagnétisme</v>
      </c>
      <c r="C162" s="212" t="str">
        <f>IF('Items sous domaines Sciences '!G164=3,'Items sous domaines Sciences '!C164,0)</f>
        <v>Electromagnétisme</v>
      </c>
      <c r="D162" s="215">
        <f>IF('Items sous domaines Sciences '!G164=3,'Items sous domaines Sciences '!D164,0)</f>
        <v>0</v>
      </c>
      <c r="E162" s="209" t="str">
        <f>IF('Items sous domaines Sciences '!G164=3,'Items sous domaines Sciences '!E164,0)</f>
        <v>Dimensionner une bobine électrique.</v>
      </c>
      <c r="F162" s="431"/>
      <c r="G162" s="260"/>
    </row>
    <row r="163" spans="1:7" ht="19.95" customHeight="1" x14ac:dyDescent="0.25">
      <c r="A163" s="474"/>
      <c r="B163" s="57" t="str">
        <f>IF('Items sous domaines Sciences '!G165=3,'Items sous domaines Sciences '!B165,0)</f>
        <v>Electricité - Electromagnétisme</v>
      </c>
      <c r="C163" s="213" t="str">
        <f>IF('Items sous domaines Sciences '!G165=3,'Items sous domaines Sciences '!C165,0)</f>
        <v>Electromagnétisme</v>
      </c>
      <c r="D163" s="216" t="str">
        <f>IF('Items sous domaines Sciences '!G165=3,'Items sous domaines Sciences '!D165,0)</f>
        <v>Les capteurs</v>
      </c>
      <c r="E163" s="216" t="str">
        <f>IF('Items sous domaines Sciences '!G165=3,'Items sous domaines Sciences '!E165,0)</f>
        <v>Citer les principes physiques de quelques capteurs de base (Pression, température, vitesse et position).</v>
      </c>
      <c r="F163" s="431"/>
      <c r="G163" s="260"/>
    </row>
    <row r="164" spans="1:7" ht="19.95" customHeight="1" x14ac:dyDescent="0.25">
      <c r="A164" s="474"/>
      <c r="B164" s="57" t="str">
        <f>IF('Items sous domaines Sciences '!G166=3,'Items sous domaines Sciences '!B166,0)</f>
        <v>Electricité - Electromagnétisme</v>
      </c>
      <c r="C164" s="212" t="str">
        <f>IF('Items sous domaines Sciences '!G166=3,'Items sous domaines Sciences '!C166,0)</f>
        <v>Electromagnétisme</v>
      </c>
      <c r="D164" s="215">
        <f>IF('Items sous domaines Sciences '!G166=3,'Items sous domaines Sciences '!D166,0)</f>
        <v>0</v>
      </c>
      <c r="E164" s="209" t="str">
        <f>IF('Items sous domaines Sciences '!G166=3,'Items sous domaines Sciences '!E166,0)</f>
        <v>Analyser les principaux signaux de mesure en régulation.</v>
      </c>
      <c r="F164" s="431"/>
      <c r="G164" s="260"/>
    </row>
    <row r="165" spans="1:7" ht="19.95" customHeight="1" thickBot="1" x14ac:dyDescent="0.3">
      <c r="A165" s="475"/>
      <c r="B165" s="286" t="str">
        <f>IF('Items sous domaines Sciences '!G167=3,'Items sous domaines Sciences '!B167,0)</f>
        <v>Electricité - Electromagnétisme</v>
      </c>
      <c r="C165" s="227" t="str">
        <f>IF('Items sous domaines Sciences '!G167=3,'Items sous domaines Sciences '!C167,0)</f>
        <v>Electromagnétisme</v>
      </c>
      <c r="D165" s="228">
        <f>IF('Items sous domaines Sciences '!G167=3,'Items sous domaines Sciences '!D167,0)</f>
        <v>0</v>
      </c>
      <c r="E165" s="228" t="str">
        <f>IF('Items sous domaines Sciences '!G167=3,'Items sous domaines Sciences '!E167,0)</f>
        <v>Comprendre la différence entre mesure absolue et mesure relative avec remise à zéro.</v>
      </c>
      <c r="F165" s="449"/>
      <c r="G165" s="262"/>
    </row>
    <row r="166" spans="1:7" customFormat="1" ht="17.7" hidden="1" customHeight="1" thickBot="1" x14ac:dyDescent="0.3">
      <c r="A166" s="12"/>
      <c r="B166" s="245">
        <f>IF('Items sous domaines Sciences '!G168=3,'Items sous domaines Sciences '!B168,0)</f>
        <v>0</v>
      </c>
      <c r="C166">
        <f>IF('Items sous domaines Sciences '!G168=3,'Items sous domaines Sciences '!C168,0)</f>
        <v>0</v>
      </c>
      <c r="D166">
        <f>IF('Items sous domaines Sciences '!G168=3,'Items sous domaines Sciences '!D168,0)</f>
        <v>0</v>
      </c>
      <c r="E166">
        <f>IF('Items sous domaines Sciences '!G168=3,'Items sous domaines Sciences '!E168,0)</f>
        <v>0</v>
      </c>
      <c r="F166" t="e">
        <f>IF('Items sous domaines Sciences '!#REF!=1,'Items sous domaines Sciences '!#REF!,0)</f>
        <v>#REF!</v>
      </c>
    </row>
    <row r="167" spans="1:7" customFormat="1" ht="17.7" hidden="1" customHeight="1" thickBot="1" x14ac:dyDescent="0.3">
      <c r="A167" s="12"/>
      <c r="B167" s="57">
        <f>IF('Items sous domaines Sciences '!G169=3,'Items sous domaines Sciences '!B169,0)</f>
        <v>0</v>
      </c>
      <c r="C167" s="8">
        <f>IF('Items sous domaines Sciences '!G169=3,'Items sous domaines Sciences '!C169,0)</f>
        <v>0</v>
      </c>
      <c r="D167" s="8">
        <f>IF('Items sous domaines Sciences '!G169=3,'Items sous domaines Sciences '!D169,0)</f>
        <v>0</v>
      </c>
      <c r="E167" s="8">
        <f>IF('Items sous domaines Sciences '!G169=3,'Items sous domaines Sciences '!E169,0)</f>
        <v>0</v>
      </c>
      <c r="F167" t="e">
        <f>IF('Items sous domaines Sciences '!#REF!=1,'Items sous domaines Sciences '!#REF!,0)</f>
        <v>#REF!</v>
      </c>
    </row>
    <row r="168" spans="1:7" customFormat="1" ht="17.7" hidden="1" customHeight="1" thickBot="1" x14ac:dyDescent="0.3">
      <c r="A168" s="12"/>
      <c r="B168" s="57">
        <f>IF('Items sous domaines Sciences '!G170=3,'Items sous domaines Sciences '!B170,0)</f>
        <v>0</v>
      </c>
      <c r="C168" s="8">
        <f>IF('Items sous domaines Sciences '!G170=3,'Items sous domaines Sciences '!C170,0)</f>
        <v>0</v>
      </c>
      <c r="D168" s="8">
        <f>IF('Items sous domaines Sciences '!G170=3,'Items sous domaines Sciences '!D170,0)</f>
        <v>0</v>
      </c>
      <c r="E168" s="8">
        <f>IF('Items sous domaines Sciences '!G170=3,'Items sous domaines Sciences '!E170,0)</f>
        <v>0</v>
      </c>
      <c r="F168" t="e">
        <f>IF('Items sous domaines Sciences '!#REF!=1,'Items sous domaines Sciences '!#REF!,0)</f>
        <v>#REF!</v>
      </c>
    </row>
    <row r="169" spans="1:7" customFormat="1" ht="17.7" hidden="1" customHeight="1" thickBot="1" x14ac:dyDescent="0.3">
      <c r="A169" s="12"/>
      <c r="B169" s="57">
        <f>IF('Items sous domaines Sciences '!G171=3,'Items sous domaines Sciences '!B171,0)</f>
        <v>0</v>
      </c>
      <c r="C169" s="8">
        <f>IF('Items sous domaines Sciences '!G171=3,'Items sous domaines Sciences '!C171,0)</f>
        <v>0</v>
      </c>
      <c r="D169" s="8">
        <f>IF('Items sous domaines Sciences '!G171=3,'Items sous domaines Sciences '!D171,0)</f>
        <v>0</v>
      </c>
      <c r="E169" s="8">
        <f>IF('Items sous domaines Sciences '!G171=3,'Items sous domaines Sciences '!E171,0)</f>
        <v>0</v>
      </c>
      <c r="F169" t="e">
        <f>IF('Items sous domaines Sciences '!#REF!=1,'Items sous domaines Sciences '!#REF!,0)</f>
        <v>#REF!</v>
      </c>
    </row>
    <row r="170" spans="1:7" customFormat="1" ht="17.7" hidden="1" customHeight="1" thickBot="1" x14ac:dyDescent="0.3">
      <c r="A170" s="12"/>
      <c r="B170" s="57">
        <f>IF('Items sous domaines Sciences '!G172=3,'Items sous domaines Sciences '!B172,0)</f>
        <v>0</v>
      </c>
      <c r="C170" s="8">
        <f>IF('Items sous domaines Sciences '!G172=3,'Items sous domaines Sciences '!C172,0)</f>
        <v>0</v>
      </c>
      <c r="D170" s="8">
        <f>IF('Items sous domaines Sciences '!G172=3,'Items sous domaines Sciences '!D172,0)</f>
        <v>0</v>
      </c>
      <c r="E170" s="8">
        <f>IF('Items sous domaines Sciences '!G172=3,'Items sous domaines Sciences '!E172,0)</f>
        <v>0</v>
      </c>
      <c r="F170" t="e">
        <f>IF('Items sous domaines Sciences '!#REF!=1,'Items sous domaines Sciences '!#REF!,0)</f>
        <v>#REF!</v>
      </c>
    </row>
    <row r="171" spans="1:7" customFormat="1" ht="17.7" hidden="1" customHeight="1" thickBot="1" x14ac:dyDescent="0.3">
      <c r="A171" s="12"/>
      <c r="B171" s="57">
        <f>IF('Items sous domaines Sciences '!G173=3,'Items sous domaines Sciences '!B173,0)</f>
        <v>0</v>
      </c>
      <c r="C171" s="8">
        <f>IF('Items sous domaines Sciences '!G173=3,'Items sous domaines Sciences '!C173,0)</f>
        <v>0</v>
      </c>
      <c r="D171" s="8">
        <f>IF('Items sous domaines Sciences '!G173=3,'Items sous domaines Sciences '!D173,0)</f>
        <v>0</v>
      </c>
      <c r="E171" s="8">
        <f>IF('Items sous domaines Sciences '!G173=3,'Items sous domaines Sciences '!E173,0)</f>
        <v>0</v>
      </c>
      <c r="F171" t="e">
        <f>IF('Items sous domaines Sciences '!#REF!=1,'Items sous domaines Sciences '!#REF!,0)</f>
        <v>#REF!</v>
      </c>
    </row>
    <row r="172" spans="1:7" customFormat="1" ht="17.7" hidden="1" customHeight="1" thickBot="1" x14ac:dyDescent="0.3">
      <c r="A172" s="12"/>
      <c r="B172" s="57">
        <f>IF('Items sous domaines Sciences '!G174=3,'Items sous domaines Sciences '!B174,0)</f>
        <v>0</v>
      </c>
      <c r="C172" s="8">
        <f>IF('Items sous domaines Sciences '!G174=3,'Items sous domaines Sciences '!C174,0)</f>
        <v>0</v>
      </c>
      <c r="D172" s="8">
        <f>IF('Items sous domaines Sciences '!G174=3,'Items sous domaines Sciences '!D174,0)</f>
        <v>0</v>
      </c>
      <c r="E172" s="8">
        <f>IF('Items sous domaines Sciences '!G174=3,'Items sous domaines Sciences '!E174,0)</f>
        <v>0</v>
      </c>
      <c r="F172" t="e">
        <f>IF('Items sous domaines Sciences '!#REF!=1,'Items sous domaines Sciences '!#REF!,0)</f>
        <v>#REF!</v>
      </c>
    </row>
    <row r="173" spans="1:7" customFormat="1" ht="17.7" hidden="1" customHeight="1" thickBot="1" x14ac:dyDescent="0.3">
      <c r="A173" s="12"/>
      <c r="B173" s="57">
        <f>IF('Items sous domaines Sciences '!G175=3,'Items sous domaines Sciences '!B175,0)</f>
        <v>0</v>
      </c>
      <c r="C173" s="8">
        <f>IF('Items sous domaines Sciences '!G175=3,'Items sous domaines Sciences '!C175,0)</f>
        <v>0</v>
      </c>
      <c r="D173" s="8">
        <f>IF('Items sous domaines Sciences '!G175=3,'Items sous domaines Sciences '!D175,0)</f>
        <v>0</v>
      </c>
      <c r="E173" s="8">
        <f>IF('Items sous domaines Sciences '!G175=3,'Items sous domaines Sciences '!E175,0)</f>
        <v>0</v>
      </c>
      <c r="F173" t="e">
        <f>IF('Items sous domaines Sciences '!#REF!=1,'Items sous domaines Sciences '!#REF!,0)</f>
        <v>#REF!</v>
      </c>
    </row>
    <row r="174" spans="1:7" customFormat="1" ht="17.7" hidden="1" customHeight="1" thickBot="1" x14ac:dyDescent="0.3">
      <c r="A174" s="12"/>
      <c r="B174" s="57">
        <f>IF('Items sous domaines Sciences '!G176=3,'Items sous domaines Sciences '!B176,0)</f>
        <v>0</v>
      </c>
      <c r="C174" s="8">
        <f>IF('Items sous domaines Sciences '!G176=3,'Items sous domaines Sciences '!C176,0)</f>
        <v>0</v>
      </c>
      <c r="D174" s="8">
        <f>IF('Items sous domaines Sciences '!G176=3,'Items sous domaines Sciences '!D176,0)</f>
        <v>0</v>
      </c>
      <c r="E174" s="8">
        <f>IF('Items sous domaines Sciences '!G176=3,'Items sous domaines Sciences '!E176,0)</f>
        <v>0</v>
      </c>
      <c r="F174" t="e">
        <f>IF('Items sous domaines Sciences '!#REF!=1,'Items sous domaines Sciences '!#REF!,0)</f>
        <v>#REF!</v>
      </c>
    </row>
    <row r="175" spans="1:7" customFormat="1" ht="17.7" hidden="1" customHeight="1" thickBot="1" x14ac:dyDescent="0.3">
      <c r="A175" s="12"/>
      <c r="B175" s="57">
        <f>IF('Items sous domaines Sciences '!G177=3,'Items sous domaines Sciences '!B177,0)</f>
        <v>0</v>
      </c>
      <c r="C175" s="8">
        <f>IF('Items sous domaines Sciences '!G177=3,'Items sous domaines Sciences '!C177,0)</f>
        <v>0</v>
      </c>
      <c r="D175" s="8">
        <f>IF('Items sous domaines Sciences '!G177=3,'Items sous domaines Sciences '!D177,0)</f>
        <v>0</v>
      </c>
      <c r="E175" s="8">
        <f>IF('Items sous domaines Sciences '!G177=3,'Items sous domaines Sciences '!E177,0)</f>
        <v>0</v>
      </c>
      <c r="F175" t="e">
        <f>IF('Items sous domaines Sciences '!#REF!=1,'Items sous domaines Sciences '!#REF!,0)</f>
        <v>#REF!</v>
      </c>
    </row>
    <row r="176" spans="1:7" customFormat="1" ht="17.7" hidden="1" customHeight="1" thickBot="1" x14ac:dyDescent="0.3">
      <c r="A176" s="12"/>
      <c r="B176" s="57">
        <f>IF('Items sous domaines Sciences '!G178=3,'Items sous domaines Sciences '!B178,0)</f>
        <v>0</v>
      </c>
      <c r="C176" s="8">
        <f>IF('Items sous domaines Sciences '!G178=3,'Items sous domaines Sciences '!C178,0)</f>
        <v>0</v>
      </c>
      <c r="D176" s="8">
        <f>IF('Items sous domaines Sciences '!G178=3,'Items sous domaines Sciences '!D178,0)</f>
        <v>0</v>
      </c>
      <c r="E176" s="8">
        <f>IF('Items sous domaines Sciences '!G178=3,'Items sous domaines Sciences '!E178,0)</f>
        <v>0</v>
      </c>
      <c r="F176" t="e">
        <f>IF('Items sous domaines Sciences '!#REF!=1,'Items sous domaines Sciences '!#REF!,0)</f>
        <v>#REF!</v>
      </c>
    </row>
    <row r="177" spans="1:7" customFormat="1" ht="17.7" hidden="1" customHeight="1" thickBot="1" x14ac:dyDescent="0.3">
      <c r="A177" s="12"/>
      <c r="B177" s="57">
        <f>IF('Items sous domaines Sciences '!G179=3,'Items sous domaines Sciences '!B179,0)</f>
        <v>0</v>
      </c>
      <c r="C177" s="8">
        <f>IF('Items sous domaines Sciences '!G179=3,'Items sous domaines Sciences '!C179,0)</f>
        <v>0</v>
      </c>
      <c r="D177" s="8">
        <f>IF('Items sous domaines Sciences '!G179=3,'Items sous domaines Sciences '!D179,0)</f>
        <v>0</v>
      </c>
      <c r="E177" s="8">
        <f>IF('Items sous domaines Sciences '!G179=3,'Items sous domaines Sciences '!E179,0)</f>
        <v>0</v>
      </c>
      <c r="F177" t="e">
        <f>IF('Items sous domaines Sciences '!#REF!=1,'Items sous domaines Sciences '!#REF!,0)</f>
        <v>#REF!</v>
      </c>
    </row>
    <row r="178" spans="1:7" customFormat="1" ht="17.7" hidden="1" customHeight="1" thickBot="1" x14ac:dyDescent="0.3">
      <c r="A178" s="12"/>
      <c r="B178" s="57">
        <f>IF('Items sous domaines Sciences '!G180=3,'Items sous domaines Sciences '!B180,0)</f>
        <v>0</v>
      </c>
      <c r="C178" s="8">
        <f>IF('Items sous domaines Sciences '!G180=3,'Items sous domaines Sciences '!C180,0)</f>
        <v>0</v>
      </c>
      <c r="D178" s="8">
        <f>IF('Items sous domaines Sciences '!G180=3,'Items sous domaines Sciences '!D180,0)</f>
        <v>0</v>
      </c>
      <c r="E178" s="8">
        <f>IF('Items sous domaines Sciences '!G180=3,'Items sous domaines Sciences '!E180,0)</f>
        <v>0</v>
      </c>
      <c r="F178" t="e">
        <f>IF('Items sous domaines Sciences '!#REF!=1,'Items sous domaines Sciences '!#REF!,0)</f>
        <v>#REF!</v>
      </c>
    </row>
    <row r="179" spans="1:7" customFormat="1" ht="17.7" hidden="1" customHeight="1" thickBot="1" x14ac:dyDescent="0.3">
      <c r="A179" s="12"/>
      <c r="B179" s="57">
        <f>IF('Items sous domaines Sciences '!G181=3,'Items sous domaines Sciences '!B181,0)</f>
        <v>0</v>
      </c>
      <c r="C179" s="8">
        <f>IF('Items sous domaines Sciences '!G181=3,'Items sous domaines Sciences '!C181,0)</f>
        <v>0</v>
      </c>
      <c r="D179" s="8">
        <f>IF('Items sous domaines Sciences '!G181=3,'Items sous domaines Sciences '!D181,0)</f>
        <v>0</v>
      </c>
      <c r="E179" s="8">
        <f>IF('Items sous domaines Sciences '!G181=3,'Items sous domaines Sciences '!E181,0)</f>
        <v>0</v>
      </c>
      <c r="F179" t="e">
        <f>IF('Items sous domaines Sciences '!#REF!=1,'Items sous domaines Sciences '!#REF!,0)</f>
        <v>#REF!</v>
      </c>
    </row>
    <row r="180" spans="1:7" customFormat="1" ht="17.7" hidden="1" customHeight="1" thickBot="1" x14ac:dyDescent="0.3">
      <c r="A180" s="12"/>
      <c r="B180" s="57">
        <f>IF('Items sous domaines Sciences '!G182=3,'Items sous domaines Sciences '!B182,0)</f>
        <v>0</v>
      </c>
      <c r="C180" s="8">
        <f>IF('Items sous domaines Sciences '!G182=3,'Items sous domaines Sciences '!C182,0)</f>
        <v>0</v>
      </c>
      <c r="D180" s="8">
        <f>IF('Items sous domaines Sciences '!G182=3,'Items sous domaines Sciences '!D182,0)</f>
        <v>0</v>
      </c>
      <c r="E180" s="8">
        <f>IF('Items sous domaines Sciences '!G182=3,'Items sous domaines Sciences '!E182,0)</f>
        <v>0</v>
      </c>
      <c r="F180" t="e">
        <f>IF('Items sous domaines Sciences '!#REF!=1,'Items sous domaines Sciences '!#REF!,0)</f>
        <v>#REF!</v>
      </c>
    </row>
    <row r="181" spans="1:7" customFormat="1" ht="17.7" hidden="1" customHeight="1" thickBot="1" x14ac:dyDescent="0.3">
      <c r="A181" s="12"/>
      <c r="B181" s="57">
        <f>IF('Items sous domaines Sciences '!G183=3,'Items sous domaines Sciences '!B183,0)</f>
        <v>0</v>
      </c>
      <c r="C181" s="8">
        <f>IF('Items sous domaines Sciences '!G183=3,'Items sous domaines Sciences '!C183,0)</f>
        <v>0</v>
      </c>
      <c r="D181" s="8">
        <f>IF('Items sous domaines Sciences '!G183=3,'Items sous domaines Sciences '!D183,0)</f>
        <v>0</v>
      </c>
      <c r="E181" s="8">
        <f>IF('Items sous domaines Sciences '!G183=3,'Items sous domaines Sciences '!E183,0)</f>
        <v>0</v>
      </c>
      <c r="F181" t="e">
        <f>IF('Items sous domaines Sciences '!#REF!=1,'Items sous domaines Sciences '!#REF!,0)</f>
        <v>#REF!</v>
      </c>
    </row>
    <row r="182" spans="1:7" customFormat="1" ht="17.7" hidden="1" customHeight="1" thickBot="1" x14ac:dyDescent="0.3">
      <c r="A182" s="12"/>
      <c r="B182" s="57">
        <f>IF('Items sous domaines Sciences '!G184=3,'Items sous domaines Sciences '!B184,0)</f>
        <v>0</v>
      </c>
      <c r="C182" s="8">
        <f>IF('Items sous domaines Sciences '!G184=3,'Items sous domaines Sciences '!C184,0)</f>
        <v>0</v>
      </c>
      <c r="D182" s="8">
        <f>IF('Items sous domaines Sciences '!G184=3,'Items sous domaines Sciences '!D184,0)</f>
        <v>0</v>
      </c>
      <c r="E182" s="8">
        <f>IF('Items sous domaines Sciences '!G184=3,'Items sous domaines Sciences '!E184,0)</f>
        <v>0</v>
      </c>
      <c r="F182" t="e">
        <f>IF('Items sous domaines Sciences '!#REF!=1,'Items sous domaines Sciences '!#REF!,0)</f>
        <v>#REF!</v>
      </c>
    </row>
    <row r="183" spans="1:7" customFormat="1" ht="17.7" hidden="1" customHeight="1" thickBot="1" x14ac:dyDescent="0.3">
      <c r="A183" s="12"/>
      <c r="B183" s="57">
        <f>IF('Items sous domaines Sciences '!G185=3,'Items sous domaines Sciences '!B185,0)</f>
        <v>0</v>
      </c>
      <c r="C183" s="8">
        <f>IF('Items sous domaines Sciences '!G185=3,'Items sous domaines Sciences '!C185,0)</f>
        <v>0</v>
      </c>
      <c r="D183" s="8">
        <f>IF('Items sous domaines Sciences '!G185=3,'Items sous domaines Sciences '!D185,0)</f>
        <v>0</v>
      </c>
      <c r="E183" s="8">
        <f>IF('Items sous domaines Sciences '!G185=3,'Items sous domaines Sciences '!E185,0)</f>
        <v>0</v>
      </c>
      <c r="F183" t="e">
        <f>IF('Items sous domaines Sciences '!#REF!=1,'Items sous domaines Sciences '!#REF!,0)</f>
        <v>#REF!</v>
      </c>
    </row>
    <row r="184" spans="1:7" customFormat="1" ht="17.7" hidden="1" customHeight="1" thickBot="1" x14ac:dyDescent="0.3">
      <c r="A184" s="12"/>
      <c r="B184" s="57">
        <f>IF('Items sous domaines Sciences '!G186=3,'Items sous domaines Sciences '!B186,0)</f>
        <v>0</v>
      </c>
      <c r="C184" s="8">
        <f>IF('Items sous domaines Sciences '!G186=3,'Items sous domaines Sciences '!C186,0)</f>
        <v>0</v>
      </c>
      <c r="D184" s="8">
        <f>IF('Items sous domaines Sciences '!G186=3,'Items sous domaines Sciences '!D186,0)</f>
        <v>0</v>
      </c>
      <c r="E184" s="8">
        <f>IF('Items sous domaines Sciences '!G186=3,'Items sous domaines Sciences '!E186,0)</f>
        <v>0</v>
      </c>
      <c r="F184" t="e">
        <f>IF('Items sous domaines Sciences '!#REF!=1,'Items sous domaines Sciences '!#REF!,0)</f>
        <v>#REF!</v>
      </c>
    </row>
    <row r="185" spans="1:7" customFormat="1" ht="17.7" hidden="1" customHeight="1" thickBot="1" x14ac:dyDescent="0.3">
      <c r="A185" s="12"/>
      <c r="B185" s="57">
        <f>IF('Items sous domaines Sciences '!G187=3,'Items sous domaines Sciences '!B187,0)</f>
        <v>0</v>
      </c>
      <c r="C185" s="8">
        <f>IF('Items sous domaines Sciences '!G187=3,'Items sous domaines Sciences '!C187,0)</f>
        <v>0</v>
      </c>
      <c r="D185" s="8">
        <f>IF('Items sous domaines Sciences '!G187=3,'Items sous domaines Sciences '!D187,0)</f>
        <v>0</v>
      </c>
      <c r="E185" s="8">
        <f>IF('Items sous domaines Sciences '!G187=3,'Items sous domaines Sciences '!E187,0)</f>
        <v>0</v>
      </c>
      <c r="F185" t="e">
        <f>IF('Items sous domaines Sciences '!#REF!=1,'Items sous domaines Sciences '!#REF!,0)</f>
        <v>#REF!</v>
      </c>
    </row>
    <row r="186" spans="1:7" customFormat="1" ht="17.399999999999999" hidden="1" customHeight="1" thickBot="1" x14ac:dyDescent="0.3">
      <c r="A186" s="12"/>
      <c r="B186" s="57">
        <f>IF('Items sous domaines Sciences '!G188=3,'Items sous domaines Sciences '!B188,0)</f>
        <v>0</v>
      </c>
      <c r="C186" s="8">
        <f>IF('Items sous domaines Sciences '!G188=3,'Items sous domaines Sciences '!C188,0)</f>
        <v>0</v>
      </c>
      <c r="D186" s="8">
        <f>IF('Items sous domaines Sciences '!G188=3,'Items sous domaines Sciences '!D188,0)</f>
        <v>0</v>
      </c>
      <c r="E186" s="8">
        <f>IF('Items sous domaines Sciences '!G188=3,'Items sous domaines Sciences '!E188,0)</f>
        <v>0</v>
      </c>
      <c r="F186" t="e">
        <f>IF('Items sous domaines Sciences '!#REF!=1,'Items sous domaines Sciences '!#REF!,0)</f>
        <v>#REF!</v>
      </c>
    </row>
    <row r="187" spans="1:7" customFormat="1" ht="17.399999999999999" hidden="1" customHeight="1" thickBot="1" x14ac:dyDescent="0.3">
      <c r="A187" s="12"/>
      <c r="B187" s="57">
        <f>IF('Items sous domaines Sciences '!G189=3,'Items sous domaines Sciences '!B189,0)</f>
        <v>0</v>
      </c>
      <c r="C187" s="8">
        <f>IF('Items sous domaines Sciences '!G189=3,'Items sous domaines Sciences '!C189,0)</f>
        <v>0</v>
      </c>
      <c r="D187" s="8">
        <f>IF('Items sous domaines Sciences '!G189=3,'Items sous domaines Sciences '!D189,0)</f>
        <v>0</v>
      </c>
      <c r="E187" s="8">
        <f>IF('Items sous domaines Sciences '!G189=3,'Items sous domaines Sciences '!E189,0)</f>
        <v>0</v>
      </c>
      <c r="F187" t="e">
        <f>IF('Items sous domaines Sciences '!#REF!=1,'Items sous domaines Sciences '!#REF!,0)</f>
        <v>#REF!</v>
      </c>
    </row>
    <row r="188" spans="1:7" customFormat="1" ht="17.399999999999999" hidden="1" customHeight="1" thickBot="1" x14ac:dyDescent="0.3">
      <c r="A188" s="12"/>
      <c r="B188" s="57">
        <f>IF('Items sous domaines Sciences '!G190=3,'Items sous domaines Sciences '!B190,0)</f>
        <v>0</v>
      </c>
      <c r="C188" s="8">
        <f>IF('Items sous domaines Sciences '!G190=3,'Items sous domaines Sciences '!C190,0)</f>
        <v>0</v>
      </c>
      <c r="D188" s="8">
        <f>IF('Items sous domaines Sciences '!G190=3,'Items sous domaines Sciences '!D190,0)</f>
        <v>0</v>
      </c>
      <c r="E188" s="8">
        <f>IF('Items sous domaines Sciences '!G190=3,'Items sous domaines Sciences '!E190,0)</f>
        <v>0</v>
      </c>
      <c r="F188" t="e">
        <f>IF('Items sous domaines Sciences '!#REF!=1,'Items sous domaines Sciences '!#REF!,0)</f>
        <v>#REF!</v>
      </c>
    </row>
    <row r="189" spans="1:7" customFormat="1" ht="17.399999999999999" hidden="1" customHeight="1" thickBot="1" x14ac:dyDescent="0.3">
      <c r="A189" s="12"/>
      <c r="B189" s="57">
        <f>IF('Items sous domaines Sciences '!G191=3,'Items sous domaines Sciences '!B191,0)</f>
        <v>0</v>
      </c>
      <c r="C189" s="8">
        <f>IF('Items sous domaines Sciences '!G191=3,'Items sous domaines Sciences '!C191,0)</f>
        <v>0</v>
      </c>
      <c r="D189" s="8">
        <f>IF('Items sous domaines Sciences '!G191=3,'Items sous domaines Sciences '!D191,0)</f>
        <v>0</v>
      </c>
      <c r="E189" s="8">
        <f>IF('Items sous domaines Sciences '!G191=3,'Items sous domaines Sciences '!E191,0)</f>
        <v>0</v>
      </c>
      <c r="F189" t="e">
        <f>IF('Items sous domaines Sciences '!#REF!=1,'Items sous domaines Sciences '!#REF!,0)</f>
        <v>#REF!</v>
      </c>
    </row>
    <row r="190" spans="1:7" customFormat="1" ht="17.399999999999999" hidden="1" customHeight="1" thickBot="1" x14ac:dyDescent="0.3">
      <c r="A190" s="12"/>
      <c r="B190" s="57">
        <f>IF('Items sous domaines Sciences '!G192=3,'Items sous domaines Sciences '!B192,0)</f>
        <v>0</v>
      </c>
      <c r="C190" s="8">
        <f>IF('Items sous domaines Sciences '!G192=3,'Items sous domaines Sciences '!C192,0)</f>
        <v>0</v>
      </c>
      <c r="D190" s="8">
        <f>IF('Items sous domaines Sciences '!G192=3,'Items sous domaines Sciences '!D192,0)</f>
        <v>0</v>
      </c>
      <c r="E190" s="8">
        <f>IF('Items sous domaines Sciences '!G192=3,'Items sous domaines Sciences '!E192,0)</f>
        <v>0</v>
      </c>
      <c r="F190" t="e">
        <f>IF('Items sous domaines Sciences '!#REF!=1,'Items sous domaines Sciences '!#REF!,0)</f>
        <v>#REF!</v>
      </c>
    </row>
    <row r="191" spans="1:7" customFormat="1" ht="17.399999999999999" hidden="1" customHeight="1" thickBot="1" x14ac:dyDescent="0.3">
      <c r="A191" s="420" t="s">
        <v>462</v>
      </c>
      <c r="B191" s="57">
        <f>IF('Items sous domaines Sciences '!G193=3,'Items sous domaines Sciences '!B193,0)</f>
        <v>0</v>
      </c>
      <c r="C191" s="8">
        <f>IF('Items sous domaines Sciences '!G193=3,'Items sous domaines Sciences '!C193,0)</f>
        <v>0</v>
      </c>
      <c r="D191" s="8">
        <f>IF('Items sous domaines Sciences '!G193=3,'Items sous domaines Sciences '!D193,0)</f>
        <v>0</v>
      </c>
      <c r="E191" s="8">
        <f>IF('Items sous domaines Sciences '!G193=3,'Items sous domaines Sciences '!E193,0)</f>
        <v>0</v>
      </c>
      <c r="F191" s="380" t="s">
        <v>463</v>
      </c>
      <c r="G191" s="333" t="s">
        <v>464</v>
      </c>
    </row>
    <row r="192" spans="1:7" customFormat="1" ht="17.399999999999999" hidden="1" customHeight="1" thickBot="1" x14ac:dyDescent="0.3">
      <c r="A192" s="421"/>
      <c r="B192" s="107">
        <f>IF('Items sous domaines Sciences '!G194=3,'Items sous domaines Sciences '!B194,0)</f>
        <v>0</v>
      </c>
      <c r="C192" s="8">
        <f>IF('Items sous domaines Sciences '!G194=3,'Items sous domaines Sciences '!C194,0)</f>
        <v>0</v>
      </c>
      <c r="D192" s="8">
        <f>IF('Items sous domaines Sciences '!G194=3,'Items sous domaines Sciences '!D194,0)</f>
        <v>0</v>
      </c>
      <c r="E192" s="8">
        <f>IF('Items sous domaines Sciences '!G194=3,'Items sous domaines Sciences '!E194,0)</f>
        <v>0</v>
      </c>
      <c r="F192" s="380"/>
      <c r="G192" s="458"/>
    </row>
    <row r="193" spans="1:7" ht="19.95" customHeight="1" thickTop="1" x14ac:dyDescent="0.25">
      <c r="A193" s="467"/>
      <c r="B193" s="287" t="str">
        <f>IF('Items sous domaines Sciences '!G195=3,'Items sous domaines Sciences '!B195,0)</f>
        <v>Electricité - Electromagnétisme</v>
      </c>
      <c r="C193" s="225" t="str">
        <f>IF('Items sous domaines Sciences '!G195=3,'Items sous domaines Sciences '!C195,0)</f>
        <v>Automatique</v>
      </c>
      <c r="D193" s="226">
        <f>IF('Items sous domaines Sciences '!G195=3,'Items sous domaines Sciences '!D195,0)</f>
        <v>0</v>
      </c>
      <c r="E193" s="226" t="str">
        <f>IF('Items sous domaines Sciences '!G195=3,'Items sous domaines Sciences '!E195,0)</f>
        <v>Décrire la structure d'un système asservi.</v>
      </c>
      <c r="F193" s="430"/>
      <c r="G193" s="454"/>
    </row>
    <row r="194" spans="1:7" ht="19.95" customHeight="1" x14ac:dyDescent="0.25">
      <c r="A194" s="467"/>
      <c r="B194" s="57" t="str">
        <f>IF('Items sous domaines Sciences '!G196=3,'Items sous domaines Sciences '!B196,0)</f>
        <v>Electricité - Electromagnétisme</v>
      </c>
      <c r="C194" s="212" t="str">
        <f>IF('Items sous domaines Sciences '!G196=3,'Items sous domaines Sciences '!C196,0)</f>
        <v>Automatique</v>
      </c>
      <c r="D194" s="215">
        <f>IF('Items sous domaines Sciences '!G196=3,'Items sous domaines Sciences '!D196,0)</f>
        <v>0</v>
      </c>
      <c r="E194" s="209" t="str">
        <f>IF('Items sous domaines Sciences '!G196=3,'Items sous domaines Sciences '!E196,0)</f>
        <v>Modéliser un système en boucle ouverte ou en boucle fermée dans un schéma bloc par les fonctions de transfert.</v>
      </c>
      <c r="F194" s="431"/>
      <c r="G194" s="456"/>
    </row>
    <row r="195" spans="1:7" ht="19.95" customHeight="1" x14ac:dyDescent="0.25">
      <c r="A195" s="467"/>
      <c r="B195" s="57" t="str">
        <f>IF('Items sous domaines Sciences '!G197=3,'Items sous domaines Sciences '!B197,0)</f>
        <v>Electricité - Electromagnétisme</v>
      </c>
      <c r="C195" s="213" t="str">
        <f>IF('Items sous domaines Sciences '!G197=3,'Items sous domaines Sciences '!C197,0)</f>
        <v>Automatique</v>
      </c>
      <c r="D195" s="216">
        <f>IF('Items sous domaines Sciences '!G197=3,'Items sous domaines Sciences '!D197,0)</f>
        <v>0</v>
      </c>
      <c r="E195" s="216" t="str">
        <f>IF('Items sous domaines Sciences '!G197=3,'Items sous domaines Sciences '!E197,0)</f>
        <v>Modéliser un système linéaire invariant.</v>
      </c>
      <c r="F195" s="431"/>
      <c r="G195" s="456"/>
    </row>
    <row r="196" spans="1:7" ht="19.95" customHeight="1" x14ac:dyDescent="0.25">
      <c r="A196" s="467"/>
      <c r="B196" s="57" t="str">
        <f>IF('Items sous domaines Sciences '!G198=3,'Items sous domaines Sciences '!B198,0)</f>
        <v>Electricité - Electromagnétisme</v>
      </c>
      <c r="C196" s="212" t="str">
        <f>IF('Items sous domaines Sciences '!G198=3,'Items sous domaines Sciences '!C198,0)</f>
        <v>Automatique</v>
      </c>
      <c r="D196" s="215">
        <f>IF('Items sous domaines Sciences '!G198=3,'Items sous domaines Sciences '!D198,0)</f>
        <v>0</v>
      </c>
      <c r="E196" s="209" t="str">
        <f>IF('Items sous domaines Sciences '!G198=3,'Items sous domaines Sciences '!E198,0)</f>
        <v>Calculer la fonction de transfert d'un système asservi à partir de signaux de commande donnés : rampe, échelon, impulsion de Dirac.</v>
      </c>
      <c r="F196" s="431"/>
      <c r="G196" s="456"/>
    </row>
    <row r="197" spans="1:7" ht="19.95" customHeight="1" x14ac:dyDescent="0.25">
      <c r="A197" s="467"/>
      <c r="B197" s="57" t="str">
        <f>IF('Items sous domaines Sciences '!G199=3,'Items sous domaines Sciences '!B199,0)</f>
        <v>Electricité - Electromagnétisme</v>
      </c>
      <c r="C197" s="213" t="str">
        <f>IF('Items sous domaines Sciences '!G199=3,'Items sous domaines Sciences '!C199,0)</f>
        <v>Automatique</v>
      </c>
      <c r="D197" s="216">
        <f>IF('Items sous domaines Sciences '!G199=3,'Items sous domaines Sciences '!D199,0)</f>
        <v>0</v>
      </c>
      <c r="E197" s="216" t="str">
        <f>IF('Items sous domaines Sciences '!G199=3,'Items sous domaines Sciences '!E199,0)</f>
        <v>Calculer la Transformée de Laplace directe et inverse d'un système.</v>
      </c>
      <c r="F197" s="431"/>
      <c r="G197" s="456"/>
    </row>
    <row r="198" spans="1:7" ht="19.95" customHeight="1" x14ac:dyDescent="0.25">
      <c r="A198" s="467"/>
      <c r="B198" s="57" t="str">
        <f>IF('Items sous domaines Sciences '!G200=3,'Items sous domaines Sciences '!B200,0)</f>
        <v>Electricité - Electromagnétisme</v>
      </c>
      <c r="C198" s="212" t="str">
        <f>IF('Items sous domaines Sciences '!G200=3,'Items sous domaines Sciences '!C200,0)</f>
        <v>Automatique</v>
      </c>
      <c r="D198" s="215">
        <f>IF('Items sous domaines Sciences '!G200=3,'Items sous domaines Sciences '!D200,0)</f>
        <v>0</v>
      </c>
      <c r="E198" s="209" t="str">
        <f>IF('Items sous domaines Sciences '!G200=3,'Items sous domaines Sciences '!E200,0)</f>
        <v>Expliquer le rôle d'un correcteur dans un système asservi.</v>
      </c>
      <c r="F198" s="431"/>
      <c r="G198" s="456"/>
    </row>
    <row r="199" spans="1:7" ht="19.95" customHeight="1" x14ac:dyDescent="0.25">
      <c r="A199" s="467"/>
      <c r="B199" s="57" t="str">
        <f>IF('Items sous domaines Sciences '!G201=3,'Items sous domaines Sciences '!B201,0)</f>
        <v>Electricité - Electromagnétisme</v>
      </c>
      <c r="C199" s="213" t="str">
        <f>IF('Items sous domaines Sciences '!G201=3,'Items sous domaines Sciences '!C201,0)</f>
        <v>Automatique</v>
      </c>
      <c r="D199" s="216">
        <f>IF('Items sous domaines Sciences '!G201=3,'Items sous domaines Sciences '!D201,0)</f>
        <v>0</v>
      </c>
      <c r="E199" s="216" t="str">
        <f>IF('Items sous domaines Sciences '!G201=3,'Items sous domaines Sciences '!E201,0)</f>
        <v>Utiliser les correcteurs : P, PI ou PID.</v>
      </c>
      <c r="F199" s="431"/>
      <c r="G199" s="456"/>
    </row>
    <row r="200" spans="1:7" ht="19.95" customHeight="1" x14ac:dyDescent="0.25">
      <c r="A200" s="467"/>
      <c r="B200" s="57" t="str">
        <f>IF('Items sous domaines Sciences '!G202=3,'Items sous domaines Sciences '!B202,0)</f>
        <v>Electricité - Electromagnétisme</v>
      </c>
      <c r="C200" s="212" t="str">
        <f>IF('Items sous domaines Sciences '!G202=3,'Items sous domaines Sciences '!C202,0)</f>
        <v>Automatique</v>
      </c>
      <c r="D200" s="215">
        <f>IF('Items sous domaines Sciences '!G202=3,'Items sous domaines Sciences '!D202,0)</f>
        <v>0</v>
      </c>
      <c r="E200" s="209" t="str">
        <f>IF('Items sous domaines Sciences '!G202=3,'Items sous domaines Sciences '!E202,0)</f>
        <v xml:space="preserve">Comprendre la différence entre un fonctionnement en régulation et un fonctionnement en asservissement. </v>
      </c>
      <c r="F200" s="431"/>
      <c r="G200" s="456"/>
    </row>
    <row r="201" spans="1:7" ht="19.95" customHeight="1" x14ac:dyDescent="0.25">
      <c r="A201" s="467"/>
      <c r="B201" s="57" t="str">
        <f>IF('Items sous domaines Sciences '!G203=3,'Items sous domaines Sciences '!B203,0)</f>
        <v>Electricité - Electromagnétisme</v>
      </c>
      <c r="C201" s="213" t="str">
        <f>IF('Items sous domaines Sciences '!G203=3,'Items sous domaines Sciences '!C203,0)</f>
        <v>Automatique</v>
      </c>
      <c r="D201" s="216">
        <f>IF('Items sous domaines Sciences '!G203=3,'Items sous domaines Sciences '!D203,0)</f>
        <v>0</v>
      </c>
      <c r="E201" s="216" t="str">
        <f>IF('Items sous domaines Sciences '!G203=3,'Items sous domaines Sciences '!E203,0)</f>
        <v>Analyser les performances en stabilité d'un système asservi du 1er et ou du 2ème ordre à l'aide des réponses temporelles et fréquentielles.</v>
      </c>
      <c r="F201" s="431"/>
      <c r="G201" s="456"/>
    </row>
    <row r="202" spans="1:7" ht="19.95" customHeight="1" x14ac:dyDescent="0.25">
      <c r="A202" s="467"/>
      <c r="B202" s="57" t="str">
        <f>IF('Items sous domaines Sciences '!G204=3,'Items sous domaines Sciences '!B204,0)</f>
        <v>Electricité - Electromagnétisme</v>
      </c>
      <c r="C202" s="212" t="str">
        <f>IF('Items sous domaines Sciences '!G204=3,'Items sous domaines Sciences '!C204,0)</f>
        <v>Automatique</v>
      </c>
      <c r="D202" s="215">
        <f>IF('Items sous domaines Sciences '!G204=3,'Items sous domaines Sciences '!D204,0)</f>
        <v>0</v>
      </c>
      <c r="E202" s="209" t="str">
        <f>IF('Items sous domaines Sciences '!G204=3,'Items sous domaines Sciences '!E204,0)</f>
        <v>Citer les performances en précision d'un système asservi du 1er et ou du 2ème ordre.</v>
      </c>
      <c r="F202" s="431"/>
      <c r="G202" s="456"/>
    </row>
    <row r="203" spans="1:7" ht="19.95" customHeight="1" x14ac:dyDescent="0.25">
      <c r="A203" s="467"/>
      <c r="B203" s="57" t="str">
        <f>IF('Items sous domaines Sciences '!G205=3,'Items sous domaines Sciences '!B205,0)</f>
        <v>Electricité - Electromagnétisme</v>
      </c>
      <c r="C203" s="213" t="str">
        <f>IF('Items sous domaines Sciences '!G205=3,'Items sous domaines Sciences '!C205,0)</f>
        <v>Automatique</v>
      </c>
      <c r="D203" s="216">
        <f>IF('Items sous domaines Sciences '!G205=3,'Items sous domaines Sciences '!D205,0)</f>
        <v>0</v>
      </c>
      <c r="E203" s="216" t="str">
        <f>IF('Items sous domaines Sciences '!G205=3,'Items sous domaines Sciences '!E205,0)</f>
        <v>Citer les performances en rapidité d'un système asservi du 1er et ou du 2ème ordre.</v>
      </c>
      <c r="F203" s="431"/>
      <c r="G203" s="456"/>
    </row>
    <row r="204" spans="1:7" ht="19.95" customHeight="1" thickBot="1" x14ac:dyDescent="0.3">
      <c r="A204" s="467"/>
      <c r="B204" s="57" t="str">
        <f>IF('Items sous domaines Sciences '!G206=3,'Items sous domaines Sciences '!B206,0)</f>
        <v>Electricité - Electromagnétisme</v>
      </c>
      <c r="C204" s="229" t="str">
        <f>IF('Items sous domaines Sciences '!G206=3,'Items sous domaines Sciences '!C206,0)</f>
        <v>Automatique</v>
      </c>
      <c r="D204" s="230">
        <f>IF('Items sous domaines Sciences '!G206=3,'Items sous domaines Sciences '!D206,0)</f>
        <v>0</v>
      </c>
      <c r="E204" s="231" t="str">
        <f>IF('Items sous domaines Sciences '!G206=3,'Items sous domaines Sciences '!E206,0)</f>
        <v>Expérimenter (Régler) un correcteur pour atteindre les performances souhaitées.</v>
      </c>
      <c r="F204" s="472"/>
      <c r="G204" s="457"/>
    </row>
    <row r="205" spans="1:7" customFormat="1" ht="17.399999999999999" hidden="1" customHeight="1" thickBot="1" x14ac:dyDescent="0.3">
      <c r="A205" s="421"/>
      <c r="B205">
        <f>IF('Items sous domaines Sciences '!G207=3,'Items sous domaines Sciences '!B207,0)</f>
        <v>0</v>
      </c>
      <c r="C205">
        <f>IF('Items sous domaines Sciences '!G207=3,'Items sous domaines Sciences '!C207,0)</f>
        <v>0</v>
      </c>
      <c r="D205">
        <f>IF('Items sous domaines Sciences '!G207=3,'Items sous domaines Sciences '!D207,0)</f>
        <v>0</v>
      </c>
      <c r="E205">
        <f>IF('Items sous domaines Sciences '!G207=3,'Items sous domaines Sciences '!E207,0)</f>
        <v>0</v>
      </c>
      <c r="F205" s="380"/>
      <c r="G205" s="458"/>
    </row>
    <row r="206" spans="1:7" customFormat="1" ht="17.399999999999999" hidden="1" customHeight="1" thickBot="1" x14ac:dyDescent="0.3">
      <c r="A206" s="421"/>
      <c r="B206" s="8">
        <f>IF('Items sous domaines Sciences '!G208=3,'Items sous domaines Sciences '!B208,0)</f>
        <v>0</v>
      </c>
      <c r="C206" s="8">
        <f>IF('Items sous domaines Sciences '!G208=3,'Items sous domaines Sciences '!C208,0)</f>
        <v>0</v>
      </c>
      <c r="D206" s="8">
        <f>IF('Items sous domaines Sciences '!G208=3,'Items sous domaines Sciences '!D208,0)</f>
        <v>0</v>
      </c>
      <c r="E206" s="8">
        <f>IF('Items sous domaines Sciences '!G208=3,'Items sous domaines Sciences '!E208,0)</f>
        <v>0</v>
      </c>
      <c r="F206" s="380"/>
      <c r="G206" s="458"/>
    </row>
    <row r="207" spans="1:7" customFormat="1" ht="17.399999999999999" hidden="1" customHeight="1" thickBot="1" x14ac:dyDescent="0.3">
      <c r="A207" s="421"/>
      <c r="B207" s="8">
        <f>IF('Items sous domaines Sciences '!G209=3,'Items sous domaines Sciences '!B209,0)</f>
        <v>0</v>
      </c>
      <c r="C207" s="8">
        <f>IF('Items sous domaines Sciences '!G209=3,'Items sous domaines Sciences '!C209,0)</f>
        <v>0</v>
      </c>
      <c r="D207" s="8">
        <f>IF('Items sous domaines Sciences '!G209=3,'Items sous domaines Sciences '!D209,0)</f>
        <v>0</v>
      </c>
      <c r="E207" s="8">
        <f>IF('Items sous domaines Sciences '!G209=3,'Items sous domaines Sciences '!E209,0)</f>
        <v>0</v>
      </c>
      <c r="F207" s="380"/>
      <c r="G207" s="458"/>
    </row>
    <row r="208" spans="1:7" customFormat="1" ht="17.399999999999999" hidden="1" customHeight="1" thickBot="1" x14ac:dyDescent="0.3">
      <c r="A208" s="421"/>
      <c r="B208" s="8">
        <f>IF('Items sous domaines Sciences '!G210=3,'Items sous domaines Sciences '!B210,0)</f>
        <v>0</v>
      </c>
      <c r="C208" s="8">
        <f>IF('Items sous domaines Sciences '!G210=3,'Items sous domaines Sciences '!C210,0)</f>
        <v>0</v>
      </c>
      <c r="D208" s="8">
        <f>IF('Items sous domaines Sciences '!G210=3,'Items sous domaines Sciences '!D210,0)</f>
        <v>0</v>
      </c>
      <c r="E208" s="8">
        <f>IF('Items sous domaines Sciences '!G210=3,'Items sous domaines Sciences '!E210,0)</f>
        <v>0</v>
      </c>
      <c r="F208" s="380"/>
      <c r="G208" s="458"/>
    </row>
    <row r="209" spans="1:7" customFormat="1" ht="17.399999999999999" hidden="1" customHeight="1" thickBot="1" x14ac:dyDescent="0.3">
      <c r="A209" s="421"/>
      <c r="B209" s="8">
        <f>IF('Items sous domaines Sciences '!G211=3,'Items sous domaines Sciences '!B211,0)</f>
        <v>0</v>
      </c>
      <c r="C209" s="8">
        <f>IF('Items sous domaines Sciences '!G211=3,'Items sous domaines Sciences '!C211,0)</f>
        <v>0</v>
      </c>
      <c r="D209" s="8">
        <f>IF('Items sous domaines Sciences '!G211=3,'Items sous domaines Sciences '!D211,0)</f>
        <v>0</v>
      </c>
      <c r="E209" s="8">
        <f>IF('Items sous domaines Sciences '!G211=3,'Items sous domaines Sciences '!E211,0)</f>
        <v>0</v>
      </c>
      <c r="F209" s="380"/>
      <c r="G209" s="458"/>
    </row>
    <row r="210" spans="1:7" customFormat="1" ht="17.399999999999999" hidden="1" customHeight="1" thickBot="1" x14ac:dyDescent="0.3">
      <c r="A210" s="421"/>
      <c r="B210" s="8">
        <f>IF('Items sous domaines Sciences '!G212=3,'Items sous domaines Sciences '!B212,0)</f>
        <v>0</v>
      </c>
      <c r="C210" s="8">
        <f>IF('Items sous domaines Sciences '!G212=3,'Items sous domaines Sciences '!C212,0)</f>
        <v>0</v>
      </c>
      <c r="D210" s="8">
        <f>IF('Items sous domaines Sciences '!G212=3,'Items sous domaines Sciences '!D212,0)</f>
        <v>0</v>
      </c>
      <c r="E210" s="8">
        <f>IF('Items sous domaines Sciences '!G212=3,'Items sous domaines Sciences '!E212,0)</f>
        <v>0</v>
      </c>
      <c r="F210" s="380"/>
      <c r="G210" s="458"/>
    </row>
    <row r="211" spans="1:7" customFormat="1" ht="17.399999999999999" hidden="1" customHeight="1" thickBot="1" x14ac:dyDescent="0.3">
      <c r="A211" s="12"/>
      <c r="B211" s="8">
        <f>IF('Items sous domaines Sciences '!G213=3,'Items sous domaines Sciences '!B213,0)</f>
        <v>0</v>
      </c>
      <c r="C211" s="8">
        <f>IF('Items sous domaines Sciences '!G213=3,'Items sous domaines Sciences '!C213,0)</f>
        <v>0</v>
      </c>
      <c r="D211" s="8">
        <f>IF('Items sous domaines Sciences '!G213=3,'Items sous domaines Sciences '!D213,0)</f>
        <v>0</v>
      </c>
      <c r="E211" s="8">
        <f>IF('Items sous domaines Sciences '!G213=3,'Items sous domaines Sciences '!E213,0)</f>
        <v>0</v>
      </c>
      <c r="F211" t="e">
        <f>IF('Items sous domaines Sciences '!#REF!=1,'Items sous domaines Sciences '!#REF!,0)</f>
        <v>#REF!</v>
      </c>
    </row>
    <row r="212" spans="1:7" customFormat="1" ht="17.399999999999999" hidden="1" customHeight="1" thickBot="1" x14ac:dyDescent="0.3">
      <c r="A212" s="460" t="s">
        <v>73</v>
      </c>
      <c r="B212" s="8">
        <f>IF('Items sous domaines Sciences '!G214=3,'Items sous domaines Sciences '!B214,0)</f>
        <v>0</v>
      </c>
      <c r="C212" s="8">
        <f>IF('Items sous domaines Sciences '!G214=3,'Items sous domaines Sciences '!C214,0)</f>
        <v>0</v>
      </c>
      <c r="D212" s="8">
        <f>IF('Items sous domaines Sciences '!G214=3,'Items sous domaines Sciences '!D214,0)</f>
        <v>0</v>
      </c>
      <c r="E212" s="8">
        <f>IF('Items sous domaines Sciences '!G214=3,'Items sous domaines Sciences '!E214,0)</f>
        <v>0</v>
      </c>
      <c r="F212" s="380" t="s">
        <v>465</v>
      </c>
      <c r="G212" s="374"/>
    </row>
    <row r="213" spans="1:7" customFormat="1" ht="17.399999999999999" hidden="1" customHeight="1" thickBot="1" x14ac:dyDescent="0.3">
      <c r="A213" s="460"/>
      <c r="B213" s="8">
        <f>IF('Items sous domaines Sciences '!G215=3,'Items sous domaines Sciences '!B215,0)</f>
        <v>0</v>
      </c>
      <c r="C213" s="8">
        <f>IF('Items sous domaines Sciences '!G215=3,'Items sous domaines Sciences '!C215,0)</f>
        <v>0</v>
      </c>
      <c r="D213" s="8">
        <f>IF('Items sous domaines Sciences '!G215=3,'Items sous domaines Sciences '!D215,0)</f>
        <v>0</v>
      </c>
      <c r="E213" s="8">
        <f>IF('Items sous domaines Sciences '!G215=3,'Items sous domaines Sciences '!E215,0)</f>
        <v>0</v>
      </c>
      <c r="F213" s="380"/>
      <c r="G213" s="374"/>
    </row>
    <row r="214" spans="1:7" customFormat="1" ht="17.399999999999999" hidden="1" customHeight="1" thickBot="1" x14ac:dyDescent="0.3">
      <c r="A214" s="460"/>
      <c r="B214" s="8">
        <f>IF('Items sous domaines Sciences '!G216=3,'Items sous domaines Sciences '!B216,0)</f>
        <v>0</v>
      </c>
      <c r="C214" s="8">
        <f>IF('Items sous domaines Sciences '!G216=3,'Items sous domaines Sciences '!C216,0)</f>
        <v>0</v>
      </c>
      <c r="D214" s="8">
        <f>IF('Items sous domaines Sciences '!G216=3,'Items sous domaines Sciences '!D216,0)</f>
        <v>0</v>
      </c>
      <c r="E214" s="8">
        <f>IF('Items sous domaines Sciences '!G216=3,'Items sous domaines Sciences '!E216,0)</f>
        <v>0</v>
      </c>
      <c r="F214" s="380"/>
      <c r="G214" s="374"/>
    </row>
    <row r="215" spans="1:7" customFormat="1" ht="17.399999999999999" hidden="1" customHeight="1" thickBot="1" x14ac:dyDescent="0.3">
      <c r="A215" s="460"/>
      <c r="B215" s="8">
        <f>IF('Items sous domaines Sciences '!G217=3,'Items sous domaines Sciences '!B217,0)</f>
        <v>0</v>
      </c>
      <c r="C215" s="8">
        <f>IF('Items sous domaines Sciences '!G217=3,'Items sous domaines Sciences '!C217,0)</f>
        <v>0</v>
      </c>
      <c r="D215" s="8">
        <f>IF('Items sous domaines Sciences '!G217=3,'Items sous domaines Sciences '!D217,0)</f>
        <v>0</v>
      </c>
      <c r="E215" s="8">
        <f>IF('Items sous domaines Sciences '!G217=3,'Items sous domaines Sciences '!E217,0)</f>
        <v>0</v>
      </c>
      <c r="F215" s="380"/>
      <c r="G215" s="367"/>
    </row>
    <row r="216" spans="1:7" customFormat="1" ht="17.399999999999999" hidden="1" customHeight="1" thickBot="1" x14ac:dyDescent="0.3">
      <c r="A216" s="460"/>
      <c r="B216" s="8">
        <f>IF('Items sous domaines Sciences '!G218=3,'Items sous domaines Sciences '!B218,0)</f>
        <v>0</v>
      </c>
      <c r="C216" s="8">
        <f>IF('Items sous domaines Sciences '!G218=3,'Items sous domaines Sciences '!C218,0)</f>
        <v>0</v>
      </c>
      <c r="D216" s="8">
        <f>IF('Items sous domaines Sciences '!G218=3,'Items sous domaines Sciences '!D218,0)</f>
        <v>0</v>
      </c>
      <c r="E216" s="8">
        <f>IF('Items sous domaines Sciences '!G218=3,'Items sous domaines Sciences '!E218,0)</f>
        <v>0</v>
      </c>
      <c r="F216" s="380"/>
      <c r="G216" s="374"/>
    </row>
    <row r="217" spans="1:7" customFormat="1" ht="17.399999999999999" hidden="1" customHeight="1" thickBot="1" x14ac:dyDescent="0.3">
      <c r="A217" s="460"/>
      <c r="B217" s="8">
        <f>IF('Items sous domaines Sciences '!G219=3,'Items sous domaines Sciences '!B219,0)</f>
        <v>0</v>
      </c>
      <c r="C217" s="8">
        <f>IF('Items sous domaines Sciences '!G219=3,'Items sous domaines Sciences '!C219,0)</f>
        <v>0</v>
      </c>
      <c r="D217" s="8">
        <f>IF('Items sous domaines Sciences '!G219=3,'Items sous domaines Sciences '!D219,0)</f>
        <v>0</v>
      </c>
      <c r="E217" s="8">
        <f>IF('Items sous domaines Sciences '!G219=3,'Items sous domaines Sciences '!E219,0)</f>
        <v>0</v>
      </c>
      <c r="F217" s="380"/>
      <c r="G217" s="374"/>
    </row>
    <row r="218" spans="1:7" customFormat="1" ht="17.399999999999999" hidden="1" customHeight="1" thickBot="1" x14ac:dyDescent="0.3">
      <c r="A218" s="460"/>
      <c r="B218" s="8">
        <f>IF('Items sous domaines Sciences '!G220=3,'Items sous domaines Sciences '!B220,0)</f>
        <v>0</v>
      </c>
      <c r="C218" s="8">
        <f>IF('Items sous domaines Sciences '!G220=3,'Items sous domaines Sciences '!C220,0)</f>
        <v>0</v>
      </c>
      <c r="D218" s="8">
        <f>IF('Items sous domaines Sciences '!G220=3,'Items sous domaines Sciences '!D220,0)</f>
        <v>0</v>
      </c>
      <c r="E218" s="8">
        <f>IF('Items sous domaines Sciences '!G220=3,'Items sous domaines Sciences '!E220,0)</f>
        <v>0</v>
      </c>
      <c r="F218" s="380"/>
      <c r="G218" s="374"/>
    </row>
    <row r="219" spans="1:7" customFormat="1" ht="17.399999999999999" hidden="1" customHeight="1" thickBot="1" x14ac:dyDescent="0.3">
      <c r="A219" s="460"/>
      <c r="B219" s="8">
        <f>IF('Items sous domaines Sciences '!G221=3,'Items sous domaines Sciences '!B221,0)</f>
        <v>0</v>
      </c>
      <c r="C219" s="8">
        <f>IF('Items sous domaines Sciences '!G221=3,'Items sous domaines Sciences '!C221,0)</f>
        <v>0</v>
      </c>
      <c r="D219" s="8">
        <f>IF('Items sous domaines Sciences '!G221=3,'Items sous domaines Sciences '!D221,0)</f>
        <v>0</v>
      </c>
      <c r="E219" s="8">
        <f>IF('Items sous domaines Sciences '!G221=3,'Items sous domaines Sciences '!E221,0)</f>
        <v>0</v>
      </c>
      <c r="F219" s="380"/>
      <c r="G219" s="374"/>
    </row>
    <row r="220" spans="1:7" customFormat="1" ht="17.399999999999999" hidden="1" customHeight="1" thickBot="1" x14ac:dyDescent="0.3">
      <c r="A220" s="235" t="s">
        <v>456</v>
      </c>
      <c r="B220" s="8">
        <f>IF('Items sous domaines Sciences '!G222=3,'Items sous domaines Sciences '!B222,0)</f>
        <v>0</v>
      </c>
      <c r="C220" s="8">
        <f>IF('Items sous domaines Sciences '!G222=3,'Items sous domaines Sciences '!C222,0)</f>
        <v>0</v>
      </c>
      <c r="D220" s="8">
        <f>IF('Items sous domaines Sciences '!G222=3,'Items sous domaines Sciences '!D222,0)</f>
        <v>0</v>
      </c>
      <c r="E220" s="8">
        <f>IF('Items sous domaines Sciences '!G222=3,'Items sous domaines Sciences '!E222,0)</f>
        <v>0</v>
      </c>
      <c r="F220" s="380"/>
      <c r="G220" s="374"/>
    </row>
    <row r="221" spans="1:7" customFormat="1" ht="17.399999999999999" hidden="1" customHeight="1" thickBot="1" x14ac:dyDescent="0.3">
      <c r="A221" s="236"/>
      <c r="B221" s="8">
        <f>IF('Items sous domaines Sciences '!G223=3,'Items sous domaines Sciences '!B223,0)</f>
        <v>0</v>
      </c>
      <c r="C221" s="8">
        <f>IF('Items sous domaines Sciences '!G223=3,'Items sous domaines Sciences '!C223,0)</f>
        <v>0</v>
      </c>
      <c r="D221" s="8">
        <f>IF('Items sous domaines Sciences '!G223=3,'Items sous domaines Sciences '!D223,0)</f>
        <v>0</v>
      </c>
      <c r="E221" s="8">
        <f>IF('Items sous domaines Sciences '!G223=3,'Items sous domaines Sciences '!E223,0)</f>
        <v>0</v>
      </c>
      <c r="F221" s="380"/>
      <c r="G221" s="374"/>
    </row>
    <row r="222" spans="1:7" customFormat="1" ht="17.399999999999999" hidden="1" customHeight="1" thickBot="1" x14ac:dyDescent="0.3">
      <c r="A222" s="236"/>
      <c r="B222" s="8">
        <f>IF('Items sous domaines Sciences '!G224=3,'Items sous domaines Sciences '!B224,0)</f>
        <v>0</v>
      </c>
      <c r="C222" s="8">
        <f>IF('Items sous domaines Sciences '!G224=3,'Items sous domaines Sciences '!C224,0)</f>
        <v>0</v>
      </c>
      <c r="D222" s="8">
        <f>IF('Items sous domaines Sciences '!G224=3,'Items sous domaines Sciences '!D224,0)</f>
        <v>0</v>
      </c>
      <c r="E222" s="8">
        <f>IF('Items sous domaines Sciences '!G224=3,'Items sous domaines Sciences '!E224,0)</f>
        <v>0</v>
      </c>
      <c r="F222" s="380"/>
      <c r="G222" s="374"/>
    </row>
    <row r="223" spans="1:7" ht="19.95" customHeight="1" thickTop="1" x14ac:dyDescent="0.25">
      <c r="A223" s="461" t="s">
        <v>456</v>
      </c>
      <c r="B223" s="59" t="str">
        <f>IF('Items sous domaines Sciences '!G225=3,'Items sous domaines Sciences '!B225,0)</f>
        <v>Thermique - Thermodynamique</v>
      </c>
      <c r="C223" s="225" t="str">
        <f>IF('Items sous domaines Sciences '!G225=3,'Items sous domaines Sciences '!C225,0)</f>
        <v>Thermique</v>
      </c>
      <c r="D223" s="226" t="str">
        <f>IF('Items sous domaines Sciences '!G225=3,'Items sous domaines Sciences '!D225,0)</f>
        <v>Echanger</v>
      </c>
      <c r="E223" s="226" t="str">
        <f>IF('Items sous domaines Sciences '!G225=3,'Items sous domaines Sciences '!E225,0)</f>
        <v>Déterminer le coefficient global d'un échangeur.</v>
      </c>
      <c r="F223" s="476"/>
      <c r="G223" s="454"/>
    </row>
    <row r="224" spans="1:7" ht="19.95" customHeight="1" x14ac:dyDescent="0.25">
      <c r="A224" s="462"/>
      <c r="B224" s="59" t="str">
        <f>IF('Items sous domaines Sciences '!G226=3,'Items sous domaines Sciences '!B226,0)</f>
        <v>Thermique - Thermodynamique</v>
      </c>
      <c r="C224" s="212" t="str">
        <f>IF('Items sous domaines Sciences '!G226=3,'Items sous domaines Sciences '!C226,0)</f>
        <v>Thermique</v>
      </c>
      <c r="D224" s="215">
        <f>IF('Items sous domaines Sciences '!G226=3,'Items sous domaines Sciences '!D226,0)</f>
        <v>0</v>
      </c>
      <c r="E224" s="209" t="str">
        <f>IF('Items sous domaines Sciences '!G226=3,'Items sous domaines Sciences '!E226,0)</f>
        <v>Détecter les paramètres influençant le coefficient global (soit pour chauffer soit pour isoler).</v>
      </c>
      <c r="F224" s="431"/>
      <c r="G224" s="455"/>
    </row>
    <row r="225" spans="1:7" ht="19.95" customHeight="1" x14ac:dyDescent="0.25">
      <c r="A225" s="462"/>
      <c r="B225" s="59" t="str">
        <f>IF('Items sous domaines Sciences '!G227=3,'Items sous domaines Sciences '!B227,0)</f>
        <v>Thermique - Thermodynamique</v>
      </c>
      <c r="C225" s="213" t="str">
        <f>IF('Items sous domaines Sciences '!G227=3,'Items sous domaines Sciences '!C227,0)</f>
        <v>Thermique</v>
      </c>
      <c r="D225" s="216">
        <f>IF('Items sous domaines Sciences '!G227=3,'Items sous domaines Sciences '!D227,0)</f>
        <v>0</v>
      </c>
      <c r="E225" s="216" t="str">
        <f>IF('Items sous domaines Sciences '!G227=3,'Items sous domaines Sciences '!E227,0)</f>
        <v>Comparer les modes de fonctionnement des échangeurs (fluides à co ou contre-courant).</v>
      </c>
      <c r="F225" s="431"/>
      <c r="G225" s="455"/>
    </row>
    <row r="226" spans="1:7" ht="19.95" customHeight="1" x14ac:dyDescent="0.25">
      <c r="A226" s="462"/>
      <c r="B226" s="59" t="str">
        <f>IF('Items sous domaines Sciences '!G228=3,'Items sous domaines Sciences '!B228,0)</f>
        <v>Thermique - Thermodynamique</v>
      </c>
      <c r="C226" s="212" t="str">
        <f>IF('Items sous domaines Sciences '!G228=3,'Items sous domaines Sciences '!C228,0)</f>
        <v>Thermique</v>
      </c>
      <c r="D226" s="215">
        <f>IF('Items sous domaines Sciences '!G228=3,'Items sous domaines Sciences '!D228,0)</f>
        <v>0</v>
      </c>
      <c r="E226" s="209" t="str">
        <f>IF('Items sous domaines Sciences '!G228=3,'Items sous domaines Sciences '!E228,0)</f>
        <v>Sélectionner un échangeur pour un circuit hydraulique (plaques, tubulaire, à faisceau, calandre….).</v>
      </c>
      <c r="F226" s="431"/>
      <c r="G226" s="456"/>
    </row>
    <row r="227" spans="1:7" ht="19.95" customHeight="1" x14ac:dyDescent="0.25">
      <c r="A227" s="462"/>
      <c r="B227" s="59" t="str">
        <f>IF('Items sous domaines Sciences '!G229=3,'Items sous domaines Sciences '!B229,0)</f>
        <v>Thermique - Thermodynamique</v>
      </c>
      <c r="C227" s="213" t="str">
        <f>IF('Items sous domaines Sciences '!G229=3,'Items sous domaines Sciences '!C229,0)</f>
        <v>Thermique</v>
      </c>
      <c r="D227" s="216" t="str">
        <f>IF('Items sous domaines Sciences '!G229=3,'Items sous domaines Sciences '!D229,0)</f>
        <v>CVC</v>
      </c>
      <c r="E227" s="216" t="str">
        <f>IF('Items sous domaines Sciences '!G229=3,'Items sous domaines Sciences '!E229,0)</f>
        <v>Décrire les différents réseaux d'équipements fluides d'un bâtiment.</v>
      </c>
      <c r="F227" s="431"/>
      <c r="G227" s="456"/>
    </row>
    <row r="228" spans="1:7" ht="19.95" customHeight="1" thickBot="1" x14ac:dyDescent="0.3">
      <c r="A228" s="463"/>
      <c r="B228" s="59" t="str">
        <f>IF('Items sous domaines Sciences '!G230=3,'Items sous domaines Sciences '!B230,0)</f>
        <v>Thermique - Thermodynamique</v>
      </c>
      <c r="C228" s="229" t="str">
        <f>IF('Items sous domaines Sciences '!G230=3,'Items sous domaines Sciences '!C230,0)</f>
        <v>Thermique</v>
      </c>
      <c r="D228" s="230">
        <f>IF('Items sous domaines Sciences '!G230=3,'Items sous domaines Sciences '!D230,0)</f>
        <v>0</v>
      </c>
      <c r="E228" s="231" t="str">
        <f>IF('Items sous domaines Sciences '!G230=3,'Items sous domaines Sciences '!E230,0)</f>
        <v>Proposer un modèle de pompe à chaleur pour un système de chauffage de bâtiment.</v>
      </c>
      <c r="F228" s="449"/>
      <c r="G228" s="457"/>
    </row>
    <row r="229" spans="1:7" customFormat="1" ht="17.399999999999999" hidden="1" customHeight="1" thickBot="1" x14ac:dyDescent="0.3">
      <c r="A229" s="464"/>
      <c r="B229" s="59">
        <f>IF('Items sous domaines Sciences '!G231=3,'Items sous domaines Sciences '!B231,0)</f>
        <v>0</v>
      </c>
      <c r="C229" s="221">
        <f>IF('Items sous domaines Sciences '!G231=3,'Items sous domaines Sciences '!C231,0)</f>
        <v>0</v>
      </c>
      <c r="D229" s="222">
        <f>IF('Items sous domaines Sciences '!G231=3,'Items sous domaines Sciences '!D231,0)</f>
        <v>0</v>
      </c>
      <c r="E229" s="222">
        <f>IF('Items sous domaines Sciences '!G231=3,'Items sous domaines Sciences '!E231,0)</f>
        <v>0</v>
      </c>
      <c r="F229" s="380"/>
      <c r="G229" s="367"/>
    </row>
    <row r="230" spans="1:7" customFormat="1" ht="17.399999999999999" hidden="1" customHeight="1" thickBot="1" x14ac:dyDescent="0.3">
      <c r="A230" s="464"/>
      <c r="B230" s="59">
        <f>IF('Items sous domaines Sciences '!G232=3,'Items sous domaines Sciences '!B232,0)</f>
        <v>0</v>
      </c>
      <c r="C230" s="212">
        <f>IF('Items sous domaines Sciences '!G232=3,'Items sous domaines Sciences '!C232,0)</f>
        <v>0</v>
      </c>
      <c r="D230" s="215">
        <f>IF('Items sous domaines Sciences '!G232=3,'Items sous domaines Sciences '!D232,0)</f>
        <v>0</v>
      </c>
      <c r="E230" s="209">
        <f>IF('Items sous domaines Sciences '!G232=3,'Items sous domaines Sciences '!E232,0)</f>
        <v>0</v>
      </c>
      <c r="F230" s="380"/>
      <c r="G230" s="374"/>
    </row>
    <row r="231" spans="1:7" customFormat="1" ht="17.399999999999999" hidden="1" customHeight="1" thickBot="1" x14ac:dyDescent="0.3">
      <c r="A231" s="464"/>
      <c r="B231" s="59">
        <f>IF('Items sous domaines Sciences '!G233=3,'Items sous domaines Sciences '!B233,0)</f>
        <v>0</v>
      </c>
      <c r="C231" s="213">
        <f>IF('Items sous domaines Sciences '!G233=3,'Items sous domaines Sciences '!C233,0)</f>
        <v>0</v>
      </c>
      <c r="D231" s="216">
        <f>IF('Items sous domaines Sciences '!G233=3,'Items sous domaines Sciences '!D233,0)</f>
        <v>0</v>
      </c>
      <c r="E231" s="216">
        <f>IF('Items sous domaines Sciences '!G233=3,'Items sous domaines Sciences '!E233,0)</f>
        <v>0</v>
      </c>
      <c r="F231" s="380"/>
      <c r="G231" s="374"/>
    </row>
    <row r="232" spans="1:7" customFormat="1" ht="17.399999999999999" hidden="1" customHeight="1" thickBot="1" x14ac:dyDescent="0.3">
      <c r="A232" s="464"/>
      <c r="B232" s="59">
        <f>IF('Items sous domaines Sciences '!G234=3,'Items sous domaines Sciences '!B234,0)</f>
        <v>0</v>
      </c>
      <c r="C232" s="212">
        <f>IF('Items sous domaines Sciences '!G234=3,'Items sous domaines Sciences '!C234,0)</f>
        <v>0</v>
      </c>
      <c r="D232" s="215">
        <f>IF('Items sous domaines Sciences '!G234=3,'Items sous domaines Sciences '!D234,0)</f>
        <v>0</v>
      </c>
      <c r="E232" s="209">
        <f>IF('Items sous domaines Sciences '!G234=3,'Items sous domaines Sciences '!E234,0)</f>
        <v>0</v>
      </c>
      <c r="F232" s="380"/>
      <c r="G232" s="374"/>
    </row>
    <row r="233" spans="1:7" customFormat="1" ht="17.399999999999999" hidden="1" customHeight="1" thickBot="1" x14ac:dyDescent="0.3">
      <c r="A233" s="464"/>
      <c r="B233" s="59">
        <f>IF('Items sous domaines Sciences '!G235=3,'Items sous domaines Sciences '!B235,0)</f>
        <v>0</v>
      </c>
      <c r="C233" s="213">
        <f>IF('Items sous domaines Sciences '!G235=3,'Items sous domaines Sciences '!C235,0)</f>
        <v>0</v>
      </c>
      <c r="D233" s="216">
        <f>IF('Items sous domaines Sciences '!G235=3,'Items sous domaines Sciences '!D235,0)</f>
        <v>0</v>
      </c>
      <c r="E233" s="216">
        <f>IF('Items sous domaines Sciences '!G235=3,'Items sous domaines Sciences '!E235,0)</f>
        <v>0</v>
      </c>
      <c r="F233" s="380"/>
    </row>
    <row r="234" spans="1:7" customFormat="1" ht="17.399999999999999" hidden="1" customHeight="1" thickBot="1" x14ac:dyDescent="0.3">
      <c r="A234" s="464"/>
      <c r="B234" s="59">
        <f>IF('Items sous domaines Sciences '!G236=3,'Items sous domaines Sciences '!B236,0)</f>
        <v>0</v>
      </c>
      <c r="C234" s="212">
        <f>IF('Items sous domaines Sciences '!G236=3,'Items sous domaines Sciences '!C236,0)</f>
        <v>0</v>
      </c>
      <c r="D234" s="215">
        <f>IF('Items sous domaines Sciences '!G236=3,'Items sous domaines Sciences '!D236,0)</f>
        <v>0</v>
      </c>
      <c r="E234" s="209">
        <f>IF('Items sous domaines Sciences '!G236=3,'Items sous domaines Sciences '!E236,0)</f>
        <v>0</v>
      </c>
      <c r="F234" s="380"/>
      <c r="G234" s="450"/>
    </row>
    <row r="235" spans="1:7" customFormat="1" ht="17.399999999999999" hidden="1" customHeight="1" thickBot="1" x14ac:dyDescent="0.3">
      <c r="A235" s="464"/>
      <c r="B235" s="59">
        <f>IF('Items sous domaines Sciences '!G237=3,'Items sous domaines Sciences '!B237,0)</f>
        <v>0</v>
      </c>
      <c r="C235" s="213">
        <f>IF('Items sous domaines Sciences '!G237=3,'Items sous domaines Sciences '!C237,0)</f>
        <v>0</v>
      </c>
      <c r="D235" s="216">
        <f>IF('Items sous domaines Sciences '!G237=3,'Items sous domaines Sciences '!D237,0)</f>
        <v>0</v>
      </c>
      <c r="E235" s="216">
        <f>IF('Items sous domaines Sciences '!G237=3,'Items sous domaines Sciences '!E237,0)</f>
        <v>0</v>
      </c>
      <c r="F235" s="380"/>
      <c r="G235" s="450"/>
    </row>
    <row r="236" spans="1:7" customFormat="1" ht="17.399999999999999" hidden="1" customHeight="1" thickBot="1" x14ac:dyDescent="0.3">
      <c r="A236" s="464"/>
      <c r="B236" s="59">
        <f>IF('Items sous domaines Sciences '!G238=3,'Items sous domaines Sciences '!B238,0)</f>
        <v>0</v>
      </c>
      <c r="C236" s="212">
        <f>IF('Items sous domaines Sciences '!G238=3,'Items sous domaines Sciences '!C238,0)</f>
        <v>0</v>
      </c>
      <c r="D236" s="215">
        <f>IF('Items sous domaines Sciences '!G238=3,'Items sous domaines Sciences '!D238,0)</f>
        <v>0</v>
      </c>
      <c r="E236" s="209">
        <f>IF('Items sous domaines Sciences '!G238=3,'Items sous domaines Sciences '!E238,0)</f>
        <v>0</v>
      </c>
      <c r="F236" s="380"/>
      <c r="G236" s="450"/>
    </row>
    <row r="237" spans="1:7" customFormat="1" ht="17.399999999999999" hidden="1" customHeight="1" thickBot="1" x14ac:dyDescent="0.3">
      <c r="A237" s="464"/>
      <c r="B237" s="59">
        <f>IF('Items sous domaines Sciences '!G239=3,'Items sous domaines Sciences '!B239,0)</f>
        <v>0</v>
      </c>
      <c r="C237" s="213">
        <f>IF('Items sous domaines Sciences '!G239=3,'Items sous domaines Sciences '!C239,0)</f>
        <v>0</v>
      </c>
      <c r="D237" s="216">
        <f>IF('Items sous domaines Sciences '!G239=3,'Items sous domaines Sciences '!D239,0)</f>
        <v>0</v>
      </c>
      <c r="E237" s="216">
        <f>IF('Items sous domaines Sciences '!G239=3,'Items sous domaines Sciences '!E239,0)</f>
        <v>0</v>
      </c>
      <c r="F237" s="380"/>
      <c r="G237" s="450"/>
    </row>
    <row r="238" spans="1:7" customFormat="1" ht="17.399999999999999" hidden="1" customHeight="1" thickBot="1" x14ac:dyDescent="0.3">
      <c r="A238" s="464"/>
      <c r="B238" s="59">
        <f>IF('Items sous domaines Sciences '!G240=3,'Items sous domaines Sciences '!B240,0)</f>
        <v>0</v>
      </c>
      <c r="C238" s="212">
        <f>IF('Items sous domaines Sciences '!G240=3,'Items sous domaines Sciences '!C240,0)</f>
        <v>0</v>
      </c>
      <c r="D238" s="215">
        <f>IF('Items sous domaines Sciences '!G240=3,'Items sous domaines Sciences '!D240,0)</f>
        <v>0</v>
      </c>
      <c r="E238" s="209">
        <f>IF('Items sous domaines Sciences '!G240=3,'Items sous domaines Sciences '!E240,0)</f>
        <v>0</v>
      </c>
      <c r="F238" s="380"/>
      <c r="G238" s="450"/>
    </row>
    <row r="239" spans="1:7" ht="19.95" customHeight="1" thickTop="1" x14ac:dyDescent="0.25">
      <c r="A239" s="461"/>
      <c r="B239" s="59" t="str">
        <f>IF('Items sous domaines Sciences '!G241=3,'Items sous domaines Sciences '!B241,0)</f>
        <v>Thermique - Thermodynamique</v>
      </c>
      <c r="C239" s="240" t="str">
        <f>IF('Items sous domaines Sciences '!G241=3,'Items sous domaines Sciences '!C241,0)</f>
        <v>Thermodynamique</v>
      </c>
      <c r="D239" s="241">
        <f>IF('Items sous domaines Sciences '!G241=3,'Items sous domaines Sciences '!D241,0)</f>
        <v>0</v>
      </c>
      <c r="E239" s="241" t="str">
        <f>IF('Items sous domaines Sciences '!G241=3,'Items sous domaines Sciences '!E241,0)</f>
        <v>Appliquer le second principe de la thermodynamique.</v>
      </c>
      <c r="F239" s="476"/>
      <c r="G239" s="451"/>
    </row>
    <row r="240" spans="1:7" ht="19.95" customHeight="1" x14ac:dyDescent="0.25">
      <c r="A240" s="462"/>
      <c r="B240" s="59" t="str">
        <f>IF('Items sous domaines Sciences '!G242=3,'Items sous domaines Sciences '!B242,0)</f>
        <v>Thermique - Thermodynamique</v>
      </c>
      <c r="C240" s="212" t="str">
        <f>IF('Items sous domaines Sciences '!G242=3,'Items sous domaines Sciences '!C242,0)</f>
        <v>Thermodynamique</v>
      </c>
      <c r="D240" s="215">
        <f>IF('Items sous domaines Sciences '!G242=3,'Items sous domaines Sciences '!D242,0)</f>
        <v>0</v>
      </c>
      <c r="E240" s="209" t="str">
        <f>IF('Items sous domaines Sciences '!G242=3,'Items sous domaines Sciences '!E242,0)</f>
        <v>Utiliser le cycle de Carnot.</v>
      </c>
      <c r="F240" s="431"/>
      <c r="G240" s="452"/>
    </row>
    <row r="241" spans="1:7" ht="19.95" customHeight="1" x14ac:dyDescent="0.25">
      <c r="A241" s="462"/>
      <c r="B241" s="59" t="str">
        <f>IF('Items sous domaines Sciences '!G243=3,'Items sous domaines Sciences '!B243,0)</f>
        <v>Thermique - Thermodynamique</v>
      </c>
      <c r="C241" s="213" t="str">
        <f>IF('Items sous domaines Sciences '!G243=3,'Items sous domaines Sciences '!C243,0)</f>
        <v>Thermodynamique</v>
      </c>
      <c r="D241" s="216">
        <f>IF('Items sous domaines Sciences '!G243=3,'Items sous domaines Sciences '!D243,0)</f>
        <v>0</v>
      </c>
      <c r="E241" s="216" t="str">
        <f>IF('Items sous domaines Sciences '!G243=3,'Items sous domaines Sciences '!E243,0)</f>
        <v>Calculer les échanges de chaleur lors de changements de phase.</v>
      </c>
      <c r="F241" s="431"/>
      <c r="G241" s="452"/>
    </row>
    <row r="242" spans="1:7" ht="19.95" customHeight="1" thickBot="1" x14ac:dyDescent="0.3">
      <c r="A242" s="463"/>
      <c r="B242" s="59" t="str">
        <f>IF('Items sous domaines Sciences '!G244=3,'Items sous domaines Sciences '!B244,0)</f>
        <v>Thermique - Thermodynamique</v>
      </c>
      <c r="C242" s="229" t="str">
        <f>IF('Items sous domaines Sciences '!G244=3,'Items sous domaines Sciences '!C244,0)</f>
        <v>Thermodynamique</v>
      </c>
      <c r="D242" s="230">
        <f>IF('Items sous domaines Sciences '!G244=3,'Items sous domaines Sciences '!D244,0)</f>
        <v>0</v>
      </c>
      <c r="E242" s="231" t="str">
        <f>IF('Items sous domaines Sciences '!G244=3,'Items sous domaines Sciences '!E244,0)</f>
        <v>Proposer une installation type machine thermique pour un bâtiment.</v>
      </c>
      <c r="F242" s="449"/>
      <c r="G242" s="453"/>
    </row>
    <row r="243" spans="1:7" customFormat="1" ht="17.399999999999999" hidden="1" customHeight="1" thickBot="1" x14ac:dyDescent="0.3">
      <c r="A243" s="16"/>
      <c r="B243">
        <f>IF('Items sous domaines Sciences '!G245=3,'Items sous domaines Sciences '!B245,0)</f>
        <v>0</v>
      </c>
      <c r="C243">
        <f>IF('Items sous domaines Sciences '!G245=3,'Items sous domaines Sciences '!C245,0)</f>
        <v>0</v>
      </c>
      <c r="D243">
        <f>IF('Items sous domaines Sciences '!G245=3,'Items sous domaines Sciences '!D245,0)</f>
        <v>0</v>
      </c>
      <c r="E243">
        <f>IF('Items sous domaines Sciences '!G245=3,'Items sous domaines Sciences '!E245,0)</f>
        <v>0</v>
      </c>
      <c r="F243" s="26"/>
      <c r="G243" s="450"/>
    </row>
    <row r="244" spans="1:7" customFormat="1" ht="13.5" hidden="1" customHeight="1" thickBot="1" x14ac:dyDescent="0.3">
      <c r="A244" s="16"/>
      <c r="B244" s="8">
        <f>IF('Items sous domaines Sciences '!G246=3,'Items sous domaines Sciences '!B246,0)</f>
        <v>0</v>
      </c>
      <c r="C244" s="8">
        <f>IF('Items sous domaines Sciences '!G246=3,'Items sous domaines Sciences '!C246,0)</f>
        <v>0</v>
      </c>
      <c r="D244" s="8">
        <f>IF('Items sous domaines Sciences '!G246=3,'Items sous domaines Sciences '!D246,0)</f>
        <v>0</v>
      </c>
      <c r="E244" s="8">
        <f>IF('Items sous domaines Sciences '!G246=3,'Items sous domaines Sciences '!E246,0)</f>
        <v>0</v>
      </c>
      <c r="F244" s="26"/>
      <c r="G244" s="450"/>
    </row>
    <row r="245" spans="1:7" customFormat="1" ht="13.5" hidden="1" customHeight="1" thickBot="1" x14ac:dyDescent="0.3">
      <c r="A245" s="16"/>
      <c r="B245" s="8">
        <f>IF('Items sous domaines Sciences '!G247=3,'Items sous domaines Sciences '!B247,0)</f>
        <v>0</v>
      </c>
      <c r="C245" s="8">
        <f>IF('Items sous domaines Sciences '!G247=3,'Items sous domaines Sciences '!C247,0)</f>
        <v>0</v>
      </c>
      <c r="D245" s="8">
        <f>IF('Items sous domaines Sciences '!G247=3,'Items sous domaines Sciences '!D247,0)</f>
        <v>0</v>
      </c>
      <c r="E245" s="8">
        <f>IF('Items sous domaines Sciences '!G247=3,'Items sous domaines Sciences '!E247,0)</f>
        <v>0</v>
      </c>
      <c r="F245" s="26"/>
      <c r="G245" s="450"/>
    </row>
    <row r="246" spans="1:7" customFormat="1" ht="13.5" hidden="1" customHeight="1" thickBot="1" x14ac:dyDescent="0.3">
      <c r="A246" s="16"/>
      <c r="B246" s="8">
        <f>IF('Items sous domaines Sciences '!G248=3,'Items sous domaines Sciences '!B248,0)</f>
        <v>0</v>
      </c>
      <c r="C246" s="8">
        <f>IF('Items sous domaines Sciences '!G248=3,'Items sous domaines Sciences '!C248,0)</f>
        <v>0</v>
      </c>
      <c r="D246" s="8">
        <f>IF('Items sous domaines Sciences '!G248=3,'Items sous domaines Sciences '!D248,0)</f>
        <v>0</v>
      </c>
      <c r="E246" s="8">
        <f>IF('Items sous domaines Sciences '!G248=3,'Items sous domaines Sciences '!E248,0)</f>
        <v>0</v>
      </c>
      <c r="F246" s="26"/>
      <c r="G246" s="450"/>
    </row>
    <row r="247" spans="1:7" customFormat="1" ht="13.5" hidden="1" customHeight="1" thickBot="1" x14ac:dyDescent="0.3">
      <c r="A247" s="16"/>
      <c r="B247" s="8">
        <f>IF('Items sous domaines Sciences '!G249=3,'Items sous domaines Sciences '!B249,0)</f>
        <v>0</v>
      </c>
      <c r="C247" s="8">
        <f>IF('Items sous domaines Sciences '!G249=3,'Items sous domaines Sciences '!C249,0)</f>
        <v>0</v>
      </c>
      <c r="D247" s="8">
        <f>IF('Items sous domaines Sciences '!G249=3,'Items sous domaines Sciences '!D249,0)</f>
        <v>0</v>
      </c>
      <c r="E247" s="8">
        <f>IF('Items sous domaines Sciences '!G249=3,'Items sous domaines Sciences '!E249,0)</f>
        <v>0</v>
      </c>
      <c r="F247" s="27"/>
      <c r="G247" s="450"/>
    </row>
    <row r="248" spans="1:7" customFormat="1" ht="13.5" hidden="1" customHeight="1" thickBot="1" x14ac:dyDescent="0.3">
      <c r="A248" s="16"/>
      <c r="B248" s="8">
        <f>IF('Items sous domaines Sciences '!G250=3,'Items sous domaines Sciences '!B250,0)</f>
        <v>0</v>
      </c>
      <c r="C248" s="8">
        <f>IF('Items sous domaines Sciences '!G250=3,'Items sous domaines Sciences '!C250,0)</f>
        <v>0</v>
      </c>
      <c r="D248" s="8">
        <f>IF('Items sous domaines Sciences '!G250=3,'Items sous domaines Sciences '!D250,0)</f>
        <v>0</v>
      </c>
      <c r="E248" s="8">
        <f>IF('Items sous domaines Sciences '!G250=3,'Items sous domaines Sciences '!E250,0)</f>
        <v>0</v>
      </c>
      <c r="F248" s="13"/>
    </row>
    <row r="249" spans="1:7" customFormat="1" ht="13.5" hidden="1" customHeight="1" thickBot="1" x14ac:dyDescent="0.3">
      <c r="A249" s="16"/>
      <c r="B249" s="8">
        <f>IF('Items sous domaines Sciences '!G251=3,'Items sous domaines Sciences '!B251,0)</f>
        <v>0</v>
      </c>
      <c r="C249" s="8">
        <f>IF('Items sous domaines Sciences '!G251=3,'Items sous domaines Sciences '!C251,0)</f>
        <v>0</v>
      </c>
      <c r="D249" s="8">
        <f>IF('Items sous domaines Sciences '!G251=3,'Items sous domaines Sciences '!D251,0)</f>
        <v>0</v>
      </c>
      <c r="E249" s="8">
        <f>IF('Items sous domaines Sciences '!G251=3,'Items sous domaines Sciences '!E251,0)</f>
        <v>0</v>
      </c>
      <c r="F249" s="25"/>
      <c r="G249" s="458"/>
    </row>
    <row r="250" spans="1:7" customFormat="1" ht="13.5" hidden="1" customHeight="1" thickBot="1" x14ac:dyDescent="0.3">
      <c r="A250" s="16"/>
      <c r="B250" s="8">
        <f>IF('Items sous domaines Sciences '!G252=3,'Items sous domaines Sciences '!B252,0)</f>
        <v>0</v>
      </c>
      <c r="C250" s="8">
        <f>IF('Items sous domaines Sciences '!G252=3,'Items sous domaines Sciences '!C252,0)</f>
        <v>0</v>
      </c>
      <c r="D250" s="8">
        <f>IF('Items sous domaines Sciences '!G252=3,'Items sous domaines Sciences '!D252,0)</f>
        <v>0</v>
      </c>
      <c r="E250" s="8">
        <f>IF('Items sous domaines Sciences '!G252=3,'Items sous domaines Sciences '!E252,0)</f>
        <v>0</v>
      </c>
      <c r="F250" s="26"/>
      <c r="G250" s="458"/>
    </row>
    <row r="251" spans="1:7" customFormat="1" ht="13.5" hidden="1" customHeight="1" thickBot="1" x14ac:dyDescent="0.3">
      <c r="A251" s="16"/>
      <c r="B251" s="8">
        <f>IF('Items sous domaines Sciences '!G253=3,'Items sous domaines Sciences '!B253,0)</f>
        <v>0</v>
      </c>
      <c r="C251" s="8">
        <f>IF('Items sous domaines Sciences '!G253=3,'Items sous domaines Sciences '!C253,0)</f>
        <v>0</v>
      </c>
      <c r="D251" s="8">
        <f>IF('Items sous domaines Sciences '!G253=3,'Items sous domaines Sciences '!D253,0)</f>
        <v>0</v>
      </c>
      <c r="E251" s="8">
        <f>IF('Items sous domaines Sciences '!G253=3,'Items sous domaines Sciences '!E253,0)</f>
        <v>0</v>
      </c>
      <c r="F251" s="26"/>
      <c r="G251" s="458"/>
    </row>
    <row r="252" spans="1:7" customFormat="1" ht="13.5" hidden="1" customHeight="1" thickBot="1" x14ac:dyDescent="0.3">
      <c r="A252" s="16"/>
      <c r="B252" s="8">
        <f>IF('Items sous domaines Sciences '!G254=3,'Items sous domaines Sciences '!B254,0)</f>
        <v>0</v>
      </c>
      <c r="C252" s="8">
        <f>IF('Items sous domaines Sciences '!G254=3,'Items sous domaines Sciences '!C254,0)</f>
        <v>0</v>
      </c>
      <c r="D252" s="8">
        <f>IF('Items sous domaines Sciences '!G254=3,'Items sous domaines Sciences '!D254,0)</f>
        <v>0</v>
      </c>
      <c r="E252" s="8">
        <f>IF('Items sous domaines Sciences '!G254=3,'Items sous domaines Sciences '!E254,0)</f>
        <v>0</v>
      </c>
      <c r="F252" s="26"/>
      <c r="G252" s="458"/>
    </row>
    <row r="253" spans="1:7" customFormat="1" ht="13.5" hidden="1" customHeight="1" thickBot="1" x14ac:dyDescent="0.3">
      <c r="A253" s="16"/>
      <c r="B253" s="8">
        <f>IF('Items sous domaines Sciences '!G255=3,'Items sous domaines Sciences '!B255,0)</f>
        <v>0</v>
      </c>
      <c r="C253" s="8">
        <f>IF('Items sous domaines Sciences '!G255=3,'Items sous domaines Sciences '!C255,0)</f>
        <v>0</v>
      </c>
      <c r="D253" s="8">
        <f>IF('Items sous domaines Sciences '!G255=3,'Items sous domaines Sciences '!D255,0)</f>
        <v>0</v>
      </c>
      <c r="E253" s="8">
        <f>IF('Items sous domaines Sciences '!G255=3,'Items sous domaines Sciences '!E255,0)</f>
        <v>0</v>
      </c>
      <c r="F253" s="26"/>
      <c r="G253" s="458"/>
    </row>
    <row r="254" spans="1:7" customFormat="1" ht="13.5" hidden="1" customHeight="1" thickBot="1" x14ac:dyDescent="0.3">
      <c r="A254" s="16"/>
      <c r="B254" s="8">
        <f>IF('Items sous domaines Sciences '!G256=3,'Items sous domaines Sciences '!B256,0)</f>
        <v>0</v>
      </c>
      <c r="C254" s="8">
        <f>IF('Items sous domaines Sciences '!G256=3,'Items sous domaines Sciences '!C256,0)</f>
        <v>0</v>
      </c>
      <c r="D254" s="8">
        <f>IF('Items sous domaines Sciences '!G256=3,'Items sous domaines Sciences '!D256,0)</f>
        <v>0</v>
      </c>
      <c r="E254" s="8">
        <f>IF('Items sous domaines Sciences '!G256=3,'Items sous domaines Sciences '!E256,0)</f>
        <v>0</v>
      </c>
      <c r="F254" s="26"/>
      <c r="G254" s="458"/>
    </row>
    <row r="255" spans="1:7" ht="19.95" customHeight="1" thickTop="1" x14ac:dyDescent="0.25">
      <c r="A255" s="420" t="s">
        <v>466</v>
      </c>
      <c r="B255" s="61" t="str">
        <f>IF('Items sous domaines Sciences '!G257=3,'Items sous domaines Sciences '!B257,0)</f>
        <v>Chimie</v>
      </c>
      <c r="C255" s="225" t="str">
        <f>IF('Items sous domaines Sciences '!G257=3,'Items sous domaines Sciences '!C257,0)</f>
        <v>Chimie</v>
      </c>
      <c r="D255" s="226" t="str">
        <f>IF('Items sous domaines Sciences '!G257=3,'Items sous domaines Sciences '!D257,0)</f>
        <v>Composite -béton</v>
      </c>
      <c r="E255" s="226" t="str">
        <f>IF('Items sous domaines Sciences '!G257=3,'Items sous domaines Sciences '!E257,0)</f>
        <v>Décrire le processus de fabrication des ciments.</v>
      </c>
      <c r="F255" s="430" t="s">
        <v>467</v>
      </c>
      <c r="G255" s="454"/>
    </row>
    <row r="256" spans="1:7" ht="19.95" customHeight="1" x14ac:dyDescent="0.25">
      <c r="A256" s="421"/>
      <c r="B256" s="61" t="str">
        <f>IF('Items sous domaines Sciences '!G258=3,'Items sous domaines Sciences '!B258,0)</f>
        <v>Chimie</v>
      </c>
      <c r="C256" s="212" t="str">
        <f>IF('Items sous domaines Sciences '!G258=3,'Items sous domaines Sciences '!C258,0)</f>
        <v>Chimie</v>
      </c>
      <c r="D256" s="215">
        <f>IF('Items sous domaines Sciences '!G258=3,'Items sous domaines Sciences '!D258,0)</f>
        <v>0</v>
      </c>
      <c r="E256" s="209" t="str">
        <f>IF('Items sous domaines Sciences '!G258=3,'Items sous domaines Sciences '!E258,0)</f>
        <v>Expliquer le rôle de l'eau de gâchage et des adjuvants sur la consistance des bétons.</v>
      </c>
      <c r="F256" s="431"/>
      <c r="G256" s="456"/>
    </row>
    <row r="257" spans="1:7" ht="19.95" customHeight="1" x14ac:dyDescent="0.25">
      <c r="A257" s="421"/>
      <c r="B257" s="61" t="str">
        <f>IF('Items sous domaines Sciences '!G259=3,'Items sous domaines Sciences '!B259,0)</f>
        <v>Chimie</v>
      </c>
      <c r="C257" s="213" t="str">
        <f>IF('Items sous domaines Sciences '!G259=3,'Items sous domaines Sciences '!C259,0)</f>
        <v>Chimie</v>
      </c>
      <c r="D257" s="216">
        <f>IF('Items sous domaines Sciences '!G259=3,'Items sous domaines Sciences '!D259,0)</f>
        <v>0</v>
      </c>
      <c r="E257" s="216" t="str">
        <f>IF('Items sous domaines Sciences '!G259=3,'Items sous domaines Sciences '!E259,0)</f>
        <v>Relier les caractéristiques des granulats et leur influence sur les performances du béton à long et à court terme.</v>
      </c>
      <c r="F257" s="431"/>
      <c r="G257" s="456"/>
    </row>
    <row r="258" spans="1:7" ht="19.95" customHeight="1" x14ac:dyDescent="0.25">
      <c r="A258" s="421"/>
      <c r="B258" s="61" t="str">
        <f>IF('Items sous domaines Sciences '!G260=3,'Items sous domaines Sciences '!B260,0)</f>
        <v>Chimie</v>
      </c>
      <c r="C258" s="212" t="str">
        <f>IF('Items sous domaines Sciences '!G260=3,'Items sous domaines Sciences '!C260,0)</f>
        <v>Chimie</v>
      </c>
      <c r="D258" s="215">
        <f>IF('Items sous domaines Sciences '!G260=3,'Items sous domaines Sciences '!D260,0)</f>
        <v>0</v>
      </c>
      <c r="E258" s="209" t="str">
        <f>IF('Items sous domaines Sciences '!G260=3,'Items sous domaines Sciences '!E260,0)</f>
        <v>Expliquer l'origine de la prise, du durcissement du béton au cours du temps.</v>
      </c>
      <c r="F258" s="431"/>
      <c r="G258" s="456"/>
    </row>
    <row r="259" spans="1:7" ht="19.95" customHeight="1" x14ac:dyDescent="0.25">
      <c r="A259" s="421"/>
      <c r="B259" s="61" t="str">
        <f>IF('Items sous domaines Sciences '!G261=3,'Items sous domaines Sciences '!B261,0)</f>
        <v>Chimie</v>
      </c>
      <c r="C259" s="213" t="str">
        <f>IF('Items sous domaines Sciences '!G261=3,'Items sous domaines Sciences '!C261,0)</f>
        <v>Chimie</v>
      </c>
      <c r="D259" s="216">
        <f>IF('Items sous domaines Sciences '!G261=3,'Items sous domaines Sciences '!D261,0)</f>
        <v>0</v>
      </c>
      <c r="E259" s="216" t="str">
        <f>IF('Items sous domaines Sciences '!G261=3,'Items sous domaines Sciences '!E261,0)</f>
        <v>Corréler les performances d'un béton aux paramètres utilisés pour sa formulation.</v>
      </c>
      <c r="F259" s="431"/>
      <c r="G259" s="456"/>
    </row>
    <row r="260" spans="1:7" ht="19.95" customHeight="1" x14ac:dyDescent="0.25">
      <c r="A260" s="421"/>
      <c r="B260" s="61" t="str">
        <f>IF('Items sous domaines Sciences '!G262=3,'Items sous domaines Sciences '!B262,0)</f>
        <v>Chimie</v>
      </c>
      <c r="C260" s="212" t="str">
        <f>IF('Items sous domaines Sciences '!G262=3,'Items sous domaines Sciences '!C262,0)</f>
        <v>Chimie</v>
      </c>
      <c r="D260" s="215">
        <f>IF('Items sous domaines Sciences '!G262=3,'Items sous domaines Sciences '!D262,0)</f>
        <v>0</v>
      </c>
      <c r="E260" s="209" t="str">
        <f>IF('Items sous domaines Sciences '!G262=3,'Items sous domaines Sciences '!E262,0)</f>
        <v>Appliquer les principes de base pour formuler un béton standard conformément à un cahier des charges et aux normes (méthodes Dreux et Gorisse).</v>
      </c>
      <c r="F260" s="431"/>
      <c r="G260" s="456"/>
    </row>
    <row r="261" spans="1:7" ht="19.95" customHeight="1" x14ac:dyDescent="0.25">
      <c r="A261" s="421"/>
      <c r="B261" s="61" t="str">
        <f>IF('Items sous domaines Sciences '!G263=3,'Items sous domaines Sciences '!B263,0)</f>
        <v>Chimie</v>
      </c>
      <c r="C261" s="213" t="str">
        <f>IF('Items sous domaines Sciences '!G263=3,'Items sous domaines Sciences '!C263,0)</f>
        <v>Chimie</v>
      </c>
      <c r="D261" s="216">
        <f>IF('Items sous domaines Sciences '!G263=3,'Items sous domaines Sciences '!D263,0)</f>
        <v>0</v>
      </c>
      <c r="E261" s="216" t="str">
        <f>IF('Items sous domaines Sciences '!G263=3,'Items sous domaines Sciences '!E263,0)</f>
        <v>Décrire le principe de durabilité des structures en béton.</v>
      </c>
      <c r="F261" s="431"/>
      <c r="G261" s="456"/>
    </row>
    <row r="262" spans="1:7" ht="19.95" customHeight="1" x14ac:dyDescent="0.25">
      <c r="A262" s="421"/>
      <c r="B262" s="61" t="str">
        <f>IF('Items sous domaines Sciences '!G264=3,'Items sous domaines Sciences '!B264,0)</f>
        <v>Chimie</v>
      </c>
      <c r="C262" s="212" t="str">
        <f>IF('Items sous domaines Sciences '!G264=3,'Items sous domaines Sciences '!C264,0)</f>
        <v>Chimie</v>
      </c>
      <c r="D262" s="215">
        <f>IF('Items sous domaines Sciences '!G264=3,'Items sous domaines Sciences '!D264,0)</f>
        <v>0</v>
      </c>
      <c r="E262" s="209" t="str">
        <f>IF('Items sous domaines Sciences '!G264=3,'Items sous domaines Sciences '!E264,0)</f>
        <v>Expliquer les mécanismes, les conséquences et remèdes des attaques chimiques.</v>
      </c>
      <c r="F262" s="431"/>
      <c r="G262" s="456"/>
    </row>
    <row r="263" spans="1:7" ht="19.95" customHeight="1" x14ac:dyDescent="0.25">
      <c r="A263" s="421"/>
      <c r="B263" s="61" t="str">
        <f>IF('Items sous domaines Sciences '!G265=3,'Items sous domaines Sciences '!B265,0)</f>
        <v>Chimie</v>
      </c>
      <c r="C263" s="213" t="str">
        <f>IF('Items sous domaines Sciences '!G265=3,'Items sous domaines Sciences '!C265,0)</f>
        <v>Chimie</v>
      </c>
      <c r="D263" s="216">
        <f>IF('Items sous domaines Sciences '!G265=3,'Items sous domaines Sciences '!D265,0)</f>
        <v>0</v>
      </c>
      <c r="E263" s="216" t="str">
        <f>IF('Items sous domaines Sciences '!G265=3,'Items sous domaines Sciences '!E265,0)</f>
        <v>Expliquer les mécanismes, les conséquences et les remèdes des attaques physiques.</v>
      </c>
      <c r="F263" s="431"/>
      <c r="G263" s="456"/>
    </row>
    <row r="264" spans="1:7" ht="19.95" customHeight="1" x14ac:dyDescent="0.25">
      <c r="A264" s="421"/>
      <c r="B264" s="61" t="str">
        <f>IF('Items sous domaines Sciences '!G266=3,'Items sous domaines Sciences '!B266,0)</f>
        <v>Chimie</v>
      </c>
      <c r="C264" s="212" t="str">
        <f>IF('Items sous domaines Sciences '!G266=3,'Items sous domaines Sciences '!C266,0)</f>
        <v>Chimie</v>
      </c>
      <c r="D264" s="215">
        <f>IF('Items sous domaines Sciences '!G266=3,'Items sous domaines Sciences '!D266,0)</f>
        <v>0</v>
      </c>
      <c r="E264" s="209" t="str">
        <f>IF('Items sous domaines Sciences '!G266=3,'Items sous domaines Sciences '!E266,0)</f>
        <v>Expliquer les mécanismes, les conséquences et les remèdes de la corrosion des armatures.</v>
      </c>
      <c r="F264" s="431"/>
      <c r="G264" s="456"/>
    </row>
    <row r="265" spans="1:7" ht="19.95" customHeight="1" x14ac:dyDescent="0.25">
      <c r="A265" s="421"/>
      <c r="B265" s="61" t="str">
        <f>IF('Items sous domaines Sciences '!G267=3,'Items sous domaines Sciences '!B267,0)</f>
        <v>Chimie</v>
      </c>
      <c r="C265" s="213" t="str">
        <f>IF('Items sous domaines Sciences '!G267=3,'Items sous domaines Sciences '!C267,0)</f>
        <v>Chimie</v>
      </c>
      <c r="D265" s="216">
        <f>IF('Items sous domaines Sciences '!G267=3,'Items sous domaines Sciences '!D267,0)</f>
        <v>0</v>
      </c>
      <c r="E265" s="216" t="str">
        <f>IF('Items sous domaines Sciences '!G267=3,'Items sous domaines Sciences '!E267,0)</f>
        <v>Utiliser un diagramme d'équilibre pour un solide (ex Fe-C - alliages - aciers).</v>
      </c>
      <c r="F265" s="431"/>
      <c r="G265" s="456"/>
    </row>
    <row r="266" spans="1:7" ht="19.95" customHeight="1" x14ac:dyDescent="0.25">
      <c r="A266" s="421"/>
      <c r="B266" s="61" t="str">
        <f>IF('Items sous domaines Sciences '!G268=3,'Items sous domaines Sciences '!B268,0)</f>
        <v>Chimie</v>
      </c>
      <c r="C266" s="212" t="str">
        <f>IF('Items sous domaines Sciences '!G268=3,'Items sous domaines Sciences '!C268,0)</f>
        <v>Chimie</v>
      </c>
      <c r="D266" s="215">
        <f>IF('Items sous domaines Sciences '!G268=3,'Items sous domaines Sciences '!D268,0)</f>
        <v>0</v>
      </c>
      <c r="E266" s="209" t="str">
        <f>IF('Items sous domaines Sciences '!G268=3,'Items sous domaines Sciences '!E268,0)</f>
        <v>Décrire les caractéristiques des polymères (masse molaire, basse/haute densité, transition vitreuse), thermoplastique, thermodurcissable.</v>
      </c>
      <c r="F266" s="431"/>
      <c r="G266" s="456"/>
    </row>
    <row r="267" spans="1:7" ht="19.95" customHeight="1" x14ac:dyDescent="0.25">
      <c r="A267" s="421"/>
      <c r="B267" s="61" t="str">
        <f>IF('Items sous domaines Sciences '!G269=3,'Items sous domaines Sciences '!B269,0)</f>
        <v>Chimie</v>
      </c>
      <c r="C267" s="213" t="str">
        <f>IF('Items sous domaines Sciences '!G269=3,'Items sous domaines Sciences '!C269,0)</f>
        <v>Chimie</v>
      </c>
      <c r="D267" s="216">
        <f>IF('Items sous domaines Sciences '!G269=3,'Items sous domaines Sciences '!D269,0)</f>
        <v>0</v>
      </c>
      <c r="E267" s="216" t="str">
        <f>IF('Items sous domaines Sciences '!G269=3,'Items sous domaines Sciences '!E269,0)</f>
        <v>Décrire les caractéristiques des céramiques et alliages métalliques.</v>
      </c>
      <c r="F267" s="431"/>
      <c r="G267" s="260"/>
    </row>
    <row r="268" spans="1:7" ht="19.95" customHeight="1" x14ac:dyDescent="0.25">
      <c r="A268" s="421"/>
      <c r="B268" s="61" t="str">
        <f>IF('Items sous domaines Sciences '!G270=3,'Items sous domaines Sciences '!B270,0)</f>
        <v>Chimie</v>
      </c>
      <c r="C268" s="212" t="str">
        <f>IF('Items sous domaines Sciences '!G270=3,'Items sous domaines Sciences '!C270,0)</f>
        <v>Chimie</v>
      </c>
      <c r="D268" s="215">
        <f>IF('Items sous domaines Sciences '!G270=3,'Items sous domaines Sciences '!D270,0)</f>
        <v>0</v>
      </c>
      <c r="E268" s="209" t="str">
        <f>IF('Items sous domaines Sciences '!G270=3,'Items sous domaines Sciences '!E270,0)</f>
        <v>Décrire les principales méthodes de contrôle non destructif.</v>
      </c>
      <c r="F268" s="431"/>
      <c r="G268" s="452"/>
    </row>
    <row r="269" spans="1:7" ht="19.95" customHeight="1" x14ac:dyDescent="0.25">
      <c r="A269" s="421"/>
      <c r="B269" s="61" t="str">
        <f>IF('Items sous domaines Sciences '!G271=3,'Items sous domaines Sciences '!B271,0)</f>
        <v>Chimie</v>
      </c>
      <c r="C269" s="213" t="str">
        <f>IF('Items sous domaines Sciences '!G271=3,'Items sous domaines Sciences '!C271,0)</f>
        <v>Chimie</v>
      </c>
      <c r="D269" s="216" t="str">
        <f>IF('Items sous domaines Sciences '!G271=3,'Items sous domaines Sciences '!D271,0)</f>
        <v>Acide Base</v>
      </c>
      <c r="E269" s="216" t="str">
        <f>IF('Items sous domaines Sciences '!G271=3,'Items sous domaines Sciences '!E271,0)</f>
        <v>Expliquer les notions de pH, acides forts, faibles, idem bases, Ka et pKa, influence des paramètres…</v>
      </c>
      <c r="F269" s="431"/>
      <c r="G269" s="456"/>
    </row>
    <row r="270" spans="1:7" ht="19.95" customHeight="1" x14ac:dyDescent="0.25">
      <c r="A270" s="421"/>
      <c r="B270" s="61" t="str">
        <f>IF('Items sous domaines Sciences '!G272=3,'Items sous domaines Sciences '!B272,0)</f>
        <v>Chimie</v>
      </c>
      <c r="C270" s="212" t="str">
        <f>IF('Items sous domaines Sciences '!G272=3,'Items sous domaines Sciences '!C272,0)</f>
        <v>Chimie</v>
      </c>
      <c r="D270" s="215">
        <f>IF('Items sous domaines Sciences '!G272=3,'Items sous domaines Sciences '!D272,0)</f>
        <v>0</v>
      </c>
      <c r="E270" s="209" t="str">
        <f>IF('Items sous domaines Sciences '!G272=3,'Items sous domaines Sciences '!E272,0)</f>
        <v>Classifier les couples acido-basiques (acide fort/base forte).</v>
      </c>
      <c r="F270" s="431"/>
      <c r="G270" s="456"/>
    </row>
    <row r="271" spans="1:7" ht="19.95" customHeight="1" x14ac:dyDescent="0.25">
      <c r="A271" s="421"/>
      <c r="B271" s="61" t="str">
        <f>IF('Items sous domaines Sciences '!G273=3,'Items sous domaines Sciences '!B273,0)</f>
        <v>Chimie</v>
      </c>
      <c r="C271" s="213" t="str">
        <f>IF('Items sous domaines Sciences '!G273=3,'Items sous domaines Sciences '!C273,0)</f>
        <v>Chimie</v>
      </c>
      <c r="D271" s="216">
        <f>IF('Items sous domaines Sciences '!G273=3,'Items sous domaines Sciences '!D273,0)</f>
        <v>0</v>
      </c>
      <c r="E271" s="216" t="str">
        <f>IF('Items sous domaines Sciences '!G273=3,'Items sous domaines Sciences '!E273,0)</f>
        <v>Calculer la constante d'équilibre d'une réaction acido-basique et le pH de la solution.</v>
      </c>
      <c r="F271" s="431"/>
      <c r="G271" s="456"/>
    </row>
    <row r="272" spans="1:7" ht="19.95" customHeight="1" x14ac:dyDescent="0.25">
      <c r="A272" s="421"/>
      <c r="B272" s="61" t="str">
        <f>IF('Items sous domaines Sciences '!G274=3,'Items sous domaines Sciences '!B274,0)</f>
        <v>Chimie</v>
      </c>
      <c r="C272" s="212" t="str">
        <f>IF('Items sous domaines Sciences '!G274=3,'Items sous domaines Sciences '!C274,0)</f>
        <v>Chimie</v>
      </c>
      <c r="D272" s="215">
        <f>IF('Items sous domaines Sciences '!G274=3,'Items sous domaines Sciences '!D274,0)</f>
        <v>0</v>
      </c>
      <c r="E272" s="209" t="str">
        <f>IF('Items sous domaines Sciences '!G274=3,'Items sous domaines Sciences '!E274,0)</f>
        <v>Décrire les différentes techniques pour déterminer le pH  (papier pH, titreur automatique…).</v>
      </c>
      <c r="F272" s="431"/>
      <c r="G272" s="456"/>
    </row>
    <row r="273" spans="1:7" ht="19.95" customHeight="1" x14ac:dyDescent="0.25">
      <c r="A273" s="421"/>
      <c r="B273" s="61" t="str">
        <f>IF('Items sous domaines Sciences '!G275=3,'Items sous domaines Sciences '!B275,0)</f>
        <v>Chimie</v>
      </c>
      <c r="C273" s="213" t="str">
        <f>IF('Items sous domaines Sciences '!G275=3,'Items sous domaines Sciences '!C275,0)</f>
        <v>Chimie</v>
      </c>
      <c r="D273" s="216" t="str">
        <f>IF('Items sous domaines Sciences '!G275=3,'Items sous domaines Sciences '!D275,0)</f>
        <v>REDOX</v>
      </c>
      <c r="E273" s="216" t="str">
        <f>IF('Items sous domaines Sciences '!G275=3,'Items sous domaines Sciences '!E275,0)</f>
        <v>Expliquer les notions d'oxydant/réducteur.</v>
      </c>
      <c r="F273" s="431"/>
      <c r="G273" s="456"/>
    </row>
    <row r="274" spans="1:7" ht="19.95" customHeight="1" x14ac:dyDescent="0.25">
      <c r="A274" s="421"/>
      <c r="B274" s="61" t="str">
        <f>IF('Items sous domaines Sciences '!G276=3,'Items sous domaines Sciences '!B276,0)</f>
        <v>Chimie</v>
      </c>
      <c r="C274" s="212" t="str">
        <f>IF('Items sous domaines Sciences '!G276=3,'Items sous domaines Sciences '!C276,0)</f>
        <v>Chimie</v>
      </c>
      <c r="D274" s="215">
        <f>IF('Items sous domaines Sciences '!G276=3,'Items sous domaines Sciences '!D276,0)</f>
        <v>0</v>
      </c>
      <c r="E274" s="209" t="str">
        <f>IF('Items sous domaines Sciences '!G276=3,'Items sous domaines Sciences '!E276,0)</f>
        <v>Classifier les couples oxydant/réducteur.</v>
      </c>
      <c r="F274" s="431"/>
      <c r="G274" s="456"/>
    </row>
    <row r="275" spans="1:7" ht="19.95" customHeight="1" x14ac:dyDescent="0.25">
      <c r="A275" s="421"/>
      <c r="B275" s="61" t="str">
        <f>IF('Items sous domaines Sciences '!G277=3,'Items sous domaines Sciences '!B277,0)</f>
        <v>Chimie</v>
      </c>
      <c r="C275" s="213" t="str">
        <f>IF('Items sous domaines Sciences '!G277=3,'Items sous domaines Sciences '!C277,0)</f>
        <v>Chimie</v>
      </c>
      <c r="D275" s="216">
        <f>IF('Items sous domaines Sciences '!G277=3,'Items sous domaines Sciences '!D277,0)</f>
        <v>0</v>
      </c>
      <c r="E275" s="216" t="str">
        <f>IF('Items sous domaines Sciences '!G277=3,'Items sous domaines Sciences '!E277,0)</f>
        <v>Appliquer l'équation de Nernst aux piles (potentiel standard).</v>
      </c>
      <c r="F275" s="431"/>
      <c r="G275" s="456"/>
    </row>
    <row r="276" spans="1:7" ht="19.95" customHeight="1" x14ac:dyDescent="0.25">
      <c r="A276" s="421"/>
      <c r="B276" s="61" t="str">
        <f>IF('Items sous domaines Sciences '!G278=3,'Items sous domaines Sciences '!B278,0)</f>
        <v>Chimie</v>
      </c>
      <c r="C276" s="212" t="str">
        <f>IF('Items sous domaines Sciences '!G278=3,'Items sous domaines Sciences '!C278,0)</f>
        <v>Chimie</v>
      </c>
      <c r="D276" s="215">
        <f>IF('Items sous domaines Sciences '!G278=3,'Items sous domaines Sciences '!D278,0)</f>
        <v>0</v>
      </c>
      <c r="E276" s="209" t="str">
        <f>IF('Items sous domaines Sciences '!G278=3,'Items sous domaines Sciences '!E278,0)</f>
        <v>Déterminer le potentiel standard d'un couple.</v>
      </c>
      <c r="F276" s="431"/>
      <c r="G276" s="456"/>
    </row>
    <row r="277" spans="1:7" ht="19.95" customHeight="1" x14ac:dyDescent="0.25">
      <c r="A277" s="421"/>
      <c r="B277" s="61" t="str">
        <f>IF('Items sous domaines Sciences '!G279=3,'Items sous domaines Sciences '!B279,0)</f>
        <v>Chimie</v>
      </c>
      <c r="C277" s="213" t="str">
        <f>IF('Items sous domaines Sciences '!G279=3,'Items sous domaines Sciences '!C279,0)</f>
        <v>Chimie</v>
      </c>
      <c r="D277" s="216">
        <f>IF('Items sous domaines Sciences '!G279=3,'Items sous domaines Sciences '!D279,0)</f>
        <v>0</v>
      </c>
      <c r="E277" s="216" t="str">
        <f>IF('Items sous domaines Sciences '!G279=3,'Items sous domaines Sciences '!E279,0)</f>
        <v>Établir une réaction d'oxydo-réduction et calculer la constante d'équilibre.</v>
      </c>
      <c r="F277" s="431"/>
      <c r="G277" s="456"/>
    </row>
    <row r="278" spans="1:7" ht="19.95" customHeight="1" x14ac:dyDescent="0.25">
      <c r="A278" s="421"/>
      <c r="B278" s="61" t="str">
        <f>IF('Items sous domaines Sciences '!G280=3,'Items sous domaines Sciences '!B280,0)</f>
        <v>Chimie</v>
      </c>
      <c r="C278" s="212" t="str">
        <f>IF('Items sous domaines Sciences '!G280=3,'Items sous domaines Sciences '!C280,0)</f>
        <v>Chimie</v>
      </c>
      <c r="D278" s="215">
        <f>IF('Items sous domaines Sciences '!G280=3,'Items sous domaines Sciences '!D280,0)</f>
        <v>0</v>
      </c>
      <c r="E278" s="209" t="str">
        <f>IF('Items sous domaines Sciences '!G280=3,'Items sous domaines Sciences '!E280,0)</f>
        <v>Utiliser un diagramme de solubilité du Fe (II/III).</v>
      </c>
      <c r="F278" s="431"/>
      <c r="G278" s="456"/>
    </row>
    <row r="279" spans="1:7" ht="19.95" customHeight="1" x14ac:dyDescent="0.25">
      <c r="A279" s="421"/>
      <c r="B279" s="61" t="str">
        <f>IF('Items sous domaines Sciences '!G281=3,'Items sous domaines Sciences '!B281,0)</f>
        <v>Chimie</v>
      </c>
      <c r="C279" s="213" t="str">
        <f>IF('Items sous domaines Sciences '!G281=3,'Items sous domaines Sciences '!C281,0)</f>
        <v>Chimie</v>
      </c>
      <c r="D279" s="216">
        <f>IF('Items sous domaines Sciences '!G281=3,'Items sous domaines Sciences '!D281,0)</f>
        <v>0</v>
      </c>
      <c r="E279" s="216" t="str">
        <f>IF('Items sous domaines Sciences '!G281=3,'Items sous domaines Sciences '!E281,0)</f>
        <v>Décrire les différentes techniques pour titrer une réaction d'oxydo-réduction (colorimétrique, conductimétrie, potentiométrie).</v>
      </c>
      <c r="F279" s="431"/>
      <c r="G279" s="456"/>
    </row>
    <row r="280" spans="1:7" ht="19.95" customHeight="1" x14ac:dyDescent="0.25">
      <c r="A280" s="421"/>
      <c r="B280" s="61" t="str">
        <f>IF('Items sous domaines Sciences '!G282=3,'Items sous domaines Sciences '!B282,0)</f>
        <v>Chimie</v>
      </c>
      <c r="C280" s="212" t="str">
        <f>IF('Items sous domaines Sciences '!G282=3,'Items sous domaines Sciences '!C282,0)</f>
        <v>Chimie</v>
      </c>
      <c r="D280" s="215">
        <f>IF('Items sous domaines Sciences '!G282=3,'Items sous domaines Sciences '!D282,0)</f>
        <v>0</v>
      </c>
      <c r="E280" s="209" t="str">
        <f>IF('Items sous domaines Sciences '!G282=3,'Items sous domaines Sciences '!E282,0)</f>
        <v>Décrire les phénomènes de corrosion (lien avec les matériaux et diagramme Fe-C).</v>
      </c>
      <c r="F280" s="431"/>
      <c r="G280" s="456"/>
    </row>
    <row r="281" spans="1:7" ht="19.95" customHeight="1" x14ac:dyDescent="0.25">
      <c r="A281" s="421"/>
      <c r="B281" s="61" t="str">
        <f>IF('Items sous domaines Sciences '!G283=3,'Items sous domaines Sciences '!B283,0)</f>
        <v>Chimie</v>
      </c>
      <c r="C281" s="213" t="str">
        <f>IF('Items sous domaines Sciences '!G283=3,'Items sous domaines Sciences '!C283,0)</f>
        <v>Chimie</v>
      </c>
      <c r="D281" s="216" t="str">
        <f>IF('Items sous domaines Sciences '!G283=3,'Items sous domaines Sciences '!D283,0)</f>
        <v>Cinétique</v>
      </c>
      <c r="E281" s="216" t="str">
        <f>IF('Items sous domaines Sciences '!G283=3,'Items sous domaines Sciences '!E283,0)</f>
        <v>Déterminer l'ordre d'une réaction.</v>
      </c>
      <c r="F281" s="431"/>
      <c r="G281" s="456"/>
    </row>
    <row r="282" spans="1:7" ht="19.95" customHeight="1" x14ac:dyDescent="0.25">
      <c r="A282" s="421"/>
      <c r="B282" s="61" t="str">
        <f>IF('Items sous domaines Sciences '!G284=3,'Items sous domaines Sciences '!B284,0)</f>
        <v>Chimie</v>
      </c>
      <c r="C282" s="212" t="str">
        <f>IF('Items sous domaines Sciences '!G284=3,'Items sous domaines Sciences '!C284,0)</f>
        <v>Chimie</v>
      </c>
      <c r="D282" s="215">
        <f>IF('Items sous domaines Sciences '!G284=3,'Items sous domaines Sciences '!D284,0)</f>
        <v>0</v>
      </c>
      <c r="E282" s="209" t="str">
        <f>IF('Items sous domaines Sciences '!G284=3,'Items sous domaines Sciences '!E284,0)</f>
        <v>Relier les paramètres influençant la cinétique d'une réaction (loi Van'Hoff), température, pression et catalyseurs.</v>
      </c>
      <c r="F282" s="431"/>
      <c r="G282" s="260" t="s">
        <v>468</v>
      </c>
    </row>
    <row r="283" spans="1:7" ht="19.95" customHeight="1" x14ac:dyDescent="0.25">
      <c r="A283" s="421"/>
      <c r="B283" s="61" t="str">
        <f>IF('Items sous domaines Sciences '!G285=3,'Items sous domaines Sciences '!B285,0)</f>
        <v>Chimie</v>
      </c>
      <c r="C283" s="213" t="str">
        <f>IF('Items sous domaines Sciences '!G285=3,'Items sous domaines Sciences '!C285,0)</f>
        <v>Chimie</v>
      </c>
      <c r="D283" s="216">
        <f>IF('Items sous domaines Sciences '!G285=3,'Items sous domaines Sciences '!D285,0)</f>
        <v>0</v>
      </c>
      <c r="E283" s="216" t="str">
        <f>IF('Items sous domaines Sciences '!G285=3,'Items sous domaines Sciences '!E285,0)</f>
        <v>Produire le tableau d'avancement d'une réaction et déterminer si la réaction est totale.</v>
      </c>
      <c r="F283" s="431"/>
      <c r="G283" s="258"/>
    </row>
    <row r="284" spans="1:7" ht="19.95" customHeight="1" x14ac:dyDescent="0.25">
      <c r="A284" s="421"/>
      <c r="B284" s="61" t="str">
        <f>IF('Items sous domaines Sciences '!G286=3,'Items sous domaines Sciences '!B286,0)</f>
        <v>Chimie</v>
      </c>
      <c r="C284" s="212" t="str">
        <f>IF('Items sous domaines Sciences '!G286=3,'Items sous domaines Sciences '!C286,0)</f>
        <v>Chimie</v>
      </c>
      <c r="D284" s="215">
        <f>IF('Items sous domaines Sciences '!G286=3,'Items sous domaines Sciences '!D286,0)</f>
        <v>0</v>
      </c>
      <c r="E284" s="209" t="str">
        <f>IF('Items sous domaines Sciences '!G286=3,'Items sous domaines Sciences '!E286,0)</f>
        <v>Déterminer le sens d'évolution d'un système chimique (relier la constante d'équilibre à la thermodynamique).</v>
      </c>
      <c r="F284" s="431"/>
      <c r="G284" s="456"/>
    </row>
    <row r="285" spans="1:7" ht="19.95" customHeight="1" x14ac:dyDescent="0.25">
      <c r="A285" s="421"/>
      <c r="B285" s="61" t="str">
        <f>IF('Items sous domaines Sciences '!G287=3,'Items sous domaines Sciences '!B287,0)</f>
        <v>Chimie</v>
      </c>
      <c r="C285" s="213" t="str">
        <f>IF('Items sous domaines Sciences '!G287=3,'Items sous domaines Sciences '!C287,0)</f>
        <v>Chimie</v>
      </c>
      <c r="D285" s="216" t="str">
        <f>IF('Items sous domaines Sciences '!G287=3,'Items sous domaines Sciences '!D287,0)</f>
        <v>Sécurité</v>
      </c>
      <c r="E285" s="216" t="str">
        <f>IF('Items sous domaines Sciences '!G287=3,'Items sous domaines Sciences '!E287,0)</f>
        <v>Expliquer les 12 principes de la prévention - Conf haut de GAMME.</v>
      </c>
      <c r="F285" s="431"/>
      <c r="G285" s="456"/>
    </row>
    <row r="286" spans="1:7" ht="19.95" customHeight="1" x14ac:dyDescent="0.25">
      <c r="A286" s="421"/>
      <c r="B286" s="61" t="str">
        <f>IF('Items sous domaines Sciences '!G288=3,'Items sous domaines Sciences '!B288,0)</f>
        <v>Chimie</v>
      </c>
      <c r="C286" s="212" t="str">
        <f>IF('Items sous domaines Sciences '!G288=3,'Items sous domaines Sciences '!C288,0)</f>
        <v>Chimie</v>
      </c>
      <c r="D286" s="215">
        <f>IF('Items sous domaines Sciences '!G288=3,'Items sous domaines Sciences '!D288,0)</f>
        <v>0</v>
      </c>
      <c r="E286" s="209" t="str">
        <f>IF('Items sous domaines Sciences '!G288=3,'Items sous domaines Sciences '!E288,0)</f>
        <v>Reconnaître les pictogrammes de danger.</v>
      </c>
      <c r="F286" s="431"/>
      <c r="G286" s="456"/>
    </row>
    <row r="287" spans="1:7" ht="19.95" customHeight="1" x14ac:dyDescent="0.25">
      <c r="A287" s="421"/>
      <c r="B287" s="61" t="str">
        <f>IF('Items sous domaines Sciences '!G289=3,'Items sous domaines Sciences '!B289,0)</f>
        <v>Chimie</v>
      </c>
      <c r="C287" s="213" t="str">
        <f>IF('Items sous domaines Sciences '!G289=3,'Items sous domaines Sciences '!C289,0)</f>
        <v>Chimie</v>
      </c>
      <c r="D287" s="216">
        <f>IF('Items sous domaines Sciences '!G289=3,'Items sous domaines Sciences '!D289,0)</f>
        <v>0</v>
      </c>
      <c r="E287" s="216" t="str">
        <f>IF('Items sous domaines Sciences '!G289=3,'Items sous domaines Sciences '!E289,0)</f>
        <v>Examiner une fiche sécurité (INRS).</v>
      </c>
      <c r="F287" s="431"/>
      <c r="G287" s="456"/>
    </row>
    <row r="288" spans="1:7" ht="19.95" customHeight="1" x14ac:dyDescent="0.25">
      <c r="A288" s="421"/>
      <c r="B288" s="61" t="str">
        <f>IF('Items sous domaines Sciences '!G290=3,'Items sous domaines Sciences '!B290,0)</f>
        <v>Chimie</v>
      </c>
      <c r="C288" s="212" t="str">
        <f>IF('Items sous domaines Sciences '!G290=3,'Items sous domaines Sciences '!C290,0)</f>
        <v>Chimie</v>
      </c>
      <c r="D288" s="215">
        <f>IF('Items sous domaines Sciences '!G290=3,'Items sous domaines Sciences '!D290,0)</f>
        <v>0</v>
      </c>
      <c r="E288" s="209" t="str">
        <f>IF('Items sous domaines Sciences '!G290=3,'Items sous domaines Sciences '!E290,0)</f>
        <v>Détecter les risques chimiques.</v>
      </c>
      <c r="F288" s="431"/>
      <c r="G288" s="456"/>
    </row>
    <row r="289" spans="1:7" ht="19.95" customHeight="1" x14ac:dyDescent="0.25">
      <c r="A289" s="421"/>
      <c r="B289" s="61" t="str">
        <f>IF('Items sous domaines Sciences '!G291=3,'Items sous domaines Sciences '!B291,0)</f>
        <v>Chimie</v>
      </c>
      <c r="C289" s="213" t="str">
        <f>IF('Items sous domaines Sciences '!G291=3,'Items sous domaines Sciences '!C291,0)</f>
        <v>Chimie</v>
      </c>
      <c r="D289" s="216">
        <f>IF('Items sous domaines Sciences '!G291=3,'Items sous domaines Sciences '!D291,0)</f>
        <v>0</v>
      </c>
      <c r="E289" s="216" t="str">
        <f>IF('Items sous domaines Sciences '!G291=3,'Items sous domaines Sciences '!E291,0)</f>
        <v>Sélectionner les équipements adaptés.</v>
      </c>
      <c r="F289" s="431"/>
      <c r="G289" s="456"/>
    </row>
    <row r="290" spans="1:7" ht="19.95" customHeight="1" x14ac:dyDescent="0.25">
      <c r="A290" s="421"/>
      <c r="B290" s="61" t="str">
        <f>IF('Items sous domaines Sciences '!G292=3,'Items sous domaines Sciences '!B292,0)</f>
        <v>Chimie</v>
      </c>
      <c r="C290" s="212" t="str">
        <f>IF('Items sous domaines Sciences '!G292=3,'Items sous domaines Sciences '!C292,0)</f>
        <v>Chimie</v>
      </c>
      <c r="D290" s="215">
        <f>IF('Items sous domaines Sciences '!G292=3,'Items sous domaines Sciences '!D292,0)</f>
        <v>0</v>
      </c>
      <c r="E290" s="209" t="str">
        <f>IF('Items sous domaines Sciences '!G292=3,'Items sous domaines Sciences '!E292,0)</f>
        <v>Proposer un Plan de Prévention Sécurité et Protection de la Santé (PPSPS).</v>
      </c>
      <c r="F290" s="431"/>
      <c r="G290" s="456"/>
    </row>
    <row r="291" spans="1:7" ht="19.95" customHeight="1" x14ac:dyDescent="0.25">
      <c r="A291" s="421"/>
      <c r="B291" s="61" t="str">
        <f>IF('Items sous domaines Sciences '!G293=3,'Items sous domaines Sciences '!B293,0)</f>
        <v>Chimie</v>
      </c>
      <c r="C291" s="213" t="str">
        <f>IF('Items sous domaines Sciences '!G293=3,'Items sous domaines Sciences '!C293,0)</f>
        <v>Chimie</v>
      </c>
      <c r="D291" s="216">
        <f>IF('Items sous domaines Sciences '!G293=3,'Items sous domaines Sciences '!D293,0)</f>
        <v>0</v>
      </c>
      <c r="E291" s="216">
        <f>IF('Items sous domaines Sciences '!G293=3,'Items sous domaines Sciences '!E293,0)</f>
        <v>0</v>
      </c>
      <c r="F291" s="431"/>
      <c r="G291" s="456"/>
    </row>
    <row r="292" spans="1:7" ht="19.95" customHeight="1" thickBot="1" x14ac:dyDescent="0.3">
      <c r="A292" s="422"/>
      <c r="B292" s="82" t="str">
        <f>IF('Items sous domaines Sciences '!G294=3,'Items sous domaines Sciences '!B294,0)</f>
        <v>Chimie</v>
      </c>
      <c r="C292" s="229" t="str">
        <f>IF('Items sous domaines Sciences '!G294=3,'Items sous domaines Sciences '!C294,0)</f>
        <v>Chimie</v>
      </c>
      <c r="D292" s="230">
        <f>IF('Items sous domaines Sciences '!G294=3,'Items sous domaines Sciences '!D294,0)</f>
        <v>0</v>
      </c>
      <c r="E292" s="231">
        <f>IF('Items sous domaines Sciences '!G294=3,'Items sous domaines Sciences '!E294,0)</f>
        <v>0</v>
      </c>
      <c r="F292" s="449"/>
      <c r="G292" s="457"/>
    </row>
    <row r="293" spans="1:7" customFormat="1" ht="17.399999999999999" hidden="1" customHeight="1" thickBot="1" x14ac:dyDescent="0.3">
      <c r="A293" s="30"/>
      <c r="B293" s="220">
        <f>IF('Items sous domaines Sciences '!G295=3,'Items sous domaines Sciences '!B295,0)</f>
        <v>0</v>
      </c>
      <c r="C293" s="221">
        <f>IF('Items sous domaines Sciences '!G295=3,'Items sous domaines Sciences '!C295,0)</f>
        <v>0</v>
      </c>
      <c r="D293" s="222">
        <f>IF('Items sous domaines Sciences '!G295=3,'Items sous domaines Sciences '!D295,0)</f>
        <v>0</v>
      </c>
      <c r="E293" s="222">
        <f>IF('Items sous domaines Sciences '!G295=3,'Items sous domaines Sciences '!E295,0)</f>
        <v>0</v>
      </c>
      <c r="F293" s="26"/>
      <c r="G293" s="458"/>
    </row>
    <row r="294" spans="1:7" customFormat="1" ht="17.399999999999999" hidden="1" customHeight="1" thickBot="1" x14ac:dyDescent="0.3">
      <c r="A294" s="30"/>
      <c r="B294" s="193">
        <f>IF('Items sous domaines Sciences '!G296=3,'Items sous domaines Sciences '!B296,0)</f>
        <v>0</v>
      </c>
      <c r="C294" s="212">
        <f>IF('Items sous domaines Sciences '!G296=3,'Items sous domaines Sciences '!C296,0)</f>
        <v>0</v>
      </c>
      <c r="D294" s="215">
        <f>IF('Items sous domaines Sciences '!G296=3,'Items sous domaines Sciences '!D296,0)</f>
        <v>0</v>
      </c>
      <c r="E294" s="209">
        <f>IF('Items sous domaines Sciences '!G296=3,'Items sous domaines Sciences '!E296,0)</f>
        <v>0</v>
      </c>
      <c r="F294" s="26"/>
      <c r="G294" s="458"/>
    </row>
    <row r="295" spans="1:7" customFormat="1" ht="17.399999999999999" hidden="1" customHeight="1" thickBot="1" x14ac:dyDescent="0.3">
      <c r="A295" s="30"/>
      <c r="B295" s="210">
        <f>IF('Items sous domaines Sciences '!G297=3,'Items sous domaines Sciences '!B297,0)</f>
        <v>0</v>
      </c>
      <c r="C295" s="213">
        <f>IF('Items sous domaines Sciences '!G297=3,'Items sous domaines Sciences '!C297,0)</f>
        <v>0</v>
      </c>
      <c r="D295" s="216">
        <f>IF('Items sous domaines Sciences '!G297=3,'Items sous domaines Sciences '!D297,0)</f>
        <v>0</v>
      </c>
      <c r="E295" s="216">
        <f>IF('Items sous domaines Sciences '!G297=3,'Items sous domaines Sciences '!E297,0)</f>
        <v>0</v>
      </c>
      <c r="F295" s="26"/>
      <c r="G295" s="458"/>
    </row>
    <row r="296" spans="1:7" customFormat="1" ht="17.399999999999999" hidden="1" customHeight="1" thickBot="1" x14ac:dyDescent="0.3">
      <c r="A296" s="30"/>
      <c r="B296" s="193">
        <f>IF('Items sous domaines Sciences '!G298=3,'Items sous domaines Sciences '!B298,0)</f>
        <v>0</v>
      </c>
      <c r="C296" s="212">
        <f>IF('Items sous domaines Sciences '!G298=3,'Items sous domaines Sciences '!C298,0)</f>
        <v>0</v>
      </c>
      <c r="D296" s="215">
        <f>IF('Items sous domaines Sciences '!G298=3,'Items sous domaines Sciences '!D298,0)</f>
        <v>0</v>
      </c>
      <c r="E296" s="209">
        <f>IF('Items sous domaines Sciences '!G298=3,'Items sous domaines Sciences '!E298,0)</f>
        <v>0</v>
      </c>
      <c r="F296" s="26"/>
      <c r="G296" s="458"/>
    </row>
    <row r="297" spans="1:7" customFormat="1" ht="17.399999999999999" hidden="1" customHeight="1" thickBot="1" x14ac:dyDescent="0.3">
      <c r="A297" s="30"/>
      <c r="B297" s="210">
        <f>IF('Items sous domaines Sciences '!G299=3,'Items sous domaines Sciences '!B299,0)</f>
        <v>0</v>
      </c>
      <c r="C297" s="213">
        <f>IF('Items sous domaines Sciences '!G299=3,'Items sous domaines Sciences '!C299,0)</f>
        <v>0</v>
      </c>
      <c r="D297" s="216">
        <f>IF('Items sous domaines Sciences '!G299=3,'Items sous domaines Sciences '!D299,0)</f>
        <v>0</v>
      </c>
      <c r="E297" s="216">
        <f>IF('Items sous domaines Sciences '!G299=3,'Items sous domaines Sciences '!E299,0)</f>
        <v>0</v>
      </c>
      <c r="F297" s="26"/>
      <c r="G297" s="458"/>
    </row>
    <row r="298" spans="1:7" customFormat="1" ht="17.399999999999999" hidden="1" customHeight="1" thickBot="1" x14ac:dyDescent="0.3">
      <c r="A298" s="30"/>
      <c r="B298" s="193">
        <f>IF('Items sous domaines Sciences '!G300=3,'Items sous domaines Sciences '!B300,0)</f>
        <v>0</v>
      </c>
      <c r="C298" s="212">
        <f>IF('Items sous domaines Sciences '!G300=3,'Items sous domaines Sciences '!C300,0)</f>
        <v>0</v>
      </c>
      <c r="D298" s="215">
        <f>IF('Items sous domaines Sciences '!G300=3,'Items sous domaines Sciences '!D300,0)</f>
        <v>0</v>
      </c>
      <c r="E298" s="209">
        <f>IF('Items sous domaines Sciences '!G300=3,'Items sous domaines Sciences '!E300,0)</f>
        <v>0</v>
      </c>
      <c r="F298" s="26"/>
      <c r="G298" s="458"/>
    </row>
    <row r="299" spans="1:7" customFormat="1" ht="17.399999999999999" hidden="1" customHeight="1" thickBot="1" x14ac:dyDescent="0.3">
      <c r="A299" s="30"/>
      <c r="B299" s="210">
        <f>IF('Items sous domaines Sciences '!G301=3,'Items sous domaines Sciences '!B301,0)</f>
        <v>0</v>
      </c>
      <c r="C299" s="213">
        <f>IF('Items sous domaines Sciences '!G301=3,'Items sous domaines Sciences '!C301,0)</f>
        <v>0</v>
      </c>
      <c r="D299" s="216">
        <f>IF('Items sous domaines Sciences '!G301=3,'Items sous domaines Sciences '!D301,0)</f>
        <v>0</v>
      </c>
      <c r="E299" s="216">
        <f>IF('Items sous domaines Sciences '!G301=3,'Items sous domaines Sciences '!E301,0)</f>
        <v>0</v>
      </c>
      <c r="F299" s="27"/>
      <c r="G299" s="458"/>
    </row>
    <row r="300" spans="1:7" customFormat="1" ht="17.399999999999999" hidden="1" customHeight="1" thickBot="1" x14ac:dyDescent="0.3">
      <c r="A300" s="30"/>
      <c r="B300" s="193">
        <f>IF('Items sous domaines Sciences '!G302=3,'Items sous domaines Sciences '!B302,0)</f>
        <v>0</v>
      </c>
      <c r="C300" s="212">
        <f>IF('Items sous domaines Sciences '!G302=3,'Items sous domaines Sciences '!C302,0)</f>
        <v>0</v>
      </c>
      <c r="D300" s="215">
        <f>IF('Items sous domaines Sciences '!G302=3,'Items sous domaines Sciences '!D302,0)</f>
        <v>0</v>
      </c>
      <c r="E300" s="209">
        <f>IF('Items sous domaines Sciences '!G302=3,'Items sous domaines Sciences '!E302,0)</f>
        <v>0</v>
      </c>
      <c r="F300" t="e">
        <f>IF('Items sous domaines Sciences '!#REF!=1,'Items sous domaines Sciences '!#REF!,0)</f>
        <v>#REF!</v>
      </c>
      <c r="G300" s="459"/>
    </row>
    <row r="301" spans="1:7" customFormat="1" ht="17.399999999999999" hidden="1" customHeight="1" thickBot="1" x14ac:dyDescent="0.3">
      <c r="A301" s="30"/>
      <c r="B301" s="210">
        <f>IF('Items sous domaines Sciences '!G303=3,'Items sous domaines Sciences '!B303,0)</f>
        <v>0</v>
      </c>
      <c r="C301" s="213">
        <f>IF('Items sous domaines Sciences '!G303=3,'Items sous domaines Sciences '!C303,0)</f>
        <v>0</v>
      </c>
      <c r="D301" s="216">
        <f>IF('Items sous domaines Sciences '!G303=3,'Items sous domaines Sciences '!D303,0)</f>
        <v>0</v>
      </c>
      <c r="E301" s="216">
        <f>IF('Items sous domaines Sciences '!G303=3,'Items sous domaines Sciences '!E303,0)</f>
        <v>0</v>
      </c>
      <c r="F301" t="e">
        <f>IF('Items sous domaines Sciences '!#REF!=1,'Items sous domaines Sciences '!#REF!,0)</f>
        <v>#REF!</v>
      </c>
      <c r="G301" s="459"/>
    </row>
    <row r="302" spans="1:7" customFormat="1" ht="17.399999999999999" hidden="1" customHeight="1" thickBot="1" x14ac:dyDescent="0.3">
      <c r="A302" s="30"/>
      <c r="B302" s="193">
        <f>IF('Items sous domaines Sciences '!G304=3,'Items sous domaines Sciences '!B304,0)</f>
        <v>0</v>
      </c>
      <c r="C302" s="212">
        <f>IF('Items sous domaines Sciences '!G304=3,'Items sous domaines Sciences '!C304,0)</f>
        <v>0</v>
      </c>
      <c r="D302" s="215">
        <f>IF('Items sous domaines Sciences '!G304=3,'Items sous domaines Sciences '!D304,0)</f>
        <v>0</v>
      </c>
      <c r="E302" s="209">
        <f>IF('Items sous domaines Sciences '!G304=3,'Items sous domaines Sciences '!E304,0)</f>
        <v>0</v>
      </c>
      <c r="F302" t="e">
        <f>IF('Items sous domaines Sciences '!#REF!=1,'Items sous domaines Sciences '!#REF!,0)</f>
        <v>#REF!</v>
      </c>
    </row>
    <row r="303" spans="1:7" customFormat="1" ht="17.399999999999999" hidden="1" customHeight="1" thickBot="1" x14ac:dyDescent="0.3">
      <c r="A303" s="30"/>
      <c r="B303" s="210">
        <f>IF('Items sous domaines Sciences '!G305=3,'Items sous domaines Sciences '!B305,0)</f>
        <v>0</v>
      </c>
      <c r="C303" s="213">
        <f>IF('Items sous domaines Sciences '!G305=3,'Items sous domaines Sciences '!C305,0)</f>
        <v>0</v>
      </c>
      <c r="D303" s="216">
        <f>IF('Items sous domaines Sciences '!G305=3,'Items sous domaines Sciences '!D305,0)</f>
        <v>0</v>
      </c>
      <c r="E303" s="216">
        <f>IF('Items sous domaines Sciences '!G305=3,'Items sous domaines Sciences '!E305,0)</f>
        <v>0</v>
      </c>
      <c r="F303" t="e">
        <f>IF('Items sous domaines Sciences '!#REF!=1,'Items sous domaines Sciences '!#REF!,0)</f>
        <v>#REF!</v>
      </c>
    </row>
    <row r="304" spans="1:7" customFormat="1" ht="17.399999999999999" hidden="1" customHeight="1" thickBot="1" x14ac:dyDescent="0.3">
      <c r="A304" s="30"/>
      <c r="B304" s="193">
        <f>IF('Items sous domaines Sciences '!G306=3,'Items sous domaines Sciences '!B306,0)</f>
        <v>0</v>
      </c>
      <c r="C304" s="212">
        <f>IF('Items sous domaines Sciences '!G306=3,'Items sous domaines Sciences '!C306,0)</f>
        <v>0</v>
      </c>
      <c r="D304" s="215">
        <f>IF('Items sous domaines Sciences '!G306=3,'Items sous domaines Sciences '!D306,0)</f>
        <v>0</v>
      </c>
      <c r="E304" s="209">
        <f>IF('Items sous domaines Sciences '!G306=3,'Items sous domaines Sciences '!E306,0)</f>
        <v>0</v>
      </c>
      <c r="F304" t="e">
        <f>IF('Items sous domaines Sciences '!#REF!=1,'Items sous domaines Sciences '!#REF!,0)</f>
        <v>#REF!</v>
      </c>
    </row>
    <row r="305" spans="1:7" customFormat="1" ht="17.399999999999999" hidden="1" customHeight="1" thickBot="1" x14ac:dyDescent="0.3">
      <c r="A305" s="30"/>
      <c r="B305" s="210">
        <f>IF('Items sous domaines Sciences '!G307=3,'Items sous domaines Sciences '!B307,0)</f>
        <v>0</v>
      </c>
      <c r="C305" s="213">
        <f>IF('Items sous domaines Sciences '!G307=3,'Items sous domaines Sciences '!C307,0)</f>
        <v>0</v>
      </c>
      <c r="D305" s="216">
        <f>IF('Items sous domaines Sciences '!G307=3,'Items sous domaines Sciences '!D307,0)</f>
        <v>0</v>
      </c>
      <c r="E305" s="216">
        <f>IF('Items sous domaines Sciences '!G307=3,'Items sous domaines Sciences '!E307,0)</f>
        <v>0</v>
      </c>
      <c r="F305" t="e">
        <f>IF('Items sous domaines Sciences '!#REF!=1,'Items sous domaines Sciences '!#REF!,0)</f>
        <v>#REF!</v>
      </c>
    </row>
    <row r="306" spans="1:7" customFormat="1" ht="17.399999999999999" hidden="1" customHeight="1" thickBot="1" x14ac:dyDescent="0.3">
      <c r="A306" s="30"/>
      <c r="B306" s="193">
        <f>IF('Items sous domaines Sciences '!G308=3,'Items sous domaines Sciences '!B308,0)</f>
        <v>0</v>
      </c>
      <c r="C306" s="212">
        <f>IF('Items sous domaines Sciences '!G308=3,'Items sous domaines Sciences '!C308,0)</f>
        <v>0</v>
      </c>
      <c r="D306" s="215">
        <f>IF('Items sous domaines Sciences '!G308=3,'Items sous domaines Sciences '!D308,0)</f>
        <v>0</v>
      </c>
      <c r="E306" s="209">
        <f>IF('Items sous domaines Sciences '!G308=3,'Items sous domaines Sciences '!E308,0)</f>
        <v>0</v>
      </c>
      <c r="F306" t="e">
        <f>IF('Items sous domaines Sciences '!#REF!=1,'Items sous domaines Sciences '!#REF!,0)</f>
        <v>#REF!</v>
      </c>
    </row>
    <row r="307" spans="1:7" customFormat="1" ht="17.399999999999999" hidden="1" customHeight="1" thickBot="1" x14ac:dyDescent="0.3">
      <c r="A307" s="30"/>
      <c r="B307" s="210">
        <f>IF('Items sous domaines Sciences '!G309=3,'Items sous domaines Sciences '!B309,0)</f>
        <v>0</v>
      </c>
      <c r="C307" s="213">
        <f>IF('Items sous domaines Sciences '!G309=3,'Items sous domaines Sciences '!C309,0)</f>
        <v>0</v>
      </c>
      <c r="D307" s="216">
        <f>IF('Items sous domaines Sciences '!G309=3,'Items sous domaines Sciences '!D309,0)</f>
        <v>0</v>
      </c>
      <c r="E307" s="216">
        <f>IF('Items sous domaines Sciences '!G309=3,'Items sous domaines Sciences '!E309,0)</f>
        <v>0</v>
      </c>
      <c r="F307" t="e">
        <f>IF('Items sous domaines Sciences '!#REF!=1,'Items sous domaines Sciences '!#REF!,0)</f>
        <v>#REF!</v>
      </c>
    </row>
    <row r="308" spans="1:7" customFormat="1" ht="12.75" hidden="1" customHeight="1" x14ac:dyDescent="0.25">
      <c r="A308" s="30"/>
      <c r="B308" s="193">
        <f>IF('Items sous domaines Sciences '!G310=3,'Items sous domaines Sciences '!B310,0)</f>
        <v>0</v>
      </c>
      <c r="C308" s="212">
        <f>IF('Items sous domaines Sciences '!G310=3,'Items sous domaines Sciences '!C310,0)</f>
        <v>0</v>
      </c>
      <c r="D308" s="215">
        <f>IF('Items sous domaines Sciences '!G310=3,'Items sous domaines Sciences '!D310,0)</f>
        <v>0</v>
      </c>
      <c r="E308" s="209">
        <f>IF('Items sous domaines Sciences '!G310=3,'Items sous domaines Sciences '!E310,0)</f>
        <v>0</v>
      </c>
      <c r="F308" t="e">
        <f>IF('Items sous domaines Sciences '!#REF!=1,'Items sous domaines Sciences '!#REF!,0)</f>
        <v>#REF!</v>
      </c>
    </row>
    <row r="309" spans="1:7" customFormat="1" ht="13.5" hidden="1" customHeight="1" thickBot="1" x14ac:dyDescent="0.3">
      <c r="A309" s="30"/>
      <c r="B309" s="210">
        <f>IF('Items sous domaines Sciences '!G311=3,'Items sous domaines Sciences '!B311,0)</f>
        <v>0</v>
      </c>
      <c r="C309" s="213">
        <f>IF('Items sous domaines Sciences '!G311=3,'Items sous domaines Sciences '!C311,0)</f>
        <v>0</v>
      </c>
      <c r="D309" s="216">
        <f>IF('Items sous domaines Sciences '!G311=3,'Items sous domaines Sciences '!D311,0)</f>
        <v>0</v>
      </c>
      <c r="E309" s="216">
        <f>IF('Items sous domaines Sciences '!G311=3,'Items sous domaines Sciences '!E311,0)</f>
        <v>0</v>
      </c>
      <c r="F309" t="e">
        <f>IF('Items sous domaines Sciences '!#REF!=1,'Items sous domaines Sciences '!#REF!,0)</f>
        <v>#REF!</v>
      </c>
    </row>
    <row r="310" spans="1:7" customFormat="1" ht="13.5" hidden="1" customHeight="1" thickBot="1" x14ac:dyDescent="0.3">
      <c r="A310" s="30"/>
      <c r="B310" s="193">
        <f>IF('Items sous domaines Sciences '!G312=3,'Items sous domaines Sciences '!B312,0)</f>
        <v>0</v>
      </c>
      <c r="C310" s="212">
        <f>IF('Items sous domaines Sciences '!G312=3,'Items sous domaines Sciences '!C312,0)</f>
        <v>0</v>
      </c>
      <c r="D310" s="215">
        <f>IF('Items sous domaines Sciences '!G312=3,'Items sous domaines Sciences '!D312,0)</f>
        <v>0</v>
      </c>
      <c r="E310" s="209">
        <f>IF('Items sous domaines Sciences '!G312=3,'Items sous domaines Sciences '!E312,0)</f>
        <v>0</v>
      </c>
      <c r="F310" t="e">
        <f>IF('Items sous domaines Sciences '!#REF!=1,'Items sous domaines Sciences '!#REF!,0)</f>
        <v>#REF!</v>
      </c>
    </row>
    <row r="311" spans="1:7" customFormat="1" ht="13.5" hidden="1" customHeight="1" thickBot="1" x14ac:dyDescent="0.3">
      <c r="A311" s="30"/>
      <c r="B311" s="210">
        <f>IF('Items sous domaines Sciences '!G313=3,'Items sous domaines Sciences '!B313,0)</f>
        <v>0</v>
      </c>
      <c r="C311" s="213">
        <f>IF('Items sous domaines Sciences '!G313=3,'Items sous domaines Sciences '!C313,0)</f>
        <v>0</v>
      </c>
      <c r="D311" s="216">
        <f>IF('Items sous domaines Sciences '!G313=3,'Items sous domaines Sciences '!D313,0)</f>
        <v>0</v>
      </c>
      <c r="E311" s="216">
        <f>IF('Items sous domaines Sciences '!G313=3,'Items sous domaines Sciences '!E313,0)</f>
        <v>0</v>
      </c>
      <c r="F311" s="25"/>
      <c r="G311" s="458" t="s">
        <v>469</v>
      </c>
    </row>
    <row r="312" spans="1:7" customFormat="1" ht="13.5" hidden="1" customHeight="1" thickBot="1" x14ac:dyDescent="0.3">
      <c r="A312" s="30"/>
      <c r="B312" s="193">
        <f>IF('Items sous domaines Sciences '!G314=3,'Items sous domaines Sciences '!B314,0)</f>
        <v>0</v>
      </c>
      <c r="C312" s="212">
        <f>IF('Items sous domaines Sciences '!G314=3,'Items sous domaines Sciences '!C314,0)</f>
        <v>0</v>
      </c>
      <c r="D312" s="215">
        <f>IF('Items sous domaines Sciences '!G314=3,'Items sous domaines Sciences '!D314,0)</f>
        <v>0</v>
      </c>
      <c r="E312" s="209">
        <f>IF('Items sous domaines Sciences '!G314=3,'Items sous domaines Sciences '!E314,0)</f>
        <v>0</v>
      </c>
      <c r="F312" s="26"/>
      <c r="G312" s="458"/>
    </row>
    <row r="313" spans="1:7" customFormat="1" ht="13.5" hidden="1" customHeight="1" thickBot="1" x14ac:dyDescent="0.3">
      <c r="A313" s="30"/>
      <c r="B313" s="210">
        <f>IF('Items sous domaines Sciences '!G315=3,'Items sous domaines Sciences '!B315,0)</f>
        <v>0</v>
      </c>
      <c r="C313" s="213">
        <f>IF('Items sous domaines Sciences '!G315=3,'Items sous domaines Sciences '!C315,0)</f>
        <v>0</v>
      </c>
      <c r="D313" s="216">
        <f>IF('Items sous domaines Sciences '!G315=3,'Items sous domaines Sciences '!D315,0)</f>
        <v>0</v>
      </c>
      <c r="E313" s="216">
        <f>IF('Items sous domaines Sciences '!G315=3,'Items sous domaines Sciences '!E315,0)</f>
        <v>0</v>
      </c>
      <c r="F313" s="26"/>
      <c r="G313" s="458"/>
    </row>
    <row r="314" spans="1:7" customFormat="1" ht="13.5" hidden="1" customHeight="1" thickBot="1" x14ac:dyDescent="0.3">
      <c r="A314" s="30"/>
      <c r="B314" s="193">
        <f>IF('Items sous domaines Sciences '!G316=3,'Items sous domaines Sciences '!B316,0)</f>
        <v>0</v>
      </c>
      <c r="C314" s="212">
        <f>IF('Items sous domaines Sciences '!G316=3,'Items sous domaines Sciences '!C316,0)</f>
        <v>0</v>
      </c>
      <c r="D314" s="215">
        <f>IF('Items sous domaines Sciences '!G316=3,'Items sous domaines Sciences '!D316,0)</f>
        <v>0</v>
      </c>
      <c r="E314" s="209">
        <f>IF('Items sous domaines Sciences '!G316=3,'Items sous domaines Sciences '!E316,0)</f>
        <v>0</v>
      </c>
      <c r="F314" s="26"/>
      <c r="G314" s="458"/>
    </row>
    <row r="315" spans="1:7" customFormat="1" ht="13.5" hidden="1" customHeight="1" thickBot="1" x14ac:dyDescent="0.3">
      <c r="A315" s="30"/>
      <c r="B315" s="210">
        <f>IF('Items sous domaines Sciences '!G317=3,'Items sous domaines Sciences '!B317,0)</f>
        <v>0</v>
      </c>
      <c r="C315" s="213">
        <f>IF('Items sous domaines Sciences '!G317=3,'Items sous domaines Sciences '!C317,0)</f>
        <v>0</v>
      </c>
      <c r="D315" s="216">
        <f>IF('Items sous domaines Sciences '!G317=3,'Items sous domaines Sciences '!D317,0)</f>
        <v>0</v>
      </c>
      <c r="E315" s="216">
        <f>IF('Items sous domaines Sciences '!G317=3,'Items sous domaines Sciences '!E317,0)</f>
        <v>0</v>
      </c>
      <c r="F315" s="26" t="s">
        <v>398</v>
      </c>
      <c r="G315" s="458"/>
    </row>
    <row r="316" spans="1:7" customFormat="1" ht="13.5" hidden="1" customHeight="1" thickBot="1" x14ac:dyDescent="0.3">
      <c r="A316" s="30"/>
      <c r="B316" s="193">
        <f>IF('Items sous domaines Sciences '!G318=3,'Items sous domaines Sciences '!B318,0)</f>
        <v>0</v>
      </c>
      <c r="C316" s="212">
        <f>IF('Items sous domaines Sciences '!G318=3,'Items sous domaines Sciences '!C318,0)</f>
        <v>0</v>
      </c>
      <c r="D316" s="215">
        <f>IF('Items sous domaines Sciences '!G318=3,'Items sous domaines Sciences '!D318,0)</f>
        <v>0</v>
      </c>
      <c r="E316" s="209">
        <f>IF('Items sous domaines Sciences '!G318=3,'Items sous domaines Sciences '!E318,0)</f>
        <v>0</v>
      </c>
      <c r="F316" s="26"/>
      <c r="G316" s="458"/>
    </row>
    <row r="317" spans="1:7" customFormat="1" ht="13.5" hidden="1" customHeight="1" thickBot="1" x14ac:dyDescent="0.3">
      <c r="A317" s="30"/>
      <c r="B317" s="210">
        <f>IF('Items sous domaines Sciences '!G319=3,'Items sous domaines Sciences '!B319,0)</f>
        <v>0</v>
      </c>
      <c r="C317" s="213">
        <f>IF('Items sous domaines Sciences '!G319=3,'Items sous domaines Sciences '!C319,0)</f>
        <v>0</v>
      </c>
      <c r="D317" s="216">
        <f>IF('Items sous domaines Sciences '!G319=3,'Items sous domaines Sciences '!D319,0)</f>
        <v>0</v>
      </c>
      <c r="E317" s="216">
        <f>IF('Items sous domaines Sciences '!G319=3,'Items sous domaines Sciences '!E319,0)</f>
        <v>0</v>
      </c>
      <c r="F317" s="26"/>
      <c r="G317" s="458"/>
    </row>
    <row r="318" spans="1:7" customFormat="1" ht="13.5" hidden="1" customHeight="1" thickBot="1" x14ac:dyDescent="0.3">
      <c r="A318" s="30"/>
      <c r="B318" s="193">
        <f>IF('Items sous domaines Sciences '!G320=3,'Items sous domaines Sciences '!B320,0)</f>
        <v>0</v>
      </c>
      <c r="C318" s="212">
        <f>IF('Items sous domaines Sciences '!G320=3,'Items sous domaines Sciences '!C320,0)</f>
        <v>0</v>
      </c>
      <c r="D318" s="215">
        <f>IF('Items sous domaines Sciences '!G320=3,'Items sous domaines Sciences '!D320,0)</f>
        <v>0</v>
      </c>
      <c r="E318" s="209">
        <f>IF('Items sous domaines Sciences '!G320=3,'Items sous domaines Sciences '!E320,0)</f>
        <v>0</v>
      </c>
      <c r="F318" s="26"/>
      <c r="G318" s="458"/>
    </row>
    <row r="319" spans="1:7" customFormat="1" ht="13.5" hidden="1" customHeight="1" thickBot="1" x14ac:dyDescent="0.3">
      <c r="A319" s="30"/>
      <c r="B319" s="210">
        <f>IF('Items sous domaines Sciences '!G321=3,'Items sous domaines Sciences '!B321,0)</f>
        <v>0</v>
      </c>
      <c r="C319" s="213">
        <f>IF('Items sous domaines Sciences '!G321=3,'Items sous domaines Sciences '!C321,0)</f>
        <v>0</v>
      </c>
      <c r="D319" s="216">
        <f>IF('Items sous domaines Sciences '!G321=3,'Items sous domaines Sciences '!D321,0)</f>
        <v>0</v>
      </c>
      <c r="E319" s="216">
        <f>IF('Items sous domaines Sciences '!G321=3,'Items sous domaines Sciences '!E321,0)</f>
        <v>0</v>
      </c>
      <c r="F319" s="26"/>
      <c r="G319" s="458"/>
    </row>
    <row r="320" spans="1:7" customFormat="1" ht="13.5" hidden="1" customHeight="1" thickBot="1" x14ac:dyDescent="0.3">
      <c r="A320" s="30"/>
      <c r="B320" s="193">
        <f>IF('Items sous domaines Sciences '!G322=3,'Items sous domaines Sciences '!B322,0)</f>
        <v>0</v>
      </c>
      <c r="C320" s="212">
        <f>IF('Items sous domaines Sciences '!G322=3,'Items sous domaines Sciences '!C322,0)</f>
        <v>0</v>
      </c>
      <c r="D320" s="215">
        <f>IF('Items sous domaines Sciences '!G322=3,'Items sous domaines Sciences '!D322,0)</f>
        <v>0</v>
      </c>
      <c r="E320" s="209">
        <f>IF('Items sous domaines Sciences '!G322=3,'Items sous domaines Sciences '!E322,0)</f>
        <v>0</v>
      </c>
      <c r="F320" s="26"/>
      <c r="G320" s="458"/>
    </row>
    <row r="321" spans="1:7" customFormat="1" ht="13.5" hidden="1" customHeight="1" thickBot="1" x14ac:dyDescent="0.3">
      <c r="A321" s="30"/>
      <c r="B321" s="210">
        <f>IF('Items sous domaines Sciences '!G323=3,'Items sous domaines Sciences '!B323,0)</f>
        <v>0</v>
      </c>
      <c r="C321" s="213">
        <f>IF('Items sous domaines Sciences '!G323=3,'Items sous domaines Sciences '!C323,0)</f>
        <v>0</v>
      </c>
      <c r="D321" s="216">
        <f>IF('Items sous domaines Sciences '!G323=3,'Items sous domaines Sciences '!D323,0)</f>
        <v>0</v>
      </c>
      <c r="E321" s="216">
        <f>IF('Items sous domaines Sciences '!G323=3,'Items sous domaines Sciences '!E323,0)</f>
        <v>0</v>
      </c>
      <c r="F321" s="27"/>
      <c r="G321" s="458"/>
    </row>
    <row r="322" spans="1:7" customFormat="1" ht="13.5" hidden="1" customHeight="1" thickBot="1" x14ac:dyDescent="0.3">
      <c r="A322" s="30"/>
      <c r="B322" s="193">
        <f>IF('Items sous domaines Sciences '!G324=3,'Items sous domaines Sciences '!B324,0)</f>
        <v>0</v>
      </c>
      <c r="C322" s="212">
        <f>IF('Items sous domaines Sciences '!G324=3,'Items sous domaines Sciences '!C324,0)</f>
        <v>0</v>
      </c>
      <c r="D322" s="215">
        <f>IF('Items sous domaines Sciences '!G324=3,'Items sous domaines Sciences '!D324,0)</f>
        <v>0</v>
      </c>
      <c r="E322" s="209">
        <f>IF('Items sous domaines Sciences '!G324=3,'Items sous domaines Sciences '!E324,0)</f>
        <v>0</v>
      </c>
      <c r="F322" t="e">
        <f>IF('Items sous domaines Sciences '!#REF!=1,'Items sous domaines Sciences '!#REF!,0)</f>
        <v>#REF!</v>
      </c>
      <c r="G322" s="459"/>
    </row>
    <row r="323" spans="1:7" customFormat="1" ht="13.5" hidden="1" customHeight="1" thickBot="1" x14ac:dyDescent="0.3">
      <c r="A323" s="30"/>
      <c r="B323" s="210">
        <f>IF('Items sous domaines Sciences '!G325=3,'Items sous domaines Sciences '!B325,0)</f>
        <v>0</v>
      </c>
      <c r="C323" s="213">
        <f>IF('Items sous domaines Sciences '!G325=3,'Items sous domaines Sciences '!C325,0)</f>
        <v>0</v>
      </c>
      <c r="D323" s="216">
        <f>IF('Items sous domaines Sciences '!G325=3,'Items sous domaines Sciences '!D325,0)</f>
        <v>0</v>
      </c>
      <c r="E323" s="216">
        <f>IF('Items sous domaines Sciences '!G325=3,'Items sous domaines Sciences '!E325,0)</f>
        <v>0</v>
      </c>
      <c r="F323" t="e">
        <f>IF('Items sous domaines Sciences '!#REF!=1,'Items sous domaines Sciences '!#REF!,0)</f>
        <v>#REF!</v>
      </c>
      <c r="G323" s="459"/>
    </row>
    <row r="324" spans="1:7" customFormat="1" ht="13.5" hidden="1" customHeight="1" thickBot="1" x14ac:dyDescent="0.3">
      <c r="A324" s="30"/>
      <c r="B324" s="193">
        <f>IF('Items sous domaines Sciences '!G326=3,'Items sous domaines Sciences '!B326,0)</f>
        <v>0</v>
      </c>
      <c r="C324" s="212">
        <f>IF('Items sous domaines Sciences '!G326=3,'Items sous domaines Sciences '!C326,0)</f>
        <v>0</v>
      </c>
      <c r="D324" s="215">
        <f>IF('Items sous domaines Sciences '!G326=3,'Items sous domaines Sciences '!D326,0)</f>
        <v>0</v>
      </c>
      <c r="E324" s="209">
        <f>IF('Items sous domaines Sciences '!G326=3,'Items sous domaines Sciences '!E326,0)</f>
        <v>0</v>
      </c>
      <c r="F324" t="e">
        <f>IF('Items sous domaines Sciences '!#REF!=1,'Items sous domaines Sciences '!#REF!,0)</f>
        <v>#REF!</v>
      </c>
      <c r="G324" s="459"/>
    </row>
    <row r="325" spans="1:7" customFormat="1" ht="13.5" hidden="1" customHeight="1" thickBot="1" x14ac:dyDescent="0.3">
      <c r="A325" s="30"/>
      <c r="B325" s="210">
        <f>IF('Items sous domaines Sciences '!G327=3,'Items sous domaines Sciences '!B327,0)</f>
        <v>0</v>
      </c>
      <c r="C325" s="213">
        <f>IF('Items sous domaines Sciences '!G327=3,'Items sous domaines Sciences '!C327,0)</f>
        <v>0</v>
      </c>
      <c r="D325" s="216">
        <f>IF('Items sous domaines Sciences '!G327=3,'Items sous domaines Sciences '!D327,0)</f>
        <v>0</v>
      </c>
      <c r="E325" s="216">
        <f>IF('Items sous domaines Sciences '!G327=3,'Items sous domaines Sciences '!E327,0)</f>
        <v>0</v>
      </c>
      <c r="F325" t="e">
        <f>IF('Items sous domaines Sciences '!#REF!=1,'Items sous domaines Sciences '!#REF!,0)</f>
        <v>#REF!</v>
      </c>
      <c r="G325" s="459"/>
    </row>
    <row r="326" spans="1:7" customFormat="1" ht="13.5" hidden="1" customHeight="1" thickBot="1" x14ac:dyDescent="0.3">
      <c r="A326" s="30"/>
      <c r="B326" s="193">
        <f>IF('Items sous domaines Sciences '!G328=3,'Items sous domaines Sciences '!B328,0)</f>
        <v>0</v>
      </c>
      <c r="C326" s="212">
        <f>IF('Items sous domaines Sciences '!G328=3,'Items sous domaines Sciences '!C328,0)</f>
        <v>0</v>
      </c>
      <c r="D326" s="215">
        <f>IF('Items sous domaines Sciences '!G328=3,'Items sous domaines Sciences '!D328,0)</f>
        <v>0</v>
      </c>
      <c r="E326" s="209">
        <f>IF('Items sous domaines Sciences '!G328=3,'Items sous domaines Sciences '!E328,0)</f>
        <v>0</v>
      </c>
      <c r="F326" t="e">
        <f>IF('Items sous domaines Sciences '!#REF!=1,'Items sous domaines Sciences '!#REF!,0)</f>
        <v>#REF!</v>
      </c>
      <c r="G326" s="459"/>
    </row>
    <row r="327" spans="1:7" customFormat="1" ht="13.5" hidden="1" customHeight="1" thickBot="1" x14ac:dyDescent="0.3">
      <c r="A327" s="30"/>
      <c r="B327" s="210">
        <f>IF('Items sous domaines Sciences '!G329=3,'Items sous domaines Sciences '!B329,0)</f>
        <v>0</v>
      </c>
      <c r="C327" s="213">
        <f>IF('Items sous domaines Sciences '!G329=3,'Items sous domaines Sciences '!C329,0)</f>
        <v>0</v>
      </c>
      <c r="D327" s="216">
        <f>IF('Items sous domaines Sciences '!G329=3,'Items sous domaines Sciences '!D329,0)</f>
        <v>0</v>
      </c>
      <c r="E327" s="216">
        <f>IF('Items sous domaines Sciences '!G329=3,'Items sous domaines Sciences '!E329,0)</f>
        <v>0</v>
      </c>
      <c r="F327" t="e">
        <f>IF('Items sous domaines Sciences '!#REF!=1,'Items sous domaines Sciences '!#REF!,0)</f>
        <v>#REF!</v>
      </c>
      <c r="G327" s="459"/>
    </row>
    <row r="328" spans="1:7" customFormat="1" ht="13.5" hidden="1" customHeight="1" thickBot="1" x14ac:dyDescent="0.3">
      <c r="A328" s="30"/>
      <c r="B328" s="193">
        <f>IF('Items sous domaines Sciences '!G330=3,'Items sous domaines Sciences '!B330,0)</f>
        <v>0</v>
      </c>
      <c r="C328" s="212">
        <f>IF('Items sous domaines Sciences '!G330=3,'Items sous domaines Sciences '!C330,0)</f>
        <v>0</v>
      </c>
      <c r="D328" s="215">
        <f>IF('Items sous domaines Sciences '!G330=3,'Items sous domaines Sciences '!D330,0)</f>
        <v>0</v>
      </c>
      <c r="E328" s="209">
        <f>IF('Items sous domaines Sciences '!G330=3,'Items sous domaines Sciences '!E330,0)</f>
        <v>0</v>
      </c>
      <c r="F328" t="e">
        <f>IF('Items sous domaines Sciences '!#REF!=1,'Items sous domaines Sciences '!#REF!,0)</f>
        <v>#REF!</v>
      </c>
      <c r="G328" s="459"/>
    </row>
    <row r="329" spans="1:7" customFormat="1" ht="13.5" hidden="1" customHeight="1" thickBot="1" x14ac:dyDescent="0.3">
      <c r="A329" s="30"/>
      <c r="B329" s="210">
        <f>IF('Items sous domaines Sciences '!G331=3,'Items sous domaines Sciences '!B331,0)</f>
        <v>0</v>
      </c>
      <c r="C329" s="213">
        <f>IF('Items sous domaines Sciences '!G331=3,'Items sous domaines Sciences '!C331,0)</f>
        <v>0</v>
      </c>
      <c r="D329" s="216">
        <f>IF('Items sous domaines Sciences '!G331=3,'Items sous domaines Sciences '!D331,0)</f>
        <v>0</v>
      </c>
      <c r="E329" s="216">
        <f>IF('Items sous domaines Sciences '!G331=3,'Items sous domaines Sciences '!E331,0)</f>
        <v>0</v>
      </c>
      <c r="F329" t="e">
        <f>IF('Items sous domaines Sciences '!#REF!=1,'Items sous domaines Sciences '!#REF!,0)</f>
        <v>#REF!</v>
      </c>
    </row>
    <row r="330" spans="1:7" customFormat="1" ht="13.5" hidden="1" customHeight="1" thickBot="1" x14ac:dyDescent="0.3">
      <c r="A330" s="30"/>
      <c r="B330" s="193">
        <f>IF('Items sous domaines Sciences '!G332=3,'Items sous domaines Sciences '!B332,0)</f>
        <v>0</v>
      </c>
      <c r="C330" s="212">
        <f>IF('Items sous domaines Sciences '!G332=3,'Items sous domaines Sciences '!C332,0)</f>
        <v>0</v>
      </c>
      <c r="D330" s="215">
        <f>IF('Items sous domaines Sciences '!G332=3,'Items sous domaines Sciences '!D332,0)</f>
        <v>0</v>
      </c>
      <c r="E330" s="209">
        <f>IF('Items sous domaines Sciences '!G332=3,'Items sous domaines Sciences '!E332,0)</f>
        <v>0</v>
      </c>
      <c r="F330" t="e">
        <f>IF('Items sous domaines Sciences '!#REF!=1,'Items sous domaines Sciences '!#REF!,0)</f>
        <v>#REF!</v>
      </c>
    </row>
    <row r="331" spans="1:7" customFormat="1" ht="13.5" hidden="1" customHeight="1" thickBot="1" x14ac:dyDescent="0.3">
      <c r="A331" s="30"/>
      <c r="B331" s="210">
        <f>IF('Items sous domaines Sciences '!G333=3,'Items sous domaines Sciences '!B333,0)</f>
        <v>0</v>
      </c>
      <c r="C331" s="213">
        <f>IF('Items sous domaines Sciences '!G333=3,'Items sous domaines Sciences '!C333,0)</f>
        <v>0</v>
      </c>
      <c r="D331" s="216">
        <f>IF('Items sous domaines Sciences '!G333=3,'Items sous domaines Sciences '!D333,0)</f>
        <v>0</v>
      </c>
      <c r="E331" s="216">
        <f>IF('Items sous domaines Sciences '!G333=3,'Items sous domaines Sciences '!E333,0)</f>
        <v>0</v>
      </c>
      <c r="F331" t="e">
        <f>IF('Items sous domaines Sciences '!#REF!=1,'Items sous domaines Sciences '!#REF!,0)</f>
        <v>#REF!</v>
      </c>
    </row>
    <row r="332" spans="1:7" customFormat="1" ht="13.5" hidden="1" customHeight="1" thickBot="1" x14ac:dyDescent="0.3">
      <c r="A332" s="30"/>
      <c r="B332" s="193">
        <f>IF('Items sous domaines Sciences '!G334=3,'Items sous domaines Sciences '!B334,0)</f>
        <v>0</v>
      </c>
      <c r="C332" s="212">
        <f>IF('Items sous domaines Sciences '!G334=3,'Items sous domaines Sciences '!C334,0)</f>
        <v>0</v>
      </c>
      <c r="D332" s="215">
        <f>IF('Items sous domaines Sciences '!G334=3,'Items sous domaines Sciences '!D334,0)</f>
        <v>0</v>
      </c>
      <c r="E332" s="209">
        <f>IF('Items sous domaines Sciences '!G334=3,'Items sous domaines Sciences '!E334,0)</f>
        <v>0</v>
      </c>
      <c r="F332" t="e">
        <f>IF('Items sous domaines Sciences '!#REF!=1,'Items sous domaines Sciences '!#REF!,0)</f>
        <v>#REF!</v>
      </c>
    </row>
    <row r="333" spans="1:7" customFormat="1" ht="12.75" hidden="1" customHeight="1" x14ac:dyDescent="0.25">
      <c r="A333" s="30"/>
      <c r="B333" s="210">
        <f>IF('Items sous domaines Sciences '!G335=3,'Items sous domaines Sciences '!B335,0)</f>
        <v>0</v>
      </c>
      <c r="C333" s="213">
        <f>IF('Items sous domaines Sciences '!G335=3,'Items sous domaines Sciences '!C335,0)</f>
        <v>0</v>
      </c>
      <c r="D333" s="216">
        <f>IF('Items sous domaines Sciences '!G335=3,'Items sous domaines Sciences '!D335,0)</f>
        <v>0</v>
      </c>
      <c r="E333" s="216">
        <f>IF('Items sous domaines Sciences '!G335=3,'Items sous domaines Sciences '!E335,0)</f>
        <v>0</v>
      </c>
      <c r="F333" t="e">
        <f>IF('Items sous domaines Sciences '!#REF!=1,'Items sous domaines Sciences '!#REF!,0)</f>
        <v>#REF!</v>
      </c>
    </row>
    <row r="334" spans="1:7" customFormat="1" ht="12.75" hidden="1" customHeight="1" x14ac:dyDescent="0.25">
      <c r="A334" s="30"/>
      <c r="B334" s="193">
        <f>IF('Items sous domaines Sciences '!G336=3,'Items sous domaines Sciences '!B336,0)</f>
        <v>0</v>
      </c>
      <c r="C334" s="212">
        <f>IF('Items sous domaines Sciences '!G336=3,'Items sous domaines Sciences '!C336,0)</f>
        <v>0</v>
      </c>
      <c r="D334" s="215">
        <f>IF('Items sous domaines Sciences '!G336=3,'Items sous domaines Sciences '!D336,0)</f>
        <v>0</v>
      </c>
      <c r="E334" s="209">
        <f>IF('Items sous domaines Sciences '!G336=3,'Items sous domaines Sciences '!E336,0)</f>
        <v>0</v>
      </c>
      <c r="F334" t="e">
        <f>IF('Items sous domaines Sciences '!#REF!=1,'Items sous domaines Sciences '!#REF!,0)</f>
        <v>#REF!</v>
      </c>
    </row>
    <row r="335" spans="1:7" customFormat="1" ht="12.75" hidden="1" customHeight="1" x14ac:dyDescent="0.25">
      <c r="A335" s="30"/>
      <c r="B335" s="210">
        <f>IF('Items sous domaines Sciences '!G337=3,'Items sous domaines Sciences '!B337,0)</f>
        <v>0</v>
      </c>
      <c r="C335" s="213">
        <f>IF('Items sous domaines Sciences '!G337=3,'Items sous domaines Sciences '!C337,0)</f>
        <v>0</v>
      </c>
      <c r="D335" s="216">
        <f>IF('Items sous domaines Sciences '!G337=3,'Items sous domaines Sciences '!D337,0)</f>
        <v>0</v>
      </c>
      <c r="E335" s="216">
        <f>IF('Items sous domaines Sciences '!G337=3,'Items sous domaines Sciences '!E337,0)</f>
        <v>0</v>
      </c>
      <c r="F335" t="e">
        <f>IF('Items sous domaines Sciences '!#REF!=1,'Items sous domaines Sciences '!#REF!,0)</f>
        <v>#REF!</v>
      </c>
    </row>
    <row r="336" spans="1:7" customFormat="1" ht="12.75" hidden="1" customHeight="1" x14ac:dyDescent="0.25">
      <c r="A336" s="30"/>
      <c r="B336" s="193">
        <f>IF('Items sous domaines Sciences '!G338=3,'Items sous domaines Sciences '!B338,0)</f>
        <v>0</v>
      </c>
      <c r="C336" s="212">
        <f>IF('Items sous domaines Sciences '!G338=3,'Items sous domaines Sciences '!C338,0)</f>
        <v>0</v>
      </c>
      <c r="D336" s="215">
        <f>IF('Items sous domaines Sciences '!G338=3,'Items sous domaines Sciences '!D338,0)</f>
        <v>0</v>
      </c>
      <c r="E336" s="209">
        <f>IF('Items sous domaines Sciences '!G338=3,'Items sous domaines Sciences '!E338,0)</f>
        <v>0</v>
      </c>
      <c r="F336" t="e">
        <f>IF('Items sous domaines Sciences '!#REF!=1,'Items sous domaines Sciences '!#REF!,0)</f>
        <v>#REF!</v>
      </c>
    </row>
    <row r="337" spans="1:7" customFormat="1" ht="17.399999999999999" hidden="1" customHeight="1" thickBot="1" x14ac:dyDescent="0.3">
      <c r="A337" s="30"/>
      <c r="B337" s="210">
        <f>IF('Items sous domaines Sciences '!G339=3,'Items sous domaines Sciences '!B339,0)</f>
        <v>0</v>
      </c>
      <c r="C337" s="213">
        <f>IF('Items sous domaines Sciences '!G339=3,'Items sous domaines Sciences '!C339,0)</f>
        <v>0</v>
      </c>
      <c r="D337" s="216">
        <f>IF('Items sous domaines Sciences '!G339=3,'Items sous domaines Sciences '!D339,0)</f>
        <v>0</v>
      </c>
      <c r="E337" s="216">
        <f>IF('Items sous domaines Sciences '!G339=3,'Items sous domaines Sciences '!E339,0)</f>
        <v>0</v>
      </c>
      <c r="F337" t="e">
        <f>IF('Items sous domaines Sciences '!#REF!=1,'Items sous domaines Sciences '!#REF!,0)</f>
        <v>#REF!</v>
      </c>
    </row>
    <row r="338" spans="1:7" customFormat="1" ht="17.399999999999999" hidden="1" customHeight="1" thickBot="1" x14ac:dyDescent="0.3">
      <c r="A338" s="30"/>
      <c r="B338" s="193">
        <f>IF('Items sous domaines Sciences '!G340=3,'Items sous domaines Sciences '!B340,0)</f>
        <v>0</v>
      </c>
      <c r="C338" s="212">
        <f>IF('Items sous domaines Sciences '!G340=3,'Items sous domaines Sciences '!C340,0)</f>
        <v>0</v>
      </c>
      <c r="D338" s="215">
        <f>IF('Items sous domaines Sciences '!G340=3,'Items sous domaines Sciences '!D340,0)</f>
        <v>0</v>
      </c>
      <c r="E338" s="209">
        <f>IF('Items sous domaines Sciences '!G340=3,'Items sous domaines Sciences '!E340,0)</f>
        <v>0</v>
      </c>
      <c r="F338" t="e">
        <f>IF('Items sous domaines Sciences '!#REF!=1,'Items sous domaines Sciences '!#REF!,0)</f>
        <v>#REF!</v>
      </c>
    </row>
    <row r="339" spans="1:7" customFormat="1" ht="17.399999999999999" hidden="1" customHeight="1" thickBot="1" x14ac:dyDescent="0.3">
      <c r="A339" s="30"/>
      <c r="B339" s="210">
        <f>IF('Items sous domaines Sciences '!G341=3,'Items sous domaines Sciences '!B341,0)</f>
        <v>0</v>
      </c>
      <c r="C339" s="213">
        <f>IF('Items sous domaines Sciences '!G341=3,'Items sous domaines Sciences '!C341,0)</f>
        <v>0</v>
      </c>
      <c r="D339" s="216">
        <f>IF('Items sous domaines Sciences '!G341=3,'Items sous domaines Sciences '!D341,0)</f>
        <v>0</v>
      </c>
      <c r="E339" s="216">
        <f>IF('Items sous domaines Sciences '!G341=3,'Items sous domaines Sciences '!E341,0)</f>
        <v>0</v>
      </c>
      <c r="F339" t="e">
        <f>IF('Items sous domaines Sciences '!#REF!=1,'Items sous domaines Sciences '!#REF!,0)</f>
        <v>#REF!</v>
      </c>
    </row>
    <row r="340" spans="1:7" customFormat="1" ht="17.399999999999999" hidden="1" customHeight="1" thickBot="1" x14ac:dyDescent="0.3">
      <c r="A340" s="30"/>
      <c r="B340" s="193">
        <f>IF('Items sous domaines Sciences '!G342=3,'Items sous domaines Sciences '!B342,0)</f>
        <v>0</v>
      </c>
      <c r="C340" s="212">
        <f>IF('Items sous domaines Sciences '!G342=3,'Items sous domaines Sciences '!C342,0)</f>
        <v>0</v>
      </c>
      <c r="D340" s="215">
        <f>IF('Items sous domaines Sciences '!G342=3,'Items sous domaines Sciences '!D342,0)</f>
        <v>0</v>
      </c>
      <c r="E340" s="209">
        <f>IF('Items sous domaines Sciences '!G342=3,'Items sous domaines Sciences '!E342,0)</f>
        <v>0</v>
      </c>
      <c r="F340" t="e">
        <f>IF('Items sous domaines Sciences '!#REF!=1,'Items sous domaines Sciences '!#REF!,0)</f>
        <v>#REF!</v>
      </c>
    </row>
    <row r="341" spans="1:7" customFormat="1" ht="17.399999999999999" hidden="1" customHeight="1" thickBot="1" x14ac:dyDescent="0.3">
      <c r="A341" s="30"/>
      <c r="B341" s="210">
        <f>IF('Items sous domaines Sciences '!G343=3,'Items sous domaines Sciences '!B343,0)</f>
        <v>0</v>
      </c>
      <c r="C341" s="213">
        <f>IF('Items sous domaines Sciences '!G343=3,'Items sous domaines Sciences '!C343,0)</f>
        <v>0</v>
      </c>
      <c r="D341" s="216">
        <f>IF('Items sous domaines Sciences '!G343=3,'Items sous domaines Sciences '!D343,0)</f>
        <v>0</v>
      </c>
      <c r="E341" s="216">
        <f>IF('Items sous domaines Sciences '!G343=3,'Items sous domaines Sciences '!E343,0)</f>
        <v>0</v>
      </c>
      <c r="F341" t="e">
        <f>IF('Items sous domaines Sciences '!#REF!=1,'Items sous domaines Sciences '!#REF!,0)</f>
        <v>#REF!</v>
      </c>
    </row>
    <row r="342" spans="1:7" customFormat="1" ht="17.399999999999999" hidden="1" customHeight="1" thickBot="1" x14ac:dyDescent="0.3">
      <c r="A342" s="30"/>
      <c r="B342" s="193">
        <f>IF('Items sous domaines Sciences '!G344=3,'Items sous domaines Sciences '!B344,0)</f>
        <v>0</v>
      </c>
      <c r="C342" s="212">
        <f>IF('Items sous domaines Sciences '!G344=3,'Items sous domaines Sciences '!C344,0)</f>
        <v>0</v>
      </c>
      <c r="D342" s="215">
        <f>IF('Items sous domaines Sciences '!G344=3,'Items sous domaines Sciences '!D344,0)</f>
        <v>0</v>
      </c>
      <c r="E342" s="209">
        <f>IF('Items sous domaines Sciences '!G344=3,'Items sous domaines Sciences '!E344,0)</f>
        <v>0</v>
      </c>
      <c r="F342" t="e">
        <f>IF('Items sous domaines Sciences '!#REF!=1,'Items sous domaines Sciences '!#REF!,0)</f>
        <v>#REF!</v>
      </c>
    </row>
    <row r="343" spans="1:7" customFormat="1" ht="17.399999999999999" hidden="1" customHeight="1" thickBot="1" x14ac:dyDescent="0.3">
      <c r="A343" s="30"/>
      <c r="B343" s="210">
        <f>IF('Items sous domaines Sciences '!G345=3,'Items sous domaines Sciences '!B345,0)</f>
        <v>0</v>
      </c>
      <c r="C343" s="213">
        <f>IF('Items sous domaines Sciences '!G345=3,'Items sous domaines Sciences '!C345,0)</f>
        <v>0</v>
      </c>
      <c r="D343" s="216">
        <f>IF('Items sous domaines Sciences '!G345=3,'Items sous domaines Sciences '!D345,0)</f>
        <v>0</v>
      </c>
      <c r="E343" s="216">
        <f>IF('Items sous domaines Sciences '!G345=3,'Items sous domaines Sciences '!E345,0)</f>
        <v>0</v>
      </c>
      <c r="F343" s="25"/>
      <c r="G343" s="450" t="s">
        <v>452</v>
      </c>
    </row>
    <row r="344" spans="1:7" customFormat="1" ht="17.399999999999999" hidden="1" customHeight="1" thickBot="1" x14ac:dyDescent="0.3">
      <c r="A344" s="30"/>
      <c r="B344" s="193">
        <f>IF('Items sous domaines Sciences '!G346=3,'Items sous domaines Sciences '!B346,0)</f>
        <v>0</v>
      </c>
      <c r="C344" s="212">
        <f>IF('Items sous domaines Sciences '!G346=3,'Items sous domaines Sciences '!C346,0)</f>
        <v>0</v>
      </c>
      <c r="D344" s="215">
        <f>IF('Items sous domaines Sciences '!G346=3,'Items sous domaines Sciences '!D346,0)</f>
        <v>0</v>
      </c>
      <c r="E344" s="209">
        <f>IF('Items sous domaines Sciences '!G346=3,'Items sous domaines Sciences '!E346,0)</f>
        <v>0</v>
      </c>
      <c r="F344" s="26"/>
      <c r="G344" s="458"/>
    </row>
    <row r="345" spans="1:7" customFormat="1" ht="17.399999999999999" hidden="1" customHeight="1" thickBot="1" x14ac:dyDescent="0.3">
      <c r="A345" s="30"/>
      <c r="B345" s="210">
        <f>IF('Items sous domaines Sciences '!G347=3,'Items sous domaines Sciences '!B347,0)</f>
        <v>0</v>
      </c>
      <c r="C345" s="213">
        <f>IF('Items sous domaines Sciences '!G347=3,'Items sous domaines Sciences '!C347,0)</f>
        <v>0</v>
      </c>
      <c r="D345" s="216">
        <f>IF('Items sous domaines Sciences '!G347=3,'Items sous domaines Sciences '!D347,0)</f>
        <v>0</v>
      </c>
      <c r="E345" s="216">
        <f>IF('Items sous domaines Sciences '!G347=3,'Items sous domaines Sciences '!E347,0)</f>
        <v>0</v>
      </c>
      <c r="F345" s="26"/>
      <c r="G345" s="458"/>
    </row>
    <row r="346" spans="1:7" customFormat="1" ht="17.399999999999999" hidden="1" customHeight="1" thickBot="1" x14ac:dyDescent="0.3">
      <c r="A346" s="30"/>
      <c r="B346" s="193">
        <f>IF('Items sous domaines Sciences '!G348=3,'Items sous domaines Sciences '!B348,0)</f>
        <v>0</v>
      </c>
      <c r="C346" s="212">
        <f>IF('Items sous domaines Sciences '!G348=3,'Items sous domaines Sciences '!C348,0)</f>
        <v>0</v>
      </c>
      <c r="D346" s="215">
        <f>IF('Items sous domaines Sciences '!G348=3,'Items sous domaines Sciences '!D348,0)</f>
        <v>0</v>
      </c>
      <c r="E346" s="209">
        <f>IF('Items sous domaines Sciences '!G348=3,'Items sous domaines Sciences '!E348,0)</f>
        <v>0</v>
      </c>
      <c r="F346" s="26"/>
      <c r="G346" s="458"/>
    </row>
    <row r="347" spans="1:7" customFormat="1" ht="17.399999999999999" hidden="1" customHeight="1" thickBot="1" x14ac:dyDescent="0.3">
      <c r="A347" s="30"/>
      <c r="B347" s="210">
        <f>IF('Items sous domaines Sciences '!G349=3,'Items sous domaines Sciences '!B349,0)</f>
        <v>0</v>
      </c>
      <c r="C347" s="213">
        <f>IF('Items sous domaines Sciences '!G349=3,'Items sous domaines Sciences '!C349,0)</f>
        <v>0</v>
      </c>
      <c r="D347" s="216">
        <f>IF('Items sous domaines Sciences '!G349=3,'Items sous domaines Sciences '!D349,0)</f>
        <v>0</v>
      </c>
      <c r="E347" s="216">
        <f>IF('Items sous domaines Sciences '!G349=3,'Items sous domaines Sciences '!E349,0)</f>
        <v>0</v>
      </c>
      <c r="F347" s="26"/>
      <c r="G347" s="458"/>
    </row>
    <row r="348" spans="1:7" customFormat="1" ht="12.75" hidden="1" customHeight="1" x14ac:dyDescent="0.25">
      <c r="A348" s="30"/>
      <c r="B348" s="193">
        <f>IF('Items sous domaines Sciences '!G350=3,'Items sous domaines Sciences '!B350,0)</f>
        <v>0</v>
      </c>
      <c r="C348" s="212">
        <f>IF('Items sous domaines Sciences '!G350=3,'Items sous domaines Sciences '!C350,0)</f>
        <v>0</v>
      </c>
      <c r="D348" s="215">
        <f>IF('Items sous domaines Sciences '!G350=3,'Items sous domaines Sciences '!D350,0)</f>
        <v>0</v>
      </c>
      <c r="E348" s="209">
        <f>IF('Items sous domaines Sciences '!G350=3,'Items sous domaines Sciences '!E350,0)</f>
        <v>0</v>
      </c>
      <c r="F348" s="26"/>
      <c r="G348" s="458"/>
    </row>
    <row r="349" spans="1:7" customFormat="1" ht="12.75" hidden="1" customHeight="1" x14ac:dyDescent="0.25">
      <c r="A349" s="30"/>
      <c r="B349" s="210">
        <f>IF('Items sous domaines Sciences '!G351=3,'Items sous domaines Sciences '!B351,0)</f>
        <v>0</v>
      </c>
      <c r="C349" s="213">
        <f>IF('Items sous domaines Sciences '!G351=3,'Items sous domaines Sciences '!C351,0)</f>
        <v>0</v>
      </c>
      <c r="D349" s="216">
        <f>IF('Items sous domaines Sciences '!G351=3,'Items sous domaines Sciences '!D351,0)</f>
        <v>0</v>
      </c>
      <c r="E349" s="216">
        <f>IF('Items sous domaines Sciences '!G351=3,'Items sous domaines Sciences '!E351,0)</f>
        <v>0</v>
      </c>
      <c r="F349" s="26"/>
      <c r="G349" s="458"/>
    </row>
    <row r="350" spans="1:7" customFormat="1" ht="12.75" hidden="1" customHeight="1" x14ac:dyDescent="0.25">
      <c r="A350" s="30"/>
      <c r="B350" s="193">
        <f>IF('Items sous domaines Sciences '!G352=3,'Items sous domaines Sciences '!B352,0)</f>
        <v>0</v>
      </c>
      <c r="C350" s="212">
        <f>IF('Items sous domaines Sciences '!G352=3,'Items sous domaines Sciences '!C352,0)</f>
        <v>0</v>
      </c>
      <c r="D350" s="215">
        <f>IF('Items sous domaines Sciences '!G352=3,'Items sous domaines Sciences '!D352,0)</f>
        <v>0</v>
      </c>
      <c r="E350" s="209">
        <f>IF('Items sous domaines Sciences '!G352=3,'Items sous domaines Sciences '!E352,0)</f>
        <v>0</v>
      </c>
      <c r="F350" s="26"/>
      <c r="G350" s="458"/>
    </row>
    <row r="351" spans="1:7" customFormat="1" ht="12.75" hidden="1" customHeight="1" x14ac:dyDescent="0.25">
      <c r="A351" s="30"/>
      <c r="B351" s="210">
        <f>IF('Items sous domaines Sciences '!G353=3,'Items sous domaines Sciences '!B353,0)</f>
        <v>0</v>
      </c>
      <c r="C351" s="213">
        <f>IF('Items sous domaines Sciences '!G353=3,'Items sous domaines Sciences '!C353,0)</f>
        <v>0</v>
      </c>
      <c r="D351" s="216">
        <f>IF('Items sous domaines Sciences '!G353=3,'Items sous domaines Sciences '!D353,0)</f>
        <v>0</v>
      </c>
      <c r="E351" s="216">
        <f>IF('Items sous domaines Sciences '!G353=3,'Items sous domaines Sciences '!E353,0)</f>
        <v>0</v>
      </c>
      <c r="F351" s="26"/>
      <c r="G351" s="458"/>
    </row>
    <row r="352" spans="1:7" customFormat="1" ht="12.75" hidden="1" customHeight="1" x14ac:dyDescent="0.25">
      <c r="A352" s="30"/>
      <c r="B352" s="193">
        <f>IF('Items sous domaines Sciences '!G354=3,'Items sous domaines Sciences '!B354,0)</f>
        <v>0</v>
      </c>
      <c r="C352" s="212">
        <f>IF('Items sous domaines Sciences '!G354=3,'Items sous domaines Sciences '!C354,0)</f>
        <v>0</v>
      </c>
      <c r="D352" s="215">
        <f>IF('Items sous domaines Sciences '!G354=3,'Items sous domaines Sciences '!D354,0)</f>
        <v>0</v>
      </c>
      <c r="E352" s="209">
        <f>IF('Items sous domaines Sciences '!G354=3,'Items sous domaines Sciences '!E354,0)</f>
        <v>0</v>
      </c>
      <c r="F352" s="26"/>
      <c r="G352" s="458"/>
    </row>
    <row r="353" spans="1:7" customFormat="1" ht="12.75" hidden="1" customHeight="1" x14ac:dyDescent="0.25">
      <c r="A353" s="30"/>
      <c r="B353" s="210">
        <f>IF('Items sous domaines Sciences '!G355=3,'Items sous domaines Sciences '!B355,0)</f>
        <v>0</v>
      </c>
      <c r="C353" s="213">
        <f>IF('Items sous domaines Sciences '!G355=3,'Items sous domaines Sciences '!C355,0)</f>
        <v>0</v>
      </c>
      <c r="D353" s="216">
        <f>IF('Items sous domaines Sciences '!G355=3,'Items sous domaines Sciences '!D355,0)</f>
        <v>0</v>
      </c>
      <c r="E353" s="216">
        <f>IF('Items sous domaines Sciences '!G355=3,'Items sous domaines Sciences '!E355,0)</f>
        <v>0</v>
      </c>
      <c r="F353" s="26"/>
      <c r="G353" s="458"/>
    </row>
    <row r="354" spans="1:7" customFormat="1" ht="12.75" hidden="1" customHeight="1" x14ac:dyDescent="0.25">
      <c r="A354" s="30"/>
      <c r="B354" s="193">
        <f>IF('Items sous domaines Sciences '!G356=3,'Items sous domaines Sciences '!B356,0)</f>
        <v>0</v>
      </c>
      <c r="C354" s="212">
        <f>IF('Items sous domaines Sciences '!G356=3,'Items sous domaines Sciences '!C356,0)</f>
        <v>0</v>
      </c>
      <c r="D354" s="215">
        <f>IF('Items sous domaines Sciences '!G356=3,'Items sous domaines Sciences '!D356,0)</f>
        <v>0</v>
      </c>
      <c r="E354" s="209">
        <f>IF('Items sous domaines Sciences '!G356=3,'Items sous domaines Sciences '!E356,0)</f>
        <v>0</v>
      </c>
      <c r="F354" s="26"/>
      <c r="G354" s="458"/>
    </row>
    <row r="355" spans="1:7" customFormat="1" ht="12.75" hidden="1" customHeight="1" x14ac:dyDescent="0.25">
      <c r="A355" s="30"/>
      <c r="B355" s="210">
        <f>IF('Items sous domaines Sciences '!G357=3,'Items sous domaines Sciences '!B357,0)</f>
        <v>0</v>
      </c>
      <c r="C355" s="213">
        <f>IF('Items sous domaines Sciences '!G357=3,'Items sous domaines Sciences '!C357,0)</f>
        <v>0</v>
      </c>
      <c r="D355" s="216">
        <f>IF('Items sous domaines Sciences '!G357=3,'Items sous domaines Sciences '!D357,0)</f>
        <v>0</v>
      </c>
      <c r="E355" s="216">
        <f>IF('Items sous domaines Sciences '!G357=3,'Items sous domaines Sciences '!E357,0)</f>
        <v>0</v>
      </c>
      <c r="F355" s="26"/>
      <c r="G355" s="458"/>
    </row>
    <row r="356" spans="1:7" customFormat="1" ht="12.75" hidden="1" customHeight="1" x14ac:dyDescent="0.25">
      <c r="A356" s="30"/>
      <c r="B356" s="193">
        <f>IF('Items sous domaines Sciences '!G358=3,'Items sous domaines Sciences '!B358,0)</f>
        <v>0</v>
      </c>
      <c r="C356" s="212">
        <f>IF('Items sous domaines Sciences '!G358=3,'Items sous domaines Sciences '!C358,0)</f>
        <v>0</v>
      </c>
      <c r="D356" s="215">
        <f>IF('Items sous domaines Sciences '!G358=3,'Items sous domaines Sciences '!D358,0)</f>
        <v>0</v>
      </c>
      <c r="E356" s="209">
        <f>IF('Items sous domaines Sciences '!G358=3,'Items sous domaines Sciences '!E358,0)</f>
        <v>0</v>
      </c>
      <c r="F356" s="26"/>
      <c r="G356" s="458"/>
    </row>
    <row r="357" spans="1:7" customFormat="1" ht="12.75" hidden="1" customHeight="1" x14ac:dyDescent="0.25">
      <c r="A357" s="30"/>
      <c r="B357" s="210">
        <f>IF('Items sous domaines Sciences '!G359=3,'Items sous domaines Sciences '!B359,0)</f>
        <v>0</v>
      </c>
      <c r="C357" s="213">
        <f>IF('Items sous domaines Sciences '!G359=3,'Items sous domaines Sciences '!C359,0)</f>
        <v>0</v>
      </c>
      <c r="D357" s="216">
        <f>IF('Items sous domaines Sciences '!G359=3,'Items sous domaines Sciences '!D359,0)</f>
        <v>0</v>
      </c>
      <c r="E357" s="216">
        <f>IF('Items sous domaines Sciences '!G359=3,'Items sous domaines Sciences '!E359,0)</f>
        <v>0</v>
      </c>
      <c r="F357" s="26"/>
      <c r="G357" s="458"/>
    </row>
    <row r="358" spans="1:7" customFormat="1" ht="12.75" hidden="1" customHeight="1" x14ac:dyDescent="0.25">
      <c r="A358" s="30"/>
      <c r="B358" s="193">
        <f>IF('Items sous domaines Sciences '!G360=3,'Items sous domaines Sciences '!B360,0)</f>
        <v>0</v>
      </c>
      <c r="C358" s="212">
        <f>IF('Items sous domaines Sciences '!G360=3,'Items sous domaines Sciences '!C360,0)</f>
        <v>0</v>
      </c>
      <c r="D358" s="215">
        <f>IF('Items sous domaines Sciences '!G360=3,'Items sous domaines Sciences '!D360,0)</f>
        <v>0</v>
      </c>
      <c r="E358" s="209">
        <f>IF('Items sous domaines Sciences '!G360=3,'Items sous domaines Sciences '!E360,0)</f>
        <v>0</v>
      </c>
      <c r="F358" s="26"/>
      <c r="G358" s="458"/>
    </row>
    <row r="359" spans="1:7" customFormat="1" ht="12.75" hidden="1" customHeight="1" x14ac:dyDescent="0.25">
      <c r="A359" s="30"/>
      <c r="B359" s="210">
        <f>IF('Items sous domaines Sciences '!G361=3,'Items sous domaines Sciences '!B361,0)</f>
        <v>0</v>
      </c>
      <c r="C359" s="213">
        <f>IF('Items sous domaines Sciences '!G361=3,'Items sous domaines Sciences '!C361,0)</f>
        <v>0</v>
      </c>
      <c r="D359" s="216">
        <f>IF('Items sous domaines Sciences '!G361=3,'Items sous domaines Sciences '!D361,0)</f>
        <v>0</v>
      </c>
      <c r="E359" s="216">
        <f>IF('Items sous domaines Sciences '!G361=3,'Items sous domaines Sciences '!E361,0)</f>
        <v>0</v>
      </c>
      <c r="F359" s="26"/>
      <c r="G359" s="458"/>
    </row>
    <row r="360" spans="1:7" customFormat="1" ht="12.75" hidden="1" customHeight="1" x14ac:dyDescent="0.25">
      <c r="A360" s="30"/>
      <c r="B360" s="193">
        <f>IF('Items sous domaines Sciences '!G362=3,'Items sous domaines Sciences '!B362,0)</f>
        <v>0</v>
      </c>
      <c r="C360" s="212">
        <f>IF('Items sous domaines Sciences '!G362=3,'Items sous domaines Sciences '!C362,0)</f>
        <v>0</v>
      </c>
      <c r="D360" s="215">
        <f>IF('Items sous domaines Sciences '!G362=3,'Items sous domaines Sciences '!D362,0)</f>
        <v>0</v>
      </c>
      <c r="E360" s="209">
        <f>IF('Items sous domaines Sciences '!G362=3,'Items sous domaines Sciences '!E362,0)</f>
        <v>0</v>
      </c>
      <c r="F360" s="26"/>
      <c r="G360" s="458"/>
    </row>
    <row r="361" spans="1:7" customFormat="1" ht="12.75" hidden="1" customHeight="1" x14ac:dyDescent="0.25">
      <c r="A361" s="30"/>
      <c r="B361" s="210">
        <f>IF('Items sous domaines Sciences '!G363=3,'Items sous domaines Sciences '!B363,0)</f>
        <v>0</v>
      </c>
      <c r="C361" s="213">
        <f>IF('Items sous domaines Sciences '!G363=3,'Items sous domaines Sciences '!C363,0)</f>
        <v>0</v>
      </c>
      <c r="D361" s="216">
        <f>IF('Items sous domaines Sciences '!G363=3,'Items sous domaines Sciences '!D363,0)</f>
        <v>0</v>
      </c>
      <c r="E361" s="216">
        <f>IF('Items sous domaines Sciences '!G363=3,'Items sous domaines Sciences '!E363,0)</f>
        <v>0</v>
      </c>
      <c r="F361" s="26"/>
      <c r="G361" s="458"/>
    </row>
    <row r="362" spans="1:7" customFormat="1" ht="12.75" hidden="1" customHeight="1" thickBot="1" x14ac:dyDescent="0.3">
      <c r="A362" s="30"/>
      <c r="B362" s="193">
        <f>IF('Items sous domaines Sciences '!G364=3,'Items sous domaines Sciences '!B364,0)</f>
        <v>0</v>
      </c>
      <c r="C362" s="212">
        <f>IF('Items sous domaines Sciences '!G364=3,'Items sous domaines Sciences '!C364,0)</f>
        <v>0</v>
      </c>
      <c r="D362" s="215">
        <f>IF('Items sous domaines Sciences '!G364=3,'Items sous domaines Sciences '!D364,0)</f>
        <v>0</v>
      </c>
      <c r="E362" s="209">
        <f>IF('Items sous domaines Sciences '!G364=3,'Items sous domaines Sciences '!E364,0)</f>
        <v>0</v>
      </c>
      <c r="F362" s="26"/>
      <c r="G362" s="458"/>
    </row>
    <row r="363" spans="1:7" customFormat="1" ht="12.75" hidden="1" customHeight="1" x14ac:dyDescent="0.25">
      <c r="A363" s="30"/>
      <c r="B363" s="210">
        <f>IF('Items sous domaines Sciences '!G365=3,'Items sous domaines Sciences '!B365,0)</f>
        <v>0</v>
      </c>
      <c r="C363" s="213">
        <f>IF('Items sous domaines Sciences '!G365=3,'Items sous domaines Sciences '!C365,0)</f>
        <v>0</v>
      </c>
      <c r="D363" s="216">
        <f>IF('Items sous domaines Sciences '!G365=3,'Items sous domaines Sciences '!D365,0)</f>
        <v>0</v>
      </c>
      <c r="E363" s="216">
        <f>IF('Items sous domaines Sciences '!G365=3,'Items sous domaines Sciences '!E365,0)</f>
        <v>0</v>
      </c>
      <c r="F363" s="26"/>
      <c r="G363" s="458"/>
    </row>
    <row r="364" spans="1:7" customFormat="1" ht="12.75" hidden="1" customHeight="1" x14ac:dyDescent="0.25">
      <c r="A364" s="30"/>
      <c r="B364" s="193">
        <f>IF('Items sous domaines Sciences '!G366=3,'Items sous domaines Sciences '!B366,0)</f>
        <v>0</v>
      </c>
      <c r="C364" s="212">
        <f>IF('Items sous domaines Sciences '!G366=3,'Items sous domaines Sciences '!C366,0)</f>
        <v>0</v>
      </c>
      <c r="D364" s="215">
        <f>IF('Items sous domaines Sciences '!G366=3,'Items sous domaines Sciences '!D366,0)</f>
        <v>0</v>
      </c>
      <c r="E364" s="209">
        <f>IF('Items sous domaines Sciences '!G366=3,'Items sous domaines Sciences '!E366,0)</f>
        <v>0</v>
      </c>
      <c r="F364" s="26"/>
      <c r="G364" s="458"/>
    </row>
    <row r="365" spans="1:7" customFormat="1" ht="12.75" hidden="1" customHeight="1" x14ac:dyDescent="0.25">
      <c r="A365" s="30"/>
      <c r="B365" s="210">
        <f>IF('Items sous domaines Sciences '!G367=3,'Items sous domaines Sciences '!B367,0)</f>
        <v>0</v>
      </c>
      <c r="C365" s="213">
        <f>IF('Items sous domaines Sciences '!G367=3,'Items sous domaines Sciences '!C367,0)</f>
        <v>0</v>
      </c>
      <c r="D365" s="216">
        <f>IF('Items sous domaines Sciences '!G367=3,'Items sous domaines Sciences '!D367,0)</f>
        <v>0</v>
      </c>
      <c r="E365" s="216">
        <f>IF('Items sous domaines Sciences '!G367=3,'Items sous domaines Sciences '!E367,0)</f>
        <v>0</v>
      </c>
      <c r="F365" s="26"/>
      <c r="G365" s="458"/>
    </row>
    <row r="366" spans="1:7" customFormat="1" ht="12.75" hidden="1" customHeight="1" x14ac:dyDescent="0.25">
      <c r="A366" s="30"/>
      <c r="B366" s="193">
        <f>IF('Items sous domaines Sciences '!G368=3,'Items sous domaines Sciences '!B368,0)</f>
        <v>0</v>
      </c>
      <c r="C366" s="212">
        <f>IF('Items sous domaines Sciences '!G368=3,'Items sous domaines Sciences '!C368,0)</f>
        <v>0</v>
      </c>
      <c r="D366" s="215">
        <f>IF('Items sous domaines Sciences '!G368=3,'Items sous domaines Sciences '!D368,0)</f>
        <v>0</v>
      </c>
      <c r="E366" s="209">
        <f>IF('Items sous domaines Sciences '!G368=3,'Items sous domaines Sciences '!E368,0)</f>
        <v>0</v>
      </c>
      <c r="F366" s="26"/>
      <c r="G366" s="458"/>
    </row>
    <row r="367" spans="1:7" customFormat="1" ht="12.75" hidden="1" customHeight="1" x14ac:dyDescent="0.25">
      <c r="A367" s="30"/>
      <c r="B367" s="210">
        <f>IF('Items sous domaines Sciences '!G369=3,'Items sous domaines Sciences '!B369,0)</f>
        <v>0</v>
      </c>
      <c r="C367" s="213">
        <f>IF('Items sous domaines Sciences '!G369=3,'Items sous domaines Sciences '!C369,0)</f>
        <v>0</v>
      </c>
      <c r="D367" s="216">
        <f>IF('Items sous domaines Sciences '!G369=3,'Items sous domaines Sciences '!D369,0)</f>
        <v>0</v>
      </c>
      <c r="E367" s="216">
        <f>IF('Items sous domaines Sciences '!G369=3,'Items sous domaines Sciences '!E369,0)</f>
        <v>0</v>
      </c>
      <c r="F367" s="26"/>
      <c r="G367" s="458"/>
    </row>
    <row r="368" spans="1:7" customFormat="1" ht="12.75" hidden="1" customHeight="1" x14ac:dyDescent="0.25">
      <c r="A368" s="30"/>
      <c r="B368" s="193">
        <f>IF('Items sous domaines Sciences '!G370=3,'Items sous domaines Sciences '!B370,0)</f>
        <v>0</v>
      </c>
      <c r="C368" s="212">
        <f>IF('Items sous domaines Sciences '!G370=3,'Items sous domaines Sciences '!C370,0)</f>
        <v>0</v>
      </c>
      <c r="D368" s="215">
        <f>IF('Items sous domaines Sciences '!G370=3,'Items sous domaines Sciences '!D370,0)</f>
        <v>0</v>
      </c>
      <c r="E368" s="209">
        <f>IF('Items sous domaines Sciences '!G370=3,'Items sous domaines Sciences '!E370,0)</f>
        <v>0</v>
      </c>
      <c r="F368" s="26"/>
      <c r="G368" s="458"/>
    </row>
    <row r="369" spans="1:7" customFormat="1" ht="12.75" hidden="1" customHeight="1" x14ac:dyDescent="0.25">
      <c r="A369" s="30"/>
      <c r="B369" s="210">
        <f>IF('Items sous domaines Sciences '!G371=3,'Items sous domaines Sciences '!B371,0)</f>
        <v>0</v>
      </c>
      <c r="C369" s="213">
        <f>IF('Items sous domaines Sciences '!G371=3,'Items sous domaines Sciences '!C371,0)</f>
        <v>0</v>
      </c>
      <c r="D369" s="216">
        <f>IF('Items sous domaines Sciences '!G371=3,'Items sous domaines Sciences '!D371,0)</f>
        <v>0</v>
      </c>
      <c r="E369" s="216">
        <f>IF('Items sous domaines Sciences '!G371=3,'Items sous domaines Sciences '!E371,0)</f>
        <v>0</v>
      </c>
      <c r="F369" s="26"/>
      <c r="G369" s="458"/>
    </row>
    <row r="370" spans="1:7" customFormat="1" ht="12.75" hidden="1" customHeight="1" x14ac:dyDescent="0.25">
      <c r="A370" s="30"/>
      <c r="B370" s="193">
        <f>IF('Items sous domaines Sciences '!G372=3,'Items sous domaines Sciences '!B372,0)</f>
        <v>0</v>
      </c>
      <c r="C370" s="212">
        <f>IF('Items sous domaines Sciences '!G372=3,'Items sous domaines Sciences '!C372,0)</f>
        <v>0</v>
      </c>
      <c r="D370" s="215">
        <f>IF('Items sous domaines Sciences '!G372=3,'Items sous domaines Sciences '!D372,0)</f>
        <v>0</v>
      </c>
      <c r="E370" s="209">
        <f>IF('Items sous domaines Sciences '!G372=3,'Items sous domaines Sciences '!E372,0)</f>
        <v>0</v>
      </c>
      <c r="F370" s="26" t="s">
        <v>398</v>
      </c>
      <c r="G370" s="458"/>
    </row>
    <row r="371" spans="1:7" customFormat="1" ht="12.75" hidden="1" customHeight="1" x14ac:dyDescent="0.25">
      <c r="A371" s="30"/>
      <c r="B371" s="210">
        <f>IF('Items sous domaines Sciences '!G373=3,'Items sous domaines Sciences '!B373,0)</f>
        <v>0</v>
      </c>
      <c r="C371" s="213">
        <f>IF('Items sous domaines Sciences '!G373=3,'Items sous domaines Sciences '!C373,0)</f>
        <v>0</v>
      </c>
      <c r="D371" s="216">
        <f>IF('Items sous domaines Sciences '!G373=3,'Items sous domaines Sciences '!D373,0)</f>
        <v>0</v>
      </c>
      <c r="E371" s="216">
        <f>IF('Items sous domaines Sciences '!G373=3,'Items sous domaines Sciences '!E373,0)</f>
        <v>0</v>
      </c>
      <c r="F371" s="26"/>
      <c r="G371" s="458"/>
    </row>
    <row r="372" spans="1:7" customFormat="1" ht="12.75" hidden="1" customHeight="1" x14ac:dyDescent="0.25">
      <c r="A372" s="30"/>
      <c r="B372" s="193">
        <f>IF('Items sous domaines Sciences '!G374=3,'Items sous domaines Sciences '!B374,0)</f>
        <v>0</v>
      </c>
      <c r="C372" s="212">
        <f>IF('Items sous domaines Sciences '!G374=3,'Items sous domaines Sciences '!C374,0)</f>
        <v>0</v>
      </c>
      <c r="D372" s="215">
        <f>IF('Items sous domaines Sciences '!G374=3,'Items sous domaines Sciences '!D374,0)</f>
        <v>0</v>
      </c>
      <c r="E372" s="209">
        <f>IF('Items sous domaines Sciences '!G374=3,'Items sous domaines Sciences '!E374,0)</f>
        <v>0</v>
      </c>
      <c r="F372" s="26"/>
      <c r="G372" s="458"/>
    </row>
    <row r="373" spans="1:7" customFormat="1" ht="12.75" hidden="1" customHeight="1" x14ac:dyDescent="0.25">
      <c r="A373" s="30"/>
      <c r="B373" s="210">
        <f>IF('Items sous domaines Sciences '!G375=3,'Items sous domaines Sciences '!B375,0)</f>
        <v>0</v>
      </c>
      <c r="C373" s="213">
        <f>IF('Items sous domaines Sciences '!G375=3,'Items sous domaines Sciences '!C375,0)</f>
        <v>0</v>
      </c>
      <c r="D373" s="216">
        <f>IF('Items sous domaines Sciences '!G375=3,'Items sous domaines Sciences '!D375,0)</f>
        <v>0</v>
      </c>
      <c r="E373" s="216">
        <f>IF('Items sous domaines Sciences '!G375=3,'Items sous domaines Sciences '!E375,0)</f>
        <v>0</v>
      </c>
      <c r="F373" s="26"/>
      <c r="G373" s="458"/>
    </row>
    <row r="374" spans="1:7" customFormat="1" ht="12.75" hidden="1" customHeight="1" x14ac:dyDescent="0.25">
      <c r="A374" s="30"/>
      <c r="B374" s="193">
        <f>IF('Items sous domaines Sciences '!G376=3,'Items sous domaines Sciences '!B376,0)</f>
        <v>0</v>
      </c>
      <c r="C374" s="212">
        <f>IF('Items sous domaines Sciences '!G376=3,'Items sous domaines Sciences '!C376,0)</f>
        <v>0</v>
      </c>
      <c r="D374" s="215">
        <f>IF('Items sous domaines Sciences '!G376=3,'Items sous domaines Sciences '!D376,0)</f>
        <v>0</v>
      </c>
      <c r="E374" s="209">
        <f>IF('Items sous domaines Sciences '!G376=3,'Items sous domaines Sciences '!E376,0)</f>
        <v>0</v>
      </c>
      <c r="F374" s="26"/>
      <c r="G374" s="458"/>
    </row>
    <row r="375" spans="1:7" customFormat="1" ht="12.75" hidden="1" customHeight="1" x14ac:dyDescent="0.25">
      <c r="A375" s="30"/>
      <c r="B375" s="210">
        <f>IF('Items sous domaines Sciences '!G377=3,'Items sous domaines Sciences '!B377,0)</f>
        <v>0</v>
      </c>
      <c r="C375" s="213">
        <f>IF('Items sous domaines Sciences '!G377=3,'Items sous domaines Sciences '!C377,0)</f>
        <v>0</v>
      </c>
      <c r="D375" s="216">
        <f>IF('Items sous domaines Sciences '!G377=3,'Items sous domaines Sciences '!D377,0)</f>
        <v>0</v>
      </c>
      <c r="E375" s="216">
        <f>IF('Items sous domaines Sciences '!G377=3,'Items sous domaines Sciences '!E377,0)</f>
        <v>0</v>
      </c>
      <c r="F375" s="26"/>
      <c r="G375" s="458"/>
    </row>
    <row r="376" spans="1:7" customFormat="1" ht="12.75" hidden="1" customHeight="1" x14ac:dyDescent="0.25">
      <c r="A376" s="30"/>
      <c r="B376" s="193">
        <f>IF('Items sous domaines Sciences '!G378=3,'Items sous domaines Sciences '!B378,0)</f>
        <v>0</v>
      </c>
      <c r="C376" s="212">
        <f>IF('Items sous domaines Sciences '!G378=3,'Items sous domaines Sciences '!C378,0)</f>
        <v>0</v>
      </c>
      <c r="D376" s="215">
        <f>IF('Items sous domaines Sciences '!G378=3,'Items sous domaines Sciences '!D378,0)</f>
        <v>0</v>
      </c>
      <c r="E376" s="209">
        <f>IF('Items sous domaines Sciences '!G378=3,'Items sous domaines Sciences '!E378,0)</f>
        <v>0</v>
      </c>
      <c r="F376" s="26"/>
      <c r="G376" s="458"/>
    </row>
    <row r="377" spans="1:7" customFormat="1" ht="12.75" hidden="1" customHeight="1" x14ac:dyDescent="0.25">
      <c r="A377" s="30"/>
      <c r="B377" s="210">
        <f>IF('Items sous domaines Sciences '!G379=3,'Items sous domaines Sciences '!B379,0)</f>
        <v>0</v>
      </c>
      <c r="C377" s="213">
        <f>IF('Items sous domaines Sciences '!G379=3,'Items sous domaines Sciences '!C379,0)</f>
        <v>0</v>
      </c>
      <c r="D377" s="216">
        <f>IF('Items sous domaines Sciences '!G379=3,'Items sous domaines Sciences '!D379,0)</f>
        <v>0</v>
      </c>
      <c r="E377" s="216">
        <f>IF('Items sous domaines Sciences '!G379=3,'Items sous domaines Sciences '!E379,0)</f>
        <v>0</v>
      </c>
      <c r="F377" s="26"/>
      <c r="G377" s="458"/>
    </row>
    <row r="378" spans="1:7" customFormat="1" ht="12.75" hidden="1" customHeight="1" x14ac:dyDescent="0.25">
      <c r="A378" s="30"/>
      <c r="B378" s="193">
        <f>IF('Items sous domaines Sciences '!G380=3,'Items sous domaines Sciences '!B380,0)</f>
        <v>0</v>
      </c>
      <c r="C378" s="212">
        <f>IF('Items sous domaines Sciences '!G380=3,'Items sous domaines Sciences '!C380,0)</f>
        <v>0</v>
      </c>
      <c r="D378" s="215">
        <f>IF('Items sous domaines Sciences '!G380=3,'Items sous domaines Sciences '!D380,0)</f>
        <v>0</v>
      </c>
      <c r="E378" s="209">
        <f>IF('Items sous domaines Sciences '!G380=3,'Items sous domaines Sciences '!E380,0)</f>
        <v>0</v>
      </c>
      <c r="F378" s="26"/>
      <c r="G378" s="458"/>
    </row>
    <row r="379" spans="1:7" customFormat="1" ht="12.75" hidden="1" customHeight="1" x14ac:dyDescent="0.25">
      <c r="A379" s="30"/>
      <c r="B379" s="210">
        <f>IF('Items sous domaines Sciences '!G381=3,'Items sous domaines Sciences '!B381,0)</f>
        <v>0</v>
      </c>
      <c r="C379" s="213">
        <f>IF('Items sous domaines Sciences '!G381=3,'Items sous domaines Sciences '!C381,0)</f>
        <v>0</v>
      </c>
      <c r="D379" s="216">
        <f>IF('Items sous domaines Sciences '!G381=3,'Items sous domaines Sciences '!D381,0)</f>
        <v>0</v>
      </c>
      <c r="E379" s="216">
        <f>IF('Items sous domaines Sciences '!G381=3,'Items sous domaines Sciences '!E381,0)</f>
        <v>0</v>
      </c>
      <c r="F379" s="26"/>
      <c r="G379" s="458"/>
    </row>
    <row r="380" spans="1:7" customFormat="1" ht="12.75" hidden="1" customHeight="1" x14ac:dyDescent="0.25">
      <c r="A380" s="30"/>
      <c r="B380" s="193">
        <f>IF('Items sous domaines Sciences '!G382=3,'Items sous domaines Sciences '!B382,0)</f>
        <v>0</v>
      </c>
      <c r="C380" s="212">
        <f>IF('Items sous domaines Sciences '!G382=3,'Items sous domaines Sciences '!C382,0)</f>
        <v>0</v>
      </c>
      <c r="D380" s="215">
        <f>IF('Items sous domaines Sciences '!G382=3,'Items sous domaines Sciences '!D382,0)</f>
        <v>0</v>
      </c>
      <c r="E380" s="209">
        <f>IF('Items sous domaines Sciences '!G382=3,'Items sous domaines Sciences '!E382,0)</f>
        <v>0</v>
      </c>
      <c r="F380" s="26"/>
      <c r="G380" s="458"/>
    </row>
    <row r="381" spans="1:7" customFormat="1" ht="12.75" hidden="1" customHeight="1" x14ac:dyDescent="0.25">
      <c r="A381" s="30"/>
      <c r="B381" s="210">
        <f>IF('Items sous domaines Sciences '!G383=3,'Items sous domaines Sciences '!B383,0)</f>
        <v>0</v>
      </c>
      <c r="C381" s="213">
        <f>IF('Items sous domaines Sciences '!G383=3,'Items sous domaines Sciences '!C383,0)</f>
        <v>0</v>
      </c>
      <c r="D381" s="216">
        <f>IF('Items sous domaines Sciences '!G383=3,'Items sous domaines Sciences '!D383,0)</f>
        <v>0</v>
      </c>
      <c r="E381" s="216">
        <f>IF('Items sous domaines Sciences '!G383=3,'Items sous domaines Sciences '!E383,0)</f>
        <v>0</v>
      </c>
      <c r="F381" s="26"/>
      <c r="G381" s="458"/>
    </row>
    <row r="382" spans="1:7" customFormat="1" ht="12.75" hidden="1" customHeight="1" x14ac:dyDescent="0.25">
      <c r="A382" s="30"/>
      <c r="B382" s="193">
        <f>IF('Items sous domaines Sciences '!G384=3,'Items sous domaines Sciences '!B384,0)</f>
        <v>0</v>
      </c>
      <c r="C382" s="212">
        <f>IF('Items sous domaines Sciences '!G384=3,'Items sous domaines Sciences '!C384,0)</f>
        <v>0</v>
      </c>
      <c r="D382" s="215">
        <f>IF('Items sous domaines Sciences '!G384=3,'Items sous domaines Sciences '!D384,0)</f>
        <v>0</v>
      </c>
      <c r="E382" s="209">
        <f>IF('Items sous domaines Sciences '!G384=3,'Items sous domaines Sciences '!E384,0)</f>
        <v>0</v>
      </c>
      <c r="F382" s="26"/>
      <c r="G382" s="458"/>
    </row>
    <row r="383" spans="1:7" customFormat="1" ht="12.75" hidden="1" customHeight="1" x14ac:dyDescent="0.25">
      <c r="A383" s="30"/>
      <c r="B383" s="210">
        <f>IF('Items sous domaines Sciences '!G385=3,'Items sous domaines Sciences '!B385,0)</f>
        <v>0</v>
      </c>
      <c r="C383" s="213">
        <f>IF('Items sous domaines Sciences '!G385=3,'Items sous domaines Sciences '!C385,0)</f>
        <v>0</v>
      </c>
      <c r="D383" s="216">
        <f>IF('Items sous domaines Sciences '!G385=3,'Items sous domaines Sciences '!D385,0)</f>
        <v>0</v>
      </c>
      <c r="E383" s="216">
        <f>IF('Items sous domaines Sciences '!G385=3,'Items sous domaines Sciences '!E385,0)</f>
        <v>0</v>
      </c>
      <c r="F383" s="26"/>
      <c r="G383" s="458"/>
    </row>
    <row r="384" spans="1:7" customFormat="1" ht="13.5" hidden="1" customHeight="1" thickBot="1" x14ac:dyDescent="0.3">
      <c r="A384" s="30"/>
      <c r="B384" s="193">
        <f>IF('Items sous domaines Sciences '!G386=3,'Items sous domaines Sciences '!B386,0)</f>
        <v>0</v>
      </c>
      <c r="C384" s="212">
        <f>IF('Items sous domaines Sciences '!G386=3,'Items sous domaines Sciences '!C386,0)</f>
        <v>0</v>
      </c>
      <c r="D384" s="215">
        <f>IF('Items sous domaines Sciences '!G386=3,'Items sous domaines Sciences '!D386,0)</f>
        <v>0</v>
      </c>
      <c r="E384" s="209">
        <f>IF('Items sous domaines Sciences '!G386=3,'Items sous domaines Sciences '!E386,0)</f>
        <v>0</v>
      </c>
      <c r="F384" s="26"/>
      <c r="G384" s="458"/>
    </row>
    <row r="385" spans="1:7" customFormat="1" ht="12.75" hidden="1" customHeight="1" x14ac:dyDescent="0.25">
      <c r="A385" s="30"/>
      <c r="B385" s="210">
        <f>IF('Items sous domaines Sciences '!G387=3,'Items sous domaines Sciences '!B387,0)</f>
        <v>0</v>
      </c>
      <c r="C385" s="213">
        <f>IF('Items sous domaines Sciences '!G387=3,'Items sous domaines Sciences '!C387,0)</f>
        <v>0</v>
      </c>
      <c r="D385" s="216">
        <f>IF('Items sous domaines Sciences '!G387=3,'Items sous domaines Sciences '!D387,0)</f>
        <v>0</v>
      </c>
      <c r="E385" s="216">
        <f>IF('Items sous domaines Sciences '!G387=3,'Items sous domaines Sciences '!E387,0)</f>
        <v>0</v>
      </c>
      <c r="F385" s="26"/>
      <c r="G385" s="458"/>
    </row>
    <row r="386" spans="1:7" customFormat="1" ht="12.75" hidden="1" customHeight="1" x14ac:dyDescent="0.25">
      <c r="A386" s="30"/>
      <c r="B386" s="193">
        <f>IF('Items sous domaines Sciences '!G388=3,'Items sous domaines Sciences '!B388,0)</f>
        <v>0</v>
      </c>
      <c r="C386" s="212">
        <f>IF('Items sous domaines Sciences '!G388=3,'Items sous domaines Sciences '!C388,0)</f>
        <v>0</v>
      </c>
      <c r="D386" s="215">
        <f>IF('Items sous domaines Sciences '!G388=3,'Items sous domaines Sciences '!D388,0)</f>
        <v>0</v>
      </c>
      <c r="E386" s="209">
        <f>IF('Items sous domaines Sciences '!G388=3,'Items sous domaines Sciences '!E388,0)</f>
        <v>0</v>
      </c>
      <c r="F386" s="26"/>
      <c r="G386" s="458"/>
    </row>
    <row r="387" spans="1:7" customFormat="1" ht="12.75" hidden="1" customHeight="1" x14ac:dyDescent="0.25">
      <c r="A387" s="30"/>
      <c r="B387" s="210">
        <f>IF('Items sous domaines Sciences '!G389=3,'Items sous domaines Sciences '!B389,0)</f>
        <v>0</v>
      </c>
      <c r="C387" s="213">
        <f>IF('Items sous domaines Sciences '!G389=3,'Items sous domaines Sciences '!C389,0)</f>
        <v>0</v>
      </c>
      <c r="D387" s="216">
        <f>IF('Items sous domaines Sciences '!G389=3,'Items sous domaines Sciences '!D389,0)</f>
        <v>0</v>
      </c>
      <c r="E387" s="216">
        <f>IF('Items sous domaines Sciences '!G389=3,'Items sous domaines Sciences '!E389,0)</f>
        <v>0</v>
      </c>
      <c r="F387" s="26"/>
      <c r="G387" s="458"/>
    </row>
    <row r="388" spans="1:7" customFormat="1" ht="12.75" hidden="1" customHeight="1" x14ac:dyDescent="0.25">
      <c r="A388" s="30"/>
      <c r="B388" s="193">
        <f>IF('Items sous domaines Sciences '!G390=3,'Items sous domaines Sciences '!B390,0)</f>
        <v>0</v>
      </c>
      <c r="C388" s="212">
        <f>IF('Items sous domaines Sciences '!G390=3,'Items sous domaines Sciences '!C390,0)</f>
        <v>0</v>
      </c>
      <c r="D388" s="215">
        <f>IF('Items sous domaines Sciences '!G390=3,'Items sous domaines Sciences '!D390,0)</f>
        <v>0</v>
      </c>
      <c r="E388" s="209">
        <f>IF('Items sous domaines Sciences '!G390=3,'Items sous domaines Sciences '!E390,0)</f>
        <v>0</v>
      </c>
      <c r="F388" s="26"/>
      <c r="G388" s="458"/>
    </row>
    <row r="389" spans="1:7" customFormat="1" ht="12.75" hidden="1" customHeight="1" x14ac:dyDescent="0.25">
      <c r="A389" s="30"/>
      <c r="B389" s="210">
        <f>IF('Items sous domaines Sciences '!G391=3,'Items sous domaines Sciences '!B391,0)</f>
        <v>0</v>
      </c>
      <c r="C389" s="213">
        <f>IF('Items sous domaines Sciences '!G391=3,'Items sous domaines Sciences '!C391,0)</f>
        <v>0</v>
      </c>
      <c r="D389" s="216">
        <f>IF('Items sous domaines Sciences '!G391=3,'Items sous domaines Sciences '!D391,0)</f>
        <v>0</v>
      </c>
      <c r="E389" s="216">
        <f>IF('Items sous domaines Sciences '!G391=3,'Items sous domaines Sciences '!E391,0)</f>
        <v>0</v>
      </c>
      <c r="F389" s="26"/>
      <c r="G389" s="458"/>
    </row>
    <row r="390" spans="1:7" customFormat="1" ht="12.75" hidden="1" customHeight="1" x14ac:dyDescent="0.25">
      <c r="A390" s="30"/>
      <c r="B390" s="193">
        <f>IF('Items sous domaines Sciences '!G392=3,'Items sous domaines Sciences '!B392,0)</f>
        <v>0</v>
      </c>
      <c r="C390" s="212">
        <f>IF('Items sous domaines Sciences '!G392=3,'Items sous domaines Sciences '!C392,0)</f>
        <v>0</v>
      </c>
      <c r="D390" s="215">
        <f>IF('Items sous domaines Sciences '!G392=3,'Items sous domaines Sciences '!D392,0)</f>
        <v>0</v>
      </c>
      <c r="E390" s="209">
        <f>IF('Items sous domaines Sciences '!G392=3,'Items sous domaines Sciences '!E392,0)</f>
        <v>0</v>
      </c>
      <c r="F390" s="26"/>
      <c r="G390" s="458"/>
    </row>
    <row r="391" spans="1:7" customFormat="1" ht="12.75" hidden="1" customHeight="1" x14ac:dyDescent="0.25">
      <c r="A391" s="30"/>
      <c r="B391" s="210">
        <f>IF('Items sous domaines Sciences '!G393=3,'Items sous domaines Sciences '!B393,0)</f>
        <v>0</v>
      </c>
      <c r="C391" s="213">
        <f>IF('Items sous domaines Sciences '!G393=3,'Items sous domaines Sciences '!C393,0)</f>
        <v>0</v>
      </c>
      <c r="D391" s="216">
        <f>IF('Items sous domaines Sciences '!G393=3,'Items sous domaines Sciences '!D393,0)</f>
        <v>0</v>
      </c>
      <c r="E391" s="216">
        <f>IF('Items sous domaines Sciences '!G393=3,'Items sous domaines Sciences '!E393,0)</f>
        <v>0</v>
      </c>
      <c r="F391" s="26"/>
      <c r="G391" s="458"/>
    </row>
    <row r="392" spans="1:7" customFormat="1" ht="12.75" hidden="1" customHeight="1" x14ac:dyDescent="0.25">
      <c r="A392" s="30"/>
      <c r="B392" s="193">
        <f>IF('Items sous domaines Sciences '!G394=3,'Items sous domaines Sciences '!B394,0)</f>
        <v>0</v>
      </c>
      <c r="C392" s="212">
        <f>IF('Items sous domaines Sciences '!G394=3,'Items sous domaines Sciences '!C394,0)</f>
        <v>0</v>
      </c>
      <c r="D392" s="215">
        <f>IF('Items sous domaines Sciences '!G394=3,'Items sous domaines Sciences '!D394,0)</f>
        <v>0</v>
      </c>
      <c r="E392" s="209">
        <f>IF('Items sous domaines Sciences '!G394=3,'Items sous domaines Sciences '!E394,0)</f>
        <v>0</v>
      </c>
      <c r="F392" s="26"/>
      <c r="G392" s="458"/>
    </row>
    <row r="393" spans="1:7" customFormat="1" ht="13.5" hidden="1" customHeight="1" thickBot="1" x14ac:dyDescent="0.3">
      <c r="A393" s="30"/>
      <c r="B393" s="210">
        <f>IF('Items sous domaines Sciences '!G395=3,'Items sous domaines Sciences '!B395,0)</f>
        <v>0</v>
      </c>
      <c r="C393" s="213">
        <f>IF('Items sous domaines Sciences '!G395=3,'Items sous domaines Sciences '!C395,0)</f>
        <v>0</v>
      </c>
      <c r="D393" s="216">
        <f>IF('Items sous domaines Sciences '!G395=3,'Items sous domaines Sciences '!D395,0)</f>
        <v>0</v>
      </c>
      <c r="E393" s="216">
        <f>IF('Items sous domaines Sciences '!G395=3,'Items sous domaines Sciences '!E395,0)</f>
        <v>0</v>
      </c>
      <c r="F393" s="26"/>
      <c r="G393" s="458"/>
    </row>
    <row r="394" spans="1:7" customFormat="1" ht="13.5" hidden="1" customHeight="1" thickBot="1" x14ac:dyDescent="0.3">
      <c r="A394" s="30"/>
      <c r="B394" s="193">
        <f>IF('Items sous domaines Sciences '!G396=3,'Items sous domaines Sciences '!B396,0)</f>
        <v>0</v>
      </c>
      <c r="C394" s="212">
        <f>IF('Items sous domaines Sciences '!G396=3,'Items sous domaines Sciences '!C396,0)</f>
        <v>0</v>
      </c>
      <c r="D394" s="215">
        <f>IF('Items sous domaines Sciences '!G396=3,'Items sous domaines Sciences '!D396,0)</f>
        <v>0</v>
      </c>
      <c r="E394" s="209">
        <f>IF('Items sous domaines Sciences '!G396=3,'Items sous domaines Sciences '!E396,0)</f>
        <v>0</v>
      </c>
      <c r="F394" s="339" t="s">
        <v>470</v>
      </c>
      <c r="G394" s="458" t="s">
        <v>471</v>
      </c>
    </row>
    <row r="395" spans="1:7" customFormat="1" ht="12.75" hidden="1" customHeight="1" x14ac:dyDescent="0.25">
      <c r="A395" s="30"/>
      <c r="B395" s="210">
        <f>IF('Items sous domaines Sciences '!G397=3,'Items sous domaines Sciences '!B397,0)</f>
        <v>0</v>
      </c>
      <c r="C395" s="213">
        <f>IF('Items sous domaines Sciences '!G397=3,'Items sous domaines Sciences '!C397,0)</f>
        <v>0</v>
      </c>
      <c r="D395" s="216">
        <f>IF('Items sous domaines Sciences '!G397=3,'Items sous domaines Sciences '!D397,0)</f>
        <v>0</v>
      </c>
      <c r="E395" s="216">
        <f>IF('Items sous domaines Sciences '!G397=3,'Items sous domaines Sciences '!E397,0)</f>
        <v>0</v>
      </c>
      <c r="F395" s="340"/>
      <c r="G395" s="458"/>
    </row>
    <row r="396" spans="1:7" customFormat="1" ht="13.5" hidden="1" customHeight="1" thickBot="1" x14ac:dyDescent="0.3">
      <c r="A396" s="30"/>
      <c r="B396" s="193">
        <f>IF('Items sous domaines Sciences '!G398=3,'Items sous domaines Sciences '!B398,0)</f>
        <v>0</v>
      </c>
      <c r="C396" s="212">
        <f>IF('Items sous domaines Sciences '!G398=3,'Items sous domaines Sciences '!C398,0)</f>
        <v>0</v>
      </c>
      <c r="D396" s="215">
        <f>IF('Items sous domaines Sciences '!G398=3,'Items sous domaines Sciences '!D398,0)</f>
        <v>0</v>
      </c>
      <c r="E396" s="209">
        <f>IF('Items sous domaines Sciences '!G398=3,'Items sous domaines Sciences '!E398,0)</f>
        <v>0</v>
      </c>
      <c r="F396" s="341"/>
      <c r="G396" s="458"/>
    </row>
    <row r="397" spans="1:7" customFormat="1" ht="12.75" hidden="1" customHeight="1" thickBot="1" x14ac:dyDescent="0.3">
      <c r="A397" s="30"/>
      <c r="B397" s="210">
        <f>IF('Items sous domaines Sciences '!G399=3,'Items sous domaines Sciences '!B399,0)</f>
        <v>0</v>
      </c>
      <c r="C397" s="213">
        <f>IF('Items sous domaines Sciences '!G399=3,'Items sous domaines Sciences '!C399,0)</f>
        <v>0</v>
      </c>
      <c r="D397" s="216">
        <f>IF('Items sous domaines Sciences '!G399=3,'Items sous domaines Sciences '!D399,0)</f>
        <v>0</v>
      </c>
      <c r="E397" s="216">
        <f>IF('Items sous domaines Sciences '!G399=3,'Items sous domaines Sciences '!E399,0)</f>
        <v>0</v>
      </c>
      <c r="F397" t="e">
        <f>IF('Items sous domaines Sciences '!#REF!=1,'Items sous domaines Sciences '!#REF!,0)</f>
        <v>#REF!</v>
      </c>
    </row>
    <row r="398" spans="1:7" customFormat="1" ht="12.75" hidden="1" customHeight="1" x14ac:dyDescent="0.25">
      <c r="A398" s="30"/>
      <c r="B398" s="193">
        <f>IF('Items sous domaines Sciences '!G400=3,'Items sous domaines Sciences '!B400,0)</f>
        <v>0</v>
      </c>
      <c r="C398" s="212">
        <f>IF('Items sous domaines Sciences '!G400=3,'Items sous domaines Sciences '!C400,0)</f>
        <v>0</v>
      </c>
      <c r="D398" s="215">
        <f>IF('Items sous domaines Sciences '!G400=3,'Items sous domaines Sciences '!D400,0)</f>
        <v>0</v>
      </c>
      <c r="E398" s="209">
        <f>IF('Items sous domaines Sciences '!G400=3,'Items sous domaines Sciences '!E400,0)</f>
        <v>0</v>
      </c>
      <c r="F398" t="e">
        <f>IF('Items sous domaines Sciences '!#REF!=1,'Items sous domaines Sciences '!#REF!,0)</f>
        <v>#REF!</v>
      </c>
    </row>
    <row r="399" spans="1:7" customFormat="1" ht="12.75" hidden="1" customHeight="1" x14ac:dyDescent="0.25">
      <c r="A399" s="30"/>
      <c r="B399" s="210">
        <f>IF('Items sous domaines Sciences '!G401=3,'Items sous domaines Sciences '!B401,0)</f>
        <v>0</v>
      </c>
      <c r="C399" s="213">
        <f>IF('Items sous domaines Sciences '!G401=3,'Items sous domaines Sciences '!C401,0)</f>
        <v>0</v>
      </c>
      <c r="D399" s="216">
        <f>IF('Items sous domaines Sciences '!G401=3,'Items sous domaines Sciences '!D401,0)</f>
        <v>0</v>
      </c>
      <c r="E399" s="216">
        <f>IF('Items sous domaines Sciences '!G401=3,'Items sous domaines Sciences '!E401,0)</f>
        <v>0</v>
      </c>
      <c r="F399" t="e">
        <f>IF('Items sous domaines Sciences '!#REF!=1,'Items sous domaines Sciences '!#REF!,0)</f>
        <v>#REF!</v>
      </c>
    </row>
    <row r="400" spans="1:7" customFormat="1" ht="12.75" hidden="1" customHeight="1" x14ac:dyDescent="0.25">
      <c r="A400" s="30"/>
      <c r="B400" s="193">
        <f>IF('Items sous domaines Sciences '!G402=3,'Items sous domaines Sciences '!B402,0)</f>
        <v>0</v>
      </c>
      <c r="C400" s="212">
        <f>IF('Items sous domaines Sciences '!G402=3,'Items sous domaines Sciences '!C402,0)</f>
        <v>0</v>
      </c>
      <c r="D400" s="215">
        <f>IF('Items sous domaines Sciences '!G402=3,'Items sous domaines Sciences '!D402,0)</f>
        <v>0</v>
      </c>
      <c r="E400" s="209">
        <f>IF('Items sous domaines Sciences '!G402=3,'Items sous domaines Sciences '!E402,0)</f>
        <v>0</v>
      </c>
      <c r="F400" t="e">
        <f>IF('Items sous domaines Sciences '!#REF!=1,'Items sous domaines Sciences '!#REF!,0)</f>
        <v>#REF!</v>
      </c>
    </row>
    <row r="401" spans="1:6" customFormat="1" ht="12.75" hidden="1" customHeight="1" x14ac:dyDescent="0.25">
      <c r="A401" s="30"/>
      <c r="B401" s="210">
        <f>IF('Items sous domaines Sciences '!G403=3,'Items sous domaines Sciences '!B403,0)</f>
        <v>0</v>
      </c>
      <c r="C401" s="213">
        <f>IF('Items sous domaines Sciences '!G403=3,'Items sous domaines Sciences '!C403,0)</f>
        <v>0</v>
      </c>
      <c r="D401" s="216">
        <f>IF('Items sous domaines Sciences '!G403=3,'Items sous domaines Sciences '!D403,0)</f>
        <v>0</v>
      </c>
      <c r="E401" s="216">
        <f>IF('Items sous domaines Sciences '!G403=3,'Items sous domaines Sciences '!E403,0)</f>
        <v>0</v>
      </c>
      <c r="F401" t="e">
        <f>IF('Items sous domaines Sciences '!#REF!=1,'Items sous domaines Sciences '!#REF!,0)</f>
        <v>#REF!</v>
      </c>
    </row>
    <row r="402" spans="1:6" customFormat="1" ht="12.75" hidden="1" customHeight="1" x14ac:dyDescent="0.25">
      <c r="A402" s="30"/>
      <c r="B402" s="193">
        <f>IF('Items sous domaines Sciences '!G404=3,'Items sous domaines Sciences '!B404,0)</f>
        <v>0</v>
      </c>
      <c r="C402" s="212">
        <f>IF('Items sous domaines Sciences '!G404=3,'Items sous domaines Sciences '!C404,0)</f>
        <v>0</v>
      </c>
      <c r="D402" s="215">
        <f>IF('Items sous domaines Sciences '!G404=3,'Items sous domaines Sciences '!D404,0)</f>
        <v>0</v>
      </c>
      <c r="E402" s="209">
        <f>IF('Items sous domaines Sciences '!G404=3,'Items sous domaines Sciences '!E404,0)</f>
        <v>0</v>
      </c>
      <c r="F402" t="e">
        <f>IF('Items sous domaines Sciences '!#REF!=1,'Items sous domaines Sciences '!#REF!,0)</f>
        <v>#REF!</v>
      </c>
    </row>
    <row r="403" spans="1:6" customFormat="1" ht="12.75" hidden="1" customHeight="1" x14ac:dyDescent="0.25">
      <c r="A403" s="30"/>
      <c r="B403" s="210">
        <f>IF('Items sous domaines Sciences '!G405=3,'Items sous domaines Sciences '!B405,0)</f>
        <v>0</v>
      </c>
      <c r="C403" s="213">
        <f>IF('Items sous domaines Sciences '!G405=3,'Items sous domaines Sciences '!C405,0)</f>
        <v>0</v>
      </c>
      <c r="D403" s="216">
        <f>IF('Items sous domaines Sciences '!G405=3,'Items sous domaines Sciences '!D405,0)</f>
        <v>0</v>
      </c>
      <c r="E403" s="216">
        <f>IF('Items sous domaines Sciences '!G405=3,'Items sous domaines Sciences '!E405,0)</f>
        <v>0</v>
      </c>
      <c r="F403" t="e">
        <f>IF('Items sous domaines Sciences '!#REF!=1,'Items sous domaines Sciences '!#REF!,0)</f>
        <v>#REF!</v>
      </c>
    </row>
    <row r="404" spans="1:6" customFormat="1" ht="12.75" hidden="1" customHeight="1" x14ac:dyDescent="0.25">
      <c r="A404" s="30"/>
      <c r="B404" s="193">
        <f>IF('Items sous domaines Sciences '!G406=3,'Items sous domaines Sciences '!B406,0)</f>
        <v>0</v>
      </c>
      <c r="C404" s="212">
        <f>IF('Items sous domaines Sciences '!G406=3,'Items sous domaines Sciences '!C406,0)</f>
        <v>0</v>
      </c>
      <c r="D404" s="215">
        <f>IF('Items sous domaines Sciences '!G406=3,'Items sous domaines Sciences '!D406,0)</f>
        <v>0</v>
      </c>
      <c r="E404" s="209">
        <f>IF('Items sous domaines Sciences '!G406=3,'Items sous domaines Sciences '!E406,0)</f>
        <v>0</v>
      </c>
      <c r="F404" t="e">
        <f>IF('Items sous domaines Sciences '!#REF!=1,'Items sous domaines Sciences '!#REF!,0)</f>
        <v>#REF!</v>
      </c>
    </row>
    <row r="405" spans="1:6" customFormat="1" ht="12.75" hidden="1" customHeight="1" x14ac:dyDescent="0.25">
      <c r="A405" s="30"/>
      <c r="B405" s="210">
        <f>IF('Items sous domaines Sciences '!G407=3,'Items sous domaines Sciences '!B407,0)</f>
        <v>0</v>
      </c>
      <c r="C405" s="213">
        <f>IF('Items sous domaines Sciences '!G407=3,'Items sous domaines Sciences '!C407,0)</f>
        <v>0</v>
      </c>
      <c r="D405" s="216">
        <f>IF('Items sous domaines Sciences '!G407=3,'Items sous domaines Sciences '!D407,0)</f>
        <v>0</v>
      </c>
      <c r="E405" s="216">
        <f>IF('Items sous domaines Sciences '!G407=3,'Items sous domaines Sciences '!E407,0)</f>
        <v>0</v>
      </c>
      <c r="F405" t="e">
        <f>IF('Items sous domaines Sciences '!#REF!=1,'Items sous domaines Sciences '!#REF!,0)</f>
        <v>#REF!</v>
      </c>
    </row>
    <row r="406" spans="1:6" customFormat="1" ht="12.75" hidden="1" customHeight="1" x14ac:dyDescent="0.25">
      <c r="A406" s="30"/>
      <c r="B406" s="193">
        <f>IF('Items sous domaines Sciences '!G408=3,'Items sous domaines Sciences '!B408,0)</f>
        <v>0</v>
      </c>
      <c r="C406" s="212">
        <f>IF('Items sous domaines Sciences '!G408=3,'Items sous domaines Sciences '!C408,0)</f>
        <v>0</v>
      </c>
      <c r="D406" s="215">
        <f>IF('Items sous domaines Sciences '!G408=3,'Items sous domaines Sciences '!D408,0)</f>
        <v>0</v>
      </c>
      <c r="E406" s="209">
        <f>IF('Items sous domaines Sciences '!G408=3,'Items sous domaines Sciences '!E408,0)</f>
        <v>0</v>
      </c>
      <c r="F406" t="e">
        <f>IF('Items sous domaines Sciences '!#REF!=1,'Items sous domaines Sciences '!#REF!,0)</f>
        <v>#REF!</v>
      </c>
    </row>
    <row r="407" spans="1:6" customFormat="1" ht="12.75" hidden="1" customHeight="1" x14ac:dyDescent="0.25">
      <c r="A407" s="30"/>
      <c r="B407" s="210">
        <f>IF('Items sous domaines Sciences '!G409=3,'Items sous domaines Sciences '!B409,0)</f>
        <v>0</v>
      </c>
      <c r="C407" s="213">
        <f>IF('Items sous domaines Sciences '!G409=3,'Items sous domaines Sciences '!C409,0)</f>
        <v>0</v>
      </c>
      <c r="D407" s="216">
        <f>IF('Items sous domaines Sciences '!G409=3,'Items sous domaines Sciences '!D409,0)</f>
        <v>0</v>
      </c>
      <c r="E407" s="216">
        <f>IF('Items sous domaines Sciences '!G409=3,'Items sous domaines Sciences '!E409,0)</f>
        <v>0</v>
      </c>
      <c r="F407" t="e">
        <f>IF('Items sous domaines Sciences '!#REF!=1,'Items sous domaines Sciences '!#REF!,0)</f>
        <v>#REF!</v>
      </c>
    </row>
    <row r="408" spans="1:6" customFormat="1" ht="12.75" hidden="1" customHeight="1" x14ac:dyDescent="0.25">
      <c r="A408" s="30"/>
      <c r="B408" s="193">
        <f>IF('Items sous domaines Sciences '!G410=3,'Items sous domaines Sciences '!B410,0)</f>
        <v>0</v>
      </c>
      <c r="C408" s="212">
        <f>IF('Items sous domaines Sciences '!G410=3,'Items sous domaines Sciences '!C410,0)</f>
        <v>0</v>
      </c>
      <c r="D408" s="215">
        <f>IF('Items sous domaines Sciences '!G410=3,'Items sous domaines Sciences '!D410,0)</f>
        <v>0</v>
      </c>
      <c r="E408" s="209">
        <f>IF('Items sous domaines Sciences '!G410=3,'Items sous domaines Sciences '!E410,0)</f>
        <v>0</v>
      </c>
      <c r="F408" t="e">
        <f>IF('Items sous domaines Sciences '!#REF!=1,'Items sous domaines Sciences '!#REF!,0)</f>
        <v>#REF!</v>
      </c>
    </row>
    <row r="409" spans="1:6" customFormat="1" ht="12.75" hidden="1" customHeight="1" x14ac:dyDescent="0.25">
      <c r="A409" s="30"/>
      <c r="B409" s="210">
        <f>IF('Items sous domaines Sciences '!G411=3,'Items sous domaines Sciences '!B411,0)</f>
        <v>0</v>
      </c>
      <c r="C409" s="213">
        <f>IF('Items sous domaines Sciences '!G411=3,'Items sous domaines Sciences '!C411,0)</f>
        <v>0</v>
      </c>
      <c r="D409" s="216">
        <f>IF('Items sous domaines Sciences '!G411=3,'Items sous domaines Sciences '!D411,0)</f>
        <v>0</v>
      </c>
      <c r="E409" s="216">
        <f>IF('Items sous domaines Sciences '!G411=3,'Items sous domaines Sciences '!E411,0)</f>
        <v>0</v>
      </c>
      <c r="F409" t="e">
        <f>IF('Items sous domaines Sciences '!#REF!=1,'Items sous domaines Sciences '!#REF!,0)</f>
        <v>#REF!</v>
      </c>
    </row>
    <row r="410" spans="1:6" customFormat="1" ht="12.75" hidden="1" customHeight="1" x14ac:dyDescent="0.25">
      <c r="A410" s="30"/>
      <c r="B410" s="193">
        <f>IF('Items sous domaines Sciences '!G412=3,'Items sous domaines Sciences '!B412,0)</f>
        <v>0</v>
      </c>
      <c r="C410" s="212">
        <f>IF('Items sous domaines Sciences '!G412=3,'Items sous domaines Sciences '!C412,0)</f>
        <v>0</v>
      </c>
      <c r="D410" s="215">
        <f>IF('Items sous domaines Sciences '!G412=3,'Items sous domaines Sciences '!D412,0)</f>
        <v>0</v>
      </c>
      <c r="E410" s="209">
        <f>IF('Items sous domaines Sciences '!G412=3,'Items sous domaines Sciences '!E412,0)</f>
        <v>0</v>
      </c>
      <c r="F410" t="e">
        <f>IF('Items sous domaines Sciences '!#REF!=1,'Items sous domaines Sciences '!#REF!,0)</f>
        <v>#REF!</v>
      </c>
    </row>
    <row r="411" spans="1:6" customFormat="1" ht="12.75" hidden="1" customHeight="1" x14ac:dyDescent="0.25">
      <c r="A411" s="30"/>
      <c r="B411" s="210">
        <f>IF('Items sous domaines Sciences '!G413=3,'Items sous domaines Sciences '!B413,0)</f>
        <v>0</v>
      </c>
      <c r="C411" s="213">
        <f>IF('Items sous domaines Sciences '!G413=3,'Items sous domaines Sciences '!C413,0)</f>
        <v>0</v>
      </c>
      <c r="D411" s="216">
        <f>IF('Items sous domaines Sciences '!G413=3,'Items sous domaines Sciences '!D413,0)</f>
        <v>0</v>
      </c>
      <c r="E411" s="216">
        <f>IF('Items sous domaines Sciences '!G413=3,'Items sous domaines Sciences '!E413,0)</f>
        <v>0</v>
      </c>
      <c r="F411" t="e">
        <f>IF('Items sous domaines Sciences '!#REF!=1,'Items sous domaines Sciences '!F311,0)</f>
        <v>#REF!</v>
      </c>
    </row>
    <row r="412" spans="1:6" customFormat="1" ht="12.75" hidden="1" customHeight="1" x14ac:dyDescent="0.25">
      <c r="A412" s="30"/>
      <c r="B412" s="193">
        <f>IF('Items sous domaines Sciences '!G414=3,'Items sous domaines Sciences '!B414,0)</f>
        <v>0</v>
      </c>
      <c r="C412" s="212">
        <f>IF('Items sous domaines Sciences '!G414=3,'Items sous domaines Sciences '!C414,0)</f>
        <v>0</v>
      </c>
      <c r="D412" s="215">
        <f>IF('Items sous domaines Sciences '!G414=3,'Items sous domaines Sciences '!D414,0)</f>
        <v>0</v>
      </c>
      <c r="E412" s="209">
        <f>IF('Items sous domaines Sciences '!G414=3,'Items sous domaines Sciences '!E414,0)</f>
        <v>0</v>
      </c>
      <c r="F412" t="e">
        <f>IF('Items sous domaines Sciences '!#REF!=1,'Items sous domaines Sciences '!F312,0)</f>
        <v>#REF!</v>
      </c>
    </row>
    <row r="413" spans="1:6" customFormat="1" ht="12.75" hidden="1" customHeight="1" x14ac:dyDescent="0.25">
      <c r="A413" s="30"/>
      <c r="B413" s="210">
        <f>IF('Items sous domaines Sciences '!G415=3,'Items sous domaines Sciences '!B415,0)</f>
        <v>0</v>
      </c>
      <c r="C413" s="213">
        <f>IF('Items sous domaines Sciences '!G415=3,'Items sous domaines Sciences '!C415,0)</f>
        <v>0</v>
      </c>
      <c r="D413" s="216">
        <f>IF('Items sous domaines Sciences '!G415=3,'Items sous domaines Sciences '!D415,0)</f>
        <v>0</v>
      </c>
      <c r="E413" s="216">
        <f>IF('Items sous domaines Sciences '!G415=3,'Items sous domaines Sciences '!E415,0)</f>
        <v>0</v>
      </c>
      <c r="F413" t="e">
        <f>IF('Items sous domaines Sciences '!#REF!=1,'Items sous domaines Sciences '!F313,0)</f>
        <v>#REF!</v>
      </c>
    </row>
    <row r="414" spans="1:6" customFormat="1" ht="12.75" hidden="1" customHeight="1" x14ac:dyDescent="0.25">
      <c r="A414" s="30"/>
      <c r="B414" s="193">
        <f>IF('Items sous domaines Sciences '!G416=3,'Items sous domaines Sciences '!B416,0)</f>
        <v>0</v>
      </c>
      <c r="C414" s="212">
        <f>IF('Items sous domaines Sciences '!G416=3,'Items sous domaines Sciences '!C416,0)</f>
        <v>0</v>
      </c>
      <c r="D414" s="215">
        <f>IF('Items sous domaines Sciences '!G416=3,'Items sous domaines Sciences '!D416,0)</f>
        <v>0</v>
      </c>
      <c r="E414" s="209">
        <f>IF('Items sous domaines Sciences '!G416=3,'Items sous domaines Sciences '!E416,0)</f>
        <v>0</v>
      </c>
      <c r="F414" t="e">
        <f>IF('Items sous domaines Sciences '!#REF!=1,'Items sous domaines Sciences '!F314,0)</f>
        <v>#REF!</v>
      </c>
    </row>
    <row r="415" spans="1:6" customFormat="1" ht="12.75" hidden="1" customHeight="1" x14ac:dyDescent="0.25">
      <c r="A415" s="30"/>
      <c r="B415" s="210">
        <f>IF('Items sous domaines Sciences '!G417=3,'Items sous domaines Sciences '!B417,0)</f>
        <v>0</v>
      </c>
      <c r="C415" s="213">
        <f>IF('Items sous domaines Sciences '!G417=3,'Items sous domaines Sciences '!C417,0)</f>
        <v>0</v>
      </c>
      <c r="D415" s="216">
        <f>IF('Items sous domaines Sciences '!G417=3,'Items sous domaines Sciences '!D417,0)</f>
        <v>0</v>
      </c>
      <c r="E415" s="216">
        <f>IF('Items sous domaines Sciences '!G417=3,'Items sous domaines Sciences '!E417,0)</f>
        <v>0</v>
      </c>
      <c r="F415" t="e">
        <f>IF('Items sous domaines Sciences '!#REF!=1,'Items sous domaines Sciences '!F315,0)</f>
        <v>#REF!</v>
      </c>
    </row>
    <row r="416" spans="1:6" customFormat="1" ht="12.75" hidden="1" customHeight="1" x14ac:dyDescent="0.25">
      <c r="A416" s="30"/>
      <c r="B416" s="193">
        <f>IF('Items sous domaines Sciences '!G418=3,'Items sous domaines Sciences '!B418,0)</f>
        <v>0</v>
      </c>
      <c r="C416" s="212">
        <f>IF('Items sous domaines Sciences '!G418=3,'Items sous domaines Sciences '!C418,0)</f>
        <v>0</v>
      </c>
      <c r="D416" s="215">
        <f>IF('Items sous domaines Sciences '!G418=3,'Items sous domaines Sciences '!D418,0)</f>
        <v>0</v>
      </c>
      <c r="E416" s="209">
        <f>IF('Items sous domaines Sciences '!G418=3,'Items sous domaines Sciences '!E418,0)</f>
        <v>0</v>
      </c>
      <c r="F416" t="e">
        <f>IF('Items sous domaines Sciences '!#REF!=1,'Items sous domaines Sciences '!F316,0)</f>
        <v>#REF!</v>
      </c>
    </row>
    <row r="417" spans="1:6" customFormat="1" ht="12.75" hidden="1" customHeight="1" x14ac:dyDescent="0.25">
      <c r="A417" s="30"/>
      <c r="B417" s="210">
        <f>IF('Items sous domaines Sciences '!G419=3,'Items sous domaines Sciences '!B419,0)</f>
        <v>0</v>
      </c>
      <c r="C417" s="213">
        <f>IF('Items sous domaines Sciences '!G419=3,'Items sous domaines Sciences '!C419,0)</f>
        <v>0</v>
      </c>
      <c r="D417" s="216">
        <f>IF('Items sous domaines Sciences '!G419=3,'Items sous domaines Sciences '!D419,0)</f>
        <v>0</v>
      </c>
      <c r="E417" s="216">
        <f>IF('Items sous domaines Sciences '!G419=3,'Items sous domaines Sciences '!E419,0)</f>
        <v>0</v>
      </c>
      <c r="F417" t="e">
        <f>IF('Items sous domaines Sciences '!#REF!=1,'Items sous domaines Sciences '!F317,0)</f>
        <v>#REF!</v>
      </c>
    </row>
    <row r="418" spans="1:6" customFormat="1" ht="12.75" hidden="1" customHeight="1" x14ac:dyDescent="0.25">
      <c r="A418" s="30"/>
      <c r="B418" s="193">
        <f>IF('Items sous domaines Sciences '!G420=3,'Items sous domaines Sciences '!B420,0)</f>
        <v>0</v>
      </c>
      <c r="C418" s="212">
        <f>IF('Items sous domaines Sciences '!G420=3,'Items sous domaines Sciences '!C420,0)</f>
        <v>0</v>
      </c>
      <c r="D418" s="215">
        <f>IF('Items sous domaines Sciences '!G420=3,'Items sous domaines Sciences '!D420,0)</f>
        <v>0</v>
      </c>
      <c r="E418" s="209">
        <f>IF('Items sous domaines Sciences '!G420=3,'Items sous domaines Sciences '!E420,0)</f>
        <v>0</v>
      </c>
      <c r="F418" t="e">
        <f>IF('Items sous domaines Sciences '!#REF!=1,'Items sous domaines Sciences '!F318,0)</f>
        <v>#REF!</v>
      </c>
    </row>
    <row r="419" spans="1:6" customFormat="1" ht="12.75" hidden="1" customHeight="1" x14ac:dyDescent="0.25">
      <c r="A419" s="30"/>
      <c r="B419" s="210">
        <f>IF('Items sous domaines Sciences '!G421=3,'Items sous domaines Sciences '!B421,0)</f>
        <v>0</v>
      </c>
      <c r="C419" s="213">
        <f>IF('Items sous domaines Sciences '!G421=3,'Items sous domaines Sciences '!C421,0)</f>
        <v>0</v>
      </c>
      <c r="D419" s="216">
        <f>IF('Items sous domaines Sciences '!G421=3,'Items sous domaines Sciences '!D421,0)</f>
        <v>0</v>
      </c>
      <c r="E419" s="216">
        <f>IF('Items sous domaines Sciences '!G421=3,'Items sous domaines Sciences '!E421,0)</f>
        <v>0</v>
      </c>
      <c r="F419" t="e">
        <f>IF('Items sous domaines Sciences '!#REF!=1,'Items sous domaines Sciences '!F319,0)</f>
        <v>#REF!</v>
      </c>
    </row>
    <row r="420" spans="1:6" customFormat="1" ht="12.75" hidden="1" customHeight="1" x14ac:dyDescent="0.25">
      <c r="A420" s="30"/>
      <c r="B420" s="193">
        <f>IF('Items sous domaines Sciences '!G422=3,'Items sous domaines Sciences '!B422,0)</f>
        <v>0</v>
      </c>
      <c r="C420" s="212">
        <f>IF('Items sous domaines Sciences '!G422=3,'Items sous domaines Sciences '!C422,0)</f>
        <v>0</v>
      </c>
      <c r="D420" s="215">
        <f>IF('Items sous domaines Sciences '!G422=3,'Items sous domaines Sciences '!D422,0)</f>
        <v>0</v>
      </c>
      <c r="E420" s="209">
        <f>IF('Items sous domaines Sciences '!G422=3,'Items sous domaines Sciences '!E422,0)</f>
        <v>0</v>
      </c>
      <c r="F420" t="e">
        <f>IF('Items sous domaines Sciences '!#REF!=1,'Items sous domaines Sciences '!F320,0)</f>
        <v>#REF!</v>
      </c>
    </row>
    <row r="421" spans="1:6" customFormat="1" ht="12.75" hidden="1" customHeight="1" x14ac:dyDescent="0.25">
      <c r="A421" s="30"/>
      <c r="B421" s="210">
        <f>IF('Items sous domaines Sciences '!G423=3,'Items sous domaines Sciences '!B423,0)</f>
        <v>0</v>
      </c>
      <c r="C421" s="213">
        <f>IF('Items sous domaines Sciences '!G423=3,'Items sous domaines Sciences '!C423,0)</f>
        <v>0</v>
      </c>
      <c r="D421" s="216">
        <f>IF('Items sous domaines Sciences '!G423=3,'Items sous domaines Sciences '!D423,0)</f>
        <v>0</v>
      </c>
      <c r="E421" s="216">
        <f>IF('Items sous domaines Sciences '!G423=3,'Items sous domaines Sciences '!E423,0)</f>
        <v>0</v>
      </c>
      <c r="F421" t="e">
        <f>IF('Items sous domaines Sciences '!#REF!=1,'Items sous domaines Sciences '!F321,0)</f>
        <v>#REF!</v>
      </c>
    </row>
    <row r="422" spans="1:6" customFormat="1" ht="12.75" hidden="1" customHeight="1" x14ac:dyDescent="0.25">
      <c r="A422" s="30"/>
      <c r="B422" s="193">
        <f>IF('Items sous domaines Sciences '!G424=3,'Items sous domaines Sciences '!B424,0)</f>
        <v>0</v>
      </c>
      <c r="C422" s="212">
        <f>IF('Items sous domaines Sciences '!G424=3,'Items sous domaines Sciences '!C424,0)</f>
        <v>0</v>
      </c>
      <c r="D422" s="215">
        <f>IF('Items sous domaines Sciences '!G424=3,'Items sous domaines Sciences '!D424,0)</f>
        <v>0</v>
      </c>
      <c r="E422" s="209">
        <f>IF('Items sous domaines Sciences '!G424=3,'Items sous domaines Sciences '!E424,0)</f>
        <v>0</v>
      </c>
      <c r="F422" t="e">
        <f>IF('Items sous domaines Sciences '!#REF!=1,'Items sous domaines Sciences '!F322,0)</f>
        <v>#REF!</v>
      </c>
    </row>
    <row r="423" spans="1:6" customFormat="1" ht="12.75" hidden="1" customHeight="1" x14ac:dyDescent="0.25">
      <c r="A423" s="30"/>
      <c r="B423" s="210">
        <f>IF('Items sous domaines Sciences '!G425=3,'Items sous domaines Sciences '!B425,0)</f>
        <v>0</v>
      </c>
      <c r="C423" s="213">
        <f>IF('Items sous domaines Sciences '!G425=3,'Items sous domaines Sciences '!C425,0)</f>
        <v>0</v>
      </c>
      <c r="D423" s="216">
        <f>IF('Items sous domaines Sciences '!G425=3,'Items sous domaines Sciences '!D425,0)</f>
        <v>0</v>
      </c>
      <c r="E423" s="216">
        <f>IF('Items sous domaines Sciences '!G425=3,'Items sous domaines Sciences '!E425,0)</f>
        <v>0</v>
      </c>
      <c r="F423" t="e">
        <f>IF('Items sous domaines Sciences '!#REF!=1,'Items sous domaines Sciences '!F323,0)</f>
        <v>#REF!</v>
      </c>
    </row>
    <row r="424" spans="1:6" customFormat="1" ht="12.75" hidden="1" customHeight="1" x14ac:dyDescent="0.25">
      <c r="A424" s="30"/>
      <c r="B424" s="193">
        <f>IF('Items sous domaines Sciences '!G426=3,'Items sous domaines Sciences '!B426,0)</f>
        <v>0</v>
      </c>
      <c r="C424" s="212">
        <f>IF('Items sous domaines Sciences '!G426=3,'Items sous domaines Sciences '!C426,0)</f>
        <v>0</v>
      </c>
      <c r="D424" s="215">
        <f>IF('Items sous domaines Sciences '!G426=3,'Items sous domaines Sciences '!D426,0)</f>
        <v>0</v>
      </c>
      <c r="E424" s="209">
        <f>IF('Items sous domaines Sciences '!G426=3,'Items sous domaines Sciences '!E426,0)</f>
        <v>0</v>
      </c>
      <c r="F424" t="e">
        <f>IF('Items sous domaines Sciences '!#REF!=1,'Items sous domaines Sciences '!F324,0)</f>
        <v>#REF!</v>
      </c>
    </row>
    <row r="425" spans="1:6" customFormat="1" ht="12.75" hidden="1" customHeight="1" x14ac:dyDescent="0.25">
      <c r="A425" s="30"/>
      <c r="B425" s="210">
        <f>IF('Items sous domaines Sciences '!G427=3,'Items sous domaines Sciences '!B427,0)</f>
        <v>0</v>
      </c>
      <c r="C425" s="213">
        <f>IF('Items sous domaines Sciences '!G427=3,'Items sous domaines Sciences '!C427,0)</f>
        <v>0</v>
      </c>
      <c r="D425" s="216">
        <f>IF('Items sous domaines Sciences '!G427=3,'Items sous domaines Sciences '!D427,0)</f>
        <v>0</v>
      </c>
      <c r="E425" s="216">
        <f>IF('Items sous domaines Sciences '!G427=3,'Items sous domaines Sciences '!E427,0)</f>
        <v>0</v>
      </c>
      <c r="F425" t="e">
        <f>IF('Items sous domaines Sciences '!#REF!=1,'Items sous domaines Sciences '!F325,0)</f>
        <v>#REF!</v>
      </c>
    </row>
    <row r="426" spans="1:6" customFormat="1" ht="12.75" hidden="1" customHeight="1" x14ac:dyDescent="0.25">
      <c r="A426" s="30"/>
      <c r="B426" s="193">
        <f>IF('Items sous domaines Sciences '!G428=3,'Items sous domaines Sciences '!B428,0)</f>
        <v>0</v>
      </c>
      <c r="C426" s="212">
        <f>IF('Items sous domaines Sciences '!G428=3,'Items sous domaines Sciences '!C428,0)</f>
        <v>0</v>
      </c>
      <c r="D426" s="215">
        <f>IF('Items sous domaines Sciences '!G428=3,'Items sous domaines Sciences '!D428,0)</f>
        <v>0</v>
      </c>
      <c r="E426" s="209">
        <f>IF('Items sous domaines Sciences '!G428=3,'Items sous domaines Sciences '!E428,0)</f>
        <v>0</v>
      </c>
      <c r="F426" t="e">
        <f>IF('Items sous domaines Sciences '!#REF!=1,'Items sous domaines Sciences '!F326,0)</f>
        <v>#REF!</v>
      </c>
    </row>
    <row r="427" spans="1:6" customFormat="1" ht="12.75" hidden="1" customHeight="1" x14ac:dyDescent="0.25">
      <c r="A427" s="30"/>
      <c r="B427" s="210">
        <f>IF('Items sous domaines Sciences '!G429=3,'Items sous domaines Sciences '!B429,0)</f>
        <v>0</v>
      </c>
      <c r="C427" s="213">
        <f>IF('Items sous domaines Sciences '!G429=3,'Items sous domaines Sciences '!C429,0)</f>
        <v>0</v>
      </c>
      <c r="D427" s="216">
        <f>IF('Items sous domaines Sciences '!G429=3,'Items sous domaines Sciences '!D429,0)</f>
        <v>0</v>
      </c>
      <c r="E427" s="216">
        <f>IF('Items sous domaines Sciences '!G429=3,'Items sous domaines Sciences '!E429,0)</f>
        <v>0</v>
      </c>
      <c r="F427" t="e">
        <f>IF('Items sous domaines Sciences '!#REF!=1,'Items sous domaines Sciences '!F327,0)</f>
        <v>#REF!</v>
      </c>
    </row>
    <row r="428" spans="1:6" customFormat="1" ht="12.75" hidden="1" customHeight="1" x14ac:dyDescent="0.25">
      <c r="A428" s="30"/>
      <c r="B428" s="193">
        <f>IF('Items sous domaines Sciences '!G430=3,'Items sous domaines Sciences '!B430,0)</f>
        <v>0</v>
      </c>
      <c r="C428" s="212">
        <f>IF('Items sous domaines Sciences '!G430=3,'Items sous domaines Sciences '!C430,0)</f>
        <v>0</v>
      </c>
      <c r="D428" s="215">
        <f>IF('Items sous domaines Sciences '!G430=3,'Items sous domaines Sciences '!D430,0)</f>
        <v>0</v>
      </c>
      <c r="E428" s="209">
        <f>IF('Items sous domaines Sciences '!G430=3,'Items sous domaines Sciences '!E430,0)</f>
        <v>0</v>
      </c>
      <c r="F428" t="e">
        <f>IF('Items sous domaines Sciences '!#REF!=1,'Items sous domaines Sciences '!F328,0)</f>
        <v>#REF!</v>
      </c>
    </row>
    <row r="429" spans="1:6" customFormat="1" ht="12.75" hidden="1" customHeight="1" x14ac:dyDescent="0.25">
      <c r="A429" s="30"/>
      <c r="B429" s="210">
        <f>IF('Items sous domaines Sciences '!G431=3,'Items sous domaines Sciences '!B431,0)</f>
        <v>0</v>
      </c>
      <c r="C429" s="213">
        <f>IF('Items sous domaines Sciences '!G431=3,'Items sous domaines Sciences '!C431,0)</f>
        <v>0</v>
      </c>
      <c r="D429" s="216">
        <f>IF('Items sous domaines Sciences '!G431=3,'Items sous domaines Sciences '!D431,0)</f>
        <v>0</v>
      </c>
      <c r="E429" s="216">
        <f>IF('Items sous domaines Sciences '!G431=3,'Items sous domaines Sciences '!E431,0)</f>
        <v>0</v>
      </c>
      <c r="F429" t="e">
        <f>IF('Items sous domaines Sciences '!#REF!=1,'Items sous domaines Sciences '!F329,0)</f>
        <v>#REF!</v>
      </c>
    </row>
    <row r="430" spans="1:6" customFormat="1" ht="12.75" hidden="1" customHeight="1" x14ac:dyDescent="0.25">
      <c r="A430" s="30"/>
      <c r="B430" s="193">
        <f>IF('Items sous domaines Sciences '!G432=3,'Items sous domaines Sciences '!B432,0)</f>
        <v>0</v>
      </c>
      <c r="C430" s="212">
        <f>IF('Items sous domaines Sciences '!G432=3,'Items sous domaines Sciences '!C432,0)</f>
        <v>0</v>
      </c>
      <c r="D430" s="215">
        <f>IF('Items sous domaines Sciences '!G432=3,'Items sous domaines Sciences '!D432,0)</f>
        <v>0</v>
      </c>
      <c r="E430" s="209">
        <f>IF('Items sous domaines Sciences '!G432=3,'Items sous domaines Sciences '!E432,0)</f>
        <v>0</v>
      </c>
      <c r="F430" t="e">
        <f>IF('Items sous domaines Sciences '!#REF!=1,'Items sous domaines Sciences '!F330,0)</f>
        <v>#REF!</v>
      </c>
    </row>
    <row r="431" spans="1:6" customFormat="1" ht="12.75" hidden="1" customHeight="1" x14ac:dyDescent="0.25">
      <c r="A431" s="30"/>
      <c r="B431" s="210">
        <f>IF('Items sous domaines Sciences '!G433=3,'Items sous domaines Sciences '!B433,0)</f>
        <v>0</v>
      </c>
      <c r="C431" s="213">
        <f>IF('Items sous domaines Sciences '!G433=3,'Items sous domaines Sciences '!C433,0)</f>
        <v>0</v>
      </c>
      <c r="D431" s="216">
        <f>IF('Items sous domaines Sciences '!G433=3,'Items sous domaines Sciences '!D433,0)</f>
        <v>0</v>
      </c>
      <c r="E431" s="216">
        <f>IF('Items sous domaines Sciences '!G433=3,'Items sous domaines Sciences '!E433,0)</f>
        <v>0</v>
      </c>
      <c r="F431" t="e">
        <f>IF('Items sous domaines Sciences '!#REF!=1,'Items sous domaines Sciences '!F331,0)</f>
        <v>#REF!</v>
      </c>
    </row>
    <row r="432" spans="1:6" customFormat="1" ht="12.75" hidden="1" customHeight="1" x14ac:dyDescent="0.25">
      <c r="A432" s="30"/>
      <c r="B432" s="193">
        <f>IF('Items sous domaines Sciences '!G434=3,'Items sous domaines Sciences '!B434,0)</f>
        <v>0</v>
      </c>
      <c r="C432" s="212">
        <f>IF('Items sous domaines Sciences '!G434=3,'Items sous domaines Sciences '!C434,0)</f>
        <v>0</v>
      </c>
      <c r="D432" s="215">
        <f>IF('Items sous domaines Sciences '!G434=3,'Items sous domaines Sciences '!D434,0)</f>
        <v>0</v>
      </c>
      <c r="E432" s="209">
        <f>IF('Items sous domaines Sciences '!G434=3,'Items sous domaines Sciences '!E434,0)</f>
        <v>0</v>
      </c>
      <c r="F432">
        <f>IF('Items sous domaines Sciences '!G332=1,'Items sous domaines Sciences '!#REF!,0)</f>
        <v>0</v>
      </c>
    </row>
    <row r="433" spans="1:6" customFormat="1" ht="12.75" hidden="1" customHeight="1" x14ac:dyDescent="0.25">
      <c r="A433" s="30"/>
      <c r="B433" s="210">
        <f>IF('Items sous domaines Sciences '!G435=3,'Items sous domaines Sciences '!B435,0)</f>
        <v>0</v>
      </c>
      <c r="C433" s="213">
        <f>IF('Items sous domaines Sciences '!G435=3,'Items sous domaines Sciences '!C435,0)</f>
        <v>0</v>
      </c>
      <c r="D433" s="216">
        <f>IF('Items sous domaines Sciences '!G435=3,'Items sous domaines Sciences '!D435,0)</f>
        <v>0</v>
      </c>
      <c r="E433" s="216">
        <f>IF('Items sous domaines Sciences '!G435=3,'Items sous domaines Sciences '!E435,0)</f>
        <v>0</v>
      </c>
      <c r="F433">
        <f>IF('Items sous domaines Sciences '!G333=1,'Items sous domaines Sciences '!#REF!,0)</f>
        <v>0</v>
      </c>
    </row>
    <row r="434" spans="1:6" customFormat="1" ht="12.75" hidden="1" customHeight="1" x14ac:dyDescent="0.25">
      <c r="A434" s="30"/>
      <c r="B434" s="193">
        <f>IF('Items sous domaines Sciences '!G436=3,'Items sous domaines Sciences '!B436,0)</f>
        <v>0</v>
      </c>
      <c r="C434" s="212">
        <f>IF('Items sous domaines Sciences '!G436=3,'Items sous domaines Sciences '!C436,0)</f>
        <v>0</v>
      </c>
      <c r="D434" s="215">
        <f>IF('Items sous domaines Sciences '!G436=3,'Items sous domaines Sciences '!D436,0)</f>
        <v>0</v>
      </c>
      <c r="E434" s="209">
        <f>IF('Items sous domaines Sciences '!G436=3,'Items sous domaines Sciences '!E436,0)</f>
        <v>0</v>
      </c>
      <c r="F434">
        <f>IF('Items sous domaines Sciences '!G334=1,'Items sous domaines Sciences '!#REF!,0)</f>
        <v>0</v>
      </c>
    </row>
    <row r="435" spans="1:6" customFormat="1" ht="12.75" hidden="1" customHeight="1" x14ac:dyDescent="0.25">
      <c r="A435" s="30"/>
      <c r="B435" s="210">
        <f>IF('Items sous domaines Sciences '!G437=3,'Items sous domaines Sciences '!B437,0)</f>
        <v>0</v>
      </c>
      <c r="C435" s="213">
        <f>IF('Items sous domaines Sciences '!G437=3,'Items sous domaines Sciences '!C437,0)</f>
        <v>0</v>
      </c>
      <c r="D435" s="216">
        <f>IF('Items sous domaines Sciences '!G437=3,'Items sous domaines Sciences '!D437,0)</f>
        <v>0</v>
      </c>
      <c r="E435" s="216">
        <f>IF('Items sous domaines Sciences '!G437=3,'Items sous domaines Sciences '!E437,0)</f>
        <v>0</v>
      </c>
      <c r="F435">
        <f>IF('Items sous domaines Sciences '!G335=1,'Items sous domaines Sciences '!#REF!,0)</f>
        <v>0</v>
      </c>
    </row>
    <row r="436" spans="1:6" customFormat="1" ht="12.75" hidden="1" customHeight="1" x14ac:dyDescent="0.25">
      <c r="A436" s="30"/>
      <c r="B436" s="193">
        <f>IF('Items sous domaines Sciences '!G438=3,'Items sous domaines Sciences '!B438,0)</f>
        <v>0</v>
      </c>
      <c r="C436" s="212">
        <f>IF('Items sous domaines Sciences '!G438=3,'Items sous domaines Sciences '!C438,0)</f>
        <v>0</v>
      </c>
      <c r="D436" s="215">
        <f>IF('Items sous domaines Sciences '!G438=3,'Items sous domaines Sciences '!D438,0)</f>
        <v>0</v>
      </c>
      <c r="E436" s="209">
        <f>IF('Items sous domaines Sciences '!G438=3,'Items sous domaines Sciences '!E438,0)</f>
        <v>0</v>
      </c>
      <c r="F436">
        <f>IF('Items sous domaines Sciences '!G336=1,'Items sous domaines Sciences '!#REF!,0)</f>
        <v>0</v>
      </c>
    </row>
    <row r="437" spans="1:6" customFormat="1" ht="12.75" hidden="1" customHeight="1" x14ac:dyDescent="0.25">
      <c r="A437" s="30"/>
      <c r="B437" s="210">
        <f>IF('Items sous domaines Sciences '!G439=3,'Items sous domaines Sciences '!B439,0)</f>
        <v>0</v>
      </c>
      <c r="C437" s="213">
        <f>IF('Items sous domaines Sciences '!G439=3,'Items sous domaines Sciences '!C439,0)</f>
        <v>0</v>
      </c>
      <c r="D437" s="216">
        <f>IF('Items sous domaines Sciences '!G439=3,'Items sous domaines Sciences '!D439,0)</f>
        <v>0</v>
      </c>
      <c r="E437" s="216">
        <f>IF('Items sous domaines Sciences '!G439=3,'Items sous domaines Sciences '!E439,0)</f>
        <v>0</v>
      </c>
      <c r="F437">
        <f>IF('Items sous domaines Sciences '!G337=1,'Items sous domaines Sciences '!#REF!,0)</f>
        <v>0</v>
      </c>
    </row>
    <row r="438" spans="1:6" customFormat="1" ht="12.75" hidden="1" customHeight="1" x14ac:dyDescent="0.25">
      <c r="A438" s="30"/>
      <c r="B438" s="193">
        <f>IF('Items sous domaines Sciences '!G440=3,'Items sous domaines Sciences '!B440,0)</f>
        <v>0</v>
      </c>
      <c r="C438" s="212">
        <f>IF('Items sous domaines Sciences '!G440=3,'Items sous domaines Sciences '!C440,0)</f>
        <v>0</v>
      </c>
      <c r="D438" s="215">
        <f>IF('Items sous domaines Sciences '!G440=3,'Items sous domaines Sciences '!D440,0)</f>
        <v>0</v>
      </c>
      <c r="E438" s="209">
        <f>IF('Items sous domaines Sciences '!G440=3,'Items sous domaines Sciences '!E440,0)</f>
        <v>0</v>
      </c>
      <c r="F438">
        <f>IF('Items sous domaines Sciences '!G338=1,'Items sous domaines Sciences '!#REF!,0)</f>
        <v>0</v>
      </c>
    </row>
    <row r="439" spans="1:6" customFormat="1" ht="12.75" hidden="1" customHeight="1" x14ac:dyDescent="0.25">
      <c r="A439" s="30"/>
      <c r="B439" s="210">
        <f>IF('Items sous domaines Sciences '!G441=3,'Items sous domaines Sciences '!B441,0)</f>
        <v>0</v>
      </c>
      <c r="C439" s="213">
        <f>IF('Items sous domaines Sciences '!G441=3,'Items sous domaines Sciences '!C441,0)</f>
        <v>0</v>
      </c>
      <c r="D439" s="216">
        <f>IF('Items sous domaines Sciences '!G441=3,'Items sous domaines Sciences '!D441,0)</f>
        <v>0</v>
      </c>
      <c r="E439" s="216">
        <f>IF('Items sous domaines Sciences '!G441=3,'Items sous domaines Sciences '!E441,0)</f>
        <v>0</v>
      </c>
      <c r="F439">
        <f>IF('Items sous domaines Sciences '!G339=1,'Items sous domaines Sciences '!#REF!,0)</f>
        <v>0</v>
      </c>
    </row>
    <row r="440" spans="1:6" customFormat="1" ht="12.75" hidden="1" customHeight="1" x14ac:dyDescent="0.25">
      <c r="A440" s="30"/>
      <c r="B440" s="193">
        <f>IF('Items sous domaines Sciences '!G442=3,'Items sous domaines Sciences '!B442,0)</f>
        <v>0</v>
      </c>
      <c r="C440" s="212">
        <f>IF('Items sous domaines Sciences '!G442=3,'Items sous domaines Sciences '!C442,0)</f>
        <v>0</v>
      </c>
      <c r="D440" s="215">
        <f>IF('Items sous domaines Sciences '!G442=3,'Items sous domaines Sciences '!D442,0)</f>
        <v>0</v>
      </c>
      <c r="E440" s="209">
        <f>IF('Items sous domaines Sciences '!G442=3,'Items sous domaines Sciences '!E442,0)</f>
        <v>0</v>
      </c>
      <c r="F440">
        <f>IF('Items sous domaines Sciences '!G340=1,'Items sous domaines Sciences '!#REF!,0)</f>
        <v>0</v>
      </c>
    </row>
    <row r="441" spans="1:6" customFormat="1" ht="12.75" hidden="1" customHeight="1" x14ac:dyDescent="0.25">
      <c r="A441" s="30"/>
      <c r="B441" s="210">
        <f>IF('Items sous domaines Sciences '!G443=3,'Items sous domaines Sciences '!B443,0)</f>
        <v>0</v>
      </c>
      <c r="C441" s="213">
        <f>IF('Items sous domaines Sciences '!G443=3,'Items sous domaines Sciences '!C443,0)</f>
        <v>0</v>
      </c>
      <c r="D441" s="216">
        <f>IF('Items sous domaines Sciences '!G443=3,'Items sous domaines Sciences '!D443,0)</f>
        <v>0</v>
      </c>
      <c r="E441" s="216">
        <f>IF('Items sous domaines Sciences '!G443=3,'Items sous domaines Sciences '!E443,0)</f>
        <v>0</v>
      </c>
      <c r="F441">
        <f>IF('Items sous domaines Sciences '!G341=1,'Items sous domaines Sciences '!#REF!,0)</f>
        <v>0</v>
      </c>
    </row>
    <row r="442" spans="1:6" customFormat="1" ht="12.75" hidden="1" customHeight="1" x14ac:dyDescent="0.25">
      <c r="A442" s="30"/>
      <c r="B442" s="193">
        <f>IF('Items sous domaines Sciences '!G444=3,'Items sous domaines Sciences '!B444,0)</f>
        <v>0</v>
      </c>
      <c r="C442" s="212">
        <f>IF('Items sous domaines Sciences '!G444=3,'Items sous domaines Sciences '!C444,0)</f>
        <v>0</v>
      </c>
      <c r="D442" s="215">
        <f>IF('Items sous domaines Sciences '!G444=3,'Items sous domaines Sciences '!D444,0)</f>
        <v>0</v>
      </c>
      <c r="E442" s="209">
        <f>IF('Items sous domaines Sciences '!G444=3,'Items sous domaines Sciences '!E444,0)</f>
        <v>0</v>
      </c>
      <c r="F442">
        <f>IF('Items sous domaines Sciences '!G342=1,'Items sous domaines Sciences '!#REF!,0)</f>
        <v>0</v>
      </c>
    </row>
    <row r="443" spans="1:6" customFormat="1" ht="12.75" hidden="1" customHeight="1" x14ac:dyDescent="0.25">
      <c r="A443" s="30"/>
      <c r="B443" s="210">
        <f>IF('Items sous domaines Sciences '!G445=3,'Items sous domaines Sciences '!B445,0)</f>
        <v>0</v>
      </c>
      <c r="C443" s="213">
        <f>IF('Items sous domaines Sciences '!G445=3,'Items sous domaines Sciences '!C445,0)</f>
        <v>0</v>
      </c>
      <c r="D443" s="216">
        <f>IF('Items sous domaines Sciences '!G445=3,'Items sous domaines Sciences '!D445,0)</f>
        <v>0</v>
      </c>
      <c r="E443" s="216">
        <f>IF('Items sous domaines Sciences '!G445=3,'Items sous domaines Sciences '!E445,0)</f>
        <v>0</v>
      </c>
      <c r="F443">
        <f>IF('Items sous domaines Sciences '!G343=1,'Items sous domaines Sciences '!#REF!,0)</f>
        <v>0</v>
      </c>
    </row>
    <row r="444" spans="1:6" customFormat="1" ht="12.75" hidden="1" customHeight="1" x14ac:dyDescent="0.25">
      <c r="A444" s="30"/>
      <c r="B444" s="193">
        <f>IF('Items sous domaines Sciences '!G446=3,'Items sous domaines Sciences '!B446,0)</f>
        <v>0</v>
      </c>
      <c r="C444" s="212">
        <f>IF('Items sous domaines Sciences '!G446=3,'Items sous domaines Sciences '!C446,0)</f>
        <v>0</v>
      </c>
      <c r="D444" s="215">
        <f>IF('Items sous domaines Sciences '!G446=3,'Items sous domaines Sciences '!D446,0)</f>
        <v>0</v>
      </c>
      <c r="E444" s="209">
        <f>IF('Items sous domaines Sciences '!G446=3,'Items sous domaines Sciences '!E446,0)</f>
        <v>0</v>
      </c>
      <c r="F444">
        <f>IF('Items sous domaines Sciences '!G344=1,'Items sous domaines Sciences '!#REF!,0)</f>
        <v>0</v>
      </c>
    </row>
    <row r="445" spans="1:6" customFormat="1" ht="12.75" hidden="1" customHeight="1" x14ac:dyDescent="0.25">
      <c r="A445" s="30"/>
      <c r="B445" s="210">
        <f>IF('Items sous domaines Sciences '!G447=3,'Items sous domaines Sciences '!B447,0)</f>
        <v>0</v>
      </c>
      <c r="C445" s="213">
        <f>IF('Items sous domaines Sciences '!G447=3,'Items sous domaines Sciences '!C447,0)</f>
        <v>0</v>
      </c>
      <c r="D445" s="216">
        <f>IF('Items sous domaines Sciences '!G447=3,'Items sous domaines Sciences '!D447,0)</f>
        <v>0</v>
      </c>
      <c r="E445" s="216">
        <f>IF('Items sous domaines Sciences '!G447=3,'Items sous domaines Sciences '!E447,0)</f>
        <v>0</v>
      </c>
      <c r="F445">
        <f>IF('Items sous domaines Sciences '!G345=1,'Items sous domaines Sciences '!#REF!,0)</f>
        <v>0</v>
      </c>
    </row>
    <row r="446" spans="1:6" customFormat="1" ht="12.75" hidden="1" customHeight="1" x14ac:dyDescent="0.25">
      <c r="A446" s="30"/>
      <c r="B446" s="193">
        <f>IF('Items sous domaines Sciences '!G448=3,'Items sous domaines Sciences '!B448,0)</f>
        <v>0</v>
      </c>
      <c r="C446" s="212">
        <f>IF('Items sous domaines Sciences '!G448=3,'Items sous domaines Sciences '!C448,0)</f>
        <v>0</v>
      </c>
      <c r="D446" s="215">
        <f>IF('Items sous domaines Sciences '!G448=3,'Items sous domaines Sciences '!D448,0)</f>
        <v>0</v>
      </c>
      <c r="E446" s="209">
        <f>IF('Items sous domaines Sciences '!G448=3,'Items sous domaines Sciences '!E448,0)</f>
        <v>0</v>
      </c>
      <c r="F446">
        <f>IF('Items sous domaines Sciences '!G346=1,'Items sous domaines Sciences '!#REF!,0)</f>
        <v>0</v>
      </c>
    </row>
    <row r="447" spans="1:6" customFormat="1" ht="12.75" hidden="1" customHeight="1" x14ac:dyDescent="0.25">
      <c r="A447" s="30"/>
      <c r="B447" s="210">
        <f>IF('Items sous domaines Sciences '!G449=3,'Items sous domaines Sciences '!B449,0)</f>
        <v>0</v>
      </c>
      <c r="C447" s="213">
        <f>IF('Items sous domaines Sciences '!G449=3,'Items sous domaines Sciences '!C449,0)</f>
        <v>0</v>
      </c>
      <c r="D447" s="216">
        <f>IF('Items sous domaines Sciences '!G449=3,'Items sous domaines Sciences '!D449,0)</f>
        <v>0</v>
      </c>
      <c r="E447" s="216">
        <f>IF('Items sous domaines Sciences '!G449=3,'Items sous domaines Sciences '!E449,0)</f>
        <v>0</v>
      </c>
      <c r="F447">
        <f>IF('Items sous domaines Sciences '!G347=1,'Items sous domaines Sciences '!#REF!,0)</f>
        <v>0</v>
      </c>
    </row>
    <row r="448" spans="1:6" customFormat="1" ht="12.75" hidden="1" customHeight="1" x14ac:dyDescent="0.25">
      <c r="A448" s="30"/>
      <c r="B448" s="193">
        <f>IF('Items sous domaines Sciences '!G450=3,'Items sous domaines Sciences '!B450,0)</f>
        <v>0</v>
      </c>
      <c r="C448" s="212">
        <f>IF('Items sous domaines Sciences '!G450=3,'Items sous domaines Sciences '!C450,0)</f>
        <v>0</v>
      </c>
      <c r="D448" s="215">
        <f>IF('Items sous domaines Sciences '!G450=3,'Items sous domaines Sciences '!D450,0)</f>
        <v>0</v>
      </c>
      <c r="E448" s="209">
        <f>IF('Items sous domaines Sciences '!G450=3,'Items sous domaines Sciences '!E450,0)</f>
        <v>0</v>
      </c>
      <c r="F448">
        <f>IF('Items sous domaines Sciences '!G348=1,'Items sous domaines Sciences '!#REF!,0)</f>
        <v>0</v>
      </c>
    </row>
    <row r="449" spans="1:6" customFormat="1" ht="12.75" hidden="1" customHeight="1" x14ac:dyDescent="0.25">
      <c r="A449" s="30"/>
      <c r="B449" s="210">
        <f>IF('Items sous domaines Sciences '!G451=3,'Items sous domaines Sciences '!B451,0)</f>
        <v>0</v>
      </c>
      <c r="C449" s="213">
        <f>IF('Items sous domaines Sciences '!G451=3,'Items sous domaines Sciences '!C451,0)</f>
        <v>0</v>
      </c>
      <c r="D449" s="216">
        <f>IF('Items sous domaines Sciences '!G451=3,'Items sous domaines Sciences '!D451,0)</f>
        <v>0</v>
      </c>
      <c r="E449" s="216">
        <f>IF('Items sous domaines Sciences '!G451=3,'Items sous domaines Sciences '!E451,0)</f>
        <v>0</v>
      </c>
      <c r="F449">
        <f>IF('Items sous domaines Sciences '!G349=1,'Items sous domaines Sciences '!#REF!,0)</f>
        <v>0</v>
      </c>
    </row>
    <row r="450" spans="1:6" customFormat="1" ht="12.75" hidden="1" customHeight="1" x14ac:dyDescent="0.25">
      <c r="A450" s="30"/>
      <c r="B450" s="193">
        <f>IF('Items sous domaines Sciences '!G452=3,'Items sous domaines Sciences '!B452,0)</f>
        <v>0</v>
      </c>
      <c r="C450" s="212">
        <f>IF('Items sous domaines Sciences '!G452=3,'Items sous domaines Sciences '!C452,0)</f>
        <v>0</v>
      </c>
      <c r="D450" s="215">
        <f>IF('Items sous domaines Sciences '!G452=3,'Items sous domaines Sciences '!D452,0)</f>
        <v>0</v>
      </c>
      <c r="E450" s="209">
        <f>IF('Items sous domaines Sciences '!G452=3,'Items sous domaines Sciences '!E452,0)</f>
        <v>0</v>
      </c>
      <c r="F450">
        <f>IF('Items sous domaines Sciences '!G350=1,'Items sous domaines Sciences '!#REF!,0)</f>
        <v>0</v>
      </c>
    </row>
    <row r="451" spans="1:6" customFormat="1" ht="12.75" hidden="1" customHeight="1" x14ac:dyDescent="0.25">
      <c r="A451" s="30"/>
      <c r="B451" s="210">
        <f>IF('Items sous domaines Sciences '!G453=3,'Items sous domaines Sciences '!B453,0)</f>
        <v>0</v>
      </c>
      <c r="C451" s="213">
        <f>IF('Items sous domaines Sciences '!G453=3,'Items sous domaines Sciences '!C453,0)</f>
        <v>0</v>
      </c>
      <c r="D451" s="216">
        <f>IF('Items sous domaines Sciences '!G453=3,'Items sous domaines Sciences '!D453,0)</f>
        <v>0</v>
      </c>
      <c r="E451" s="216">
        <f>IF('Items sous domaines Sciences '!G453=3,'Items sous domaines Sciences '!E453,0)</f>
        <v>0</v>
      </c>
      <c r="F451">
        <f>IF('Items sous domaines Sciences '!G351=1,'Items sous domaines Sciences '!#REF!,0)</f>
        <v>0</v>
      </c>
    </row>
    <row r="452" spans="1:6" customFormat="1" ht="12.75" hidden="1" customHeight="1" x14ac:dyDescent="0.25">
      <c r="A452" s="30"/>
      <c r="B452" s="193">
        <f>IF('Items sous domaines Sciences '!G454=3,'Items sous domaines Sciences '!B454,0)</f>
        <v>0</v>
      </c>
      <c r="C452" s="212">
        <f>IF('Items sous domaines Sciences '!G454=3,'Items sous domaines Sciences '!C454,0)</f>
        <v>0</v>
      </c>
      <c r="D452" s="215">
        <f>IF('Items sous domaines Sciences '!G454=3,'Items sous domaines Sciences '!D454,0)</f>
        <v>0</v>
      </c>
      <c r="E452" s="209">
        <f>IF('Items sous domaines Sciences '!G454=3,'Items sous domaines Sciences '!E454,0)</f>
        <v>0</v>
      </c>
      <c r="F452">
        <f>IF('Items sous domaines Sciences '!G352=1,'Items sous domaines Sciences '!#REF!,0)</f>
        <v>0</v>
      </c>
    </row>
    <row r="453" spans="1:6" customFormat="1" ht="12.75" hidden="1" customHeight="1" x14ac:dyDescent="0.25">
      <c r="A453" s="30"/>
      <c r="B453" s="210">
        <f>IF('Items sous domaines Sciences '!G455=3,'Items sous domaines Sciences '!B455,0)</f>
        <v>0</v>
      </c>
      <c r="C453" s="213">
        <f>IF('Items sous domaines Sciences '!G455=3,'Items sous domaines Sciences '!C455,0)</f>
        <v>0</v>
      </c>
      <c r="D453" s="216">
        <f>IF('Items sous domaines Sciences '!G455=3,'Items sous domaines Sciences '!D455,0)</f>
        <v>0</v>
      </c>
      <c r="E453" s="216">
        <f>IF('Items sous domaines Sciences '!G455=3,'Items sous domaines Sciences '!E455,0)</f>
        <v>0</v>
      </c>
      <c r="F453">
        <f>IF('Items sous domaines Sciences '!G353=1,'Items sous domaines Sciences '!#REF!,0)</f>
        <v>0</v>
      </c>
    </row>
    <row r="454" spans="1:6" customFormat="1" ht="12.75" hidden="1" customHeight="1" x14ac:dyDescent="0.25">
      <c r="A454" s="30"/>
      <c r="B454" s="193">
        <f>IF('Items sous domaines Sciences '!G456=3,'Items sous domaines Sciences '!B456,0)</f>
        <v>0</v>
      </c>
      <c r="C454" s="212">
        <f>IF('Items sous domaines Sciences '!G456=3,'Items sous domaines Sciences '!C456,0)</f>
        <v>0</v>
      </c>
      <c r="D454" s="215">
        <f>IF('Items sous domaines Sciences '!G456=3,'Items sous domaines Sciences '!D456,0)</f>
        <v>0</v>
      </c>
      <c r="E454" s="209">
        <f>IF('Items sous domaines Sciences '!G456=3,'Items sous domaines Sciences '!E456,0)</f>
        <v>0</v>
      </c>
      <c r="F454">
        <f>IF('Items sous domaines Sciences '!G354=1,'Items sous domaines Sciences '!#REF!,0)</f>
        <v>0</v>
      </c>
    </row>
    <row r="455" spans="1:6" customFormat="1" ht="12.75" hidden="1" customHeight="1" x14ac:dyDescent="0.25">
      <c r="A455" s="30"/>
      <c r="B455" s="210">
        <f>IF('Items sous domaines Sciences '!G457=3,'Items sous domaines Sciences '!B457,0)</f>
        <v>0</v>
      </c>
      <c r="C455" s="213">
        <f>IF('Items sous domaines Sciences '!G457=3,'Items sous domaines Sciences '!C457,0)</f>
        <v>0</v>
      </c>
      <c r="D455" s="216">
        <f>IF('Items sous domaines Sciences '!G457=3,'Items sous domaines Sciences '!D457,0)</f>
        <v>0</v>
      </c>
      <c r="E455" s="216">
        <f>IF('Items sous domaines Sciences '!G457=3,'Items sous domaines Sciences '!E457,0)</f>
        <v>0</v>
      </c>
      <c r="F455">
        <f>IF('Items sous domaines Sciences '!G355=1,'Items sous domaines Sciences '!#REF!,0)</f>
        <v>0</v>
      </c>
    </row>
    <row r="456" spans="1:6" customFormat="1" ht="12.75" hidden="1" customHeight="1" x14ac:dyDescent="0.25">
      <c r="A456" s="30"/>
      <c r="B456" s="193">
        <f>IF('Items sous domaines Sciences '!G458=3,'Items sous domaines Sciences '!B458,0)</f>
        <v>0</v>
      </c>
      <c r="C456" s="212">
        <f>IF('Items sous domaines Sciences '!G458=3,'Items sous domaines Sciences '!C458,0)</f>
        <v>0</v>
      </c>
      <c r="D456" s="215">
        <f>IF('Items sous domaines Sciences '!G458=3,'Items sous domaines Sciences '!D458,0)</f>
        <v>0</v>
      </c>
      <c r="E456" s="209">
        <f>IF('Items sous domaines Sciences '!G458=3,'Items sous domaines Sciences '!E458,0)</f>
        <v>0</v>
      </c>
      <c r="F456">
        <f>IF('Items sous domaines Sciences '!G356=1,'Items sous domaines Sciences '!#REF!,0)</f>
        <v>0</v>
      </c>
    </row>
    <row r="457" spans="1:6" customFormat="1" ht="12.75" hidden="1" customHeight="1" x14ac:dyDescent="0.25">
      <c r="A457" s="30"/>
      <c r="B457" s="210">
        <f>IF('Items sous domaines Sciences '!G459=3,'Items sous domaines Sciences '!B459,0)</f>
        <v>0</v>
      </c>
      <c r="C457" s="213">
        <f>IF('Items sous domaines Sciences '!G459=3,'Items sous domaines Sciences '!C459,0)</f>
        <v>0</v>
      </c>
      <c r="D457" s="216">
        <f>IF('Items sous domaines Sciences '!G459=3,'Items sous domaines Sciences '!D459,0)</f>
        <v>0</v>
      </c>
      <c r="E457" s="216">
        <f>IF('Items sous domaines Sciences '!G459=3,'Items sous domaines Sciences '!E459,0)</f>
        <v>0</v>
      </c>
      <c r="F457">
        <f>IF('Items sous domaines Sciences '!G357=1,'Items sous domaines Sciences '!#REF!,0)</f>
        <v>0</v>
      </c>
    </row>
    <row r="458" spans="1:6" customFormat="1" ht="12.75" hidden="1" customHeight="1" x14ac:dyDescent="0.25">
      <c r="A458" s="30"/>
      <c r="B458" s="193">
        <f>IF('Items sous domaines Sciences '!G460=3,'Items sous domaines Sciences '!B460,0)</f>
        <v>0</v>
      </c>
      <c r="C458" s="212">
        <f>IF('Items sous domaines Sciences '!G460=3,'Items sous domaines Sciences '!C460,0)</f>
        <v>0</v>
      </c>
      <c r="D458" s="215">
        <f>IF('Items sous domaines Sciences '!G460=3,'Items sous domaines Sciences '!D460,0)</f>
        <v>0</v>
      </c>
      <c r="E458" s="209">
        <f>IF('Items sous domaines Sciences '!G460=3,'Items sous domaines Sciences '!E460,0)</f>
        <v>0</v>
      </c>
      <c r="F458">
        <f>IF('Items sous domaines Sciences '!G358=1,'Items sous domaines Sciences '!#REF!,0)</f>
        <v>0</v>
      </c>
    </row>
    <row r="459" spans="1:6" customFormat="1" ht="12.75" hidden="1" customHeight="1" x14ac:dyDescent="0.25">
      <c r="A459" s="30"/>
      <c r="B459" s="210">
        <f>IF('Items sous domaines Sciences '!G461=3,'Items sous domaines Sciences '!B461,0)</f>
        <v>0</v>
      </c>
      <c r="C459" s="213">
        <f>IF('Items sous domaines Sciences '!G461=3,'Items sous domaines Sciences '!C461,0)</f>
        <v>0</v>
      </c>
      <c r="D459" s="216">
        <f>IF('Items sous domaines Sciences '!G461=3,'Items sous domaines Sciences '!D461,0)</f>
        <v>0</v>
      </c>
      <c r="E459" s="216">
        <f>IF('Items sous domaines Sciences '!G461=3,'Items sous domaines Sciences '!E461,0)</f>
        <v>0</v>
      </c>
      <c r="F459">
        <f>IF('Items sous domaines Sciences '!G359=1,'Items sous domaines Sciences '!#REF!,0)</f>
        <v>0</v>
      </c>
    </row>
    <row r="460" spans="1:6" customFormat="1" ht="12.75" hidden="1" customHeight="1" x14ac:dyDescent="0.25">
      <c r="A460" s="30"/>
      <c r="B460" s="193">
        <f>IF('Items sous domaines Sciences '!G462=3,'Items sous domaines Sciences '!B462,0)</f>
        <v>0</v>
      </c>
      <c r="C460" s="212">
        <f>IF('Items sous domaines Sciences '!G462=3,'Items sous domaines Sciences '!C462,0)</f>
        <v>0</v>
      </c>
      <c r="D460" s="215">
        <f>IF('Items sous domaines Sciences '!G462=3,'Items sous domaines Sciences '!D462,0)</f>
        <v>0</v>
      </c>
      <c r="E460" s="209">
        <f>IF('Items sous domaines Sciences '!G462=3,'Items sous domaines Sciences '!E462,0)</f>
        <v>0</v>
      </c>
      <c r="F460">
        <f>IF('Items sous domaines Sciences '!G360=1,'Items sous domaines Sciences '!#REF!,0)</f>
        <v>0</v>
      </c>
    </row>
    <row r="461" spans="1:6" customFormat="1" ht="12.75" hidden="1" customHeight="1" x14ac:dyDescent="0.25">
      <c r="A461" s="30"/>
      <c r="B461" s="210">
        <f>IF('Items sous domaines Sciences '!G463=3,'Items sous domaines Sciences '!B463,0)</f>
        <v>0</v>
      </c>
      <c r="C461" s="213">
        <f>IF('Items sous domaines Sciences '!G463=3,'Items sous domaines Sciences '!C463,0)</f>
        <v>0</v>
      </c>
      <c r="D461" s="216">
        <f>IF('Items sous domaines Sciences '!G463=3,'Items sous domaines Sciences '!D463,0)</f>
        <v>0</v>
      </c>
      <c r="E461" s="216">
        <f>IF('Items sous domaines Sciences '!G463=3,'Items sous domaines Sciences '!E463,0)</f>
        <v>0</v>
      </c>
      <c r="F461">
        <f>IF('Items sous domaines Sciences '!G361=1,'Items sous domaines Sciences '!#REF!,0)</f>
        <v>0</v>
      </c>
    </row>
    <row r="462" spans="1:6" customFormat="1" ht="12.75" hidden="1" customHeight="1" x14ac:dyDescent="0.25">
      <c r="A462" s="30"/>
      <c r="B462" s="193">
        <f>IF('Items sous domaines Sciences '!G464=3,'Items sous domaines Sciences '!B464,0)</f>
        <v>0</v>
      </c>
      <c r="C462" s="212">
        <f>IF('Items sous domaines Sciences '!G464=3,'Items sous domaines Sciences '!C464,0)</f>
        <v>0</v>
      </c>
      <c r="D462" s="215">
        <f>IF('Items sous domaines Sciences '!G464=3,'Items sous domaines Sciences '!D464,0)</f>
        <v>0</v>
      </c>
      <c r="E462" s="209">
        <f>IF('Items sous domaines Sciences '!G464=3,'Items sous domaines Sciences '!E464,0)</f>
        <v>0</v>
      </c>
      <c r="F462">
        <f>IF('Items sous domaines Sciences '!G362=1,'Items sous domaines Sciences '!#REF!,0)</f>
        <v>0</v>
      </c>
    </row>
    <row r="463" spans="1:6" customFormat="1" ht="12.75" hidden="1" customHeight="1" x14ac:dyDescent="0.25">
      <c r="A463" s="30"/>
      <c r="B463" s="210">
        <f>IF('Items sous domaines Sciences '!G465=3,'Items sous domaines Sciences '!B465,0)</f>
        <v>0</v>
      </c>
      <c r="C463" s="213">
        <f>IF('Items sous domaines Sciences '!G465=3,'Items sous domaines Sciences '!C465,0)</f>
        <v>0</v>
      </c>
      <c r="D463" s="216">
        <f>IF('Items sous domaines Sciences '!G465=3,'Items sous domaines Sciences '!D465,0)</f>
        <v>0</v>
      </c>
      <c r="E463" s="216">
        <f>IF('Items sous domaines Sciences '!G465=3,'Items sous domaines Sciences '!E465,0)</f>
        <v>0</v>
      </c>
      <c r="F463">
        <f>IF('Items sous domaines Sciences '!G363=1,'Items sous domaines Sciences '!#REF!,0)</f>
        <v>0</v>
      </c>
    </row>
    <row r="464" spans="1:6" customFormat="1" ht="12.75" hidden="1" customHeight="1" x14ac:dyDescent="0.25">
      <c r="A464" s="30"/>
      <c r="B464" s="193">
        <f>IF('Items sous domaines Sciences '!G466=3,'Items sous domaines Sciences '!B466,0)</f>
        <v>0</v>
      </c>
      <c r="C464" s="212">
        <f>IF('Items sous domaines Sciences '!G466=3,'Items sous domaines Sciences '!C466,0)</f>
        <v>0</v>
      </c>
      <c r="D464" s="215">
        <f>IF('Items sous domaines Sciences '!G466=3,'Items sous domaines Sciences '!D466,0)</f>
        <v>0</v>
      </c>
      <c r="E464" s="209">
        <f>IF('Items sous domaines Sciences '!G466=3,'Items sous domaines Sciences '!E466,0)</f>
        <v>0</v>
      </c>
      <c r="F464">
        <f>IF('Items sous domaines Sciences '!G364=1,'Items sous domaines Sciences '!#REF!,0)</f>
        <v>0</v>
      </c>
    </row>
    <row r="465" spans="1:6" customFormat="1" ht="12.75" hidden="1" customHeight="1" x14ac:dyDescent="0.25">
      <c r="A465" s="30"/>
      <c r="B465" s="210">
        <f>IF('Items sous domaines Sciences '!G467=3,'Items sous domaines Sciences '!B467,0)</f>
        <v>0</v>
      </c>
      <c r="C465" s="213">
        <f>IF('Items sous domaines Sciences '!G467=3,'Items sous domaines Sciences '!C467,0)</f>
        <v>0</v>
      </c>
      <c r="D465" s="216">
        <f>IF('Items sous domaines Sciences '!G467=3,'Items sous domaines Sciences '!D467,0)</f>
        <v>0</v>
      </c>
      <c r="E465" s="216">
        <f>IF('Items sous domaines Sciences '!G467=3,'Items sous domaines Sciences '!E467,0)</f>
        <v>0</v>
      </c>
      <c r="F465">
        <f>IF('Items sous domaines Sciences '!G365=1,'Items sous domaines Sciences '!#REF!,0)</f>
        <v>0</v>
      </c>
    </row>
    <row r="466" spans="1:6" customFormat="1" ht="12.75" hidden="1" customHeight="1" x14ac:dyDescent="0.25">
      <c r="A466" s="30"/>
      <c r="B466" s="193">
        <f>IF('Items sous domaines Sciences '!G468=3,'Items sous domaines Sciences '!B468,0)</f>
        <v>0</v>
      </c>
      <c r="C466" s="212">
        <f>IF('Items sous domaines Sciences '!G468=3,'Items sous domaines Sciences '!C468,0)</f>
        <v>0</v>
      </c>
      <c r="D466" s="215">
        <f>IF('Items sous domaines Sciences '!G468=3,'Items sous domaines Sciences '!D468,0)</f>
        <v>0</v>
      </c>
      <c r="E466" s="209">
        <f>IF('Items sous domaines Sciences '!G468=3,'Items sous domaines Sciences '!E468,0)</f>
        <v>0</v>
      </c>
      <c r="F466">
        <f>IF('Items sous domaines Sciences '!G366=1,'Items sous domaines Sciences '!#REF!,0)</f>
        <v>0</v>
      </c>
    </row>
    <row r="467" spans="1:6" customFormat="1" ht="12.75" hidden="1" customHeight="1" x14ac:dyDescent="0.25">
      <c r="A467" s="30"/>
      <c r="B467" s="210">
        <f>IF('Items sous domaines Sciences '!G469=3,'Items sous domaines Sciences '!B469,0)</f>
        <v>0</v>
      </c>
      <c r="C467" s="213">
        <f>IF('Items sous domaines Sciences '!G469=3,'Items sous domaines Sciences '!C469,0)</f>
        <v>0</v>
      </c>
      <c r="D467" s="216">
        <f>IF('Items sous domaines Sciences '!G469=3,'Items sous domaines Sciences '!D469,0)</f>
        <v>0</v>
      </c>
      <c r="E467" s="216">
        <f>IF('Items sous domaines Sciences '!G469=3,'Items sous domaines Sciences '!E469,0)</f>
        <v>0</v>
      </c>
      <c r="F467">
        <f>IF('Items sous domaines Sciences '!G367=1,'Items sous domaines Sciences '!#REF!,0)</f>
        <v>0</v>
      </c>
    </row>
    <row r="468" spans="1:6" customFormat="1" ht="12.75" hidden="1" customHeight="1" x14ac:dyDescent="0.25">
      <c r="A468" s="30"/>
      <c r="B468" s="193">
        <f>IF('Items sous domaines Sciences '!G470=3,'Items sous domaines Sciences '!B470,0)</f>
        <v>0</v>
      </c>
      <c r="C468" s="212">
        <f>IF('Items sous domaines Sciences '!G470=3,'Items sous domaines Sciences '!C470,0)</f>
        <v>0</v>
      </c>
      <c r="D468" s="215">
        <f>IF('Items sous domaines Sciences '!G470=3,'Items sous domaines Sciences '!D470,0)</f>
        <v>0</v>
      </c>
      <c r="E468" s="209">
        <f>IF('Items sous domaines Sciences '!G470=3,'Items sous domaines Sciences '!E470,0)</f>
        <v>0</v>
      </c>
      <c r="F468">
        <f>IF('Items sous domaines Sciences '!G368=1,'Items sous domaines Sciences '!#REF!,0)</f>
        <v>0</v>
      </c>
    </row>
    <row r="469" spans="1:6" customFormat="1" ht="12.75" hidden="1" customHeight="1" x14ac:dyDescent="0.25">
      <c r="A469" s="30"/>
      <c r="B469" s="210">
        <f>IF('Items sous domaines Sciences '!G471=3,'Items sous domaines Sciences '!B471,0)</f>
        <v>0</v>
      </c>
      <c r="C469" s="213">
        <f>IF('Items sous domaines Sciences '!G471=3,'Items sous domaines Sciences '!C471,0)</f>
        <v>0</v>
      </c>
      <c r="D469" s="216">
        <f>IF('Items sous domaines Sciences '!G471=3,'Items sous domaines Sciences '!D471,0)</f>
        <v>0</v>
      </c>
      <c r="E469" s="216">
        <f>IF('Items sous domaines Sciences '!G471=3,'Items sous domaines Sciences '!E471,0)</f>
        <v>0</v>
      </c>
      <c r="F469">
        <f>IF('Items sous domaines Sciences '!G369=1,'Items sous domaines Sciences '!#REF!,0)</f>
        <v>0</v>
      </c>
    </row>
    <row r="470" spans="1:6" customFormat="1" ht="12.75" hidden="1" customHeight="1" x14ac:dyDescent="0.25">
      <c r="A470" s="30"/>
      <c r="B470" s="193">
        <f>IF('Items sous domaines Sciences '!G472=3,'Items sous domaines Sciences '!B472,0)</f>
        <v>0</v>
      </c>
      <c r="C470" s="212">
        <f>IF('Items sous domaines Sciences '!G472=3,'Items sous domaines Sciences '!C472,0)</f>
        <v>0</v>
      </c>
      <c r="D470" s="215">
        <f>IF('Items sous domaines Sciences '!G472=3,'Items sous domaines Sciences '!D472,0)</f>
        <v>0</v>
      </c>
      <c r="E470" s="209">
        <f>IF('Items sous domaines Sciences '!G472=3,'Items sous domaines Sciences '!E472,0)</f>
        <v>0</v>
      </c>
      <c r="F470">
        <f>IF('Items sous domaines Sciences '!G370=1,'Items sous domaines Sciences '!#REF!,0)</f>
        <v>0</v>
      </c>
    </row>
    <row r="471" spans="1:6" customFormat="1" ht="12.75" hidden="1" customHeight="1" x14ac:dyDescent="0.25">
      <c r="A471" s="30"/>
      <c r="B471" s="210">
        <f>IF('Items sous domaines Sciences '!G473=3,'Items sous domaines Sciences '!B473,0)</f>
        <v>0</v>
      </c>
      <c r="C471" s="213">
        <f>IF('Items sous domaines Sciences '!G473=3,'Items sous domaines Sciences '!C473,0)</f>
        <v>0</v>
      </c>
      <c r="D471" s="216">
        <f>IF('Items sous domaines Sciences '!G473=3,'Items sous domaines Sciences '!D473,0)</f>
        <v>0</v>
      </c>
      <c r="E471" s="216">
        <f>IF('Items sous domaines Sciences '!G473=3,'Items sous domaines Sciences '!E473,0)</f>
        <v>0</v>
      </c>
      <c r="F471">
        <f>IF('Items sous domaines Sciences '!G371=1,'Items sous domaines Sciences '!#REF!,0)</f>
        <v>0</v>
      </c>
    </row>
    <row r="472" spans="1:6" customFormat="1" ht="12.75" hidden="1" customHeight="1" x14ac:dyDescent="0.25">
      <c r="A472" s="30"/>
      <c r="B472" s="193">
        <f>IF('Items sous domaines Sciences '!G474=3,'Items sous domaines Sciences '!B474,0)</f>
        <v>0</v>
      </c>
      <c r="C472" s="212">
        <f>IF('Items sous domaines Sciences '!G474=3,'Items sous domaines Sciences '!C474,0)</f>
        <v>0</v>
      </c>
      <c r="D472" s="215">
        <f>IF('Items sous domaines Sciences '!G474=3,'Items sous domaines Sciences '!D474,0)</f>
        <v>0</v>
      </c>
      <c r="E472" s="209">
        <f>IF('Items sous domaines Sciences '!G474=3,'Items sous domaines Sciences '!E474,0)</f>
        <v>0</v>
      </c>
      <c r="F472">
        <f>IF('Items sous domaines Sciences '!G372=1,'Items sous domaines Sciences '!#REF!,0)</f>
        <v>0</v>
      </c>
    </row>
    <row r="473" spans="1:6" customFormat="1" ht="12.75" hidden="1" customHeight="1" x14ac:dyDescent="0.25">
      <c r="A473" s="30"/>
      <c r="B473" s="210">
        <f>IF('Items sous domaines Sciences '!G475=3,'Items sous domaines Sciences '!B475,0)</f>
        <v>0</v>
      </c>
      <c r="C473" s="213">
        <f>IF('Items sous domaines Sciences '!G475=3,'Items sous domaines Sciences '!C475,0)</f>
        <v>0</v>
      </c>
      <c r="D473" s="216">
        <f>IF('Items sous domaines Sciences '!G475=3,'Items sous domaines Sciences '!D475,0)</f>
        <v>0</v>
      </c>
      <c r="E473" s="216">
        <f>IF('Items sous domaines Sciences '!G475=3,'Items sous domaines Sciences '!E475,0)</f>
        <v>0</v>
      </c>
      <c r="F473">
        <f>IF('Items sous domaines Sciences '!G373=1,'Items sous domaines Sciences '!#REF!,0)</f>
        <v>0</v>
      </c>
    </row>
    <row r="474" spans="1:6" customFormat="1" ht="12.75" hidden="1" customHeight="1" x14ac:dyDescent="0.25">
      <c r="A474" s="30"/>
      <c r="B474" s="193">
        <f>IF('Items sous domaines Sciences '!G476=3,'Items sous domaines Sciences '!B476,0)</f>
        <v>0</v>
      </c>
      <c r="C474" s="212">
        <f>IF('Items sous domaines Sciences '!G476=3,'Items sous domaines Sciences '!C476,0)</f>
        <v>0</v>
      </c>
      <c r="D474" s="215">
        <f>IF('Items sous domaines Sciences '!G476=3,'Items sous domaines Sciences '!D476,0)</f>
        <v>0</v>
      </c>
      <c r="E474" s="209">
        <f>IF('Items sous domaines Sciences '!G476=3,'Items sous domaines Sciences '!E476,0)</f>
        <v>0</v>
      </c>
      <c r="F474">
        <f>IF('Items sous domaines Sciences '!G374=1,'Items sous domaines Sciences '!#REF!,0)</f>
        <v>0</v>
      </c>
    </row>
    <row r="475" spans="1:6" customFormat="1" ht="12.75" hidden="1" customHeight="1" x14ac:dyDescent="0.25">
      <c r="A475" s="30"/>
      <c r="B475" s="210">
        <f>IF('Items sous domaines Sciences '!G477=3,'Items sous domaines Sciences '!B477,0)</f>
        <v>0</v>
      </c>
      <c r="C475" s="213">
        <f>IF('Items sous domaines Sciences '!G477=3,'Items sous domaines Sciences '!C477,0)</f>
        <v>0</v>
      </c>
      <c r="D475" s="216">
        <f>IF('Items sous domaines Sciences '!G477=3,'Items sous domaines Sciences '!D477,0)</f>
        <v>0</v>
      </c>
      <c r="E475" s="216">
        <f>IF('Items sous domaines Sciences '!G477=3,'Items sous domaines Sciences '!E477,0)</f>
        <v>0</v>
      </c>
      <c r="F475">
        <f>IF('Items sous domaines Sciences '!G375=1,'Items sous domaines Sciences '!#REF!,0)</f>
        <v>0</v>
      </c>
    </row>
    <row r="476" spans="1:6" customFormat="1" ht="12.75" hidden="1" customHeight="1" x14ac:dyDescent="0.25">
      <c r="A476" s="30"/>
      <c r="B476" s="193">
        <f>IF('Items sous domaines Sciences '!G478=3,'Items sous domaines Sciences '!B478,0)</f>
        <v>0</v>
      </c>
      <c r="C476" s="212">
        <f>IF('Items sous domaines Sciences '!G478=3,'Items sous domaines Sciences '!C478,0)</f>
        <v>0</v>
      </c>
      <c r="D476" s="215">
        <f>IF('Items sous domaines Sciences '!G478=3,'Items sous domaines Sciences '!D478,0)</f>
        <v>0</v>
      </c>
      <c r="E476" s="209">
        <f>IF('Items sous domaines Sciences '!G478=3,'Items sous domaines Sciences '!E478,0)</f>
        <v>0</v>
      </c>
      <c r="F476">
        <f>IF('Items sous domaines Sciences '!G376=1,'Items sous domaines Sciences '!#REF!,0)</f>
        <v>0</v>
      </c>
    </row>
    <row r="477" spans="1:6" customFormat="1" ht="12.75" hidden="1" customHeight="1" x14ac:dyDescent="0.25">
      <c r="A477" s="30"/>
      <c r="B477" s="210">
        <f>IF('Items sous domaines Sciences '!G479=3,'Items sous domaines Sciences '!B479,0)</f>
        <v>0</v>
      </c>
      <c r="C477" s="213">
        <f>IF('Items sous domaines Sciences '!G479=3,'Items sous domaines Sciences '!C479,0)</f>
        <v>0</v>
      </c>
      <c r="D477" s="216">
        <f>IF('Items sous domaines Sciences '!G479=3,'Items sous domaines Sciences '!D479,0)</f>
        <v>0</v>
      </c>
      <c r="E477" s="216">
        <f>IF('Items sous domaines Sciences '!G479=3,'Items sous domaines Sciences '!E479,0)</f>
        <v>0</v>
      </c>
      <c r="F477">
        <f>IF('Items sous domaines Sciences '!G377=1,'Items sous domaines Sciences '!#REF!,0)</f>
        <v>0</v>
      </c>
    </row>
    <row r="478" spans="1:6" customFormat="1" ht="12.75" hidden="1" customHeight="1" x14ac:dyDescent="0.25">
      <c r="A478" s="30"/>
      <c r="B478" s="193">
        <f>IF('Items sous domaines Sciences '!G480=3,'Items sous domaines Sciences '!B480,0)</f>
        <v>0</v>
      </c>
      <c r="C478" s="212">
        <f>IF('Items sous domaines Sciences '!G480=3,'Items sous domaines Sciences '!C480,0)</f>
        <v>0</v>
      </c>
      <c r="D478" s="215">
        <f>IF('Items sous domaines Sciences '!G480=3,'Items sous domaines Sciences '!D480,0)</f>
        <v>0</v>
      </c>
      <c r="E478" s="209">
        <f>IF('Items sous domaines Sciences '!G480=3,'Items sous domaines Sciences '!E480,0)</f>
        <v>0</v>
      </c>
      <c r="F478">
        <f>IF('Items sous domaines Sciences '!G378=1,'Items sous domaines Sciences '!#REF!,0)</f>
        <v>0</v>
      </c>
    </row>
    <row r="479" spans="1:6" customFormat="1" ht="12.75" hidden="1" customHeight="1" x14ac:dyDescent="0.25">
      <c r="A479" s="30"/>
      <c r="B479" s="210">
        <f>IF('Items sous domaines Sciences '!G481=3,'Items sous domaines Sciences '!B481,0)</f>
        <v>0</v>
      </c>
      <c r="C479" s="213">
        <f>IF('Items sous domaines Sciences '!G481=3,'Items sous domaines Sciences '!C481,0)</f>
        <v>0</v>
      </c>
      <c r="D479" s="216">
        <f>IF('Items sous domaines Sciences '!G481=3,'Items sous domaines Sciences '!D481,0)</f>
        <v>0</v>
      </c>
      <c r="E479" s="216">
        <f>IF('Items sous domaines Sciences '!G481=3,'Items sous domaines Sciences '!E481,0)</f>
        <v>0</v>
      </c>
      <c r="F479">
        <f>IF('Items sous domaines Sciences '!G379=1,'Items sous domaines Sciences '!#REF!,0)</f>
        <v>0</v>
      </c>
    </row>
    <row r="480" spans="1:6" customFormat="1" ht="12.75" hidden="1" customHeight="1" x14ac:dyDescent="0.25">
      <c r="A480" s="30"/>
      <c r="B480" s="193">
        <f>IF('Items sous domaines Sciences '!G482=3,'Items sous domaines Sciences '!B482,0)</f>
        <v>0</v>
      </c>
      <c r="C480" s="212">
        <f>IF('Items sous domaines Sciences '!G482=3,'Items sous domaines Sciences '!C482,0)</f>
        <v>0</v>
      </c>
      <c r="D480" s="215">
        <f>IF('Items sous domaines Sciences '!G482=3,'Items sous domaines Sciences '!D482,0)</f>
        <v>0</v>
      </c>
      <c r="E480" s="209">
        <f>IF('Items sous domaines Sciences '!G482=3,'Items sous domaines Sciences '!E482,0)</f>
        <v>0</v>
      </c>
      <c r="F480">
        <f>IF('Items sous domaines Sciences '!G380=1,'Items sous domaines Sciences '!#REF!,0)</f>
        <v>0</v>
      </c>
    </row>
    <row r="481" spans="1:7" customFormat="1" ht="12.75" hidden="1" customHeight="1" x14ac:dyDescent="0.25">
      <c r="A481" s="30"/>
      <c r="B481" s="210">
        <f>IF('Items sous domaines Sciences '!G483=3,'Items sous domaines Sciences '!B483,0)</f>
        <v>0</v>
      </c>
      <c r="C481" s="213">
        <f>IF('Items sous domaines Sciences '!G483=3,'Items sous domaines Sciences '!C483,0)</f>
        <v>0</v>
      </c>
      <c r="D481" s="216">
        <f>IF('Items sous domaines Sciences '!G483=3,'Items sous domaines Sciences '!D483,0)</f>
        <v>0</v>
      </c>
      <c r="E481" s="216">
        <f>IF('Items sous domaines Sciences '!G483=3,'Items sous domaines Sciences '!E483,0)</f>
        <v>0</v>
      </c>
      <c r="F481">
        <f>IF('Items sous domaines Sciences '!G381=1,'Items sous domaines Sciences '!#REF!,0)</f>
        <v>0</v>
      </c>
    </row>
    <row r="482" spans="1:7" customFormat="1" ht="12.75" hidden="1" customHeight="1" x14ac:dyDescent="0.25">
      <c r="A482" s="30"/>
      <c r="B482" s="193">
        <f>IF('Items sous domaines Sciences '!G484=3,'Items sous domaines Sciences '!B484,0)</f>
        <v>0</v>
      </c>
      <c r="C482" s="212">
        <f>IF('Items sous domaines Sciences '!G484=3,'Items sous domaines Sciences '!C484,0)</f>
        <v>0</v>
      </c>
      <c r="D482" s="215">
        <f>IF('Items sous domaines Sciences '!G484=3,'Items sous domaines Sciences '!D484,0)</f>
        <v>0</v>
      </c>
      <c r="E482" s="209">
        <f>IF('Items sous domaines Sciences '!G484=3,'Items sous domaines Sciences '!E484,0)</f>
        <v>0</v>
      </c>
      <c r="F482">
        <f>IF('Items sous domaines Sciences '!G382=1,'Items sous domaines Sciences '!#REF!,0)</f>
        <v>0</v>
      </c>
    </row>
    <row r="483" spans="1:7" customFormat="1" ht="12.75" hidden="1" customHeight="1" x14ac:dyDescent="0.25">
      <c r="A483" s="30"/>
      <c r="B483" s="210">
        <f>IF('Items sous domaines Sciences '!G485=3,'Items sous domaines Sciences '!B485,0)</f>
        <v>0</v>
      </c>
      <c r="C483" s="213">
        <f>IF('Items sous domaines Sciences '!G485=3,'Items sous domaines Sciences '!C485,0)</f>
        <v>0</v>
      </c>
      <c r="D483" s="216">
        <f>IF('Items sous domaines Sciences '!G485=3,'Items sous domaines Sciences '!D485,0)</f>
        <v>0</v>
      </c>
      <c r="E483" s="216">
        <f>IF('Items sous domaines Sciences '!G485=3,'Items sous domaines Sciences '!E485,0)</f>
        <v>0</v>
      </c>
      <c r="F483">
        <f>IF('Items sous domaines Sciences '!G383=1,'Items sous domaines Sciences '!#REF!,0)</f>
        <v>0</v>
      </c>
    </row>
    <row r="484" spans="1:7" customFormat="1" ht="12.75" hidden="1" customHeight="1" x14ac:dyDescent="0.25">
      <c r="A484" s="30"/>
      <c r="B484" s="193">
        <f>IF('Items sous domaines Sciences '!G486=3,'Items sous domaines Sciences '!B486,0)</f>
        <v>0</v>
      </c>
      <c r="C484" s="212">
        <f>IF('Items sous domaines Sciences '!G486=3,'Items sous domaines Sciences '!C486,0)</f>
        <v>0</v>
      </c>
      <c r="D484" s="215">
        <f>IF('Items sous domaines Sciences '!G486=3,'Items sous domaines Sciences '!D486,0)</f>
        <v>0</v>
      </c>
      <c r="E484" s="209">
        <f>IF('Items sous domaines Sciences '!G486=3,'Items sous domaines Sciences '!E486,0)</f>
        <v>0</v>
      </c>
      <c r="F484">
        <f>IF('Items sous domaines Sciences '!G384=1,'Items sous domaines Sciences '!#REF!,0)</f>
        <v>0</v>
      </c>
    </row>
    <row r="485" spans="1:7" customFormat="1" ht="12.75" hidden="1" customHeight="1" x14ac:dyDescent="0.25">
      <c r="A485" s="30"/>
      <c r="B485" s="210">
        <f>IF('Items sous domaines Sciences '!G487=3,'Items sous domaines Sciences '!B487,0)</f>
        <v>0</v>
      </c>
      <c r="C485" s="213">
        <f>IF('Items sous domaines Sciences '!G487=3,'Items sous domaines Sciences '!C487,0)</f>
        <v>0</v>
      </c>
      <c r="D485" s="216">
        <f>IF('Items sous domaines Sciences '!G487=3,'Items sous domaines Sciences '!D487,0)</f>
        <v>0</v>
      </c>
      <c r="E485" s="216">
        <f>IF('Items sous domaines Sciences '!G487=3,'Items sous domaines Sciences '!E487,0)</f>
        <v>0</v>
      </c>
      <c r="F485">
        <f>IF('Items sous domaines Sciences '!G385=1,'Items sous domaines Sciences '!#REF!,0)</f>
        <v>0</v>
      </c>
    </row>
    <row r="486" spans="1:7" customFormat="1" ht="12.75" hidden="1" customHeight="1" x14ac:dyDescent="0.25">
      <c r="A486" s="30"/>
      <c r="B486" s="193">
        <f>IF('Items sous domaines Sciences '!G488=3,'Items sous domaines Sciences '!B488,0)</f>
        <v>0</v>
      </c>
      <c r="C486" s="212">
        <f>IF('Items sous domaines Sciences '!G488=3,'Items sous domaines Sciences '!C488,0)</f>
        <v>0</v>
      </c>
      <c r="D486" s="215">
        <f>IF('Items sous domaines Sciences '!G488=3,'Items sous domaines Sciences '!D488,0)</f>
        <v>0</v>
      </c>
      <c r="E486" s="209">
        <f>IF('Items sous domaines Sciences '!G488=3,'Items sous domaines Sciences '!E488,0)</f>
        <v>0</v>
      </c>
      <c r="F486">
        <f>IF('Items sous domaines Sciences '!G386=1,'Items sous domaines Sciences '!#REF!,0)</f>
        <v>0</v>
      </c>
    </row>
    <row r="487" spans="1:7" customFormat="1" ht="12.75" hidden="1" customHeight="1" x14ac:dyDescent="0.25">
      <c r="A487" s="30"/>
      <c r="B487" s="8">
        <f>IF('Items sous domaines Sciences '!G489=3,'Items sous domaines Sciences '!B489,0)</f>
        <v>0</v>
      </c>
      <c r="C487" s="8">
        <f>IF('Items sous domaines Sciences '!G489=3,'Items sous domaines Sciences '!C489,0)</f>
        <v>0</v>
      </c>
      <c r="D487" s="8">
        <f>IF('Items sous domaines Sciences '!G489=3,'Items sous domaines Sciences '!D489,0)</f>
        <v>0</v>
      </c>
      <c r="E487" s="8">
        <f>IF('Items sous domaines Sciences '!G489=3,'Items sous domaines Sciences '!E489,0)</f>
        <v>0</v>
      </c>
      <c r="F487">
        <f>IF('Items sous domaines Sciences '!G387=1,'Items sous domaines Sciences '!#REF!,0)</f>
        <v>0</v>
      </c>
    </row>
    <row r="488" spans="1:7" customFormat="1" ht="12.75" hidden="1" customHeight="1" x14ac:dyDescent="0.25">
      <c r="A488" s="30"/>
      <c r="B488" s="8">
        <f>IF('Items sous domaines Sciences '!G490=3,'Items sous domaines Sciences '!B490,0)</f>
        <v>0</v>
      </c>
      <c r="C488" s="8">
        <f>IF('Items sous domaines Sciences '!G490=3,'Items sous domaines Sciences '!C490,0)</f>
        <v>0</v>
      </c>
      <c r="D488" s="8">
        <f>IF('Items sous domaines Sciences '!G490=3,'Items sous domaines Sciences '!D490,0)</f>
        <v>0</v>
      </c>
      <c r="E488" s="8">
        <f>IF('Items sous domaines Sciences '!G490=3,'Items sous domaines Sciences '!E490,0)</f>
        <v>0</v>
      </c>
      <c r="F488">
        <f>IF('Items sous domaines Sciences '!G388=1,'Items sous domaines Sciences '!#REF!,0)</f>
        <v>0</v>
      </c>
    </row>
    <row r="489" spans="1:7" ht="18" thickTop="1" x14ac:dyDescent="0.25">
      <c r="A489" s="237"/>
      <c r="G489" s="284"/>
    </row>
  </sheetData>
  <autoFilter ref="A7:F488" xr:uid="{00000000-0009-0000-0000-000005000000}">
    <filterColumn colId="1">
      <filters>
        <filter val="Chimie"/>
        <filter val="Electricité-electromagnétisme"/>
        <filter val="Mécanique"/>
        <filter val="Thermique-Thermodynamique"/>
      </filters>
    </filterColumn>
  </autoFilter>
  <mergeCells count="29">
    <mergeCell ref="A255:A292"/>
    <mergeCell ref="A212:A215"/>
    <mergeCell ref="A216:A219"/>
    <mergeCell ref="A223:A242"/>
    <mergeCell ref="A1:F3"/>
    <mergeCell ref="A4:F6"/>
    <mergeCell ref="A8:A101"/>
    <mergeCell ref="A191:A210"/>
    <mergeCell ref="A113:A127"/>
    <mergeCell ref="A129:A137"/>
    <mergeCell ref="F191:F210"/>
    <mergeCell ref="A143:A165"/>
    <mergeCell ref="F143:F165"/>
    <mergeCell ref="F255:F292"/>
    <mergeCell ref="F212:F242"/>
    <mergeCell ref="F394:F396"/>
    <mergeCell ref="G3:G5"/>
    <mergeCell ref="G6:G7"/>
    <mergeCell ref="F40:F101"/>
    <mergeCell ref="G234:G247"/>
    <mergeCell ref="G212:G232"/>
    <mergeCell ref="G191:G210"/>
    <mergeCell ref="G40:G101"/>
    <mergeCell ref="G249:G266"/>
    <mergeCell ref="G268:G281"/>
    <mergeCell ref="G284:G301"/>
    <mergeCell ref="G311:G328"/>
    <mergeCell ref="G343:G393"/>
    <mergeCell ref="G394:G396"/>
  </mergeCells>
  <hyperlinks>
    <hyperlink ref="G191" r:id="rId1" xr:uid="{00000000-0004-0000-0500-000000000000}"/>
    <hyperlink ref="G343" r:id="rId2" xr:uid="{00000000-0004-0000-0500-000001000000}"/>
    <hyperlink ref="G40" r:id="rId3" xr:uid="{00000000-0004-0000-0500-00000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326295"/>
  </sheetPr>
  <dimension ref="A1:G490"/>
  <sheetViews>
    <sheetView topLeftCell="A21" zoomScale="70" zoomScaleNormal="70" workbookViewId="0">
      <selection activeCell="D294" sqref="D294"/>
    </sheetView>
  </sheetViews>
  <sheetFormatPr baseColWidth="10" defaultColWidth="11.44140625" defaultRowHeight="18" x14ac:dyDescent="0.3"/>
  <cols>
    <col min="1" max="1" width="32.6640625" style="188" customWidth="1"/>
    <col min="2" max="2" width="40.6640625" style="33" customWidth="1"/>
    <col min="3" max="3" width="22.6640625" style="50" customWidth="1"/>
    <col min="4" max="4" width="40.6640625" style="52" customWidth="1"/>
    <col min="5" max="5" width="130.6640625" style="52" customWidth="1"/>
    <col min="6" max="6" width="30.6640625" style="53" customWidth="1"/>
    <col min="7" max="7" width="28.6640625" style="48" customWidth="1"/>
    <col min="8" max="16384" width="11.44140625" style="33"/>
  </cols>
  <sheetData>
    <row r="1" spans="1:7" ht="17.399999999999999" customHeight="1" thickTop="1" x14ac:dyDescent="0.3">
      <c r="A1" s="343" t="s">
        <v>380</v>
      </c>
      <c r="B1" s="344"/>
      <c r="C1" s="344"/>
      <c r="D1" s="344"/>
      <c r="E1" s="344"/>
      <c r="F1" s="344"/>
      <c r="G1" s="256"/>
    </row>
    <row r="2" spans="1:7" ht="17.399999999999999" customHeight="1" x14ac:dyDescent="0.3">
      <c r="A2" s="345"/>
      <c r="B2" s="346"/>
      <c r="C2" s="346"/>
      <c r="D2" s="346"/>
      <c r="E2" s="346"/>
      <c r="F2" s="346"/>
      <c r="G2" s="423" t="s">
        <v>16</v>
      </c>
    </row>
    <row r="3" spans="1:7" ht="17.25" customHeight="1" thickBot="1" x14ac:dyDescent="0.35">
      <c r="A3" s="465"/>
      <c r="B3" s="466"/>
      <c r="C3" s="466"/>
      <c r="D3" s="466"/>
      <c r="E3" s="466"/>
      <c r="F3" s="466"/>
      <c r="G3" s="423"/>
    </row>
    <row r="4" spans="1:7" ht="12.75" customHeight="1" x14ac:dyDescent="0.3">
      <c r="A4" s="358" t="s">
        <v>472</v>
      </c>
      <c r="B4" s="359"/>
      <c r="C4" s="359"/>
      <c r="D4" s="360"/>
      <c r="E4" s="359"/>
      <c r="F4" s="359"/>
      <c r="G4" s="423"/>
    </row>
    <row r="5" spans="1:7" ht="17.399999999999999" customHeight="1" x14ac:dyDescent="0.3">
      <c r="A5" s="361"/>
      <c r="B5" s="362"/>
      <c r="C5" s="362"/>
      <c r="D5" s="363"/>
      <c r="E5" s="362"/>
      <c r="F5" s="362"/>
      <c r="G5" s="334" t="s">
        <v>19</v>
      </c>
    </row>
    <row r="6" spans="1:7" ht="17.399999999999999" customHeight="1" thickBot="1" x14ac:dyDescent="0.35">
      <c r="A6" s="364"/>
      <c r="B6" s="365"/>
      <c r="C6" s="365"/>
      <c r="D6" s="366"/>
      <c r="E6" s="365"/>
      <c r="F6" s="365"/>
      <c r="G6" s="334"/>
    </row>
    <row r="7" spans="1:7" s="43" customFormat="1" ht="19.95" customHeight="1" thickBot="1" x14ac:dyDescent="0.45">
      <c r="A7" s="223" t="str">
        <f>'A1 CPI S1'!A7</f>
        <v>UE du DS</v>
      </c>
      <c r="B7" s="224" t="str">
        <f>'A1 CPI S1'!B7</f>
        <v>Domaine</v>
      </c>
      <c r="C7" s="224" t="str">
        <f>'A1 CPI S1'!C7</f>
        <v>Discipline</v>
      </c>
      <c r="D7" s="224" t="str">
        <f>'A1 CPI S1'!D7</f>
        <v>Chapitres</v>
      </c>
      <c r="E7" s="224" t="str">
        <f>'A1 CPI S1'!E7</f>
        <v>Thèmes</v>
      </c>
      <c r="F7" s="224" t="s">
        <v>387</v>
      </c>
      <c r="G7" s="268"/>
    </row>
    <row r="8" spans="1:7" customFormat="1" ht="25.2" hidden="1" customHeight="1" thickBot="1" x14ac:dyDescent="0.3">
      <c r="A8" s="493" t="s">
        <v>473</v>
      </c>
      <c r="B8">
        <f>IF('Items sous domaines Sciences '!G10=5,'Items sous domaines Sciences '!B10,0)</f>
        <v>0</v>
      </c>
      <c r="C8">
        <f>IF('Items sous domaines Sciences '!G10=5,'Items sous domaines Sciences '!C10,0)</f>
        <v>0</v>
      </c>
      <c r="D8">
        <f>IF('Items sous domaines Sciences '!G10=5,'Items sous domaines Sciences '!D10,0)</f>
        <v>0</v>
      </c>
      <c r="E8">
        <f>IF('Items sous domaines Sciences '!G10=5,'Items sous domaines Sciences '!E10,0)</f>
        <v>0</v>
      </c>
      <c r="F8" s="489" t="s">
        <v>474</v>
      </c>
      <c r="G8" s="485" t="s">
        <v>475</v>
      </c>
    </row>
    <row r="9" spans="1:7" customFormat="1" ht="22.2" hidden="1" customHeight="1" thickBot="1" x14ac:dyDescent="0.3">
      <c r="A9" s="494"/>
      <c r="B9" s="8">
        <f>IF('Items sous domaines Sciences '!G11=5,'Items sous domaines Sciences '!B11,0)</f>
        <v>0</v>
      </c>
      <c r="C9" s="8">
        <f>IF('Items sous domaines Sciences '!G11=5,'Items sous domaines Sciences '!C11,0)</f>
        <v>0</v>
      </c>
      <c r="D9" s="8">
        <f>IF('Items sous domaines Sciences '!G11=5,'Items sous domaines Sciences '!D11,0)</f>
        <v>0</v>
      </c>
      <c r="E9" s="8">
        <f>IF('Items sous domaines Sciences '!G11=5,'Items sous domaines Sciences '!E11,0)</f>
        <v>0</v>
      </c>
      <c r="F9" s="489"/>
      <c r="G9" s="485"/>
    </row>
    <row r="10" spans="1:7" customFormat="1" ht="17.399999999999999" hidden="1" customHeight="1" thickBot="1" x14ac:dyDescent="0.3">
      <c r="A10" s="494"/>
      <c r="B10" s="8">
        <f>IF('Items sous domaines Sciences '!G12=5,'Items sous domaines Sciences '!B12,0)</f>
        <v>0</v>
      </c>
      <c r="C10" s="8">
        <f>IF('Items sous domaines Sciences '!G12=5,'Items sous domaines Sciences '!C12,0)</f>
        <v>0</v>
      </c>
      <c r="D10" s="8">
        <f>IF('Items sous domaines Sciences '!G12=5,'Items sous domaines Sciences '!D12,0)</f>
        <v>0</v>
      </c>
      <c r="E10" s="8">
        <f>IF('Items sous domaines Sciences '!G12=5,'Items sous domaines Sciences '!E12,0)</f>
        <v>0</v>
      </c>
      <c r="F10" s="489"/>
      <c r="G10" s="485"/>
    </row>
    <row r="11" spans="1:7" customFormat="1" ht="17.399999999999999" hidden="1" customHeight="1" thickBot="1" x14ac:dyDescent="0.3">
      <c r="A11" s="494"/>
      <c r="B11" s="8">
        <f>IF('Items sous domaines Sciences '!G13=5,'Items sous domaines Sciences '!B13,0)</f>
        <v>0</v>
      </c>
      <c r="C11" s="8">
        <f>IF('Items sous domaines Sciences '!G13=5,'Items sous domaines Sciences '!C13,0)</f>
        <v>0</v>
      </c>
      <c r="D11" s="8">
        <f>IF('Items sous domaines Sciences '!G13=5,'Items sous domaines Sciences '!D13,0)</f>
        <v>0</v>
      </c>
      <c r="E11" s="8">
        <f>IF('Items sous domaines Sciences '!G13=5,'Items sous domaines Sciences '!E13,0)</f>
        <v>0</v>
      </c>
      <c r="F11" s="489"/>
      <c r="G11" s="485"/>
    </row>
    <row r="12" spans="1:7" customFormat="1" ht="30.6" hidden="1" customHeight="1" thickBot="1" x14ac:dyDescent="0.3">
      <c r="A12" s="494"/>
      <c r="B12" s="8">
        <f>IF('Items sous domaines Sciences '!G14=5,'Items sous domaines Sciences '!B14,0)</f>
        <v>0</v>
      </c>
      <c r="C12" s="8">
        <f>IF('Items sous domaines Sciences '!G14=5,'Items sous domaines Sciences '!C14,0)</f>
        <v>0</v>
      </c>
      <c r="D12" s="8">
        <f>IF('Items sous domaines Sciences '!G14=5,'Items sous domaines Sciences '!D14,0)</f>
        <v>0</v>
      </c>
      <c r="E12" s="8">
        <f>IF('Items sous domaines Sciences '!G14=5,'Items sous domaines Sciences '!E14,0)</f>
        <v>0</v>
      </c>
      <c r="F12" s="489"/>
      <c r="G12" s="485"/>
    </row>
    <row r="13" spans="1:7" customFormat="1" ht="27" hidden="1" customHeight="1" thickBot="1" x14ac:dyDescent="0.3">
      <c r="A13" s="494"/>
      <c r="B13" s="8">
        <f>IF('Items sous domaines Sciences '!G15=5,'Items sous domaines Sciences '!B15,0)</f>
        <v>0</v>
      </c>
      <c r="C13" s="8">
        <f>IF('Items sous domaines Sciences '!G15=5,'Items sous domaines Sciences '!C15,0)</f>
        <v>0</v>
      </c>
      <c r="D13" s="8">
        <f>IF('Items sous domaines Sciences '!G15=5,'Items sous domaines Sciences '!D15,0)</f>
        <v>0</v>
      </c>
      <c r="E13" s="8">
        <f>IF('Items sous domaines Sciences '!G15=5,'Items sous domaines Sciences '!E15,0)</f>
        <v>0</v>
      </c>
      <c r="F13" s="489"/>
      <c r="G13" s="485"/>
    </row>
    <row r="14" spans="1:7" customFormat="1" ht="17.399999999999999" hidden="1" customHeight="1" thickBot="1" x14ac:dyDescent="0.3">
      <c r="A14" s="494"/>
      <c r="B14" s="8">
        <f>IF('Items sous domaines Sciences '!G16=5,'Items sous domaines Sciences '!B16,0)</f>
        <v>0</v>
      </c>
      <c r="C14" s="8">
        <f>IF('Items sous domaines Sciences '!G16=5,'Items sous domaines Sciences '!C16,0)</f>
        <v>0</v>
      </c>
      <c r="D14" s="8">
        <f>IF('Items sous domaines Sciences '!G16=5,'Items sous domaines Sciences '!D16,0)</f>
        <v>0</v>
      </c>
      <c r="E14" s="8">
        <f>IF('Items sous domaines Sciences '!G16=5,'Items sous domaines Sciences '!E16,0)</f>
        <v>0</v>
      </c>
      <c r="F14" s="489"/>
      <c r="G14" s="485"/>
    </row>
    <row r="15" spans="1:7" customFormat="1" ht="17.399999999999999" hidden="1" customHeight="1" thickBot="1" x14ac:dyDescent="0.3">
      <c r="A15" s="494"/>
      <c r="B15" s="8">
        <f>IF('Items sous domaines Sciences '!G17=5,'Items sous domaines Sciences '!B17,0)</f>
        <v>0</v>
      </c>
      <c r="C15" s="8">
        <f>IF('Items sous domaines Sciences '!G17=5,'Items sous domaines Sciences '!C17,0)</f>
        <v>0</v>
      </c>
      <c r="D15" s="8">
        <f>IF('Items sous domaines Sciences '!G17=5,'Items sous domaines Sciences '!D17,0)</f>
        <v>0</v>
      </c>
      <c r="E15" s="8">
        <f>IF('Items sous domaines Sciences '!G17=5,'Items sous domaines Sciences '!E17,0)</f>
        <v>0</v>
      </c>
      <c r="F15" s="489"/>
      <c r="G15" s="485"/>
    </row>
    <row r="16" spans="1:7" customFormat="1" ht="17.399999999999999" hidden="1" customHeight="1" thickBot="1" x14ac:dyDescent="0.3">
      <c r="A16" s="494"/>
      <c r="B16" s="8">
        <f>IF('Items sous domaines Sciences '!G18=5,'Items sous domaines Sciences '!B18,0)</f>
        <v>0</v>
      </c>
      <c r="C16" s="8">
        <f>IF('Items sous domaines Sciences '!G18=5,'Items sous domaines Sciences '!C18,0)</f>
        <v>0</v>
      </c>
      <c r="D16" s="8">
        <f>IF('Items sous domaines Sciences '!G18=5,'Items sous domaines Sciences '!D18,0)</f>
        <v>0</v>
      </c>
      <c r="E16" s="8">
        <f>IF('Items sous domaines Sciences '!G18=5,'Items sous domaines Sciences '!E18,0)</f>
        <v>0</v>
      </c>
      <c r="F16" s="489"/>
      <c r="G16" s="485"/>
    </row>
    <row r="17" spans="1:7" customFormat="1" ht="17.399999999999999" hidden="1" customHeight="1" thickBot="1" x14ac:dyDescent="0.3">
      <c r="A17" s="494"/>
      <c r="B17" s="8">
        <f>IF('Items sous domaines Sciences '!G19=5,'Items sous domaines Sciences '!B19,0)</f>
        <v>0</v>
      </c>
      <c r="C17" s="8">
        <f>IF('Items sous domaines Sciences '!G19=5,'Items sous domaines Sciences '!C19,0)</f>
        <v>0</v>
      </c>
      <c r="D17" s="8">
        <f>IF('Items sous domaines Sciences '!G19=5,'Items sous domaines Sciences '!D19,0)</f>
        <v>0</v>
      </c>
      <c r="E17" s="8">
        <f>IF('Items sous domaines Sciences '!G19=5,'Items sous domaines Sciences '!E19,0)</f>
        <v>0</v>
      </c>
      <c r="F17" s="489"/>
      <c r="G17" s="485"/>
    </row>
    <row r="18" spans="1:7" customFormat="1" ht="17.399999999999999" hidden="1" customHeight="1" thickBot="1" x14ac:dyDescent="0.3">
      <c r="A18" s="494"/>
      <c r="B18" s="8">
        <f>IF('Items sous domaines Sciences '!G20=5,'Items sous domaines Sciences '!B20,0)</f>
        <v>0</v>
      </c>
      <c r="C18" s="8">
        <f>IF('Items sous domaines Sciences '!G20=5,'Items sous domaines Sciences '!C20,0)</f>
        <v>0</v>
      </c>
      <c r="D18" s="8">
        <f>IF('Items sous domaines Sciences '!G20=5,'Items sous domaines Sciences '!D20,0)</f>
        <v>0</v>
      </c>
      <c r="E18" s="8">
        <f>IF('Items sous domaines Sciences '!G20=5,'Items sous domaines Sciences '!E20,0)</f>
        <v>0</v>
      </c>
      <c r="F18" s="489"/>
      <c r="G18" s="485"/>
    </row>
    <row r="19" spans="1:7" ht="19.95" customHeight="1" thickTop="1" x14ac:dyDescent="0.3">
      <c r="A19" s="495"/>
      <c r="B19" s="249" t="str">
        <f>IF('Items sous domaines Sciences '!G21=5,'Items sous domaines Sciences '!B21,0)</f>
        <v>Mécanique</v>
      </c>
      <c r="C19" s="225" t="str">
        <f>IF('Items sous domaines Sciences '!G21=5,'Items sous domaines Sciences '!C21,0)</f>
        <v>Point</v>
      </c>
      <c r="D19" s="226">
        <f>IF('Items sous domaines Sciences '!G21=5,'Items sous domaines Sciences '!D21,0)</f>
        <v>0</v>
      </c>
      <c r="E19" s="226" t="str">
        <f>IF('Items sous domaines Sciences '!G21=5,'Items sous domaines Sciences '!E21,0)</f>
        <v>Calculer une force.</v>
      </c>
      <c r="F19" s="430"/>
      <c r="G19" s="486"/>
    </row>
    <row r="20" spans="1:7" ht="19.95" customHeight="1" x14ac:dyDescent="0.3">
      <c r="A20" s="495"/>
      <c r="B20" s="55" t="str">
        <f>IF('Items sous domaines Sciences '!G22=5,'Items sous domaines Sciences '!B22,0)</f>
        <v>Mécanique</v>
      </c>
      <c r="C20" s="212" t="str">
        <f>IF('Items sous domaines Sciences '!G22=5,'Items sous domaines Sciences '!C22,0)</f>
        <v>Point</v>
      </c>
      <c r="D20" s="215">
        <f>IF('Items sous domaines Sciences '!G22=5,'Items sous domaines Sciences '!D22,0)</f>
        <v>0</v>
      </c>
      <c r="E20" s="209" t="str">
        <f>IF('Items sous domaines Sciences '!G22=5,'Items sous domaines Sciences '!E22,0)</f>
        <v>Calculer un moment.</v>
      </c>
      <c r="F20" s="431"/>
      <c r="G20" s="487"/>
    </row>
    <row r="21" spans="1:7" ht="19.95" customHeight="1" x14ac:dyDescent="0.3">
      <c r="A21" s="495"/>
      <c r="B21" s="55" t="str">
        <f>IF('Items sous domaines Sciences '!G23=5,'Items sous domaines Sciences '!B23,0)</f>
        <v>Mécanique</v>
      </c>
      <c r="C21" s="213" t="str">
        <f>IF('Items sous domaines Sciences '!G23=5,'Items sous domaines Sciences '!C23,0)</f>
        <v>Point</v>
      </c>
      <c r="D21" s="216">
        <f>IF('Items sous domaines Sciences '!G23=5,'Items sous domaines Sciences '!D23,0)</f>
        <v>0</v>
      </c>
      <c r="E21" s="216" t="str">
        <f>IF('Items sous domaines Sciences '!G23=5,'Items sous domaines Sciences '!E23,0)</f>
        <v>Calculer une énergie mécanique.</v>
      </c>
      <c r="F21" s="431"/>
      <c r="G21" s="487"/>
    </row>
    <row r="22" spans="1:7" ht="19.95" customHeight="1" x14ac:dyDescent="0.3">
      <c r="A22" s="495"/>
      <c r="B22" s="55" t="str">
        <f>IF('Items sous domaines Sciences '!G24=5,'Items sous domaines Sciences '!B24,0)</f>
        <v>Mécanique</v>
      </c>
      <c r="C22" s="212" t="str">
        <f>IF('Items sous domaines Sciences '!G24=5,'Items sous domaines Sciences '!C24,0)</f>
        <v>Mécanisme</v>
      </c>
      <c r="D22" s="215" t="str">
        <f>IF('Items sous domaines Sciences '!G24=5,'Items sous domaines Sciences '!D24,0)</f>
        <v>Mécanique du solide</v>
      </c>
      <c r="E22" s="209" t="str">
        <f>IF('Items sous domaines Sciences '!G24=5,'Items sous domaines Sciences '!E24,0)</f>
        <v>Établir le schéma mécanique d'une structure.</v>
      </c>
      <c r="F22" s="431"/>
      <c r="G22" s="487"/>
    </row>
    <row r="23" spans="1:7" ht="19.95" customHeight="1" x14ac:dyDescent="0.3">
      <c r="A23" s="495"/>
      <c r="B23" s="55" t="str">
        <f>IF('Items sous domaines Sciences '!G25=5,'Items sous domaines Sciences '!B25,0)</f>
        <v>Mécanique</v>
      </c>
      <c r="C23" s="213" t="str">
        <f>IF('Items sous domaines Sciences '!G25=5,'Items sous domaines Sciences '!C25,0)</f>
        <v>Solide</v>
      </c>
      <c r="D23" s="216">
        <f>IF('Items sous domaines Sciences '!G25=5,'Items sous domaines Sciences '!D25,0)</f>
        <v>0</v>
      </c>
      <c r="E23" s="216" t="str">
        <f>IF('Items sous domaines Sciences '!G25=5,'Items sous domaines Sciences '!E25,0)</f>
        <v>Appliquer le principe fondamental de la statique.</v>
      </c>
      <c r="F23" s="431"/>
      <c r="G23" s="487"/>
    </row>
    <row r="24" spans="1:7" ht="19.95" customHeight="1" x14ac:dyDescent="0.3">
      <c r="A24" s="495"/>
      <c r="B24" s="55" t="str">
        <f>IF('Items sous domaines Sciences '!G26=5,'Items sous domaines Sciences '!B26,0)</f>
        <v>Mécanique</v>
      </c>
      <c r="C24" s="212" t="str">
        <f>IF('Items sous domaines Sciences '!G26=5,'Items sous domaines Sciences '!C26,0)</f>
        <v>Solide</v>
      </c>
      <c r="D24" s="215">
        <f>IF('Items sous domaines Sciences '!G26=5,'Items sous domaines Sciences '!D26,0)</f>
        <v>0</v>
      </c>
      <c r="E24" s="209" t="str">
        <f>IF('Items sous domaines Sciences '!G26=5,'Items sous domaines Sciences '!E26,0)</f>
        <v>Expliquer l'équilibre statique d'un solide ou d'un ensemble de solides.</v>
      </c>
      <c r="F24" s="431"/>
      <c r="G24" s="487"/>
    </row>
    <row r="25" spans="1:7" ht="19.95" customHeight="1" x14ac:dyDescent="0.3">
      <c r="A25" s="495"/>
      <c r="B25" s="55" t="str">
        <f>IF('Items sous domaines Sciences '!G27=5,'Items sous domaines Sciences '!B27,0)</f>
        <v>Mécanique</v>
      </c>
      <c r="C25" s="213" t="str">
        <f>IF('Items sous domaines Sciences '!G27=5,'Items sous domaines Sciences '!C27,0)</f>
        <v>Solide</v>
      </c>
      <c r="D25" s="216">
        <f>IF('Items sous domaines Sciences '!G27=5,'Items sous domaines Sciences '!D27,0)</f>
        <v>0</v>
      </c>
      <c r="E25" s="216" t="str">
        <f>IF('Items sous domaines Sciences '!G27=5,'Items sous domaines Sciences '!E27,0)</f>
        <v>Appliquer le torseur pour résoudre un problème de statique (PFS).</v>
      </c>
      <c r="F25" s="431"/>
      <c r="G25" s="487"/>
    </row>
    <row r="26" spans="1:7" ht="19.95" customHeight="1" x14ac:dyDescent="0.3">
      <c r="A26" s="495"/>
      <c r="B26" s="55" t="str">
        <f>IF('Items sous domaines Sciences '!G28=5,'Items sous domaines Sciences '!B28,0)</f>
        <v>Mécanique</v>
      </c>
      <c r="C26" s="212" t="str">
        <f>IF('Items sous domaines Sciences '!G28=5,'Items sous domaines Sciences '!C28,0)</f>
        <v>Point</v>
      </c>
      <c r="D26" s="215">
        <f>IF('Items sous domaines Sciences '!G28=5,'Items sous domaines Sciences '!D28,0)</f>
        <v>0</v>
      </c>
      <c r="E26" s="209" t="str">
        <f>IF('Items sous domaines Sciences '!G28=5,'Items sous domaines Sciences '!E28,0)</f>
        <v>Appliquer les lois de Coulomb.</v>
      </c>
      <c r="F26" s="431"/>
      <c r="G26" s="487"/>
    </row>
    <row r="27" spans="1:7" ht="19.95" customHeight="1" x14ac:dyDescent="0.3">
      <c r="A27" s="495"/>
      <c r="B27" s="55" t="str">
        <f>IF('Items sous domaines Sciences '!G29=5,'Items sous domaines Sciences '!B29,0)</f>
        <v>Mécanique</v>
      </c>
      <c r="C27" s="213" t="str">
        <f>IF('Items sous domaines Sciences '!G29=5,'Items sous domaines Sciences '!C29,0)</f>
        <v>Solide</v>
      </c>
      <c r="D27" s="216">
        <f>IF('Items sous domaines Sciences '!G29=5,'Items sous domaines Sciences '!D29,0)</f>
        <v>0</v>
      </c>
      <c r="E27" s="216" t="str">
        <f>IF('Items sous domaines Sciences '!G29=5,'Items sous domaines Sciences '!E29,0)</f>
        <v>Utiliser les liaisons mécaniques usuelles.</v>
      </c>
      <c r="F27" s="431"/>
      <c r="G27" s="487"/>
    </row>
    <row r="28" spans="1:7" ht="19.95" customHeight="1" thickBot="1" x14ac:dyDescent="0.35">
      <c r="A28" s="495"/>
      <c r="B28" s="250" t="str">
        <f>IF('Items sous domaines Sciences '!G30=5,'Items sous domaines Sciences '!B30,0)</f>
        <v>Mécanique</v>
      </c>
      <c r="C28" s="229" t="str">
        <f>IF('Items sous domaines Sciences '!G30=5,'Items sous domaines Sciences '!C30,0)</f>
        <v>Solide</v>
      </c>
      <c r="D28" s="230">
        <f>IF('Items sous domaines Sciences '!G30=5,'Items sous domaines Sciences '!D30,0)</f>
        <v>0</v>
      </c>
      <c r="E28" s="231" t="str">
        <f>IF('Items sous domaines Sciences '!G30=5,'Items sous domaines Sciences '!E30,0)</f>
        <v>Résoudre un problème de statique graphique.</v>
      </c>
      <c r="F28" s="449"/>
      <c r="G28" s="488"/>
    </row>
    <row r="29" spans="1:7" customFormat="1" ht="17.399999999999999" hidden="1" customHeight="1" thickBot="1" x14ac:dyDescent="0.3">
      <c r="A29" s="494"/>
      <c r="B29">
        <f>IF('Items sous domaines Sciences '!G31=5,'Items sous domaines Sciences '!B31,0)</f>
        <v>0</v>
      </c>
      <c r="C29">
        <f>IF('Items sous domaines Sciences '!G31=5,'Items sous domaines Sciences '!C31,0)</f>
        <v>0</v>
      </c>
      <c r="D29">
        <f>IF('Items sous domaines Sciences '!G31=5,'Items sous domaines Sciences '!D31,0)</f>
        <v>0</v>
      </c>
      <c r="E29">
        <f>IF('Items sous domaines Sciences '!G31=5,'Items sous domaines Sciences '!E31,0)</f>
        <v>0</v>
      </c>
      <c r="F29" s="489"/>
      <c r="G29" s="485"/>
    </row>
    <row r="30" spans="1:7" customFormat="1" ht="22.2" hidden="1" customHeight="1" thickBot="1" x14ac:dyDescent="0.3">
      <c r="A30" s="494"/>
      <c r="B30" s="8">
        <f>IF('Items sous domaines Sciences '!G32=5,'Items sous domaines Sciences '!B32,0)</f>
        <v>0</v>
      </c>
      <c r="C30" s="8">
        <f>IF('Items sous domaines Sciences '!G32=5,'Items sous domaines Sciences '!C32,0)</f>
        <v>0</v>
      </c>
      <c r="D30" s="8">
        <f>IF('Items sous domaines Sciences '!G32=5,'Items sous domaines Sciences '!D32,0)</f>
        <v>0</v>
      </c>
      <c r="E30" s="8">
        <f>IF('Items sous domaines Sciences '!G32=5,'Items sous domaines Sciences '!E32,0)</f>
        <v>0</v>
      </c>
      <c r="F30" s="489"/>
      <c r="G30" s="485"/>
    </row>
    <row r="31" spans="1:7" s="2" customFormat="1" ht="17.399999999999999" hidden="1" customHeight="1" thickBot="1" x14ac:dyDescent="0.3">
      <c r="A31" s="494"/>
      <c r="B31" s="8">
        <f>IF('Items sous domaines Sciences '!G33=5,'Items sous domaines Sciences '!B33,0)</f>
        <v>0</v>
      </c>
      <c r="C31" s="8">
        <f>IF('Items sous domaines Sciences '!G33=5,'Items sous domaines Sciences '!C33,0)</f>
        <v>0</v>
      </c>
      <c r="D31" s="8">
        <f>IF('Items sous domaines Sciences '!G33=5,'Items sous domaines Sciences '!D33,0)</f>
        <v>0</v>
      </c>
      <c r="E31" s="8">
        <f>IF('Items sous domaines Sciences '!G33=5,'Items sous domaines Sciences '!E33,0)</f>
        <v>0</v>
      </c>
      <c r="F31" s="489"/>
      <c r="G31" s="485"/>
    </row>
    <row r="32" spans="1:7" s="2" customFormat="1" ht="17.399999999999999" hidden="1" customHeight="1" thickBot="1" x14ac:dyDescent="0.3">
      <c r="A32" s="494"/>
      <c r="B32" s="8">
        <f>IF('Items sous domaines Sciences '!G34=5,'Items sous domaines Sciences '!B34,0)</f>
        <v>0</v>
      </c>
      <c r="C32" s="8">
        <f>IF('Items sous domaines Sciences '!G34=5,'Items sous domaines Sciences '!C34,0)</f>
        <v>0</v>
      </c>
      <c r="D32" s="8">
        <f>IF('Items sous domaines Sciences '!G34=5,'Items sous domaines Sciences '!D34,0)</f>
        <v>0</v>
      </c>
      <c r="E32" s="8">
        <f>IF('Items sous domaines Sciences '!G34=5,'Items sous domaines Sciences '!E34,0)</f>
        <v>0</v>
      </c>
      <c r="F32" s="489"/>
      <c r="G32" s="485"/>
    </row>
    <row r="33" spans="1:7" s="2" customFormat="1" ht="17.399999999999999" hidden="1" customHeight="1" thickBot="1" x14ac:dyDescent="0.3">
      <c r="A33" s="494"/>
      <c r="B33" s="8">
        <f>IF('Items sous domaines Sciences '!G35=5,'Items sous domaines Sciences '!B35,0)</f>
        <v>0</v>
      </c>
      <c r="C33" s="8">
        <f>IF('Items sous domaines Sciences '!G35=5,'Items sous domaines Sciences '!C35,0)</f>
        <v>0</v>
      </c>
      <c r="D33" s="8">
        <f>IF('Items sous domaines Sciences '!G35=5,'Items sous domaines Sciences '!D35,0)</f>
        <v>0</v>
      </c>
      <c r="E33" s="8">
        <f>IF('Items sous domaines Sciences '!G35=5,'Items sous domaines Sciences '!E35,0)</f>
        <v>0</v>
      </c>
      <c r="F33" s="489"/>
      <c r="G33" s="485"/>
    </row>
    <row r="34" spans="1:7" s="2" customFormat="1" ht="17.399999999999999" hidden="1" customHeight="1" thickBot="1" x14ac:dyDescent="0.3">
      <c r="A34" s="494"/>
      <c r="B34" s="8">
        <f>IF('Items sous domaines Sciences '!G36=5,'Items sous domaines Sciences '!B36,0)</f>
        <v>0</v>
      </c>
      <c r="C34" s="8">
        <f>IF('Items sous domaines Sciences '!G36=5,'Items sous domaines Sciences '!C36,0)</f>
        <v>0</v>
      </c>
      <c r="D34" s="8">
        <f>IF('Items sous domaines Sciences '!G36=5,'Items sous domaines Sciences '!D36,0)</f>
        <v>0</v>
      </c>
      <c r="E34" s="8">
        <f>IF('Items sous domaines Sciences '!G36=5,'Items sous domaines Sciences '!E36,0)</f>
        <v>0</v>
      </c>
      <c r="F34" s="489"/>
      <c r="G34" s="485"/>
    </row>
    <row r="35" spans="1:7" s="2" customFormat="1" ht="17.399999999999999" hidden="1" customHeight="1" thickBot="1" x14ac:dyDescent="0.3">
      <c r="A35" s="494"/>
      <c r="B35" s="8">
        <f>IF('Items sous domaines Sciences '!G37=5,'Items sous domaines Sciences '!B37,0)</f>
        <v>0</v>
      </c>
      <c r="C35" s="8">
        <f>IF('Items sous domaines Sciences '!G37=5,'Items sous domaines Sciences '!C37,0)</f>
        <v>0</v>
      </c>
      <c r="D35" s="8">
        <f>IF('Items sous domaines Sciences '!G37=5,'Items sous domaines Sciences '!D37,0)</f>
        <v>0</v>
      </c>
      <c r="E35" s="8">
        <f>IF('Items sous domaines Sciences '!G37=5,'Items sous domaines Sciences '!E37,0)</f>
        <v>0</v>
      </c>
      <c r="F35" s="489"/>
      <c r="G35" s="485"/>
    </row>
    <row r="36" spans="1:7" s="2" customFormat="1" ht="17.399999999999999" hidden="1" customHeight="1" thickBot="1" x14ac:dyDescent="0.3">
      <c r="A36" s="494"/>
      <c r="B36" s="8">
        <f>IF('Items sous domaines Sciences '!G38=5,'Items sous domaines Sciences '!B38,0)</f>
        <v>0</v>
      </c>
      <c r="C36" s="8">
        <f>IF('Items sous domaines Sciences '!G38=5,'Items sous domaines Sciences '!C38,0)</f>
        <v>0</v>
      </c>
      <c r="D36" s="8">
        <f>IF('Items sous domaines Sciences '!G38=5,'Items sous domaines Sciences '!D38,0)</f>
        <v>0</v>
      </c>
      <c r="E36" s="8">
        <f>IF('Items sous domaines Sciences '!G38=5,'Items sous domaines Sciences '!E38,0)</f>
        <v>0</v>
      </c>
      <c r="F36" s="489"/>
      <c r="G36" s="485"/>
    </row>
    <row r="37" spans="1:7" s="2" customFormat="1" ht="17.399999999999999" hidden="1" customHeight="1" thickBot="1" x14ac:dyDescent="0.3">
      <c r="A37" s="494"/>
      <c r="B37" s="8">
        <f>IF('Items sous domaines Sciences '!G39=5,'Items sous domaines Sciences '!B39,0)</f>
        <v>0</v>
      </c>
      <c r="C37" s="8">
        <f>IF('Items sous domaines Sciences '!G39=5,'Items sous domaines Sciences '!C39,0)</f>
        <v>0</v>
      </c>
      <c r="D37" s="8">
        <f>IF('Items sous domaines Sciences '!G39=5,'Items sous domaines Sciences '!D39,0)</f>
        <v>0</v>
      </c>
      <c r="E37" s="8">
        <f>IF('Items sous domaines Sciences '!G39=5,'Items sous domaines Sciences '!E39,0)</f>
        <v>0</v>
      </c>
      <c r="F37" s="489"/>
      <c r="G37" s="485"/>
    </row>
    <row r="38" spans="1:7" customFormat="1" ht="17.399999999999999" hidden="1" customHeight="1" thickBot="1" x14ac:dyDescent="0.3">
      <c r="A38" s="494"/>
      <c r="B38" s="8">
        <f>IF('Items sous domaines Sciences '!G40=5,'Items sous domaines Sciences '!B40,0)</f>
        <v>0</v>
      </c>
      <c r="C38" s="8">
        <f>IF('Items sous domaines Sciences '!G40=5,'Items sous domaines Sciences '!C40,0)</f>
        <v>0</v>
      </c>
      <c r="D38" s="8">
        <f>IF('Items sous domaines Sciences '!G40=5,'Items sous domaines Sciences '!D40,0)</f>
        <v>0</v>
      </c>
      <c r="E38" s="8">
        <f>IF('Items sous domaines Sciences '!G40=5,'Items sous domaines Sciences '!E40,0)</f>
        <v>0</v>
      </c>
      <c r="F38" s="489"/>
      <c r="G38" s="485"/>
    </row>
    <row r="39" spans="1:7" customFormat="1" ht="17.399999999999999" hidden="1" customHeight="1" thickBot="1" x14ac:dyDescent="0.3">
      <c r="A39" s="494"/>
      <c r="B39" s="8">
        <f>IF('Items sous domaines Sciences '!G41=5,'Items sous domaines Sciences '!B41,0)</f>
        <v>0</v>
      </c>
      <c r="C39" s="8">
        <f>IF('Items sous domaines Sciences '!G41=5,'Items sous domaines Sciences '!C41,0)</f>
        <v>0</v>
      </c>
      <c r="D39" s="8">
        <f>IF('Items sous domaines Sciences '!G41=5,'Items sous domaines Sciences '!D41,0)</f>
        <v>0</v>
      </c>
      <c r="E39" s="8">
        <f>IF('Items sous domaines Sciences '!G41=5,'Items sous domaines Sciences '!E41,0)</f>
        <v>0</v>
      </c>
      <c r="F39" s="489"/>
      <c r="G39" s="485"/>
    </row>
    <row r="40" spans="1:7" customFormat="1" ht="17.399999999999999" hidden="1" customHeight="1" thickBot="1" x14ac:dyDescent="0.3">
      <c r="A40" s="494"/>
      <c r="B40" s="8">
        <f>IF('Items sous domaines Sciences '!G42=5,'Items sous domaines Sciences '!B42,0)</f>
        <v>0</v>
      </c>
      <c r="C40" s="8">
        <f>IF('Items sous domaines Sciences '!G42=5,'Items sous domaines Sciences '!C42,0)</f>
        <v>0</v>
      </c>
      <c r="D40" s="8">
        <f>IF('Items sous domaines Sciences '!G42=5,'Items sous domaines Sciences '!D42,0)</f>
        <v>0</v>
      </c>
      <c r="E40" s="8">
        <f>IF('Items sous domaines Sciences '!G42=5,'Items sous domaines Sciences '!E42,0)</f>
        <v>0</v>
      </c>
      <c r="F40" s="489"/>
      <c r="G40" s="485"/>
    </row>
    <row r="41" spans="1:7" customFormat="1" ht="17.399999999999999" hidden="1" customHeight="1" thickBot="1" x14ac:dyDescent="0.3">
      <c r="A41" s="494"/>
      <c r="B41" s="8">
        <f>IF('Items sous domaines Sciences '!G43=5,'Items sous domaines Sciences '!B43,0)</f>
        <v>0</v>
      </c>
      <c r="C41" s="8">
        <f>IF('Items sous domaines Sciences '!G43=5,'Items sous domaines Sciences '!C43,0)</f>
        <v>0</v>
      </c>
      <c r="D41" s="8">
        <f>IF('Items sous domaines Sciences '!G43=5,'Items sous domaines Sciences '!D43,0)</f>
        <v>0</v>
      </c>
      <c r="E41" s="8">
        <f>IF('Items sous domaines Sciences '!G43=5,'Items sous domaines Sciences '!E43,0)</f>
        <v>0</v>
      </c>
      <c r="F41" s="489"/>
      <c r="G41" s="485"/>
    </row>
    <row r="42" spans="1:7" customFormat="1" ht="17.399999999999999" hidden="1" customHeight="1" thickBot="1" x14ac:dyDescent="0.3">
      <c r="A42" s="494"/>
      <c r="B42" s="8">
        <f>IF('Items sous domaines Sciences '!G44=5,'Items sous domaines Sciences '!B44,0)</f>
        <v>0</v>
      </c>
      <c r="C42" s="8">
        <f>IF('Items sous domaines Sciences '!G44=5,'Items sous domaines Sciences '!C44,0)</f>
        <v>0</v>
      </c>
      <c r="D42" s="8">
        <f>IF('Items sous domaines Sciences '!G44=5,'Items sous domaines Sciences '!D44,0)</f>
        <v>0</v>
      </c>
      <c r="E42" s="8">
        <f>IF('Items sous domaines Sciences '!G44=5,'Items sous domaines Sciences '!E44,0)</f>
        <v>0</v>
      </c>
      <c r="F42" s="489"/>
      <c r="G42" s="485"/>
    </row>
    <row r="43" spans="1:7" customFormat="1" ht="17.399999999999999" hidden="1" customHeight="1" thickBot="1" x14ac:dyDescent="0.3">
      <c r="A43" s="494"/>
      <c r="B43" s="8">
        <f>IF('Items sous domaines Sciences '!G45=5,'Items sous domaines Sciences '!B45,0)</f>
        <v>0</v>
      </c>
      <c r="C43" s="8">
        <f>IF('Items sous domaines Sciences '!G45=5,'Items sous domaines Sciences '!C45,0)</f>
        <v>0</v>
      </c>
      <c r="D43" s="8">
        <f>IF('Items sous domaines Sciences '!G45=5,'Items sous domaines Sciences '!D45,0)</f>
        <v>0</v>
      </c>
      <c r="E43" s="8">
        <f>IF('Items sous domaines Sciences '!G45=5,'Items sous domaines Sciences '!E45,0)</f>
        <v>0</v>
      </c>
      <c r="F43" s="489"/>
      <c r="G43" s="485"/>
    </row>
    <row r="44" spans="1:7" customFormat="1" ht="17.399999999999999" hidden="1" customHeight="1" thickBot="1" x14ac:dyDescent="0.3">
      <c r="A44" s="494"/>
      <c r="B44" s="8">
        <f>IF('Items sous domaines Sciences '!G46=5,'Items sous domaines Sciences '!B46,0)</f>
        <v>0</v>
      </c>
      <c r="C44" s="8">
        <f>IF('Items sous domaines Sciences '!G46=5,'Items sous domaines Sciences '!C46,0)</f>
        <v>0</v>
      </c>
      <c r="D44" s="8">
        <f>IF('Items sous domaines Sciences '!G46=5,'Items sous domaines Sciences '!D46,0)</f>
        <v>0</v>
      </c>
      <c r="E44" s="8">
        <f>IF('Items sous domaines Sciences '!G46=5,'Items sous domaines Sciences '!E46,0)</f>
        <v>0</v>
      </c>
      <c r="F44" s="489"/>
      <c r="G44" s="485"/>
    </row>
    <row r="45" spans="1:7" customFormat="1" ht="17.399999999999999" hidden="1" customHeight="1" thickBot="1" x14ac:dyDescent="0.3">
      <c r="A45" s="494"/>
      <c r="B45" s="8">
        <f>IF('Items sous domaines Sciences '!G47=5,'Items sous domaines Sciences '!B47,0)</f>
        <v>0</v>
      </c>
      <c r="C45" s="8">
        <f>IF('Items sous domaines Sciences '!G47=5,'Items sous domaines Sciences '!C47,0)</f>
        <v>0</v>
      </c>
      <c r="D45" s="8">
        <f>IF('Items sous domaines Sciences '!G47=5,'Items sous domaines Sciences '!D47,0)</f>
        <v>0</v>
      </c>
      <c r="E45" s="8">
        <f>IF('Items sous domaines Sciences '!G47=5,'Items sous domaines Sciences '!E47,0)</f>
        <v>0</v>
      </c>
      <c r="F45" s="489"/>
      <c r="G45" s="485"/>
    </row>
    <row r="46" spans="1:7" customFormat="1" ht="27.6" hidden="1" customHeight="1" thickBot="1" x14ac:dyDescent="0.3">
      <c r="A46" s="494"/>
      <c r="B46" s="8">
        <f>IF('Items sous domaines Sciences '!G48=5,'Items sous domaines Sciences '!B48,0)</f>
        <v>0</v>
      </c>
      <c r="C46" s="8">
        <f>IF('Items sous domaines Sciences '!G48=5,'Items sous domaines Sciences '!C48,0)</f>
        <v>0</v>
      </c>
      <c r="D46" s="8">
        <f>IF('Items sous domaines Sciences '!G48=5,'Items sous domaines Sciences '!D48,0)</f>
        <v>0</v>
      </c>
      <c r="E46" s="8">
        <f>IF('Items sous domaines Sciences '!G48=5,'Items sous domaines Sciences '!E48,0)</f>
        <v>0</v>
      </c>
      <c r="F46" s="489"/>
      <c r="G46" s="485"/>
    </row>
    <row r="47" spans="1:7" customFormat="1" ht="17.399999999999999" hidden="1" customHeight="1" thickBot="1" x14ac:dyDescent="0.3">
      <c r="A47" s="494"/>
      <c r="B47" s="8">
        <f>IF('Items sous domaines Sciences '!G49=5,'Items sous domaines Sciences '!B49,0)</f>
        <v>0</v>
      </c>
      <c r="C47" s="8">
        <f>IF('Items sous domaines Sciences '!G49=5,'Items sous domaines Sciences '!C49,0)</f>
        <v>0</v>
      </c>
      <c r="D47" s="8">
        <f>IF('Items sous domaines Sciences '!G49=5,'Items sous domaines Sciences '!D49,0)</f>
        <v>0</v>
      </c>
      <c r="E47" s="8">
        <f>IF('Items sous domaines Sciences '!G49=5,'Items sous domaines Sciences '!E49,0)</f>
        <v>0</v>
      </c>
      <c r="F47" s="489"/>
      <c r="G47" s="485"/>
    </row>
    <row r="48" spans="1:7" customFormat="1" ht="17.399999999999999" hidden="1" customHeight="1" thickBot="1" x14ac:dyDescent="0.3">
      <c r="A48" s="494"/>
      <c r="B48" s="8">
        <f>IF('Items sous domaines Sciences '!G50=5,'Items sous domaines Sciences '!B50,0)</f>
        <v>0</v>
      </c>
      <c r="C48" s="8">
        <f>IF('Items sous domaines Sciences '!G50=5,'Items sous domaines Sciences '!C50,0)</f>
        <v>0</v>
      </c>
      <c r="D48" s="8">
        <f>IF('Items sous domaines Sciences '!G50=5,'Items sous domaines Sciences '!D50,0)</f>
        <v>0</v>
      </c>
      <c r="E48" s="8">
        <f>IF('Items sous domaines Sciences '!G50=5,'Items sous domaines Sciences '!E50,0)</f>
        <v>0</v>
      </c>
      <c r="F48" s="489"/>
      <c r="G48" s="485"/>
    </row>
    <row r="49" spans="1:7" customFormat="1" ht="17.399999999999999" hidden="1" customHeight="1" thickBot="1" x14ac:dyDescent="0.3">
      <c r="A49" s="494"/>
      <c r="B49" s="8">
        <f>IF('Items sous domaines Sciences '!G51=5,'Items sous domaines Sciences '!B51,0)</f>
        <v>0</v>
      </c>
      <c r="C49" s="8">
        <f>IF('Items sous domaines Sciences '!G51=5,'Items sous domaines Sciences '!C51,0)</f>
        <v>0</v>
      </c>
      <c r="D49" s="8">
        <f>IF('Items sous domaines Sciences '!G51=5,'Items sous domaines Sciences '!D51,0)</f>
        <v>0</v>
      </c>
      <c r="E49" s="8">
        <f>IF('Items sous domaines Sciences '!G51=5,'Items sous domaines Sciences '!E51,0)</f>
        <v>0</v>
      </c>
      <c r="F49" s="489"/>
      <c r="G49" s="485"/>
    </row>
    <row r="50" spans="1:7" customFormat="1" ht="17.399999999999999" hidden="1" customHeight="1" thickBot="1" x14ac:dyDescent="0.3">
      <c r="A50" s="494"/>
      <c r="B50" s="8">
        <f>IF('Items sous domaines Sciences '!G52=5,'Items sous domaines Sciences '!B52,0)</f>
        <v>0</v>
      </c>
      <c r="C50" s="8">
        <f>IF('Items sous domaines Sciences '!G52=5,'Items sous domaines Sciences '!C52,0)</f>
        <v>0</v>
      </c>
      <c r="D50" s="8">
        <f>IF('Items sous domaines Sciences '!G52=5,'Items sous domaines Sciences '!D52,0)</f>
        <v>0</v>
      </c>
      <c r="E50" s="8">
        <f>IF('Items sous domaines Sciences '!G52=5,'Items sous domaines Sciences '!E52,0)</f>
        <v>0</v>
      </c>
      <c r="F50" s="489"/>
      <c r="G50" s="485"/>
    </row>
    <row r="51" spans="1:7" customFormat="1" ht="17.399999999999999" hidden="1" customHeight="1" thickBot="1" x14ac:dyDescent="0.3">
      <c r="A51" s="494"/>
      <c r="B51" s="8">
        <f>IF('Items sous domaines Sciences '!G53=5,'Items sous domaines Sciences '!B53,0)</f>
        <v>0</v>
      </c>
      <c r="C51" s="8">
        <f>IF('Items sous domaines Sciences '!G53=5,'Items sous domaines Sciences '!C53,0)</f>
        <v>0</v>
      </c>
      <c r="D51" s="8">
        <f>IF('Items sous domaines Sciences '!G53=5,'Items sous domaines Sciences '!D53,0)</f>
        <v>0</v>
      </c>
      <c r="E51" s="8">
        <f>IF('Items sous domaines Sciences '!G53=5,'Items sous domaines Sciences '!E53,0)</f>
        <v>0</v>
      </c>
      <c r="F51" s="489"/>
      <c r="G51" s="485"/>
    </row>
    <row r="52" spans="1:7" customFormat="1" ht="27.6" hidden="1" customHeight="1" thickBot="1" x14ac:dyDescent="0.3">
      <c r="A52" s="494"/>
      <c r="B52" s="8">
        <f>IF('Items sous domaines Sciences '!G54=5,'Items sous domaines Sciences '!B54,0)</f>
        <v>0</v>
      </c>
      <c r="C52" s="8">
        <f>IF('Items sous domaines Sciences '!G54=5,'Items sous domaines Sciences '!C54,0)</f>
        <v>0</v>
      </c>
      <c r="D52" s="8">
        <f>IF('Items sous domaines Sciences '!G54=5,'Items sous domaines Sciences '!D54,0)</f>
        <v>0</v>
      </c>
      <c r="E52" s="8">
        <f>IF('Items sous domaines Sciences '!G54=5,'Items sous domaines Sciences '!E54,0)</f>
        <v>0</v>
      </c>
      <c r="F52" s="489"/>
      <c r="G52" s="485"/>
    </row>
    <row r="53" spans="1:7" customFormat="1" ht="22.2" hidden="1" customHeight="1" thickBot="1" x14ac:dyDescent="0.3">
      <c r="A53" s="494"/>
      <c r="B53" s="8">
        <f>IF('Items sous domaines Sciences '!G55=5,'Items sous domaines Sciences '!B55,0)</f>
        <v>0</v>
      </c>
      <c r="C53" s="8">
        <f>IF('Items sous domaines Sciences '!G55=5,'Items sous domaines Sciences '!C55,0)</f>
        <v>0</v>
      </c>
      <c r="D53" s="8">
        <f>IF('Items sous domaines Sciences '!G55=5,'Items sous domaines Sciences '!D55,0)</f>
        <v>0</v>
      </c>
      <c r="E53" s="8">
        <f>IF('Items sous domaines Sciences '!G55=5,'Items sous domaines Sciences '!E55,0)</f>
        <v>0</v>
      </c>
      <c r="F53" s="489"/>
      <c r="G53" s="485"/>
    </row>
    <row r="54" spans="1:7" s="3" customFormat="1" ht="27.6" hidden="1" customHeight="1" thickBot="1" x14ac:dyDescent="0.3">
      <c r="A54" s="494"/>
      <c r="B54" s="8">
        <f>IF('Items sous domaines Sciences '!G56=5,'Items sous domaines Sciences '!B56,0)</f>
        <v>0</v>
      </c>
      <c r="C54" s="8">
        <f>IF('Items sous domaines Sciences '!G56=5,'Items sous domaines Sciences '!C56,0)</f>
        <v>0</v>
      </c>
      <c r="D54" s="8">
        <f>IF('Items sous domaines Sciences '!G56=5,'Items sous domaines Sciences '!D56,0)</f>
        <v>0</v>
      </c>
      <c r="E54" s="8">
        <f>IF('Items sous domaines Sciences '!G56=5,'Items sous domaines Sciences '!E56,0)</f>
        <v>0</v>
      </c>
      <c r="F54" s="489"/>
      <c r="G54" s="485"/>
    </row>
    <row r="55" spans="1:7" customFormat="1" ht="17.399999999999999" hidden="1" customHeight="1" thickBot="1" x14ac:dyDescent="0.3">
      <c r="A55" s="494"/>
      <c r="B55" s="8">
        <f>IF('Items sous domaines Sciences '!G57=5,'Items sous domaines Sciences '!B57,0)</f>
        <v>0</v>
      </c>
      <c r="C55" s="8">
        <f>IF('Items sous domaines Sciences '!G57=5,'Items sous domaines Sciences '!C57,0)</f>
        <v>0</v>
      </c>
      <c r="D55" s="8">
        <f>IF('Items sous domaines Sciences '!G57=5,'Items sous domaines Sciences '!D57,0)</f>
        <v>0</v>
      </c>
      <c r="E55" s="8">
        <f>IF('Items sous domaines Sciences '!G57=5,'Items sous domaines Sciences '!E57,0)</f>
        <v>0</v>
      </c>
      <c r="F55" s="489"/>
      <c r="G55" s="485"/>
    </row>
    <row r="56" spans="1:7" customFormat="1" ht="17.399999999999999" hidden="1" customHeight="1" thickBot="1" x14ac:dyDescent="0.3">
      <c r="A56" s="494"/>
      <c r="B56" s="8">
        <f>IF('Items sous domaines Sciences '!G58=5,'Items sous domaines Sciences '!B58,0)</f>
        <v>0</v>
      </c>
      <c r="C56" s="8">
        <f>IF('Items sous domaines Sciences '!G58=5,'Items sous domaines Sciences '!C58,0)</f>
        <v>0</v>
      </c>
      <c r="D56" s="8">
        <f>IF('Items sous domaines Sciences '!G58=5,'Items sous domaines Sciences '!D58,0)</f>
        <v>0</v>
      </c>
      <c r="E56" s="8">
        <f>IF('Items sous domaines Sciences '!G58=5,'Items sous domaines Sciences '!E58,0)</f>
        <v>0</v>
      </c>
      <c r="F56" s="489"/>
      <c r="G56" s="485"/>
    </row>
    <row r="57" spans="1:7" customFormat="1" ht="17.399999999999999" hidden="1" customHeight="1" thickBot="1" x14ac:dyDescent="0.3">
      <c r="A57" s="494"/>
      <c r="B57" s="8">
        <f>IF('Items sous domaines Sciences '!G59=5,'Items sous domaines Sciences '!B59,0)</f>
        <v>0</v>
      </c>
      <c r="C57" s="8">
        <f>IF('Items sous domaines Sciences '!G59=5,'Items sous domaines Sciences '!C59,0)</f>
        <v>0</v>
      </c>
      <c r="D57" s="8">
        <f>IF('Items sous domaines Sciences '!G59=5,'Items sous domaines Sciences '!D59,0)</f>
        <v>0</v>
      </c>
      <c r="E57" s="8">
        <f>IF('Items sous domaines Sciences '!G59=5,'Items sous domaines Sciences '!E59,0)</f>
        <v>0</v>
      </c>
      <c r="F57" s="489"/>
      <c r="G57" s="485"/>
    </row>
    <row r="58" spans="1:7" customFormat="1" ht="17.399999999999999" hidden="1" customHeight="1" thickBot="1" x14ac:dyDescent="0.3">
      <c r="A58" s="494"/>
      <c r="B58" s="8">
        <f>IF('Items sous domaines Sciences '!G60=5,'Items sous domaines Sciences '!B60,0)</f>
        <v>0</v>
      </c>
      <c r="C58" s="8">
        <f>IF('Items sous domaines Sciences '!G60=5,'Items sous domaines Sciences '!C60,0)</f>
        <v>0</v>
      </c>
      <c r="D58" s="8">
        <f>IF('Items sous domaines Sciences '!G60=5,'Items sous domaines Sciences '!D60,0)</f>
        <v>0</v>
      </c>
      <c r="E58" s="8">
        <f>IF('Items sous domaines Sciences '!G60=5,'Items sous domaines Sciences '!E60,0)</f>
        <v>0</v>
      </c>
      <c r="F58" s="489"/>
      <c r="G58" s="485"/>
    </row>
    <row r="59" spans="1:7" customFormat="1" ht="17.399999999999999" hidden="1" customHeight="1" thickBot="1" x14ac:dyDescent="0.3">
      <c r="A59" s="494"/>
      <c r="B59" s="8">
        <f>IF('Items sous domaines Sciences '!G61=5,'Items sous domaines Sciences '!B61,0)</f>
        <v>0</v>
      </c>
      <c r="C59" s="8">
        <f>IF('Items sous domaines Sciences '!G61=5,'Items sous domaines Sciences '!C61,0)</f>
        <v>0</v>
      </c>
      <c r="D59" s="8">
        <f>IF('Items sous domaines Sciences '!G61=5,'Items sous domaines Sciences '!D61,0)</f>
        <v>0</v>
      </c>
      <c r="E59" s="8">
        <f>IF('Items sous domaines Sciences '!G61=5,'Items sous domaines Sciences '!E61,0)</f>
        <v>0</v>
      </c>
      <c r="F59" s="489"/>
      <c r="G59" s="485"/>
    </row>
    <row r="60" spans="1:7" customFormat="1" ht="23.4" hidden="1" customHeight="1" thickBot="1" x14ac:dyDescent="0.3">
      <c r="A60" s="494"/>
      <c r="B60" s="8">
        <f>IF('Items sous domaines Sciences '!G62=5,'Items sous domaines Sciences '!B62,0)</f>
        <v>0</v>
      </c>
      <c r="C60" s="8">
        <f>IF('Items sous domaines Sciences '!G62=5,'Items sous domaines Sciences '!C62,0)</f>
        <v>0</v>
      </c>
      <c r="D60" s="8">
        <f>IF('Items sous domaines Sciences '!G62=5,'Items sous domaines Sciences '!D62,0)</f>
        <v>0</v>
      </c>
      <c r="E60" s="8">
        <f>IF('Items sous domaines Sciences '!G62=5,'Items sous domaines Sciences '!E62,0)</f>
        <v>0</v>
      </c>
      <c r="F60" s="489"/>
      <c r="G60" s="485"/>
    </row>
    <row r="61" spans="1:7" customFormat="1" ht="43.95" hidden="1" customHeight="1" thickBot="1" x14ac:dyDescent="0.3">
      <c r="A61" s="494"/>
      <c r="B61" s="8">
        <f>IF('Items sous domaines Sciences '!G63=5,'Items sous domaines Sciences '!B63,0)</f>
        <v>0</v>
      </c>
      <c r="C61" s="8">
        <f>IF('Items sous domaines Sciences '!G63=5,'Items sous domaines Sciences '!C63,0)</f>
        <v>0</v>
      </c>
      <c r="D61" s="8">
        <f>IF('Items sous domaines Sciences '!G63=5,'Items sous domaines Sciences '!D63,0)</f>
        <v>0</v>
      </c>
      <c r="E61" s="8">
        <f>IF('Items sous domaines Sciences '!G63=5,'Items sous domaines Sciences '!E63,0)</f>
        <v>0</v>
      </c>
      <c r="F61" s="489"/>
      <c r="G61" s="485"/>
    </row>
    <row r="62" spans="1:7" customFormat="1" ht="30" hidden="1" customHeight="1" thickBot="1" x14ac:dyDescent="0.3">
      <c r="A62" s="494"/>
      <c r="B62" s="8">
        <f>IF('Items sous domaines Sciences '!G64=5,'Items sous domaines Sciences '!B64,0)</f>
        <v>0</v>
      </c>
      <c r="C62" s="8">
        <f>IF('Items sous domaines Sciences '!G64=5,'Items sous domaines Sciences '!C64,0)</f>
        <v>0</v>
      </c>
      <c r="D62" s="8">
        <f>IF('Items sous domaines Sciences '!G64=5,'Items sous domaines Sciences '!D64,0)</f>
        <v>0</v>
      </c>
      <c r="E62" s="8">
        <f>IF('Items sous domaines Sciences '!G64=5,'Items sous domaines Sciences '!E64,0)</f>
        <v>0</v>
      </c>
      <c r="F62" s="489"/>
      <c r="G62" s="485"/>
    </row>
    <row r="63" spans="1:7" customFormat="1" ht="17.399999999999999" hidden="1" customHeight="1" thickBot="1" x14ac:dyDescent="0.3">
      <c r="A63" s="494"/>
      <c r="B63" s="8">
        <f>IF('Items sous domaines Sciences '!G65=5,'Items sous domaines Sciences '!B65,0)</f>
        <v>0</v>
      </c>
      <c r="C63" s="8">
        <f>IF('Items sous domaines Sciences '!G65=5,'Items sous domaines Sciences '!C65,0)</f>
        <v>0</v>
      </c>
      <c r="D63" s="8">
        <f>IF('Items sous domaines Sciences '!G65=5,'Items sous domaines Sciences '!D65,0)</f>
        <v>0</v>
      </c>
      <c r="E63" s="8">
        <f>IF('Items sous domaines Sciences '!G65=5,'Items sous domaines Sciences '!E65,0)</f>
        <v>0</v>
      </c>
      <c r="F63" s="489"/>
      <c r="G63" s="485"/>
    </row>
    <row r="64" spans="1:7" customFormat="1" ht="17.399999999999999" hidden="1" customHeight="1" thickBot="1" x14ac:dyDescent="0.3">
      <c r="A64" s="494"/>
      <c r="B64" s="8">
        <f>IF('Items sous domaines Sciences '!G66=5,'Items sous domaines Sciences '!B66,0)</f>
        <v>0</v>
      </c>
      <c r="C64" s="8">
        <f>IF('Items sous domaines Sciences '!G66=5,'Items sous domaines Sciences '!C66,0)</f>
        <v>0</v>
      </c>
      <c r="D64" s="8">
        <f>IF('Items sous domaines Sciences '!G66=5,'Items sous domaines Sciences '!D66,0)</f>
        <v>0</v>
      </c>
      <c r="E64" s="8">
        <f>IF('Items sous domaines Sciences '!G66=5,'Items sous domaines Sciences '!E66,0)</f>
        <v>0</v>
      </c>
      <c r="F64" s="489"/>
      <c r="G64" s="485"/>
    </row>
    <row r="65" spans="1:7" customFormat="1" ht="17.399999999999999" hidden="1" customHeight="1" thickBot="1" x14ac:dyDescent="0.3">
      <c r="A65" s="494"/>
      <c r="B65" s="8">
        <f>IF('Items sous domaines Sciences '!G67=5,'Items sous domaines Sciences '!B67,0)</f>
        <v>0</v>
      </c>
      <c r="C65" s="8">
        <f>IF('Items sous domaines Sciences '!G67=5,'Items sous domaines Sciences '!C67,0)</f>
        <v>0</v>
      </c>
      <c r="D65" s="8">
        <f>IF('Items sous domaines Sciences '!G67=5,'Items sous domaines Sciences '!D67,0)</f>
        <v>0</v>
      </c>
      <c r="E65" s="8">
        <f>IF('Items sous domaines Sciences '!G67=5,'Items sous domaines Sciences '!E67,0)</f>
        <v>0</v>
      </c>
      <c r="F65" s="489"/>
      <c r="G65" s="485"/>
    </row>
    <row r="66" spans="1:7" customFormat="1" ht="17.399999999999999" hidden="1" customHeight="1" thickBot="1" x14ac:dyDescent="0.3">
      <c r="A66" s="494"/>
      <c r="B66" s="8">
        <f>IF('Items sous domaines Sciences '!G68=5,'Items sous domaines Sciences '!B68,0)</f>
        <v>0</v>
      </c>
      <c r="C66" s="8">
        <f>IF('Items sous domaines Sciences '!G68=5,'Items sous domaines Sciences '!C68,0)</f>
        <v>0</v>
      </c>
      <c r="D66" s="8">
        <f>IF('Items sous domaines Sciences '!G68=5,'Items sous domaines Sciences '!D68,0)</f>
        <v>0</v>
      </c>
      <c r="E66" s="8">
        <f>IF('Items sous domaines Sciences '!G68=5,'Items sous domaines Sciences '!E68,0)</f>
        <v>0</v>
      </c>
      <c r="F66" s="489"/>
      <c r="G66" s="485"/>
    </row>
    <row r="67" spans="1:7" customFormat="1" ht="17.399999999999999" hidden="1" customHeight="1" thickBot="1" x14ac:dyDescent="0.3">
      <c r="A67" s="494"/>
      <c r="B67" s="8">
        <f>IF('Items sous domaines Sciences '!G69=5,'Items sous domaines Sciences '!B69,0)</f>
        <v>0</v>
      </c>
      <c r="C67" s="8">
        <f>IF('Items sous domaines Sciences '!G69=5,'Items sous domaines Sciences '!C69,0)</f>
        <v>0</v>
      </c>
      <c r="D67" s="8">
        <f>IF('Items sous domaines Sciences '!G69=5,'Items sous domaines Sciences '!D69,0)</f>
        <v>0</v>
      </c>
      <c r="E67" s="8">
        <f>IF('Items sous domaines Sciences '!G69=5,'Items sous domaines Sciences '!E69,0)</f>
        <v>0</v>
      </c>
      <c r="F67" s="489"/>
      <c r="G67" s="485"/>
    </row>
    <row r="68" spans="1:7" customFormat="1" ht="17.399999999999999" hidden="1" customHeight="1" thickBot="1" x14ac:dyDescent="0.3">
      <c r="A68" s="494"/>
      <c r="B68" s="8">
        <f>IF('Items sous domaines Sciences '!G70=5,'Items sous domaines Sciences '!B70,0)</f>
        <v>0</v>
      </c>
      <c r="C68" s="8">
        <f>IF('Items sous domaines Sciences '!G70=5,'Items sous domaines Sciences '!C70,0)</f>
        <v>0</v>
      </c>
      <c r="D68" s="8">
        <f>IF('Items sous domaines Sciences '!G70=5,'Items sous domaines Sciences '!D70,0)</f>
        <v>0</v>
      </c>
      <c r="E68" s="8">
        <f>IF('Items sous domaines Sciences '!G70=5,'Items sous domaines Sciences '!E70,0)</f>
        <v>0</v>
      </c>
      <c r="F68" s="489"/>
      <c r="G68" s="485"/>
    </row>
    <row r="69" spans="1:7" customFormat="1" ht="22.2" hidden="1" customHeight="1" thickBot="1" x14ac:dyDescent="0.3">
      <c r="A69" s="494"/>
      <c r="B69" s="8">
        <f>IF('Items sous domaines Sciences '!G71=5,'Items sous domaines Sciences '!B71,0)</f>
        <v>0</v>
      </c>
      <c r="C69" s="8">
        <f>IF('Items sous domaines Sciences '!G71=5,'Items sous domaines Sciences '!C71,0)</f>
        <v>0</v>
      </c>
      <c r="D69" s="8">
        <f>IF('Items sous domaines Sciences '!G71=5,'Items sous domaines Sciences '!D71,0)</f>
        <v>0</v>
      </c>
      <c r="E69" s="8">
        <f>IF('Items sous domaines Sciences '!G71=5,'Items sous domaines Sciences '!E71,0)</f>
        <v>0</v>
      </c>
      <c r="F69" s="489"/>
      <c r="G69" s="485"/>
    </row>
    <row r="70" spans="1:7" customFormat="1" ht="17.399999999999999" hidden="1" customHeight="1" thickBot="1" x14ac:dyDescent="0.3">
      <c r="A70" s="494"/>
      <c r="B70" s="8">
        <f>IF('Items sous domaines Sciences '!G72=5,'Items sous domaines Sciences '!B72,0)</f>
        <v>0</v>
      </c>
      <c r="C70" s="8">
        <f>IF('Items sous domaines Sciences '!G72=5,'Items sous domaines Sciences '!C72,0)</f>
        <v>0</v>
      </c>
      <c r="D70" s="8">
        <f>IF('Items sous domaines Sciences '!G72=5,'Items sous domaines Sciences '!D72,0)</f>
        <v>0</v>
      </c>
      <c r="E70" s="8">
        <f>IF('Items sous domaines Sciences '!G72=5,'Items sous domaines Sciences '!E72,0)</f>
        <v>0</v>
      </c>
      <c r="F70" s="489"/>
      <c r="G70" s="485"/>
    </row>
    <row r="71" spans="1:7" customFormat="1" ht="27.6" hidden="1" customHeight="1" thickBot="1" x14ac:dyDescent="0.3">
      <c r="A71" s="494"/>
      <c r="B71" s="8">
        <f>IF('Items sous domaines Sciences '!G73=5,'Items sous domaines Sciences '!B73,0)</f>
        <v>0</v>
      </c>
      <c r="C71" s="8">
        <f>IF('Items sous domaines Sciences '!G73=5,'Items sous domaines Sciences '!C73,0)</f>
        <v>0</v>
      </c>
      <c r="D71" s="8">
        <f>IF('Items sous domaines Sciences '!G73=5,'Items sous domaines Sciences '!D73,0)</f>
        <v>0</v>
      </c>
      <c r="E71" s="8">
        <f>IF('Items sous domaines Sciences '!G73=5,'Items sous domaines Sciences '!E73,0)</f>
        <v>0</v>
      </c>
      <c r="F71" s="489"/>
      <c r="G71" s="485"/>
    </row>
    <row r="72" spans="1:7" customFormat="1" ht="17.399999999999999" hidden="1" customHeight="1" thickBot="1" x14ac:dyDescent="0.3">
      <c r="A72" s="494"/>
      <c r="B72" s="8">
        <f>IF('Items sous domaines Sciences '!G74=5,'Items sous domaines Sciences '!B74,0)</f>
        <v>0</v>
      </c>
      <c r="C72" s="8">
        <f>IF('Items sous domaines Sciences '!G74=5,'Items sous domaines Sciences '!C74,0)</f>
        <v>0</v>
      </c>
      <c r="D72" s="8">
        <f>IF('Items sous domaines Sciences '!G74=5,'Items sous domaines Sciences '!D74,0)</f>
        <v>0</v>
      </c>
      <c r="E72" s="8">
        <f>IF('Items sous domaines Sciences '!G74=5,'Items sous domaines Sciences '!E74,0)</f>
        <v>0</v>
      </c>
      <c r="F72" s="489"/>
      <c r="G72" s="485"/>
    </row>
    <row r="73" spans="1:7" customFormat="1" ht="17.399999999999999" hidden="1" customHeight="1" thickBot="1" x14ac:dyDescent="0.3">
      <c r="A73" s="494"/>
      <c r="B73" s="8">
        <f>IF('Items sous domaines Sciences '!G75=5,'Items sous domaines Sciences '!B75,0)</f>
        <v>0</v>
      </c>
      <c r="C73" s="8">
        <f>IF('Items sous domaines Sciences '!G75=5,'Items sous domaines Sciences '!C75,0)</f>
        <v>0</v>
      </c>
      <c r="D73" s="8">
        <f>IF('Items sous domaines Sciences '!G75=5,'Items sous domaines Sciences '!D75,0)</f>
        <v>0</v>
      </c>
      <c r="E73" s="8">
        <f>IF('Items sous domaines Sciences '!G75=5,'Items sous domaines Sciences '!E75,0)</f>
        <v>0</v>
      </c>
      <c r="F73" s="489"/>
      <c r="G73" s="485"/>
    </row>
    <row r="74" spans="1:7" customFormat="1" ht="17.399999999999999" hidden="1" customHeight="1" thickBot="1" x14ac:dyDescent="0.3">
      <c r="A74" s="494"/>
      <c r="B74" s="8">
        <f>IF('Items sous domaines Sciences '!G76=5,'Items sous domaines Sciences '!B76,0)</f>
        <v>0</v>
      </c>
      <c r="C74" s="8">
        <f>IF('Items sous domaines Sciences '!G76=5,'Items sous domaines Sciences '!C76,0)</f>
        <v>0</v>
      </c>
      <c r="D74" s="8">
        <f>IF('Items sous domaines Sciences '!G76=5,'Items sous domaines Sciences '!D76,0)</f>
        <v>0</v>
      </c>
      <c r="E74" s="8">
        <f>IF('Items sous domaines Sciences '!G76=5,'Items sous domaines Sciences '!E76,0)</f>
        <v>0</v>
      </c>
      <c r="F74" s="489"/>
      <c r="G74" s="485"/>
    </row>
    <row r="75" spans="1:7" customFormat="1" ht="17.399999999999999" hidden="1" customHeight="1" thickBot="1" x14ac:dyDescent="0.3">
      <c r="A75" s="494"/>
      <c r="B75" s="8">
        <f>IF('Items sous domaines Sciences '!G77=5,'Items sous domaines Sciences '!B77,0)</f>
        <v>0</v>
      </c>
      <c r="C75" s="8">
        <f>IF('Items sous domaines Sciences '!G77=5,'Items sous domaines Sciences '!C77,0)</f>
        <v>0</v>
      </c>
      <c r="D75" s="8">
        <f>IF('Items sous domaines Sciences '!G77=5,'Items sous domaines Sciences '!D77,0)</f>
        <v>0</v>
      </c>
      <c r="E75" s="8">
        <f>IF('Items sous domaines Sciences '!G77=5,'Items sous domaines Sciences '!E77,0)</f>
        <v>0</v>
      </c>
      <c r="F75" s="489"/>
      <c r="G75" s="485"/>
    </row>
    <row r="76" spans="1:7" customFormat="1" ht="17.399999999999999" hidden="1" customHeight="1" thickBot="1" x14ac:dyDescent="0.3">
      <c r="A76" s="494"/>
      <c r="B76" s="8">
        <f>IF('Items sous domaines Sciences '!G78=5,'Items sous domaines Sciences '!B78,0)</f>
        <v>0</v>
      </c>
      <c r="C76" s="8">
        <f>IF('Items sous domaines Sciences '!G78=5,'Items sous domaines Sciences '!C78,0)</f>
        <v>0</v>
      </c>
      <c r="D76" s="8">
        <f>IF('Items sous domaines Sciences '!G78=5,'Items sous domaines Sciences '!D78,0)</f>
        <v>0</v>
      </c>
      <c r="E76" s="8">
        <f>IF('Items sous domaines Sciences '!G78=5,'Items sous domaines Sciences '!E78,0)</f>
        <v>0</v>
      </c>
      <c r="F76" s="489"/>
      <c r="G76" s="485"/>
    </row>
    <row r="77" spans="1:7" customFormat="1" ht="17.399999999999999" hidden="1" customHeight="1" thickBot="1" x14ac:dyDescent="0.3">
      <c r="A77" s="494"/>
      <c r="B77" s="8">
        <f>IF('Items sous domaines Sciences '!G79=5,'Items sous domaines Sciences '!B79,0)</f>
        <v>0</v>
      </c>
      <c r="C77" s="8">
        <f>IF('Items sous domaines Sciences '!G79=5,'Items sous domaines Sciences '!C79,0)</f>
        <v>0</v>
      </c>
      <c r="D77" s="8">
        <f>IF('Items sous domaines Sciences '!G79=5,'Items sous domaines Sciences '!D79,0)</f>
        <v>0</v>
      </c>
      <c r="E77" s="8">
        <f>IF('Items sous domaines Sciences '!G79=5,'Items sous domaines Sciences '!E79,0)</f>
        <v>0</v>
      </c>
      <c r="F77" s="489"/>
      <c r="G77" s="485"/>
    </row>
    <row r="78" spans="1:7" customFormat="1" ht="17.399999999999999" hidden="1" customHeight="1" thickBot="1" x14ac:dyDescent="0.3">
      <c r="A78" s="494"/>
      <c r="B78" s="8">
        <f>IF('Items sous domaines Sciences '!G80=5,'Items sous domaines Sciences '!B80,0)</f>
        <v>0</v>
      </c>
      <c r="C78" s="8">
        <f>IF('Items sous domaines Sciences '!G80=5,'Items sous domaines Sciences '!C80,0)</f>
        <v>0</v>
      </c>
      <c r="D78" s="8">
        <f>IF('Items sous domaines Sciences '!G80=5,'Items sous domaines Sciences '!D80,0)</f>
        <v>0</v>
      </c>
      <c r="E78" s="8">
        <f>IF('Items sous domaines Sciences '!G80=5,'Items sous domaines Sciences '!E80,0)</f>
        <v>0</v>
      </c>
      <c r="F78" s="489"/>
      <c r="G78" s="485"/>
    </row>
    <row r="79" spans="1:7" customFormat="1" ht="17.399999999999999" hidden="1" customHeight="1" thickBot="1" x14ac:dyDescent="0.3">
      <c r="A79" s="494"/>
      <c r="B79" s="8">
        <f>IF('Items sous domaines Sciences '!G81=5,'Items sous domaines Sciences '!B81,0)</f>
        <v>0</v>
      </c>
      <c r="C79" s="8">
        <f>IF('Items sous domaines Sciences '!G81=5,'Items sous domaines Sciences '!C81,0)</f>
        <v>0</v>
      </c>
      <c r="D79" s="8">
        <f>IF('Items sous domaines Sciences '!G81=5,'Items sous domaines Sciences '!D81,0)</f>
        <v>0</v>
      </c>
      <c r="E79" s="8">
        <f>IF('Items sous domaines Sciences '!G81=5,'Items sous domaines Sciences '!E81,0)</f>
        <v>0</v>
      </c>
      <c r="F79" s="489"/>
      <c r="G79" s="485"/>
    </row>
    <row r="80" spans="1:7" customFormat="1" ht="17.399999999999999" hidden="1" customHeight="1" thickBot="1" x14ac:dyDescent="0.3">
      <c r="A80" s="494"/>
      <c r="B80" s="8">
        <f>IF('Items sous domaines Sciences '!G82=5,'Items sous domaines Sciences '!B82,0)</f>
        <v>0</v>
      </c>
      <c r="C80" s="8">
        <f>IF('Items sous domaines Sciences '!G82=5,'Items sous domaines Sciences '!C82,0)</f>
        <v>0</v>
      </c>
      <c r="D80" s="8">
        <f>IF('Items sous domaines Sciences '!G82=5,'Items sous domaines Sciences '!D82,0)</f>
        <v>0</v>
      </c>
      <c r="E80" s="8">
        <f>IF('Items sous domaines Sciences '!G82=5,'Items sous domaines Sciences '!E82,0)</f>
        <v>0</v>
      </c>
      <c r="F80" s="489"/>
      <c r="G80" s="485"/>
    </row>
    <row r="81" spans="1:7" customFormat="1" ht="17.399999999999999" hidden="1" customHeight="1" thickBot="1" x14ac:dyDescent="0.3">
      <c r="A81" s="494"/>
      <c r="B81" s="8">
        <f>IF('Items sous domaines Sciences '!G83=5,'Items sous domaines Sciences '!B83,0)</f>
        <v>0</v>
      </c>
      <c r="C81" s="8">
        <f>IF('Items sous domaines Sciences '!G83=5,'Items sous domaines Sciences '!C83,0)</f>
        <v>0</v>
      </c>
      <c r="D81" s="8">
        <f>IF('Items sous domaines Sciences '!G83=5,'Items sous domaines Sciences '!D83,0)</f>
        <v>0</v>
      </c>
      <c r="E81" s="8">
        <f>IF('Items sous domaines Sciences '!G83=5,'Items sous domaines Sciences '!E83,0)</f>
        <v>0</v>
      </c>
      <c r="F81" s="489"/>
      <c r="G81" s="485"/>
    </row>
    <row r="82" spans="1:7" customFormat="1" ht="17.399999999999999" hidden="1" customHeight="1" thickBot="1" x14ac:dyDescent="0.3">
      <c r="A82" s="494"/>
      <c r="B82" s="8">
        <f>IF('Items sous domaines Sciences '!G84=5,'Items sous domaines Sciences '!B84,0)</f>
        <v>0</v>
      </c>
      <c r="C82" s="8">
        <f>IF('Items sous domaines Sciences '!G84=5,'Items sous domaines Sciences '!C84,0)</f>
        <v>0</v>
      </c>
      <c r="D82" s="8">
        <f>IF('Items sous domaines Sciences '!G84=5,'Items sous domaines Sciences '!D84,0)</f>
        <v>0</v>
      </c>
      <c r="E82" s="8">
        <f>IF('Items sous domaines Sciences '!G84=5,'Items sous domaines Sciences '!E84,0)</f>
        <v>0</v>
      </c>
      <c r="F82" s="489"/>
      <c r="G82" s="485"/>
    </row>
    <row r="83" spans="1:7" customFormat="1" ht="17.399999999999999" hidden="1" customHeight="1" thickBot="1" x14ac:dyDescent="0.3">
      <c r="A83" s="494"/>
      <c r="B83" s="8">
        <f>IF('Items sous domaines Sciences '!G85=5,'Items sous domaines Sciences '!B85,0)</f>
        <v>0</v>
      </c>
      <c r="C83" s="8">
        <f>IF('Items sous domaines Sciences '!G85=5,'Items sous domaines Sciences '!C85,0)</f>
        <v>0</v>
      </c>
      <c r="D83" s="8">
        <f>IF('Items sous domaines Sciences '!G85=5,'Items sous domaines Sciences '!D85,0)</f>
        <v>0</v>
      </c>
      <c r="E83" s="8">
        <f>IF('Items sous domaines Sciences '!G85=5,'Items sous domaines Sciences '!E85,0)</f>
        <v>0</v>
      </c>
      <c r="F83" s="489"/>
      <c r="G83" s="485"/>
    </row>
    <row r="84" spans="1:7" customFormat="1" ht="17.399999999999999" hidden="1" customHeight="1" thickBot="1" x14ac:dyDescent="0.3">
      <c r="A84" s="494"/>
      <c r="B84" s="8">
        <f>IF('Items sous domaines Sciences '!G86=5,'Items sous domaines Sciences '!B86,0)</f>
        <v>0</v>
      </c>
      <c r="C84" s="8">
        <f>IF('Items sous domaines Sciences '!G86=5,'Items sous domaines Sciences '!C86,0)</f>
        <v>0</v>
      </c>
      <c r="D84" s="8">
        <f>IF('Items sous domaines Sciences '!G86=5,'Items sous domaines Sciences '!D86,0)</f>
        <v>0</v>
      </c>
      <c r="E84" s="8">
        <f>IF('Items sous domaines Sciences '!G86=5,'Items sous domaines Sciences '!E86,0)</f>
        <v>0</v>
      </c>
      <c r="F84" s="489"/>
      <c r="G84" s="485"/>
    </row>
    <row r="85" spans="1:7" customFormat="1" ht="17.399999999999999" hidden="1" customHeight="1" thickBot="1" x14ac:dyDescent="0.3">
      <c r="A85" s="494"/>
      <c r="B85" s="8">
        <f>IF('Items sous domaines Sciences '!G87=5,'Items sous domaines Sciences '!B87,0)</f>
        <v>0</v>
      </c>
      <c r="C85" s="8">
        <f>IF('Items sous domaines Sciences '!G87=5,'Items sous domaines Sciences '!C87,0)</f>
        <v>0</v>
      </c>
      <c r="D85" s="8">
        <f>IF('Items sous domaines Sciences '!G87=5,'Items sous domaines Sciences '!D87,0)</f>
        <v>0</v>
      </c>
      <c r="E85" s="8">
        <f>IF('Items sous domaines Sciences '!G87=5,'Items sous domaines Sciences '!E87,0)</f>
        <v>0</v>
      </c>
      <c r="F85" s="489"/>
      <c r="G85" s="485"/>
    </row>
    <row r="86" spans="1:7" customFormat="1" ht="17.399999999999999" hidden="1" customHeight="1" thickBot="1" x14ac:dyDescent="0.3">
      <c r="A86" s="494"/>
      <c r="B86" s="8">
        <f>IF('Items sous domaines Sciences '!G88=5,'Items sous domaines Sciences '!B88,0)</f>
        <v>0</v>
      </c>
      <c r="C86" s="8">
        <f>IF('Items sous domaines Sciences '!G88=5,'Items sous domaines Sciences '!C88,0)</f>
        <v>0</v>
      </c>
      <c r="D86" s="8">
        <f>IF('Items sous domaines Sciences '!G88=5,'Items sous domaines Sciences '!D88,0)</f>
        <v>0</v>
      </c>
      <c r="E86" s="8">
        <f>IF('Items sous domaines Sciences '!G88=5,'Items sous domaines Sciences '!E88,0)</f>
        <v>0</v>
      </c>
      <c r="F86" s="489"/>
      <c r="G86" s="485"/>
    </row>
    <row r="87" spans="1:7" customFormat="1" ht="17.399999999999999" hidden="1" customHeight="1" thickBot="1" x14ac:dyDescent="0.3">
      <c r="A87" s="494"/>
      <c r="B87" s="8">
        <f>IF('Items sous domaines Sciences '!G89=5,'Items sous domaines Sciences '!B89,0)</f>
        <v>0</v>
      </c>
      <c r="C87" s="8">
        <f>IF('Items sous domaines Sciences '!G89=5,'Items sous domaines Sciences '!C89,0)</f>
        <v>0</v>
      </c>
      <c r="D87" s="8">
        <f>IF('Items sous domaines Sciences '!G89=5,'Items sous domaines Sciences '!D89,0)</f>
        <v>0</v>
      </c>
      <c r="E87" s="8">
        <f>IF('Items sous domaines Sciences '!G89=5,'Items sous domaines Sciences '!E89,0)</f>
        <v>0</v>
      </c>
      <c r="F87" s="489"/>
      <c r="G87" s="485"/>
    </row>
    <row r="88" spans="1:7" customFormat="1" ht="17.399999999999999" hidden="1" customHeight="1" thickBot="1" x14ac:dyDescent="0.3">
      <c r="A88" s="494"/>
      <c r="B88" s="8">
        <f>IF('Items sous domaines Sciences '!G90=5,'Items sous domaines Sciences '!B90,0)</f>
        <v>0</v>
      </c>
      <c r="C88" s="8">
        <f>IF('Items sous domaines Sciences '!G90=5,'Items sous domaines Sciences '!C90,0)</f>
        <v>0</v>
      </c>
      <c r="D88" s="8">
        <f>IF('Items sous domaines Sciences '!G90=5,'Items sous domaines Sciences '!D90,0)</f>
        <v>0</v>
      </c>
      <c r="E88" s="8">
        <f>IF('Items sous domaines Sciences '!G90=5,'Items sous domaines Sciences '!E90,0)</f>
        <v>0</v>
      </c>
      <c r="F88" s="489"/>
      <c r="G88" s="485"/>
    </row>
    <row r="89" spans="1:7" customFormat="1" ht="17.399999999999999" hidden="1" customHeight="1" thickBot="1" x14ac:dyDescent="0.3">
      <c r="A89" s="494"/>
      <c r="B89" s="8">
        <f>IF('Items sous domaines Sciences '!G91=5,'Items sous domaines Sciences '!B91,0)</f>
        <v>0</v>
      </c>
      <c r="C89" s="8">
        <f>IF('Items sous domaines Sciences '!G91=5,'Items sous domaines Sciences '!C91,0)</f>
        <v>0</v>
      </c>
      <c r="D89" s="8">
        <f>IF('Items sous domaines Sciences '!G91=5,'Items sous domaines Sciences '!D91,0)</f>
        <v>0</v>
      </c>
      <c r="E89" s="8">
        <f>IF('Items sous domaines Sciences '!G91=5,'Items sous domaines Sciences '!E91,0)</f>
        <v>0</v>
      </c>
      <c r="F89" s="489"/>
      <c r="G89" s="485"/>
    </row>
    <row r="90" spans="1:7" customFormat="1" ht="17.399999999999999" hidden="1" customHeight="1" thickBot="1" x14ac:dyDescent="0.3">
      <c r="A90" s="494"/>
      <c r="B90" s="8">
        <f>IF('Items sous domaines Sciences '!G92=5,'Items sous domaines Sciences '!B92,0)</f>
        <v>0</v>
      </c>
      <c r="C90" s="8">
        <f>IF('Items sous domaines Sciences '!G92=5,'Items sous domaines Sciences '!C92,0)</f>
        <v>0</v>
      </c>
      <c r="D90" s="8">
        <f>IF('Items sous domaines Sciences '!G92=5,'Items sous domaines Sciences '!D92,0)</f>
        <v>0</v>
      </c>
      <c r="E90" s="8">
        <f>IF('Items sous domaines Sciences '!G92=5,'Items sous domaines Sciences '!E92,0)</f>
        <v>0</v>
      </c>
      <c r="F90" s="489"/>
      <c r="G90" s="485"/>
    </row>
    <row r="91" spans="1:7" customFormat="1" ht="17.399999999999999" hidden="1" customHeight="1" thickBot="1" x14ac:dyDescent="0.3">
      <c r="A91" s="494"/>
      <c r="B91" s="8">
        <f>IF('Items sous domaines Sciences '!G93=5,'Items sous domaines Sciences '!B93,0)</f>
        <v>0</v>
      </c>
      <c r="C91" s="8">
        <f>IF('Items sous domaines Sciences '!G93=5,'Items sous domaines Sciences '!C93,0)</f>
        <v>0</v>
      </c>
      <c r="D91" s="8">
        <f>IF('Items sous domaines Sciences '!G93=5,'Items sous domaines Sciences '!D93,0)</f>
        <v>0</v>
      </c>
      <c r="E91" s="8">
        <f>IF('Items sous domaines Sciences '!G93=5,'Items sous domaines Sciences '!E93,0)</f>
        <v>0</v>
      </c>
      <c r="F91" s="489"/>
      <c r="G91" s="485"/>
    </row>
    <row r="92" spans="1:7" customFormat="1" ht="17.399999999999999" hidden="1" customHeight="1" thickBot="1" x14ac:dyDescent="0.3">
      <c r="A92" s="494"/>
      <c r="B92" s="8">
        <f>IF('Items sous domaines Sciences '!G94=5,'Items sous domaines Sciences '!B94,0)</f>
        <v>0</v>
      </c>
      <c r="C92" s="8">
        <f>IF('Items sous domaines Sciences '!G94=5,'Items sous domaines Sciences '!C94,0)</f>
        <v>0</v>
      </c>
      <c r="D92" s="8">
        <f>IF('Items sous domaines Sciences '!G94=5,'Items sous domaines Sciences '!D94,0)</f>
        <v>0</v>
      </c>
      <c r="E92" s="8">
        <f>IF('Items sous domaines Sciences '!G94=5,'Items sous domaines Sciences '!E94,0)</f>
        <v>0</v>
      </c>
      <c r="F92" s="489"/>
      <c r="G92" s="485"/>
    </row>
    <row r="93" spans="1:7" customFormat="1" ht="17.7" hidden="1" customHeight="1" thickBot="1" x14ac:dyDescent="0.3">
      <c r="A93" s="494"/>
      <c r="B93" s="8">
        <f>IF('Items sous domaines Sciences '!G95=5,'Items sous domaines Sciences '!B95,0)</f>
        <v>0</v>
      </c>
      <c r="C93" s="8">
        <f>IF('Items sous domaines Sciences '!G95=5,'Items sous domaines Sciences '!C95,0)</f>
        <v>0</v>
      </c>
      <c r="D93" s="8">
        <f>IF('Items sous domaines Sciences '!G95=5,'Items sous domaines Sciences '!D95,0)</f>
        <v>0</v>
      </c>
      <c r="E93" s="8">
        <f>IF('Items sous domaines Sciences '!G95=5,'Items sous domaines Sciences '!E95,0)</f>
        <v>0</v>
      </c>
      <c r="F93" s="489"/>
      <c r="G93" s="485"/>
    </row>
    <row r="94" spans="1:7" customFormat="1" ht="17.7" hidden="1" customHeight="1" thickBot="1" x14ac:dyDescent="0.3">
      <c r="A94" s="494"/>
      <c r="B94" s="8">
        <f>IF('Items sous domaines Sciences '!G96=5,'Items sous domaines Sciences '!B96,0)</f>
        <v>0</v>
      </c>
      <c r="C94" s="8">
        <f>IF('Items sous domaines Sciences '!G96=5,'Items sous domaines Sciences '!C96,0)</f>
        <v>0</v>
      </c>
      <c r="D94" s="8">
        <f>IF('Items sous domaines Sciences '!G96=5,'Items sous domaines Sciences '!D96,0)</f>
        <v>0</v>
      </c>
      <c r="E94" s="8">
        <f>IF('Items sous domaines Sciences '!G96=5,'Items sous domaines Sciences '!E96,0)</f>
        <v>0</v>
      </c>
      <c r="F94" s="489"/>
      <c r="G94" s="485"/>
    </row>
    <row r="95" spans="1:7" customFormat="1" ht="17.7" hidden="1" customHeight="1" thickBot="1" x14ac:dyDescent="0.3">
      <c r="A95" s="494"/>
      <c r="B95" s="8">
        <f>IF('Items sous domaines Sciences '!G97=5,'Items sous domaines Sciences '!B97,0)</f>
        <v>0</v>
      </c>
      <c r="C95" s="8">
        <f>IF('Items sous domaines Sciences '!G97=5,'Items sous domaines Sciences '!C97,0)</f>
        <v>0</v>
      </c>
      <c r="D95" s="8">
        <f>IF('Items sous domaines Sciences '!G97=5,'Items sous domaines Sciences '!D97,0)</f>
        <v>0</v>
      </c>
      <c r="E95" s="8">
        <f>IF('Items sous domaines Sciences '!G97=5,'Items sous domaines Sciences '!E97,0)</f>
        <v>0</v>
      </c>
      <c r="F95" s="489"/>
      <c r="G95" s="485"/>
    </row>
    <row r="96" spans="1:7" customFormat="1" ht="17.7" hidden="1" customHeight="1" thickBot="1" x14ac:dyDescent="0.3">
      <c r="A96" s="494"/>
      <c r="B96" s="8">
        <f>IF('Items sous domaines Sciences '!G98=5,'Items sous domaines Sciences '!B98,0)</f>
        <v>0</v>
      </c>
      <c r="C96" s="8">
        <f>IF('Items sous domaines Sciences '!G98=5,'Items sous domaines Sciences '!C98,0)</f>
        <v>0</v>
      </c>
      <c r="D96" s="8">
        <f>IF('Items sous domaines Sciences '!G98=5,'Items sous domaines Sciences '!D98,0)</f>
        <v>0</v>
      </c>
      <c r="E96" s="8">
        <f>IF('Items sous domaines Sciences '!G98=5,'Items sous domaines Sciences '!E98,0)</f>
        <v>0</v>
      </c>
      <c r="F96" s="489"/>
      <c r="G96" s="485"/>
    </row>
    <row r="97" spans="1:7" customFormat="1" ht="17.7" hidden="1" customHeight="1" thickBot="1" x14ac:dyDescent="0.3">
      <c r="A97" s="494"/>
      <c r="B97" s="8">
        <f>IF('Items sous domaines Sciences '!G99=5,'Items sous domaines Sciences '!B99,0)</f>
        <v>0</v>
      </c>
      <c r="C97" s="8">
        <f>IF('Items sous domaines Sciences '!G99=5,'Items sous domaines Sciences '!C99,0)</f>
        <v>0</v>
      </c>
      <c r="D97" s="8">
        <f>IF('Items sous domaines Sciences '!G99=5,'Items sous domaines Sciences '!D99,0)</f>
        <v>0</v>
      </c>
      <c r="E97" s="8">
        <f>IF('Items sous domaines Sciences '!G99=5,'Items sous domaines Sciences '!E99,0)</f>
        <v>0</v>
      </c>
      <c r="F97" s="489"/>
      <c r="G97" s="485"/>
    </row>
    <row r="98" spans="1:7" customFormat="1" ht="17.7" hidden="1" customHeight="1" thickBot="1" x14ac:dyDescent="0.3">
      <c r="A98" s="494"/>
      <c r="B98" s="8">
        <f>IF('Items sous domaines Sciences '!G100=5,'Items sous domaines Sciences '!B100,0)</f>
        <v>0</v>
      </c>
      <c r="C98" s="8">
        <f>IF('Items sous domaines Sciences '!G100=5,'Items sous domaines Sciences '!C100,0)</f>
        <v>0</v>
      </c>
      <c r="D98" s="8">
        <f>IF('Items sous domaines Sciences '!G100=5,'Items sous domaines Sciences '!D100,0)</f>
        <v>0</v>
      </c>
      <c r="E98" s="8">
        <f>IF('Items sous domaines Sciences '!G100=5,'Items sous domaines Sciences '!E100,0)</f>
        <v>0</v>
      </c>
      <c r="F98" s="489"/>
      <c r="G98" s="485"/>
    </row>
    <row r="99" spans="1:7" customFormat="1" ht="17.7" hidden="1" customHeight="1" thickBot="1" x14ac:dyDescent="0.3">
      <c r="A99" s="494"/>
      <c r="B99" s="8">
        <f>IF('Items sous domaines Sciences '!G101=5,'Items sous domaines Sciences '!B101,0)</f>
        <v>0</v>
      </c>
      <c r="C99" s="8">
        <f>IF('Items sous domaines Sciences '!G101=5,'Items sous domaines Sciences '!C101,0)</f>
        <v>0</v>
      </c>
      <c r="D99" s="8">
        <f>IF('Items sous domaines Sciences '!G101=5,'Items sous domaines Sciences '!D101,0)</f>
        <v>0</v>
      </c>
      <c r="E99" s="8">
        <f>IF('Items sous domaines Sciences '!G101=5,'Items sous domaines Sciences '!E101,0)</f>
        <v>0</v>
      </c>
      <c r="F99" s="489"/>
      <c r="G99" s="485"/>
    </row>
    <row r="100" spans="1:7" customFormat="1" ht="17.7" hidden="1" customHeight="1" thickBot="1" x14ac:dyDescent="0.3">
      <c r="A100" s="494"/>
      <c r="B100" s="8">
        <f>IF('Items sous domaines Sciences '!G102=5,'Items sous domaines Sciences '!B102,0)</f>
        <v>0</v>
      </c>
      <c r="C100" s="8">
        <f>IF('Items sous domaines Sciences '!G102=5,'Items sous domaines Sciences '!C102,0)</f>
        <v>0</v>
      </c>
      <c r="D100" s="8">
        <f>IF('Items sous domaines Sciences '!G102=5,'Items sous domaines Sciences '!D102,0)</f>
        <v>0</v>
      </c>
      <c r="E100" s="8">
        <f>IF('Items sous domaines Sciences '!G102=5,'Items sous domaines Sciences '!E102,0)</f>
        <v>0</v>
      </c>
      <c r="F100" s="489"/>
      <c r="G100" s="485"/>
    </row>
    <row r="101" spans="1:7" customFormat="1" ht="17.7" hidden="1" customHeight="1" thickBot="1" x14ac:dyDescent="0.3">
      <c r="A101" s="494"/>
      <c r="B101" s="8">
        <f>IF('Items sous domaines Sciences '!G103=5,'Items sous domaines Sciences '!B103,0)</f>
        <v>0</v>
      </c>
      <c r="C101" s="8">
        <f>IF('Items sous domaines Sciences '!G103=5,'Items sous domaines Sciences '!C103,0)</f>
        <v>0</v>
      </c>
      <c r="D101" s="8">
        <f>IF('Items sous domaines Sciences '!G103=5,'Items sous domaines Sciences '!D103,0)</f>
        <v>0</v>
      </c>
      <c r="E101" s="8">
        <f>IF('Items sous domaines Sciences '!G103=5,'Items sous domaines Sciences '!E103,0)</f>
        <v>0</v>
      </c>
      <c r="F101" s="489"/>
      <c r="G101" s="485"/>
    </row>
    <row r="102" spans="1:7" customFormat="1" ht="17.7" hidden="1" customHeight="1" thickBot="1" x14ac:dyDescent="0.3">
      <c r="A102" s="494"/>
      <c r="B102" s="8">
        <f>IF('Items sous domaines Sciences '!G104=5,'Items sous domaines Sciences '!B104,0)</f>
        <v>0</v>
      </c>
      <c r="C102" s="8">
        <f>IF('Items sous domaines Sciences '!G104=5,'Items sous domaines Sciences '!C104,0)</f>
        <v>0</v>
      </c>
      <c r="D102" s="8">
        <f>IF('Items sous domaines Sciences '!G104=5,'Items sous domaines Sciences '!D104,0)</f>
        <v>0</v>
      </c>
      <c r="E102" s="8">
        <f>IF('Items sous domaines Sciences '!G104=5,'Items sous domaines Sciences '!E104,0)</f>
        <v>0</v>
      </c>
      <c r="F102" s="489"/>
      <c r="G102" s="485"/>
    </row>
    <row r="103" spans="1:7" customFormat="1" ht="17.7" hidden="1" customHeight="1" thickBot="1" x14ac:dyDescent="0.3">
      <c r="A103" s="494"/>
      <c r="B103" s="8">
        <f>IF('Items sous domaines Sciences '!G105=5,'Items sous domaines Sciences '!B105,0)</f>
        <v>0</v>
      </c>
      <c r="C103" s="8">
        <f>IF('Items sous domaines Sciences '!G105=5,'Items sous domaines Sciences '!C105,0)</f>
        <v>0</v>
      </c>
      <c r="D103" s="8">
        <f>IF('Items sous domaines Sciences '!G105=5,'Items sous domaines Sciences '!D105,0)</f>
        <v>0</v>
      </c>
      <c r="E103" s="8">
        <f>IF('Items sous domaines Sciences '!G105=5,'Items sous domaines Sciences '!E105,0)</f>
        <v>0</v>
      </c>
      <c r="F103" s="489"/>
      <c r="G103" s="485"/>
    </row>
    <row r="104" spans="1:7" customFormat="1" ht="17.7" hidden="1" customHeight="1" thickBot="1" x14ac:dyDescent="0.3">
      <c r="A104" s="494"/>
      <c r="B104" s="8">
        <f>IF('Items sous domaines Sciences '!G106=5,'Items sous domaines Sciences '!B106,0)</f>
        <v>0</v>
      </c>
      <c r="C104" s="8">
        <f>IF('Items sous domaines Sciences '!G106=5,'Items sous domaines Sciences '!C106,0)</f>
        <v>0</v>
      </c>
      <c r="D104" s="8">
        <f>IF('Items sous domaines Sciences '!G106=5,'Items sous domaines Sciences '!D106,0)</f>
        <v>0</v>
      </c>
      <c r="E104" s="8">
        <f>IF('Items sous domaines Sciences '!G106=5,'Items sous domaines Sciences '!E106,0)</f>
        <v>0</v>
      </c>
      <c r="F104" s="489"/>
      <c r="G104" s="485"/>
    </row>
    <row r="105" spans="1:7" customFormat="1" ht="17.7" hidden="1" customHeight="1" thickBot="1" x14ac:dyDescent="0.3">
      <c r="A105" s="494"/>
      <c r="B105" s="8">
        <f>IF('Items sous domaines Sciences '!G107=5,'Items sous domaines Sciences '!B107,0)</f>
        <v>0</v>
      </c>
      <c r="C105" s="8">
        <f>IF('Items sous domaines Sciences '!G107=5,'Items sous domaines Sciences '!C107,0)</f>
        <v>0</v>
      </c>
      <c r="D105" s="8">
        <f>IF('Items sous domaines Sciences '!G107=5,'Items sous domaines Sciences '!D107,0)</f>
        <v>0</v>
      </c>
      <c r="E105" s="8">
        <f>IF('Items sous domaines Sciences '!G107=5,'Items sous domaines Sciences '!E107,0)</f>
        <v>0</v>
      </c>
      <c r="F105" s="489"/>
      <c r="G105" s="485"/>
    </row>
    <row r="106" spans="1:7" ht="19.95" customHeight="1" thickTop="1" x14ac:dyDescent="0.3">
      <c r="A106" s="495"/>
      <c r="B106" s="251" t="str">
        <f>IF('Items sous domaines Sciences '!G108=5,'Items sous domaines Sciences '!B108,0)</f>
        <v>Electricité - Electromagnétisme</v>
      </c>
      <c r="C106" s="225" t="str">
        <f>IF('Items sous domaines Sciences '!G108=5,'Items sous domaines Sciences '!C108,0)</f>
        <v>Electricité</v>
      </c>
      <c r="D106" s="226" t="str">
        <f>IF('Items sous domaines Sciences '!G108=5,'Items sous domaines Sciences '!D108,0)</f>
        <v>Electricité - courant continu</v>
      </c>
      <c r="E106" s="226" t="str">
        <f>IF('Items sous domaines Sciences '!G108=5,'Items sous domaines Sciences '!E108,0)</f>
        <v>Calculer un courant et une tension à partir de la loi d'Ohm et des lois de Kirchhoff.</v>
      </c>
      <c r="F106" s="430"/>
      <c r="G106" s="486"/>
    </row>
    <row r="107" spans="1:7" ht="19.95" customHeight="1" x14ac:dyDescent="0.3">
      <c r="A107" s="495"/>
      <c r="B107" s="57" t="str">
        <f>IF('Items sous domaines Sciences '!G109=5,'Items sous domaines Sciences '!B109,0)</f>
        <v>Electricité - Electromagnétisme</v>
      </c>
      <c r="C107" s="212" t="str">
        <f>IF('Items sous domaines Sciences '!G109=5,'Items sous domaines Sciences '!C109,0)</f>
        <v>Electricité</v>
      </c>
      <c r="D107" s="215">
        <f>IF('Items sous domaines Sciences '!G109=5,'Items sous domaines Sciences '!D109,0)</f>
        <v>0</v>
      </c>
      <c r="E107" s="209" t="str">
        <f>IF('Items sous domaines Sciences '!G109=5,'Items sous domaines Sciences '!E109,0)</f>
        <v>Calculer la puissance et l'énergie d'un récepteur ou d'un générateur alimenté en courant continu.</v>
      </c>
      <c r="F107" s="431"/>
      <c r="G107" s="487"/>
    </row>
    <row r="108" spans="1:7" ht="19.95" customHeight="1" x14ac:dyDescent="0.3">
      <c r="A108" s="495"/>
      <c r="B108" s="57" t="str">
        <f>IF('Items sous domaines Sciences '!G110=5,'Items sous domaines Sciences '!B110,0)</f>
        <v>Electricité - Electromagnétisme</v>
      </c>
      <c r="C108" s="213" t="str">
        <f>IF('Items sous domaines Sciences '!G110=5,'Items sous domaines Sciences '!C110,0)</f>
        <v>Electricité</v>
      </c>
      <c r="D108" s="216">
        <f>IF('Items sous domaines Sciences '!G110=5,'Items sous domaines Sciences '!D110,0)</f>
        <v>0</v>
      </c>
      <c r="E108" s="216" t="str">
        <f>IF('Items sous domaines Sciences '!G110=5,'Items sous domaines Sciences '!E110,0)</f>
        <v>Calculer un générateur équivalent à partir de générateurs en série et/ou en parallèle.</v>
      </c>
      <c r="F108" s="431"/>
      <c r="G108" s="487"/>
    </row>
    <row r="109" spans="1:7" ht="19.95" customHeight="1" x14ac:dyDescent="0.3">
      <c r="A109" s="495"/>
      <c r="B109" s="57" t="str">
        <f>IF('Items sous domaines Sciences '!G111=5,'Items sous domaines Sciences '!B111,0)</f>
        <v>Electricité - Electromagnétisme</v>
      </c>
      <c r="C109" s="212" t="str">
        <f>IF('Items sous domaines Sciences '!G111=5,'Items sous domaines Sciences '!C111,0)</f>
        <v>Electricité</v>
      </c>
      <c r="D109" s="215">
        <f>IF('Items sous domaines Sciences '!G111=5,'Items sous domaines Sciences '!D111,0)</f>
        <v>0</v>
      </c>
      <c r="E109" s="209" t="str">
        <f>IF('Items sous domaines Sciences '!G111=5,'Items sous domaines Sciences '!E111,0)</f>
        <v>Calculer une résistance équivalente à partir de résistances en série et/ou en parallèle.</v>
      </c>
      <c r="F109" s="431"/>
      <c r="G109" s="487"/>
    </row>
    <row r="110" spans="1:7" ht="19.95" customHeight="1" thickBot="1" x14ac:dyDescent="0.35">
      <c r="A110" s="495"/>
      <c r="B110" s="244" t="str">
        <f>IF('Items sous domaines Sciences '!G112=5,'Items sous domaines Sciences '!B112,0)</f>
        <v>Electricité - Electromagnétisme</v>
      </c>
      <c r="C110" s="227" t="str">
        <f>IF('Items sous domaines Sciences '!G112=5,'Items sous domaines Sciences '!C112,0)</f>
        <v>Electricité</v>
      </c>
      <c r="D110" s="228">
        <f>IF('Items sous domaines Sciences '!G112=5,'Items sous domaines Sciences '!D112,0)</f>
        <v>0</v>
      </c>
      <c r="E110" s="228" t="str">
        <f>IF('Items sous domaines Sciences '!G112=5,'Items sous domaines Sciences '!E112,0)</f>
        <v>Utiliser et modifier un langage de programmation de 1er niveau (Arduino).</v>
      </c>
      <c r="F110" s="449"/>
      <c r="G110" s="488"/>
    </row>
    <row r="111" spans="1:7" customFormat="1" ht="17.7" hidden="1" customHeight="1" thickBot="1" x14ac:dyDescent="0.3">
      <c r="A111" s="494"/>
      <c r="B111" s="245">
        <f>IF('Items sous domaines Sciences '!G113=5,'Items sous domaines Sciences '!B113,0)</f>
        <v>0</v>
      </c>
      <c r="C111" s="246">
        <f>IF('Items sous domaines Sciences '!G113=5,'Items sous domaines Sciences '!C113,0)</f>
        <v>0</v>
      </c>
      <c r="D111" s="247">
        <f>IF('Items sous domaines Sciences '!G113=5,'Items sous domaines Sciences '!D113,0)</f>
        <v>0</v>
      </c>
      <c r="E111" s="248">
        <f>IF('Items sous domaines Sciences '!G113=5,'Items sous domaines Sciences '!E113,0)</f>
        <v>0</v>
      </c>
      <c r="F111" s="489"/>
      <c r="G111" s="485"/>
    </row>
    <row r="112" spans="1:7" customFormat="1" ht="17.7" hidden="1" customHeight="1" thickBot="1" x14ac:dyDescent="0.3">
      <c r="A112" s="494"/>
      <c r="B112" s="57">
        <f>IF('Items sous domaines Sciences '!G114=5,'Items sous domaines Sciences '!B114,0)</f>
        <v>0</v>
      </c>
      <c r="C112" s="213">
        <f>IF('Items sous domaines Sciences '!G114=5,'Items sous domaines Sciences '!C114,0)</f>
        <v>0</v>
      </c>
      <c r="D112" s="216">
        <f>IF('Items sous domaines Sciences '!G114=5,'Items sous domaines Sciences '!D114,0)</f>
        <v>0</v>
      </c>
      <c r="E112" s="216">
        <f>IF('Items sous domaines Sciences '!G114=5,'Items sous domaines Sciences '!E114,0)</f>
        <v>0</v>
      </c>
      <c r="F112" s="489"/>
      <c r="G112" s="485"/>
    </row>
    <row r="113" spans="1:7" customFormat="1" ht="17.7" hidden="1" customHeight="1" thickBot="1" x14ac:dyDescent="0.3">
      <c r="A113" s="494"/>
      <c r="B113" s="57">
        <f>IF('Items sous domaines Sciences '!G115=5,'Items sous domaines Sciences '!B115,0)</f>
        <v>0</v>
      </c>
      <c r="C113" s="212">
        <f>IF('Items sous domaines Sciences '!G115=5,'Items sous domaines Sciences '!C115,0)</f>
        <v>0</v>
      </c>
      <c r="D113" s="215">
        <f>IF('Items sous domaines Sciences '!G115=5,'Items sous domaines Sciences '!D115,0)</f>
        <v>0</v>
      </c>
      <c r="E113" s="209">
        <f>IF('Items sous domaines Sciences '!G115=5,'Items sous domaines Sciences '!E115,0)</f>
        <v>0</v>
      </c>
      <c r="F113" s="489"/>
      <c r="G113" s="485"/>
    </row>
    <row r="114" spans="1:7" customFormat="1" ht="17.7" hidden="1" customHeight="1" thickBot="1" x14ac:dyDescent="0.3">
      <c r="A114" s="494"/>
      <c r="B114" s="57">
        <f>IF('Items sous domaines Sciences '!G116=5,'Items sous domaines Sciences '!B116,0)</f>
        <v>0</v>
      </c>
      <c r="C114" s="213">
        <f>IF('Items sous domaines Sciences '!G116=5,'Items sous domaines Sciences '!C116,0)</f>
        <v>0</v>
      </c>
      <c r="D114" s="216">
        <f>IF('Items sous domaines Sciences '!G116=5,'Items sous domaines Sciences '!D116,0)</f>
        <v>0</v>
      </c>
      <c r="E114" s="216">
        <f>IF('Items sous domaines Sciences '!G116=5,'Items sous domaines Sciences '!E116,0)</f>
        <v>0</v>
      </c>
      <c r="F114" s="489"/>
      <c r="G114" s="485"/>
    </row>
    <row r="115" spans="1:7" customFormat="1" ht="26.25" hidden="1" customHeight="1" thickBot="1" x14ac:dyDescent="0.3">
      <c r="A115" s="494"/>
      <c r="B115" s="57">
        <f>IF('Items sous domaines Sciences '!G117=5,'Items sous domaines Sciences '!B117,0)</f>
        <v>0</v>
      </c>
      <c r="C115" s="212">
        <f>IF('Items sous domaines Sciences '!G117=5,'Items sous domaines Sciences '!C117,0)</f>
        <v>0</v>
      </c>
      <c r="D115" s="215">
        <f>IF('Items sous domaines Sciences '!G117=5,'Items sous domaines Sciences '!D117,0)</f>
        <v>0</v>
      </c>
      <c r="E115" s="209">
        <f>IF('Items sous domaines Sciences '!G117=5,'Items sous domaines Sciences '!E117,0)</f>
        <v>0</v>
      </c>
      <c r="F115" s="489"/>
      <c r="G115" s="485"/>
    </row>
    <row r="116" spans="1:7" customFormat="1" ht="17.7" hidden="1" customHeight="1" thickBot="1" x14ac:dyDescent="0.3">
      <c r="A116" s="494"/>
      <c r="B116" s="57">
        <f>IF('Items sous domaines Sciences '!G118=5,'Items sous domaines Sciences '!B118,0)</f>
        <v>0</v>
      </c>
      <c r="C116" s="213">
        <f>IF('Items sous domaines Sciences '!G118=5,'Items sous domaines Sciences '!C118,0)</f>
        <v>0</v>
      </c>
      <c r="D116" s="216">
        <f>IF('Items sous domaines Sciences '!G118=5,'Items sous domaines Sciences '!D118,0)</f>
        <v>0</v>
      </c>
      <c r="E116" s="216">
        <f>IF('Items sous domaines Sciences '!G118=5,'Items sous domaines Sciences '!E118,0)</f>
        <v>0</v>
      </c>
      <c r="F116" s="489"/>
      <c r="G116" s="485"/>
    </row>
    <row r="117" spans="1:7" customFormat="1" ht="17.7" hidden="1" customHeight="1" thickBot="1" x14ac:dyDescent="0.3">
      <c r="A117" s="494"/>
      <c r="B117" s="57">
        <f>IF('Items sous domaines Sciences '!G119=5,'Items sous domaines Sciences '!B119,0)</f>
        <v>0</v>
      </c>
      <c r="C117" s="212">
        <f>IF('Items sous domaines Sciences '!G119=5,'Items sous domaines Sciences '!C119,0)</f>
        <v>0</v>
      </c>
      <c r="D117" s="215">
        <f>IF('Items sous domaines Sciences '!G119=5,'Items sous domaines Sciences '!D119,0)</f>
        <v>0</v>
      </c>
      <c r="E117" s="209">
        <f>IF('Items sous domaines Sciences '!G119=5,'Items sous domaines Sciences '!E119,0)</f>
        <v>0</v>
      </c>
      <c r="F117" s="489"/>
      <c r="G117" s="485"/>
    </row>
    <row r="118" spans="1:7" customFormat="1" ht="17.7" hidden="1" customHeight="1" thickBot="1" x14ac:dyDescent="0.3">
      <c r="A118" s="494"/>
      <c r="B118" s="57">
        <f>IF('Items sous domaines Sciences '!G120=5,'Items sous domaines Sciences '!B120,0)</f>
        <v>0</v>
      </c>
      <c r="C118" s="213">
        <f>IF('Items sous domaines Sciences '!G120=5,'Items sous domaines Sciences '!C120,0)</f>
        <v>0</v>
      </c>
      <c r="D118" s="216">
        <f>IF('Items sous domaines Sciences '!G120=5,'Items sous domaines Sciences '!D120,0)</f>
        <v>0</v>
      </c>
      <c r="E118" s="216">
        <f>IF('Items sous domaines Sciences '!G120=5,'Items sous domaines Sciences '!E120,0)</f>
        <v>0</v>
      </c>
      <c r="F118" s="489"/>
      <c r="G118" s="485"/>
    </row>
    <row r="119" spans="1:7" customFormat="1" ht="17.7" hidden="1" customHeight="1" thickBot="1" x14ac:dyDescent="0.3">
      <c r="A119" s="494"/>
      <c r="B119" s="57">
        <f>IF('Items sous domaines Sciences '!G121=5,'Items sous domaines Sciences '!B121,0)</f>
        <v>0</v>
      </c>
      <c r="C119" s="212">
        <f>IF('Items sous domaines Sciences '!G121=5,'Items sous domaines Sciences '!C121,0)</f>
        <v>0</v>
      </c>
      <c r="D119" s="215">
        <f>IF('Items sous domaines Sciences '!G121=5,'Items sous domaines Sciences '!D121,0)</f>
        <v>0</v>
      </c>
      <c r="E119" s="209">
        <f>IF('Items sous domaines Sciences '!G121=5,'Items sous domaines Sciences '!E121,0)</f>
        <v>0</v>
      </c>
      <c r="F119" s="489"/>
      <c r="G119" s="485"/>
    </row>
    <row r="120" spans="1:7" customFormat="1" ht="17.7" hidden="1" customHeight="1" thickBot="1" x14ac:dyDescent="0.3">
      <c r="A120" s="494"/>
      <c r="B120" s="57">
        <f>IF('Items sous domaines Sciences '!G122=5,'Items sous domaines Sciences '!B122,0)</f>
        <v>0</v>
      </c>
      <c r="C120" s="213">
        <f>IF('Items sous domaines Sciences '!G122=5,'Items sous domaines Sciences '!C122,0)</f>
        <v>0</v>
      </c>
      <c r="D120" s="216">
        <f>IF('Items sous domaines Sciences '!G122=5,'Items sous domaines Sciences '!D122,0)</f>
        <v>0</v>
      </c>
      <c r="E120" s="216">
        <f>IF('Items sous domaines Sciences '!G122=5,'Items sous domaines Sciences '!E122,0)</f>
        <v>0</v>
      </c>
      <c r="F120" s="489"/>
      <c r="G120" s="485"/>
    </row>
    <row r="121" spans="1:7" customFormat="1" ht="17.7" hidden="1" customHeight="1" thickBot="1" x14ac:dyDescent="0.3">
      <c r="A121" s="494"/>
      <c r="B121" s="57">
        <f>IF('Items sous domaines Sciences '!G123=5,'Items sous domaines Sciences '!B123,0)</f>
        <v>0</v>
      </c>
      <c r="C121" s="212">
        <f>IF('Items sous domaines Sciences '!G123=5,'Items sous domaines Sciences '!C123,0)</f>
        <v>0</v>
      </c>
      <c r="D121" s="215">
        <f>IF('Items sous domaines Sciences '!G123=5,'Items sous domaines Sciences '!D123,0)</f>
        <v>0</v>
      </c>
      <c r="E121" s="209">
        <f>IF('Items sous domaines Sciences '!G123=5,'Items sous domaines Sciences '!E123,0)</f>
        <v>0</v>
      </c>
      <c r="F121" s="489"/>
      <c r="G121" s="485"/>
    </row>
    <row r="122" spans="1:7" customFormat="1" ht="17.7" hidden="1" customHeight="1" thickBot="1" x14ac:dyDescent="0.3">
      <c r="A122" s="494"/>
      <c r="B122" s="57">
        <f>IF('Items sous domaines Sciences '!G124=5,'Items sous domaines Sciences '!B124,0)</f>
        <v>0</v>
      </c>
      <c r="C122" s="213">
        <f>IF('Items sous domaines Sciences '!G124=5,'Items sous domaines Sciences '!C124,0)</f>
        <v>0</v>
      </c>
      <c r="D122" s="216">
        <f>IF('Items sous domaines Sciences '!G124=5,'Items sous domaines Sciences '!D124,0)</f>
        <v>0</v>
      </c>
      <c r="E122" s="216">
        <f>IF('Items sous domaines Sciences '!G124=5,'Items sous domaines Sciences '!E124,0)</f>
        <v>0</v>
      </c>
      <c r="F122" s="489"/>
      <c r="G122" s="485"/>
    </row>
    <row r="123" spans="1:7" customFormat="1" ht="17.7" hidden="1" customHeight="1" thickBot="1" x14ac:dyDescent="0.3">
      <c r="A123" s="494"/>
      <c r="B123" s="57">
        <f>IF('Items sous domaines Sciences '!G125=5,'Items sous domaines Sciences '!B125,0)</f>
        <v>0</v>
      </c>
      <c r="C123" s="212">
        <f>IF('Items sous domaines Sciences '!G125=5,'Items sous domaines Sciences '!C125,0)</f>
        <v>0</v>
      </c>
      <c r="D123" s="215">
        <f>IF('Items sous domaines Sciences '!G125=5,'Items sous domaines Sciences '!D125,0)</f>
        <v>0</v>
      </c>
      <c r="E123" s="209">
        <f>IF('Items sous domaines Sciences '!G125=5,'Items sous domaines Sciences '!E125,0)</f>
        <v>0</v>
      </c>
      <c r="F123" s="489"/>
      <c r="G123" s="485"/>
    </row>
    <row r="124" spans="1:7" customFormat="1" ht="17.7" hidden="1" customHeight="1" thickBot="1" x14ac:dyDescent="0.3">
      <c r="A124" s="494"/>
      <c r="B124" s="57">
        <f>IF('Items sous domaines Sciences '!G126=5,'Items sous domaines Sciences '!B126,0)</f>
        <v>0</v>
      </c>
      <c r="C124" s="213">
        <f>IF('Items sous domaines Sciences '!G126=5,'Items sous domaines Sciences '!C126,0)</f>
        <v>0</v>
      </c>
      <c r="D124" s="216">
        <f>IF('Items sous domaines Sciences '!G126=5,'Items sous domaines Sciences '!D126,0)</f>
        <v>0</v>
      </c>
      <c r="E124" s="216">
        <f>IF('Items sous domaines Sciences '!G126=5,'Items sous domaines Sciences '!E126,0)</f>
        <v>0</v>
      </c>
      <c r="F124" s="489"/>
      <c r="G124" s="485"/>
    </row>
    <row r="125" spans="1:7" customFormat="1" ht="17.7" hidden="1" customHeight="1" thickBot="1" x14ac:dyDescent="0.3">
      <c r="A125" s="494"/>
      <c r="B125" s="57">
        <f>IF('Items sous domaines Sciences '!G127=5,'Items sous domaines Sciences '!B127,0)</f>
        <v>0</v>
      </c>
      <c r="C125" s="212">
        <f>IF('Items sous domaines Sciences '!G127=5,'Items sous domaines Sciences '!C127,0)</f>
        <v>0</v>
      </c>
      <c r="D125" s="215">
        <f>IF('Items sous domaines Sciences '!G127=5,'Items sous domaines Sciences '!D127,0)</f>
        <v>0</v>
      </c>
      <c r="E125" s="209">
        <f>IF('Items sous domaines Sciences '!G127=5,'Items sous domaines Sciences '!E127,0)</f>
        <v>0</v>
      </c>
      <c r="F125" s="489"/>
      <c r="G125" s="485"/>
    </row>
    <row r="126" spans="1:7" customFormat="1" ht="17.7" hidden="1" customHeight="1" thickBot="1" x14ac:dyDescent="0.3">
      <c r="A126" s="494"/>
      <c r="B126" s="57">
        <f>IF('Items sous domaines Sciences '!G128=5,'Items sous domaines Sciences '!B128,0)</f>
        <v>0</v>
      </c>
      <c r="C126" s="213">
        <f>IF('Items sous domaines Sciences '!G128=5,'Items sous domaines Sciences '!C128,0)</f>
        <v>0</v>
      </c>
      <c r="D126" s="216">
        <f>IF('Items sous domaines Sciences '!G128=5,'Items sous domaines Sciences '!D128,0)</f>
        <v>0</v>
      </c>
      <c r="E126" s="216">
        <f>IF('Items sous domaines Sciences '!G128=5,'Items sous domaines Sciences '!E128,0)</f>
        <v>0</v>
      </c>
      <c r="F126" s="489"/>
      <c r="G126" s="485"/>
    </row>
    <row r="127" spans="1:7" customFormat="1" ht="17.7" hidden="1" customHeight="1" thickBot="1" x14ac:dyDescent="0.3">
      <c r="A127" s="494"/>
      <c r="B127" s="57">
        <f>IF('Items sous domaines Sciences '!G129=5,'Items sous domaines Sciences '!B129,0)</f>
        <v>0</v>
      </c>
      <c r="C127" s="212">
        <f>IF('Items sous domaines Sciences '!G129=5,'Items sous domaines Sciences '!C129,0)</f>
        <v>0</v>
      </c>
      <c r="D127" s="215">
        <f>IF('Items sous domaines Sciences '!G129=5,'Items sous domaines Sciences '!D129,0)</f>
        <v>0</v>
      </c>
      <c r="E127" s="209">
        <f>IF('Items sous domaines Sciences '!G129=5,'Items sous domaines Sciences '!E129,0)</f>
        <v>0</v>
      </c>
      <c r="F127" s="489"/>
      <c r="G127" s="485"/>
    </row>
    <row r="128" spans="1:7" customFormat="1" ht="17.7" hidden="1" customHeight="1" thickBot="1" x14ac:dyDescent="0.3">
      <c r="A128" s="494"/>
      <c r="B128" s="57">
        <f>IF('Items sous domaines Sciences '!G130=5,'Items sous domaines Sciences '!B130,0)</f>
        <v>0</v>
      </c>
      <c r="C128" s="213">
        <f>IF('Items sous domaines Sciences '!G130=5,'Items sous domaines Sciences '!C130,0)</f>
        <v>0</v>
      </c>
      <c r="D128" s="216">
        <f>IF('Items sous domaines Sciences '!G130=5,'Items sous domaines Sciences '!D130,0)</f>
        <v>0</v>
      </c>
      <c r="E128" s="216">
        <f>IF('Items sous domaines Sciences '!G130=5,'Items sous domaines Sciences '!E130,0)</f>
        <v>0</v>
      </c>
      <c r="F128" s="489"/>
      <c r="G128" s="485"/>
    </row>
    <row r="129" spans="1:7" customFormat="1" ht="17.7" hidden="1" customHeight="1" thickBot="1" x14ac:dyDescent="0.3">
      <c r="A129" s="494"/>
      <c r="B129" s="57">
        <f>IF('Items sous domaines Sciences '!G131=5,'Items sous domaines Sciences '!B131,0)</f>
        <v>0</v>
      </c>
      <c r="C129" s="212">
        <f>IF('Items sous domaines Sciences '!G131=5,'Items sous domaines Sciences '!C131,0)</f>
        <v>0</v>
      </c>
      <c r="D129" s="215">
        <f>IF('Items sous domaines Sciences '!G131=5,'Items sous domaines Sciences '!D131,0)</f>
        <v>0</v>
      </c>
      <c r="E129" s="209">
        <f>IF('Items sous domaines Sciences '!G131=5,'Items sous domaines Sciences '!E131,0)</f>
        <v>0</v>
      </c>
      <c r="F129" s="489"/>
      <c r="G129" s="485"/>
    </row>
    <row r="130" spans="1:7" customFormat="1" ht="17.7" hidden="1" customHeight="1" thickBot="1" x14ac:dyDescent="0.3">
      <c r="A130" s="494"/>
      <c r="B130" s="57">
        <f>IF('Items sous domaines Sciences '!G132=5,'Items sous domaines Sciences '!B132,0)</f>
        <v>0</v>
      </c>
      <c r="C130" s="213">
        <f>IF('Items sous domaines Sciences '!G132=5,'Items sous domaines Sciences '!C132,0)</f>
        <v>0</v>
      </c>
      <c r="D130" s="216">
        <f>IF('Items sous domaines Sciences '!G132=5,'Items sous domaines Sciences '!D132,0)</f>
        <v>0</v>
      </c>
      <c r="E130" s="216">
        <f>IF('Items sous domaines Sciences '!G132=5,'Items sous domaines Sciences '!E132,0)</f>
        <v>0</v>
      </c>
      <c r="F130" s="489"/>
      <c r="G130" s="485"/>
    </row>
    <row r="131" spans="1:7" customFormat="1" ht="17.7" hidden="1" customHeight="1" thickBot="1" x14ac:dyDescent="0.3">
      <c r="A131" s="494"/>
      <c r="B131" s="57">
        <f>IF('Items sous domaines Sciences '!G133=5,'Items sous domaines Sciences '!B133,0)</f>
        <v>0</v>
      </c>
      <c r="C131" s="212">
        <f>IF('Items sous domaines Sciences '!G133=5,'Items sous domaines Sciences '!C133,0)</f>
        <v>0</v>
      </c>
      <c r="D131" s="215">
        <f>IF('Items sous domaines Sciences '!G133=5,'Items sous domaines Sciences '!D133,0)</f>
        <v>0</v>
      </c>
      <c r="E131" s="209">
        <f>IF('Items sous domaines Sciences '!G133=5,'Items sous domaines Sciences '!E133,0)</f>
        <v>0</v>
      </c>
      <c r="F131" s="489"/>
      <c r="G131" s="485"/>
    </row>
    <row r="132" spans="1:7" customFormat="1" ht="17.7" hidden="1" customHeight="1" thickBot="1" x14ac:dyDescent="0.3">
      <c r="A132" s="494"/>
      <c r="B132" s="57">
        <f>IF('Items sous domaines Sciences '!G134=5,'Items sous domaines Sciences '!B134,0)</f>
        <v>0</v>
      </c>
      <c r="C132" s="213">
        <f>IF('Items sous domaines Sciences '!G134=5,'Items sous domaines Sciences '!C134,0)</f>
        <v>0</v>
      </c>
      <c r="D132" s="216">
        <f>IF('Items sous domaines Sciences '!G134=5,'Items sous domaines Sciences '!D134,0)</f>
        <v>0</v>
      </c>
      <c r="E132" s="216">
        <f>IF('Items sous domaines Sciences '!G134=5,'Items sous domaines Sciences '!E134,0)</f>
        <v>0</v>
      </c>
      <c r="F132" s="489"/>
      <c r="G132" s="485"/>
    </row>
    <row r="133" spans="1:7" customFormat="1" ht="17.7" hidden="1" customHeight="1" thickBot="1" x14ac:dyDescent="0.3">
      <c r="A133" s="494"/>
      <c r="B133" s="57">
        <f>IF('Items sous domaines Sciences '!G135=5,'Items sous domaines Sciences '!B135,0)</f>
        <v>0</v>
      </c>
      <c r="C133" s="212">
        <f>IF('Items sous domaines Sciences '!G135=5,'Items sous domaines Sciences '!C135,0)</f>
        <v>0</v>
      </c>
      <c r="D133" s="215">
        <f>IF('Items sous domaines Sciences '!G135=5,'Items sous domaines Sciences '!D135,0)</f>
        <v>0</v>
      </c>
      <c r="E133" s="209">
        <f>IF('Items sous domaines Sciences '!G135=5,'Items sous domaines Sciences '!E135,0)</f>
        <v>0</v>
      </c>
      <c r="F133" s="489"/>
      <c r="G133" s="485"/>
    </row>
    <row r="134" spans="1:7" customFormat="1" ht="17.7" hidden="1" customHeight="1" thickBot="1" x14ac:dyDescent="0.3">
      <c r="A134" s="494"/>
      <c r="B134" s="57">
        <f>IF('Items sous domaines Sciences '!G136=5,'Items sous domaines Sciences '!B136,0)</f>
        <v>0</v>
      </c>
      <c r="C134" s="213">
        <f>IF('Items sous domaines Sciences '!G136=5,'Items sous domaines Sciences '!C136,0)</f>
        <v>0</v>
      </c>
      <c r="D134" s="216">
        <f>IF('Items sous domaines Sciences '!G136=5,'Items sous domaines Sciences '!D136,0)</f>
        <v>0</v>
      </c>
      <c r="E134" s="216">
        <f>IF('Items sous domaines Sciences '!G136=5,'Items sous domaines Sciences '!E136,0)</f>
        <v>0</v>
      </c>
      <c r="F134" s="489"/>
      <c r="G134" s="485"/>
    </row>
    <row r="135" spans="1:7" customFormat="1" ht="17.7" hidden="1" customHeight="1" thickBot="1" x14ac:dyDescent="0.3">
      <c r="A135" s="494"/>
      <c r="B135" s="57">
        <f>IF('Items sous domaines Sciences '!G137=5,'Items sous domaines Sciences '!B137,0)</f>
        <v>0</v>
      </c>
      <c r="C135" s="212">
        <f>IF('Items sous domaines Sciences '!G137=5,'Items sous domaines Sciences '!C137,0)</f>
        <v>0</v>
      </c>
      <c r="D135" s="215">
        <f>IF('Items sous domaines Sciences '!G137=5,'Items sous domaines Sciences '!D137,0)</f>
        <v>0</v>
      </c>
      <c r="E135" s="209">
        <f>IF('Items sous domaines Sciences '!G137=5,'Items sous domaines Sciences '!E137,0)</f>
        <v>0</v>
      </c>
      <c r="F135" s="489"/>
      <c r="G135" s="485"/>
    </row>
    <row r="136" spans="1:7" customFormat="1" ht="17.7" hidden="1" customHeight="1" thickBot="1" x14ac:dyDescent="0.3">
      <c r="A136" s="494"/>
      <c r="B136" s="57">
        <f>IF('Items sous domaines Sciences '!G138=5,'Items sous domaines Sciences '!B138,0)</f>
        <v>0</v>
      </c>
      <c r="C136" s="213">
        <f>IF('Items sous domaines Sciences '!G138=5,'Items sous domaines Sciences '!C138,0)</f>
        <v>0</v>
      </c>
      <c r="D136" s="216">
        <f>IF('Items sous domaines Sciences '!G138=5,'Items sous domaines Sciences '!D138,0)</f>
        <v>0</v>
      </c>
      <c r="E136" s="216">
        <f>IF('Items sous domaines Sciences '!G138=5,'Items sous domaines Sciences '!E138,0)</f>
        <v>0</v>
      </c>
      <c r="F136" s="489"/>
      <c r="G136" s="485"/>
    </row>
    <row r="137" spans="1:7" customFormat="1" ht="17.7" hidden="1" customHeight="1" thickBot="1" x14ac:dyDescent="0.3">
      <c r="A137" s="494"/>
      <c r="B137" s="57">
        <f>IF('Items sous domaines Sciences '!G139=5,'Items sous domaines Sciences '!B139,0)</f>
        <v>0</v>
      </c>
      <c r="C137" s="212">
        <f>IF('Items sous domaines Sciences '!G139=5,'Items sous domaines Sciences '!C139,0)</f>
        <v>0</v>
      </c>
      <c r="D137" s="215">
        <f>IF('Items sous domaines Sciences '!G139=5,'Items sous domaines Sciences '!D139,0)</f>
        <v>0</v>
      </c>
      <c r="E137" s="209">
        <f>IF('Items sous domaines Sciences '!G139=5,'Items sous domaines Sciences '!E139,0)</f>
        <v>0</v>
      </c>
      <c r="F137" s="489"/>
      <c r="G137" s="485"/>
    </row>
    <row r="138" spans="1:7" customFormat="1" ht="17.7" hidden="1" customHeight="1" thickBot="1" x14ac:dyDescent="0.3">
      <c r="A138" s="494"/>
      <c r="B138" s="57">
        <f>IF('Items sous domaines Sciences '!G140=5,'Items sous domaines Sciences '!B140,0)</f>
        <v>0</v>
      </c>
      <c r="C138" s="213">
        <f>IF('Items sous domaines Sciences '!G140=5,'Items sous domaines Sciences '!C140,0)</f>
        <v>0</v>
      </c>
      <c r="D138" s="216">
        <f>IF('Items sous domaines Sciences '!G140=5,'Items sous domaines Sciences '!D140,0)</f>
        <v>0</v>
      </c>
      <c r="E138" s="216">
        <f>IF('Items sous domaines Sciences '!G140=5,'Items sous domaines Sciences '!E140,0)</f>
        <v>0</v>
      </c>
      <c r="F138" s="489"/>
      <c r="G138" s="485"/>
    </row>
    <row r="139" spans="1:7" customFormat="1" ht="17.7" hidden="1" customHeight="1" thickBot="1" x14ac:dyDescent="0.3">
      <c r="A139" s="494"/>
      <c r="B139" s="57">
        <f>IF('Items sous domaines Sciences '!G141=5,'Items sous domaines Sciences '!B141,0)</f>
        <v>0</v>
      </c>
      <c r="C139" s="212">
        <f>IF('Items sous domaines Sciences '!G141=5,'Items sous domaines Sciences '!C141,0)</f>
        <v>0</v>
      </c>
      <c r="D139" s="215">
        <f>IF('Items sous domaines Sciences '!G141=5,'Items sous domaines Sciences '!D141,0)</f>
        <v>0</v>
      </c>
      <c r="E139" s="209">
        <f>IF('Items sous domaines Sciences '!G141=5,'Items sous domaines Sciences '!E141,0)</f>
        <v>0</v>
      </c>
      <c r="F139" s="489"/>
      <c r="G139" s="485"/>
    </row>
    <row r="140" spans="1:7" customFormat="1" ht="17.7" hidden="1" customHeight="1" thickBot="1" x14ac:dyDescent="0.3">
      <c r="A140" s="494"/>
      <c r="B140" s="57">
        <f>IF('Items sous domaines Sciences '!G142=5,'Items sous domaines Sciences '!B142,0)</f>
        <v>0</v>
      </c>
      <c r="C140" s="213">
        <f>IF('Items sous domaines Sciences '!G142=5,'Items sous domaines Sciences '!C142,0)</f>
        <v>0</v>
      </c>
      <c r="D140" s="216">
        <f>IF('Items sous domaines Sciences '!G142=5,'Items sous domaines Sciences '!D142,0)</f>
        <v>0</v>
      </c>
      <c r="E140" s="216">
        <f>IF('Items sous domaines Sciences '!G142=5,'Items sous domaines Sciences '!E142,0)</f>
        <v>0</v>
      </c>
      <c r="F140" s="489"/>
      <c r="G140" s="485"/>
    </row>
    <row r="141" spans="1:7" customFormat="1" ht="17.7" hidden="1" customHeight="1" thickBot="1" x14ac:dyDescent="0.3">
      <c r="A141" s="494"/>
      <c r="B141" s="57">
        <f>IF('Items sous domaines Sciences '!G143=5,'Items sous domaines Sciences '!B143,0)</f>
        <v>0</v>
      </c>
      <c r="C141" s="212">
        <f>IF('Items sous domaines Sciences '!G143=5,'Items sous domaines Sciences '!C143,0)</f>
        <v>0</v>
      </c>
      <c r="D141" s="215">
        <f>IF('Items sous domaines Sciences '!G143=5,'Items sous domaines Sciences '!D143,0)</f>
        <v>0</v>
      </c>
      <c r="E141" s="209">
        <f>IF('Items sous domaines Sciences '!G143=5,'Items sous domaines Sciences '!E143,0)</f>
        <v>0</v>
      </c>
      <c r="F141" s="489"/>
      <c r="G141" s="485"/>
    </row>
    <row r="142" spans="1:7" customFormat="1" ht="17.7" hidden="1" customHeight="1" thickBot="1" x14ac:dyDescent="0.3">
      <c r="A142" s="494"/>
      <c r="B142" s="57">
        <f>IF('Items sous domaines Sciences '!G144=5,'Items sous domaines Sciences '!B144,0)</f>
        <v>0</v>
      </c>
      <c r="C142" s="213">
        <f>IF('Items sous domaines Sciences '!G144=5,'Items sous domaines Sciences '!C144,0)</f>
        <v>0</v>
      </c>
      <c r="D142" s="216">
        <f>IF('Items sous domaines Sciences '!G144=5,'Items sous domaines Sciences '!D144,0)</f>
        <v>0</v>
      </c>
      <c r="E142" s="216">
        <f>IF('Items sous domaines Sciences '!G144=5,'Items sous domaines Sciences '!E144,0)</f>
        <v>0</v>
      </c>
      <c r="F142" s="489"/>
      <c r="G142" s="485"/>
    </row>
    <row r="143" spans="1:7" customFormat="1" ht="17.7" hidden="1" customHeight="1" thickBot="1" x14ac:dyDescent="0.3">
      <c r="A143" s="494"/>
      <c r="B143" s="57">
        <f>IF('Items sous domaines Sciences '!G145=5,'Items sous domaines Sciences '!B145,0)</f>
        <v>0</v>
      </c>
      <c r="C143" s="212">
        <f>IF('Items sous domaines Sciences '!G145=5,'Items sous domaines Sciences '!C145,0)</f>
        <v>0</v>
      </c>
      <c r="D143" s="215">
        <f>IF('Items sous domaines Sciences '!G145=5,'Items sous domaines Sciences '!D145,0)</f>
        <v>0</v>
      </c>
      <c r="E143" s="209">
        <f>IF('Items sous domaines Sciences '!G145=5,'Items sous domaines Sciences '!E145,0)</f>
        <v>0</v>
      </c>
      <c r="F143" s="489"/>
      <c r="G143" s="485"/>
    </row>
    <row r="144" spans="1:7" customFormat="1" ht="17.7" hidden="1" customHeight="1" thickBot="1" x14ac:dyDescent="0.3">
      <c r="A144" s="494"/>
      <c r="B144" s="57">
        <f>IF('Items sous domaines Sciences '!G146=5,'Items sous domaines Sciences '!B146,0)</f>
        <v>0</v>
      </c>
      <c r="C144" s="213">
        <f>IF('Items sous domaines Sciences '!G146=5,'Items sous domaines Sciences '!C146,0)</f>
        <v>0</v>
      </c>
      <c r="D144" s="216">
        <f>IF('Items sous domaines Sciences '!G146=5,'Items sous domaines Sciences '!D146,0)</f>
        <v>0</v>
      </c>
      <c r="E144" s="216">
        <f>IF('Items sous domaines Sciences '!G146=5,'Items sous domaines Sciences '!E146,0)</f>
        <v>0</v>
      </c>
      <c r="F144" s="489"/>
      <c r="G144" s="485"/>
    </row>
    <row r="145" spans="1:7" customFormat="1" ht="17.7" hidden="1" customHeight="1" thickBot="1" x14ac:dyDescent="0.3">
      <c r="A145" s="494"/>
      <c r="B145" s="57">
        <f>IF('Items sous domaines Sciences '!G147=5,'Items sous domaines Sciences '!B147,0)</f>
        <v>0</v>
      </c>
      <c r="C145" s="212">
        <f>IF('Items sous domaines Sciences '!G147=5,'Items sous domaines Sciences '!C147,0)</f>
        <v>0</v>
      </c>
      <c r="D145" s="215">
        <f>IF('Items sous domaines Sciences '!G147=5,'Items sous domaines Sciences '!D147,0)</f>
        <v>0</v>
      </c>
      <c r="E145" s="209">
        <f>IF('Items sous domaines Sciences '!G147=5,'Items sous domaines Sciences '!E147,0)</f>
        <v>0</v>
      </c>
      <c r="F145" s="489"/>
      <c r="G145" s="485"/>
    </row>
    <row r="146" spans="1:7" customFormat="1" ht="17.7" hidden="1" customHeight="1" thickBot="1" x14ac:dyDescent="0.3">
      <c r="A146" s="494"/>
      <c r="B146" s="57">
        <f>IF('Items sous domaines Sciences '!G148=5,'Items sous domaines Sciences '!B148,0)</f>
        <v>0</v>
      </c>
      <c r="C146" s="213">
        <f>IF('Items sous domaines Sciences '!G148=5,'Items sous domaines Sciences '!C148,0)</f>
        <v>0</v>
      </c>
      <c r="D146" s="216">
        <f>IF('Items sous domaines Sciences '!G148=5,'Items sous domaines Sciences '!D148,0)</f>
        <v>0</v>
      </c>
      <c r="E146" s="216">
        <f>IF('Items sous domaines Sciences '!G148=5,'Items sous domaines Sciences '!E148,0)</f>
        <v>0</v>
      </c>
      <c r="F146" s="489"/>
      <c r="G146" s="485"/>
    </row>
    <row r="147" spans="1:7" customFormat="1" ht="17.7" hidden="1" customHeight="1" thickBot="1" x14ac:dyDescent="0.3">
      <c r="A147" s="494"/>
      <c r="B147" s="57">
        <f>IF('Items sous domaines Sciences '!G149=5,'Items sous domaines Sciences '!B149,0)</f>
        <v>0</v>
      </c>
      <c r="C147" s="212">
        <f>IF('Items sous domaines Sciences '!G149=5,'Items sous domaines Sciences '!C149,0)</f>
        <v>0</v>
      </c>
      <c r="D147" s="215">
        <f>IF('Items sous domaines Sciences '!G149=5,'Items sous domaines Sciences '!D149,0)</f>
        <v>0</v>
      </c>
      <c r="E147" s="209">
        <f>IF('Items sous domaines Sciences '!G149=5,'Items sous domaines Sciences '!E149,0)</f>
        <v>0</v>
      </c>
      <c r="F147" s="489"/>
      <c r="G147" s="485"/>
    </row>
    <row r="148" spans="1:7" customFormat="1" ht="17.7" hidden="1" customHeight="1" thickBot="1" x14ac:dyDescent="0.3">
      <c r="A148" s="494"/>
      <c r="B148" s="57">
        <f>IF('Items sous domaines Sciences '!G150=5,'Items sous domaines Sciences '!B150,0)</f>
        <v>0</v>
      </c>
      <c r="C148" s="213">
        <f>IF('Items sous domaines Sciences '!G150=5,'Items sous domaines Sciences '!C150,0)</f>
        <v>0</v>
      </c>
      <c r="D148" s="216">
        <f>IF('Items sous domaines Sciences '!G150=5,'Items sous domaines Sciences '!D150,0)</f>
        <v>0</v>
      </c>
      <c r="E148" s="216">
        <f>IF('Items sous domaines Sciences '!G150=5,'Items sous domaines Sciences '!E150,0)</f>
        <v>0</v>
      </c>
      <c r="F148" s="489"/>
      <c r="G148" s="485"/>
    </row>
    <row r="149" spans="1:7" customFormat="1" ht="17.7" hidden="1" customHeight="1" thickBot="1" x14ac:dyDescent="0.3">
      <c r="A149" s="494"/>
      <c r="B149" s="57">
        <f>IF('Items sous domaines Sciences '!G151=5,'Items sous domaines Sciences '!B151,0)</f>
        <v>0</v>
      </c>
      <c r="C149" s="212">
        <f>IF('Items sous domaines Sciences '!G151=5,'Items sous domaines Sciences '!C151,0)</f>
        <v>0</v>
      </c>
      <c r="D149" s="215">
        <f>IF('Items sous domaines Sciences '!G151=5,'Items sous domaines Sciences '!D151,0)</f>
        <v>0</v>
      </c>
      <c r="E149" s="209">
        <f>IF('Items sous domaines Sciences '!G151=5,'Items sous domaines Sciences '!E151,0)</f>
        <v>0</v>
      </c>
      <c r="F149" s="489"/>
      <c r="G149" s="485"/>
    </row>
    <row r="150" spans="1:7" customFormat="1" ht="17.7" hidden="1" customHeight="1" thickBot="1" x14ac:dyDescent="0.3">
      <c r="A150" s="494"/>
      <c r="B150" s="57">
        <f>IF('Items sous domaines Sciences '!G152=5,'Items sous domaines Sciences '!B152,0)</f>
        <v>0</v>
      </c>
      <c r="C150" s="213">
        <f>IF('Items sous domaines Sciences '!G152=5,'Items sous domaines Sciences '!C152,0)</f>
        <v>0</v>
      </c>
      <c r="D150" s="216">
        <f>IF('Items sous domaines Sciences '!G152=5,'Items sous domaines Sciences '!D152,0)</f>
        <v>0</v>
      </c>
      <c r="E150" s="216">
        <f>IF('Items sous domaines Sciences '!G152=5,'Items sous domaines Sciences '!E152,0)</f>
        <v>0</v>
      </c>
      <c r="F150" s="489"/>
      <c r="G150" s="485"/>
    </row>
    <row r="151" spans="1:7" customFormat="1" ht="17.7" hidden="1" customHeight="1" thickBot="1" x14ac:dyDescent="0.3">
      <c r="A151" s="494"/>
      <c r="B151" s="57">
        <f>IF('Items sous domaines Sciences '!G153=5,'Items sous domaines Sciences '!B153,0)</f>
        <v>0</v>
      </c>
      <c r="C151" s="212">
        <f>IF('Items sous domaines Sciences '!G153=5,'Items sous domaines Sciences '!C153,0)</f>
        <v>0</v>
      </c>
      <c r="D151" s="215">
        <f>IF('Items sous domaines Sciences '!G153=5,'Items sous domaines Sciences '!D153,0)</f>
        <v>0</v>
      </c>
      <c r="E151" s="209">
        <f>IF('Items sous domaines Sciences '!G153=5,'Items sous domaines Sciences '!E153,0)</f>
        <v>0</v>
      </c>
      <c r="F151" s="489"/>
      <c r="G151" s="485"/>
    </row>
    <row r="152" spans="1:7" customFormat="1" ht="17.7" hidden="1" customHeight="1" thickBot="1" x14ac:dyDescent="0.3">
      <c r="A152" s="494"/>
      <c r="B152" s="57">
        <f>IF('Items sous domaines Sciences '!G154=5,'Items sous domaines Sciences '!B154,0)</f>
        <v>0</v>
      </c>
      <c r="C152" s="213">
        <f>IF('Items sous domaines Sciences '!G154=5,'Items sous domaines Sciences '!C154,0)</f>
        <v>0</v>
      </c>
      <c r="D152" s="216">
        <f>IF('Items sous domaines Sciences '!G154=5,'Items sous domaines Sciences '!D154,0)</f>
        <v>0</v>
      </c>
      <c r="E152" s="216">
        <f>IF('Items sous domaines Sciences '!G154=5,'Items sous domaines Sciences '!E154,0)</f>
        <v>0</v>
      </c>
      <c r="F152" s="489"/>
      <c r="G152" s="485"/>
    </row>
    <row r="153" spans="1:7" customFormat="1" ht="17.7" hidden="1" customHeight="1" thickBot="1" x14ac:dyDescent="0.3">
      <c r="A153" s="494"/>
      <c r="B153" s="57">
        <f>IF('Items sous domaines Sciences '!G155=5,'Items sous domaines Sciences '!B155,0)</f>
        <v>0</v>
      </c>
      <c r="C153" s="212">
        <f>IF('Items sous domaines Sciences '!G155=5,'Items sous domaines Sciences '!C155,0)</f>
        <v>0</v>
      </c>
      <c r="D153" s="215">
        <f>IF('Items sous domaines Sciences '!G155=5,'Items sous domaines Sciences '!D155,0)</f>
        <v>0</v>
      </c>
      <c r="E153" s="209">
        <f>IF('Items sous domaines Sciences '!G155=5,'Items sous domaines Sciences '!E155,0)</f>
        <v>0</v>
      </c>
      <c r="F153" s="489"/>
      <c r="G153" s="485"/>
    </row>
    <row r="154" spans="1:7" customFormat="1" ht="17.7" hidden="1" customHeight="1" thickBot="1" x14ac:dyDescent="0.3">
      <c r="A154" s="494"/>
      <c r="B154" s="57">
        <f>IF('Items sous domaines Sciences '!G156=5,'Items sous domaines Sciences '!B156,0)</f>
        <v>0</v>
      </c>
      <c r="C154" s="213">
        <f>IF('Items sous domaines Sciences '!G156=5,'Items sous domaines Sciences '!C156,0)</f>
        <v>0</v>
      </c>
      <c r="D154" s="216">
        <f>IF('Items sous domaines Sciences '!G156=5,'Items sous domaines Sciences '!D156,0)</f>
        <v>0</v>
      </c>
      <c r="E154" s="216">
        <f>IF('Items sous domaines Sciences '!G156=5,'Items sous domaines Sciences '!E156,0)</f>
        <v>0</v>
      </c>
      <c r="F154" s="489"/>
      <c r="G154" s="485"/>
    </row>
    <row r="155" spans="1:7" customFormat="1" ht="17.7" hidden="1" customHeight="1" thickBot="1" x14ac:dyDescent="0.3">
      <c r="A155" s="494"/>
      <c r="B155" s="57">
        <f>IF('Items sous domaines Sciences '!G157=5,'Items sous domaines Sciences '!B157,0)</f>
        <v>0</v>
      </c>
      <c r="C155" s="212">
        <f>IF('Items sous domaines Sciences '!G157=5,'Items sous domaines Sciences '!C157,0)</f>
        <v>0</v>
      </c>
      <c r="D155" s="215">
        <f>IF('Items sous domaines Sciences '!G157=5,'Items sous domaines Sciences '!D157,0)</f>
        <v>0</v>
      </c>
      <c r="E155" s="209">
        <f>IF('Items sous domaines Sciences '!G157=5,'Items sous domaines Sciences '!E157,0)</f>
        <v>0</v>
      </c>
      <c r="F155" s="489"/>
      <c r="G155" s="485"/>
    </row>
    <row r="156" spans="1:7" customFormat="1" ht="17.7" hidden="1" customHeight="1" thickBot="1" x14ac:dyDescent="0.3">
      <c r="A156" s="494"/>
      <c r="B156" s="57">
        <f>IF('Items sous domaines Sciences '!G158=5,'Items sous domaines Sciences '!B158,0)</f>
        <v>0</v>
      </c>
      <c r="C156" s="213">
        <f>IF('Items sous domaines Sciences '!G158=5,'Items sous domaines Sciences '!C158,0)</f>
        <v>0</v>
      </c>
      <c r="D156" s="216">
        <f>IF('Items sous domaines Sciences '!G158=5,'Items sous domaines Sciences '!D158,0)</f>
        <v>0</v>
      </c>
      <c r="E156" s="216">
        <f>IF('Items sous domaines Sciences '!G158=5,'Items sous domaines Sciences '!E158,0)</f>
        <v>0</v>
      </c>
      <c r="F156" s="489"/>
      <c r="G156" s="485"/>
    </row>
    <row r="157" spans="1:7" customFormat="1" ht="17.7" hidden="1" customHeight="1" thickBot="1" x14ac:dyDescent="0.3">
      <c r="A157" s="494"/>
      <c r="B157" s="57">
        <f>IF('Items sous domaines Sciences '!G159=5,'Items sous domaines Sciences '!B159,0)</f>
        <v>0</v>
      </c>
      <c r="C157" s="212">
        <f>IF('Items sous domaines Sciences '!G159=5,'Items sous domaines Sciences '!C159,0)</f>
        <v>0</v>
      </c>
      <c r="D157" s="215">
        <f>IF('Items sous domaines Sciences '!G159=5,'Items sous domaines Sciences '!D159,0)</f>
        <v>0</v>
      </c>
      <c r="E157" s="209">
        <f>IF('Items sous domaines Sciences '!G159=5,'Items sous domaines Sciences '!E159,0)</f>
        <v>0</v>
      </c>
      <c r="F157" s="489"/>
      <c r="G157" s="485"/>
    </row>
    <row r="158" spans="1:7" customFormat="1" ht="17.7" hidden="1" customHeight="1" thickBot="1" x14ac:dyDescent="0.3">
      <c r="A158" s="494"/>
      <c r="B158" s="57">
        <f>IF('Items sous domaines Sciences '!G160=5,'Items sous domaines Sciences '!B160,0)</f>
        <v>0</v>
      </c>
      <c r="C158" s="213">
        <f>IF('Items sous domaines Sciences '!G160=5,'Items sous domaines Sciences '!C160,0)</f>
        <v>0</v>
      </c>
      <c r="D158" s="216">
        <f>IF('Items sous domaines Sciences '!G160=5,'Items sous domaines Sciences '!D160,0)</f>
        <v>0</v>
      </c>
      <c r="E158" s="216">
        <f>IF('Items sous domaines Sciences '!G160=5,'Items sous domaines Sciences '!E160,0)</f>
        <v>0</v>
      </c>
      <c r="F158" s="489"/>
      <c r="G158" s="485"/>
    </row>
    <row r="159" spans="1:7" customFormat="1" ht="17.7" hidden="1" customHeight="1" thickBot="1" x14ac:dyDescent="0.3">
      <c r="A159" s="494"/>
      <c r="B159" s="57">
        <f>IF('Items sous domaines Sciences '!G161=5,'Items sous domaines Sciences '!B161,0)</f>
        <v>0</v>
      </c>
      <c r="C159" s="212">
        <f>IF('Items sous domaines Sciences '!G161=5,'Items sous domaines Sciences '!C161,0)</f>
        <v>0</v>
      </c>
      <c r="D159" s="215">
        <f>IF('Items sous domaines Sciences '!G161=5,'Items sous domaines Sciences '!D161,0)</f>
        <v>0</v>
      </c>
      <c r="E159" s="209">
        <f>IF('Items sous domaines Sciences '!G161=5,'Items sous domaines Sciences '!E161,0)</f>
        <v>0</v>
      </c>
      <c r="F159" s="489"/>
      <c r="G159" s="485"/>
    </row>
    <row r="160" spans="1:7" customFormat="1" ht="17.7" hidden="1" customHeight="1" thickBot="1" x14ac:dyDescent="0.3">
      <c r="A160" s="494"/>
      <c r="B160" s="57">
        <f>IF('Items sous domaines Sciences '!G162=5,'Items sous domaines Sciences '!B162,0)</f>
        <v>0</v>
      </c>
      <c r="C160" s="213">
        <f>IF('Items sous domaines Sciences '!G162=5,'Items sous domaines Sciences '!C162,0)</f>
        <v>0</v>
      </c>
      <c r="D160" s="216">
        <f>IF('Items sous domaines Sciences '!G162=5,'Items sous domaines Sciences '!D162,0)</f>
        <v>0</v>
      </c>
      <c r="E160" s="216">
        <f>IF('Items sous domaines Sciences '!G162=5,'Items sous domaines Sciences '!E162,0)</f>
        <v>0</v>
      </c>
      <c r="F160" s="489"/>
      <c r="G160" s="485"/>
    </row>
    <row r="161" spans="1:7" customFormat="1" ht="17.7" hidden="1" customHeight="1" thickBot="1" x14ac:dyDescent="0.3">
      <c r="A161" s="494"/>
      <c r="B161" s="57">
        <f>IF('Items sous domaines Sciences '!G163=5,'Items sous domaines Sciences '!B163,0)</f>
        <v>0</v>
      </c>
      <c r="C161" s="212">
        <f>IF('Items sous domaines Sciences '!G163=5,'Items sous domaines Sciences '!C163,0)</f>
        <v>0</v>
      </c>
      <c r="D161" s="215">
        <f>IF('Items sous domaines Sciences '!G163=5,'Items sous domaines Sciences '!D163,0)</f>
        <v>0</v>
      </c>
      <c r="E161" s="209">
        <f>IF('Items sous domaines Sciences '!G163=5,'Items sous domaines Sciences '!E163,0)</f>
        <v>0</v>
      </c>
      <c r="F161" s="489"/>
      <c r="G161" s="485"/>
    </row>
    <row r="162" spans="1:7" customFormat="1" ht="17.7" hidden="1" customHeight="1" thickBot="1" x14ac:dyDescent="0.3">
      <c r="A162" s="494"/>
      <c r="B162" s="57">
        <f>IF('Items sous domaines Sciences '!G164=5,'Items sous domaines Sciences '!B164,0)</f>
        <v>0</v>
      </c>
      <c r="C162" s="213">
        <f>IF('Items sous domaines Sciences '!G164=5,'Items sous domaines Sciences '!C164,0)</f>
        <v>0</v>
      </c>
      <c r="D162" s="216">
        <f>IF('Items sous domaines Sciences '!G164=5,'Items sous domaines Sciences '!D164,0)</f>
        <v>0</v>
      </c>
      <c r="E162" s="216">
        <f>IF('Items sous domaines Sciences '!G164=5,'Items sous domaines Sciences '!E164,0)</f>
        <v>0</v>
      </c>
      <c r="F162" s="489"/>
      <c r="G162" s="485"/>
    </row>
    <row r="163" spans="1:7" customFormat="1" ht="17.7" hidden="1" customHeight="1" thickBot="1" x14ac:dyDescent="0.3">
      <c r="A163" s="494"/>
      <c r="B163" s="57">
        <f>IF('Items sous domaines Sciences '!G165=5,'Items sous domaines Sciences '!B165,0)</f>
        <v>0</v>
      </c>
      <c r="C163" s="212">
        <f>IF('Items sous domaines Sciences '!G165=5,'Items sous domaines Sciences '!C165,0)</f>
        <v>0</v>
      </c>
      <c r="D163" s="215">
        <f>IF('Items sous domaines Sciences '!G165=5,'Items sous domaines Sciences '!D165,0)</f>
        <v>0</v>
      </c>
      <c r="E163" s="209">
        <f>IF('Items sous domaines Sciences '!G165=5,'Items sous domaines Sciences '!E165,0)</f>
        <v>0</v>
      </c>
      <c r="F163" s="489"/>
      <c r="G163" s="485"/>
    </row>
    <row r="164" spans="1:7" customFormat="1" ht="17.7" hidden="1" customHeight="1" thickBot="1" x14ac:dyDescent="0.3">
      <c r="A164" s="494"/>
      <c r="B164" s="57">
        <f>IF('Items sous domaines Sciences '!G166=5,'Items sous domaines Sciences '!B166,0)</f>
        <v>0</v>
      </c>
      <c r="C164" s="213">
        <f>IF('Items sous domaines Sciences '!G166=5,'Items sous domaines Sciences '!C166,0)</f>
        <v>0</v>
      </c>
      <c r="D164" s="216">
        <f>IF('Items sous domaines Sciences '!G166=5,'Items sous domaines Sciences '!D166,0)</f>
        <v>0</v>
      </c>
      <c r="E164" s="216">
        <f>IF('Items sous domaines Sciences '!G166=5,'Items sous domaines Sciences '!E166,0)</f>
        <v>0</v>
      </c>
      <c r="F164" s="489"/>
      <c r="G164" s="485"/>
    </row>
    <row r="165" spans="1:7" customFormat="1" ht="17.7" hidden="1" customHeight="1" thickBot="1" x14ac:dyDescent="0.3">
      <c r="A165" s="494"/>
      <c r="B165" s="57">
        <f>IF('Items sous domaines Sciences '!G167=5,'Items sous domaines Sciences '!B167,0)</f>
        <v>0</v>
      </c>
      <c r="C165" s="212">
        <f>IF('Items sous domaines Sciences '!G167=5,'Items sous domaines Sciences '!C167,0)</f>
        <v>0</v>
      </c>
      <c r="D165" s="215">
        <f>IF('Items sous domaines Sciences '!G167=5,'Items sous domaines Sciences '!D167,0)</f>
        <v>0</v>
      </c>
      <c r="E165" s="209">
        <f>IF('Items sous domaines Sciences '!G167=5,'Items sous domaines Sciences '!E167,0)</f>
        <v>0</v>
      </c>
      <c r="F165" s="489"/>
      <c r="G165" s="485"/>
    </row>
    <row r="166" spans="1:7" customFormat="1" ht="17.7" hidden="1" customHeight="1" thickBot="1" x14ac:dyDescent="0.3">
      <c r="A166" s="494"/>
      <c r="B166" s="57">
        <f>IF('Items sous domaines Sciences '!G168=5,'Items sous domaines Sciences '!B168,0)</f>
        <v>0</v>
      </c>
      <c r="C166" s="213">
        <f>IF('Items sous domaines Sciences '!G168=5,'Items sous domaines Sciences '!C168,0)</f>
        <v>0</v>
      </c>
      <c r="D166" s="216">
        <f>IF('Items sous domaines Sciences '!G168=5,'Items sous domaines Sciences '!D168,0)</f>
        <v>0</v>
      </c>
      <c r="E166" s="216">
        <f>IF('Items sous domaines Sciences '!G168=5,'Items sous domaines Sciences '!E168,0)</f>
        <v>0</v>
      </c>
      <c r="F166" s="489"/>
      <c r="G166" s="485"/>
    </row>
    <row r="167" spans="1:7" customFormat="1" ht="17.7" hidden="1" customHeight="1" thickBot="1" x14ac:dyDescent="0.3">
      <c r="A167" s="494"/>
      <c r="B167" s="57">
        <f>IF('Items sous domaines Sciences '!G169=5,'Items sous domaines Sciences '!B169,0)</f>
        <v>0</v>
      </c>
      <c r="C167" s="212">
        <f>IF('Items sous domaines Sciences '!G169=5,'Items sous domaines Sciences '!C169,0)</f>
        <v>0</v>
      </c>
      <c r="D167" s="215">
        <f>IF('Items sous domaines Sciences '!G169=5,'Items sous domaines Sciences '!D169,0)</f>
        <v>0</v>
      </c>
      <c r="E167" s="209">
        <f>IF('Items sous domaines Sciences '!G169=5,'Items sous domaines Sciences '!E169,0)</f>
        <v>0</v>
      </c>
      <c r="F167" s="489"/>
      <c r="G167" s="485"/>
    </row>
    <row r="168" spans="1:7" customFormat="1" ht="17.7" hidden="1" customHeight="1" thickBot="1" x14ac:dyDescent="0.3">
      <c r="A168" s="494"/>
      <c r="B168" s="57">
        <f>IF('Items sous domaines Sciences '!G170=5,'Items sous domaines Sciences '!B170,0)</f>
        <v>0</v>
      </c>
      <c r="C168" s="213">
        <f>IF('Items sous domaines Sciences '!G170=5,'Items sous domaines Sciences '!C170,0)</f>
        <v>0</v>
      </c>
      <c r="D168" s="216">
        <f>IF('Items sous domaines Sciences '!G170=5,'Items sous domaines Sciences '!D170,0)</f>
        <v>0</v>
      </c>
      <c r="E168" s="216">
        <f>IF('Items sous domaines Sciences '!G170=5,'Items sous domaines Sciences '!E170,0)</f>
        <v>0</v>
      </c>
      <c r="F168" s="489"/>
      <c r="G168" s="485"/>
    </row>
    <row r="169" spans="1:7" customFormat="1" ht="17.7" hidden="1" customHeight="1" thickBot="1" x14ac:dyDescent="0.3">
      <c r="A169" s="494"/>
      <c r="B169" s="57">
        <f>IF('Items sous domaines Sciences '!G171=5,'Items sous domaines Sciences '!B171,0)</f>
        <v>0</v>
      </c>
      <c r="C169" s="212">
        <f>IF('Items sous domaines Sciences '!G171=5,'Items sous domaines Sciences '!C171,0)</f>
        <v>0</v>
      </c>
      <c r="D169" s="215">
        <f>IF('Items sous domaines Sciences '!G171=5,'Items sous domaines Sciences '!D171,0)</f>
        <v>0</v>
      </c>
      <c r="E169" s="209">
        <f>IF('Items sous domaines Sciences '!G171=5,'Items sous domaines Sciences '!E171,0)</f>
        <v>0</v>
      </c>
      <c r="F169" s="489"/>
      <c r="G169" s="485"/>
    </row>
    <row r="170" spans="1:7" customFormat="1" ht="17.7" hidden="1" customHeight="1" thickBot="1" x14ac:dyDescent="0.3">
      <c r="A170" s="494"/>
      <c r="B170" s="57">
        <f>IF('Items sous domaines Sciences '!G172=5,'Items sous domaines Sciences '!B172,0)</f>
        <v>0</v>
      </c>
      <c r="C170" s="213">
        <f>IF('Items sous domaines Sciences '!G172=5,'Items sous domaines Sciences '!C172,0)</f>
        <v>0</v>
      </c>
      <c r="D170" s="216">
        <f>IF('Items sous domaines Sciences '!G172=5,'Items sous domaines Sciences '!D172,0)</f>
        <v>0</v>
      </c>
      <c r="E170" s="216">
        <f>IF('Items sous domaines Sciences '!G172=5,'Items sous domaines Sciences '!E172,0)</f>
        <v>0</v>
      </c>
      <c r="F170" s="489"/>
      <c r="G170" s="485"/>
    </row>
    <row r="171" spans="1:7" customFormat="1" ht="17.7" hidden="1" customHeight="1" thickBot="1" x14ac:dyDescent="0.3">
      <c r="A171" s="494"/>
      <c r="B171" s="57">
        <f>IF('Items sous domaines Sciences '!G173=5,'Items sous domaines Sciences '!B173,0)</f>
        <v>0</v>
      </c>
      <c r="C171" s="212">
        <f>IF('Items sous domaines Sciences '!G173=5,'Items sous domaines Sciences '!C173,0)</f>
        <v>0</v>
      </c>
      <c r="D171" s="215">
        <f>IF('Items sous domaines Sciences '!G173=5,'Items sous domaines Sciences '!D173,0)</f>
        <v>0</v>
      </c>
      <c r="E171" s="209">
        <f>IF('Items sous domaines Sciences '!G173=5,'Items sous domaines Sciences '!E173,0)</f>
        <v>0</v>
      </c>
      <c r="F171" s="489"/>
      <c r="G171" s="485"/>
    </row>
    <row r="172" spans="1:7" customFormat="1" ht="17.7" hidden="1" customHeight="1" thickBot="1" x14ac:dyDescent="0.3">
      <c r="A172" s="494"/>
      <c r="B172" s="57">
        <f>IF('Items sous domaines Sciences '!G174=5,'Items sous domaines Sciences '!B174,0)</f>
        <v>0</v>
      </c>
      <c r="C172" s="213">
        <f>IF('Items sous domaines Sciences '!G174=5,'Items sous domaines Sciences '!C174,0)</f>
        <v>0</v>
      </c>
      <c r="D172" s="216">
        <f>IF('Items sous domaines Sciences '!G174=5,'Items sous domaines Sciences '!D174,0)</f>
        <v>0</v>
      </c>
      <c r="E172" s="216">
        <f>IF('Items sous domaines Sciences '!G174=5,'Items sous domaines Sciences '!E174,0)</f>
        <v>0</v>
      </c>
      <c r="F172" s="489"/>
      <c r="G172" s="485"/>
    </row>
    <row r="173" spans="1:7" customFormat="1" ht="17.7" hidden="1" customHeight="1" thickBot="1" x14ac:dyDescent="0.3">
      <c r="A173" s="494"/>
      <c r="B173" s="57">
        <f>IF('Items sous domaines Sciences '!G175=5,'Items sous domaines Sciences '!B175,0)</f>
        <v>0</v>
      </c>
      <c r="C173" s="212">
        <f>IF('Items sous domaines Sciences '!G175=5,'Items sous domaines Sciences '!C175,0)</f>
        <v>0</v>
      </c>
      <c r="D173" s="215">
        <f>IF('Items sous domaines Sciences '!G175=5,'Items sous domaines Sciences '!D175,0)</f>
        <v>0</v>
      </c>
      <c r="E173" s="209">
        <f>IF('Items sous domaines Sciences '!G175=5,'Items sous domaines Sciences '!E175,0)</f>
        <v>0</v>
      </c>
      <c r="F173" s="489"/>
      <c r="G173" s="485"/>
    </row>
    <row r="174" spans="1:7" customFormat="1" ht="17.7" hidden="1" customHeight="1" thickBot="1" x14ac:dyDescent="0.3">
      <c r="A174" s="494"/>
      <c r="B174" s="57">
        <f>IF('Items sous domaines Sciences '!G176=5,'Items sous domaines Sciences '!B176,0)</f>
        <v>0</v>
      </c>
      <c r="C174" s="213">
        <f>IF('Items sous domaines Sciences '!G176=5,'Items sous domaines Sciences '!C176,0)</f>
        <v>0</v>
      </c>
      <c r="D174" s="216">
        <f>IF('Items sous domaines Sciences '!G176=5,'Items sous domaines Sciences '!D176,0)</f>
        <v>0</v>
      </c>
      <c r="E174" s="216">
        <f>IF('Items sous domaines Sciences '!G176=5,'Items sous domaines Sciences '!E176,0)</f>
        <v>0</v>
      </c>
      <c r="F174" s="489"/>
      <c r="G174" s="485"/>
    </row>
    <row r="175" spans="1:7" customFormat="1" ht="17.7" hidden="1" customHeight="1" thickBot="1" x14ac:dyDescent="0.3">
      <c r="A175" s="494"/>
      <c r="B175" s="57">
        <f>IF('Items sous domaines Sciences '!G177=5,'Items sous domaines Sciences '!B177,0)</f>
        <v>0</v>
      </c>
      <c r="C175" s="212">
        <f>IF('Items sous domaines Sciences '!G177=5,'Items sous domaines Sciences '!C177,0)</f>
        <v>0</v>
      </c>
      <c r="D175" s="215">
        <f>IF('Items sous domaines Sciences '!G177=5,'Items sous domaines Sciences '!D177,0)</f>
        <v>0</v>
      </c>
      <c r="E175" s="209">
        <f>IF('Items sous domaines Sciences '!G177=5,'Items sous domaines Sciences '!E177,0)</f>
        <v>0</v>
      </c>
      <c r="F175" s="489"/>
      <c r="G175" s="485"/>
    </row>
    <row r="176" spans="1:7" customFormat="1" ht="17.7" hidden="1" customHeight="1" thickBot="1" x14ac:dyDescent="0.3">
      <c r="A176" s="494"/>
      <c r="B176" s="57">
        <f>IF('Items sous domaines Sciences '!G178=5,'Items sous domaines Sciences '!B178,0)</f>
        <v>0</v>
      </c>
      <c r="C176" s="213">
        <f>IF('Items sous domaines Sciences '!G178=5,'Items sous domaines Sciences '!C178,0)</f>
        <v>0</v>
      </c>
      <c r="D176" s="216">
        <f>IF('Items sous domaines Sciences '!G178=5,'Items sous domaines Sciences '!D178,0)</f>
        <v>0</v>
      </c>
      <c r="E176" s="216">
        <f>IF('Items sous domaines Sciences '!G178=5,'Items sous domaines Sciences '!E178,0)</f>
        <v>0</v>
      </c>
      <c r="F176" s="489"/>
      <c r="G176" s="485"/>
    </row>
    <row r="177" spans="1:7" customFormat="1" ht="17.7" hidden="1" customHeight="1" thickBot="1" x14ac:dyDescent="0.3">
      <c r="A177" s="494"/>
      <c r="B177" s="57">
        <f>IF('Items sous domaines Sciences '!G179=5,'Items sous domaines Sciences '!B179,0)</f>
        <v>0</v>
      </c>
      <c r="C177" s="212">
        <f>IF('Items sous domaines Sciences '!G179=5,'Items sous domaines Sciences '!C179,0)</f>
        <v>0</v>
      </c>
      <c r="D177" s="215">
        <f>IF('Items sous domaines Sciences '!G179=5,'Items sous domaines Sciences '!D179,0)</f>
        <v>0</v>
      </c>
      <c r="E177" s="209">
        <f>IF('Items sous domaines Sciences '!G179=5,'Items sous domaines Sciences '!E179,0)</f>
        <v>0</v>
      </c>
      <c r="F177" s="489"/>
      <c r="G177" s="485"/>
    </row>
    <row r="178" spans="1:7" customFormat="1" ht="17.7" hidden="1" customHeight="1" thickBot="1" x14ac:dyDescent="0.3">
      <c r="A178" s="494"/>
      <c r="B178" s="57">
        <f>IF('Items sous domaines Sciences '!G180=5,'Items sous domaines Sciences '!B180,0)</f>
        <v>0</v>
      </c>
      <c r="C178" s="213">
        <f>IF('Items sous domaines Sciences '!G180=5,'Items sous domaines Sciences '!C180,0)</f>
        <v>0</v>
      </c>
      <c r="D178" s="216">
        <f>IF('Items sous domaines Sciences '!G180=5,'Items sous domaines Sciences '!D180,0)</f>
        <v>0</v>
      </c>
      <c r="E178" s="216">
        <f>IF('Items sous domaines Sciences '!G180=5,'Items sous domaines Sciences '!E180,0)</f>
        <v>0</v>
      </c>
      <c r="F178" s="489"/>
      <c r="G178" s="485"/>
    </row>
    <row r="179" spans="1:7" customFormat="1" ht="17.7" hidden="1" customHeight="1" thickBot="1" x14ac:dyDescent="0.3">
      <c r="A179" s="494"/>
      <c r="B179" s="57">
        <f>IF('Items sous domaines Sciences '!G181=5,'Items sous domaines Sciences '!B181,0)</f>
        <v>0</v>
      </c>
      <c r="C179" s="212">
        <f>IF('Items sous domaines Sciences '!G181=5,'Items sous domaines Sciences '!C181,0)</f>
        <v>0</v>
      </c>
      <c r="D179" s="215">
        <f>IF('Items sous domaines Sciences '!G181=5,'Items sous domaines Sciences '!D181,0)</f>
        <v>0</v>
      </c>
      <c r="E179" s="209">
        <f>IF('Items sous domaines Sciences '!G181=5,'Items sous domaines Sciences '!E181,0)</f>
        <v>0</v>
      </c>
      <c r="F179" s="489"/>
      <c r="G179" s="485"/>
    </row>
    <row r="180" spans="1:7" customFormat="1" ht="17.7" hidden="1" customHeight="1" thickBot="1" x14ac:dyDescent="0.3">
      <c r="A180" s="494"/>
      <c r="B180" s="57">
        <f>IF('Items sous domaines Sciences '!G182=5,'Items sous domaines Sciences '!B182,0)</f>
        <v>0</v>
      </c>
      <c r="C180" s="213">
        <f>IF('Items sous domaines Sciences '!G182=5,'Items sous domaines Sciences '!C182,0)</f>
        <v>0</v>
      </c>
      <c r="D180" s="216">
        <f>IF('Items sous domaines Sciences '!G182=5,'Items sous domaines Sciences '!D182,0)</f>
        <v>0</v>
      </c>
      <c r="E180" s="216">
        <f>IF('Items sous domaines Sciences '!G182=5,'Items sous domaines Sciences '!E182,0)</f>
        <v>0</v>
      </c>
      <c r="F180" s="489"/>
      <c r="G180" s="485"/>
    </row>
    <row r="181" spans="1:7" customFormat="1" ht="17.7" hidden="1" customHeight="1" thickBot="1" x14ac:dyDescent="0.3">
      <c r="A181" s="494"/>
      <c r="B181" s="57">
        <f>IF('Items sous domaines Sciences '!G183=5,'Items sous domaines Sciences '!B183,0)</f>
        <v>0</v>
      </c>
      <c r="C181" s="212">
        <f>IF('Items sous domaines Sciences '!G183=5,'Items sous domaines Sciences '!C183,0)</f>
        <v>0</v>
      </c>
      <c r="D181" s="215">
        <f>IF('Items sous domaines Sciences '!G183=5,'Items sous domaines Sciences '!D183,0)</f>
        <v>0</v>
      </c>
      <c r="E181" s="209">
        <f>IF('Items sous domaines Sciences '!G183=5,'Items sous domaines Sciences '!E183,0)</f>
        <v>0</v>
      </c>
      <c r="F181" s="489"/>
      <c r="G181" s="485"/>
    </row>
    <row r="182" spans="1:7" customFormat="1" ht="17.7" hidden="1" customHeight="1" thickBot="1" x14ac:dyDescent="0.3">
      <c r="A182" s="494"/>
      <c r="B182" s="57">
        <f>IF('Items sous domaines Sciences '!G184=5,'Items sous domaines Sciences '!B184,0)</f>
        <v>0</v>
      </c>
      <c r="C182" s="213">
        <f>IF('Items sous domaines Sciences '!G184=5,'Items sous domaines Sciences '!C184,0)</f>
        <v>0</v>
      </c>
      <c r="D182" s="216">
        <f>IF('Items sous domaines Sciences '!G184=5,'Items sous domaines Sciences '!D184,0)</f>
        <v>0</v>
      </c>
      <c r="E182" s="216">
        <f>IF('Items sous domaines Sciences '!G184=5,'Items sous domaines Sciences '!E184,0)</f>
        <v>0</v>
      </c>
      <c r="F182" s="489"/>
      <c r="G182" s="485"/>
    </row>
    <row r="183" spans="1:7" customFormat="1" ht="17.7" hidden="1" customHeight="1" thickBot="1" x14ac:dyDescent="0.3">
      <c r="A183" s="494"/>
      <c r="B183" s="57">
        <f>IF('Items sous domaines Sciences '!G185=5,'Items sous domaines Sciences '!B185,0)</f>
        <v>0</v>
      </c>
      <c r="C183" s="212">
        <f>IF('Items sous domaines Sciences '!G185=5,'Items sous domaines Sciences '!C185,0)</f>
        <v>0</v>
      </c>
      <c r="D183" s="215">
        <f>IF('Items sous domaines Sciences '!G185=5,'Items sous domaines Sciences '!D185,0)</f>
        <v>0</v>
      </c>
      <c r="E183" s="209">
        <f>IF('Items sous domaines Sciences '!G185=5,'Items sous domaines Sciences '!E185,0)</f>
        <v>0</v>
      </c>
      <c r="F183" s="489"/>
      <c r="G183" s="485"/>
    </row>
    <row r="184" spans="1:7" customFormat="1" ht="17.7" hidden="1" customHeight="1" thickBot="1" x14ac:dyDescent="0.3">
      <c r="A184" s="494"/>
      <c r="B184" s="57">
        <f>IF('Items sous domaines Sciences '!G186=5,'Items sous domaines Sciences '!B186,0)</f>
        <v>0</v>
      </c>
      <c r="C184" s="213">
        <f>IF('Items sous domaines Sciences '!G186=5,'Items sous domaines Sciences '!C186,0)</f>
        <v>0</v>
      </c>
      <c r="D184" s="216">
        <f>IF('Items sous domaines Sciences '!G186=5,'Items sous domaines Sciences '!D186,0)</f>
        <v>0</v>
      </c>
      <c r="E184" s="216">
        <f>IF('Items sous domaines Sciences '!G186=5,'Items sous domaines Sciences '!E186,0)</f>
        <v>0</v>
      </c>
      <c r="F184" s="489"/>
      <c r="G184" s="485"/>
    </row>
    <row r="185" spans="1:7" customFormat="1" ht="17.7" hidden="1" customHeight="1" thickBot="1" x14ac:dyDescent="0.3">
      <c r="A185" s="494"/>
      <c r="B185" s="57">
        <f>IF('Items sous domaines Sciences '!G187=5,'Items sous domaines Sciences '!B187,0)</f>
        <v>0</v>
      </c>
      <c r="C185" s="212">
        <f>IF('Items sous domaines Sciences '!G187=5,'Items sous domaines Sciences '!C187,0)</f>
        <v>0</v>
      </c>
      <c r="D185" s="215">
        <f>IF('Items sous domaines Sciences '!G187=5,'Items sous domaines Sciences '!D187,0)</f>
        <v>0</v>
      </c>
      <c r="E185" s="209">
        <f>IF('Items sous domaines Sciences '!G187=5,'Items sous domaines Sciences '!E187,0)</f>
        <v>0</v>
      </c>
      <c r="F185" s="489"/>
      <c r="G185" s="485"/>
    </row>
    <row r="186" spans="1:7" customFormat="1" ht="17.399999999999999" hidden="1" customHeight="1" thickBot="1" x14ac:dyDescent="0.3">
      <c r="A186" s="494"/>
      <c r="B186" s="57">
        <f>IF('Items sous domaines Sciences '!G188=5,'Items sous domaines Sciences '!B188,0)</f>
        <v>0</v>
      </c>
      <c r="C186" s="213">
        <f>IF('Items sous domaines Sciences '!G188=5,'Items sous domaines Sciences '!C188,0)</f>
        <v>0</v>
      </c>
      <c r="D186" s="216">
        <f>IF('Items sous domaines Sciences '!G188=5,'Items sous domaines Sciences '!D188,0)</f>
        <v>0</v>
      </c>
      <c r="E186" s="216">
        <f>IF('Items sous domaines Sciences '!G188=5,'Items sous domaines Sciences '!E188,0)</f>
        <v>0</v>
      </c>
      <c r="F186" s="489"/>
      <c r="G186" s="485"/>
    </row>
    <row r="187" spans="1:7" customFormat="1" ht="17.399999999999999" hidden="1" customHeight="1" thickBot="1" x14ac:dyDescent="0.3">
      <c r="A187" s="494"/>
      <c r="B187" s="57">
        <f>IF('Items sous domaines Sciences '!G189=5,'Items sous domaines Sciences '!B189,0)</f>
        <v>0</v>
      </c>
      <c r="C187" s="212">
        <f>IF('Items sous domaines Sciences '!G189=5,'Items sous domaines Sciences '!C189,0)</f>
        <v>0</v>
      </c>
      <c r="D187" s="215">
        <f>IF('Items sous domaines Sciences '!G189=5,'Items sous domaines Sciences '!D189,0)</f>
        <v>0</v>
      </c>
      <c r="E187" s="209">
        <f>IF('Items sous domaines Sciences '!G189=5,'Items sous domaines Sciences '!E189,0)</f>
        <v>0</v>
      </c>
      <c r="F187" s="489"/>
      <c r="G187" s="485"/>
    </row>
    <row r="188" spans="1:7" customFormat="1" ht="17.399999999999999" hidden="1" customHeight="1" thickBot="1" x14ac:dyDescent="0.3">
      <c r="A188" s="494"/>
      <c r="B188" s="57">
        <f>IF('Items sous domaines Sciences '!G190=5,'Items sous domaines Sciences '!B190,0)</f>
        <v>0</v>
      </c>
      <c r="C188" s="213">
        <f>IF('Items sous domaines Sciences '!G190=5,'Items sous domaines Sciences '!C190,0)</f>
        <v>0</v>
      </c>
      <c r="D188" s="216">
        <f>IF('Items sous domaines Sciences '!G190=5,'Items sous domaines Sciences '!D190,0)</f>
        <v>0</v>
      </c>
      <c r="E188" s="216">
        <f>IF('Items sous domaines Sciences '!G190=5,'Items sous domaines Sciences '!E190,0)</f>
        <v>0</v>
      </c>
      <c r="F188" s="489"/>
      <c r="G188" s="485"/>
    </row>
    <row r="189" spans="1:7" customFormat="1" ht="17.399999999999999" hidden="1" customHeight="1" thickBot="1" x14ac:dyDescent="0.3">
      <c r="A189" s="494"/>
      <c r="B189" s="57">
        <f>IF('Items sous domaines Sciences '!G191=5,'Items sous domaines Sciences '!B191,0)</f>
        <v>0</v>
      </c>
      <c r="C189" s="212">
        <f>IF('Items sous domaines Sciences '!G191=5,'Items sous domaines Sciences '!C191,0)</f>
        <v>0</v>
      </c>
      <c r="D189" s="215">
        <f>IF('Items sous domaines Sciences '!G191=5,'Items sous domaines Sciences '!D191,0)</f>
        <v>0</v>
      </c>
      <c r="E189" s="209">
        <f>IF('Items sous domaines Sciences '!G191=5,'Items sous domaines Sciences '!E191,0)</f>
        <v>0</v>
      </c>
      <c r="F189" s="489"/>
      <c r="G189" s="485"/>
    </row>
    <row r="190" spans="1:7" customFormat="1" ht="17.399999999999999" hidden="1" customHeight="1" thickBot="1" x14ac:dyDescent="0.3">
      <c r="A190" s="494"/>
      <c r="B190" s="57">
        <f>IF('Items sous domaines Sciences '!G192=5,'Items sous domaines Sciences '!B192,0)</f>
        <v>0</v>
      </c>
      <c r="C190" s="213">
        <f>IF('Items sous domaines Sciences '!G192=5,'Items sous domaines Sciences '!C192,0)</f>
        <v>0</v>
      </c>
      <c r="D190" s="216">
        <f>IF('Items sous domaines Sciences '!G192=5,'Items sous domaines Sciences '!D192,0)</f>
        <v>0</v>
      </c>
      <c r="E190" s="216">
        <f>IF('Items sous domaines Sciences '!G192=5,'Items sous domaines Sciences '!E192,0)</f>
        <v>0</v>
      </c>
      <c r="F190" s="489"/>
      <c r="G190" s="485"/>
    </row>
    <row r="191" spans="1:7" customFormat="1" ht="17.399999999999999" hidden="1" customHeight="1" thickBot="1" x14ac:dyDescent="0.3">
      <c r="A191" s="494"/>
      <c r="B191" s="57">
        <f>IF('Items sous domaines Sciences '!G193=5,'Items sous domaines Sciences '!B193,0)</f>
        <v>0</v>
      </c>
      <c r="C191" s="212">
        <f>IF('Items sous domaines Sciences '!G193=5,'Items sous domaines Sciences '!C193,0)</f>
        <v>0</v>
      </c>
      <c r="D191" s="215">
        <f>IF('Items sous domaines Sciences '!G193=5,'Items sous domaines Sciences '!D193,0)</f>
        <v>0</v>
      </c>
      <c r="E191" s="209">
        <f>IF('Items sous domaines Sciences '!G193=5,'Items sous domaines Sciences '!E193,0)</f>
        <v>0</v>
      </c>
      <c r="F191" s="489"/>
      <c r="G191" s="485"/>
    </row>
    <row r="192" spans="1:7" customFormat="1" ht="17.399999999999999" hidden="1" customHeight="1" thickBot="1" x14ac:dyDescent="0.3">
      <c r="A192" s="494"/>
      <c r="B192" s="57">
        <f>IF('Items sous domaines Sciences '!G194=5,'Items sous domaines Sciences '!B194,0)</f>
        <v>0</v>
      </c>
      <c r="C192" s="213">
        <f>IF('Items sous domaines Sciences '!G194=5,'Items sous domaines Sciences '!C194,0)</f>
        <v>0</v>
      </c>
      <c r="D192" s="216">
        <f>IF('Items sous domaines Sciences '!G194=5,'Items sous domaines Sciences '!D194,0)</f>
        <v>0</v>
      </c>
      <c r="E192" s="216">
        <f>IF('Items sous domaines Sciences '!G194=5,'Items sous domaines Sciences '!E194,0)</f>
        <v>0</v>
      </c>
      <c r="F192" s="489"/>
      <c r="G192" s="485"/>
    </row>
    <row r="193" spans="1:7" customFormat="1" ht="17.399999999999999" hidden="1" customHeight="1" thickBot="1" x14ac:dyDescent="0.3">
      <c r="A193" s="494"/>
      <c r="B193" s="57">
        <f>IF('Items sous domaines Sciences '!G195=5,'Items sous domaines Sciences '!B195,0)</f>
        <v>0</v>
      </c>
      <c r="C193" s="212">
        <f>IF('Items sous domaines Sciences '!G195=5,'Items sous domaines Sciences '!C195,0)</f>
        <v>0</v>
      </c>
      <c r="D193" s="215">
        <f>IF('Items sous domaines Sciences '!G195=5,'Items sous domaines Sciences '!D195,0)</f>
        <v>0</v>
      </c>
      <c r="E193" s="209">
        <f>IF('Items sous domaines Sciences '!G195=5,'Items sous domaines Sciences '!E195,0)</f>
        <v>0</v>
      </c>
      <c r="F193" s="489"/>
      <c r="G193" s="485"/>
    </row>
    <row r="194" spans="1:7" customFormat="1" ht="17.399999999999999" hidden="1" customHeight="1" thickBot="1" x14ac:dyDescent="0.3">
      <c r="A194" s="494"/>
      <c r="B194" s="57">
        <f>IF('Items sous domaines Sciences '!G196=5,'Items sous domaines Sciences '!B196,0)</f>
        <v>0</v>
      </c>
      <c r="C194" s="213">
        <f>IF('Items sous domaines Sciences '!G196=5,'Items sous domaines Sciences '!C196,0)</f>
        <v>0</v>
      </c>
      <c r="D194" s="216">
        <f>IF('Items sous domaines Sciences '!G196=5,'Items sous domaines Sciences '!D196,0)</f>
        <v>0</v>
      </c>
      <c r="E194" s="216">
        <f>IF('Items sous domaines Sciences '!G196=5,'Items sous domaines Sciences '!E196,0)</f>
        <v>0</v>
      </c>
      <c r="F194" s="489"/>
      <c r="G194" s="485"/>
    </row>
    <row r="195" spans="1:7" customFormat="1" ht="17.399999999999999" hidden="1" customHeight="1" thickBot="1" x14ac:dyDescent="0.3">
      <c r="A195" s="494"/>
      <c r="B195" s="57">
        <f>IF('Items sous domaines Sciences '!G197=5,'Items sous domaines Sciences '!B197,0)</f>
        <v>0</v>
      </c>
      <c r="C195" s="212">
        <f>IF('Items sous domaines Sciences '!G197=5,'Items sous domaines Sciences '!C197,0)</f>
        <v>0</v>
      </c>
      <c r="D195" s="215">
        <f>IF('Items sous domaines Sciences '!G197=5,'Items sous domaines Sciences '!D197,0)</f>
        <v>0</v>
      </c>
      <c r="E195" s="209">
        <f>IF('Items sous domaines Sciences '!G197=5,'Items sous domaines Sciences '!E197,0)</f>
        <v>0</v>
      </c>
      <c r="F195" s="489"/>
      <c r="G195" s="485"/>
    </row>
    <row r="196" spans="1:7" customFormat="1" ht="17.399999999999999" hidden="1" customHeight="1" thickBot="1" x14ac:dyDescent="0.3">
      <c r="A196" s="494"/>
      <c r="B196" s="57">
        <f>IF('Items sous domaines Sciences '!G198=5,'Items sous domaines Sciences '!B198,0)</f>
        <v>0</v>
      </c>
      <c r="C196" s="213">
        <f>IF('Items sous domaines Sciences '!G198=5,'Items sous domaines Sciences '!C198,0)</f>
        <v>0</v>
      </c>
      <c r="D196" s="216">
        <f>IF('Items sous domaines Sciences '!G198=5,'Items sous domaines Sciences '!D198,0)</f>
        <v>0</v>
      </c>
      <c r="E196" s="216">
        <f>IF('Items sous domaines Sciences '!G198=5,'Items sous domaines Sciences '!E198,0)</f>
        <v>0</v>
      </c>
      <c r="F196" s="489"/>
      <c r="G196" s="485"/>
    </row>
    <row r="197" spans="1:7" customFormat="1" ht="17.399999999999999" hidden="1" customHeight="1" thickBot="1" x14ac:dyDescent="0.3">
      <c r="A197" s="494"/>
      <c r="B197" s="57">
        <f>IF('Items sous domaines Sciences '!G199=5,'Items sous domaines Sciences '!B199,0)</f>
        <v>0</v>
      </c>
      <c r="C197" s="212">
        <f>IF('Items sous domaines Sciences '!G199=5,'Items sous domaines Sciences '!C199,0)</f>
        <v>0</v>
      </c>
      <c r="D197" s="215">
        <f>IF('Items sous domaines Sciences '!G199=5,'Items sous domaines Sciences '!D199,0)</f>
        <v>0</v>
      </c>
      <c r="E197" s="209">
        <f>IF('Items sous domaines Sciences '!G199=5,'Items sous domaines Sciences '!E199,0)</f>
        <v>0</v>
      </c>
      <c r="F197" s="489"/>
      <c r="G197" s="485"/>
    </row>
    <row r="198" spans="1:7" customFormat="1" ht="17.399999999999999" hidden="1" customHeight="1" thickBot="1" x14ac:dyDescent="0.3">
      <c r="A198" s="494"/>
      <c r="B198" s="57">
        <f>IF('Items sous domaines Sciences '!G200=5,'Items sous domaines Sciences '!B200,0)</f>
        <v>0</v>
      </c>
      <c r="C198" s="213">
        <f>IF('Items sous domaines Sciences '!G200=5,'Items sous domaines Sciences '!C200,0)</f>
        <v>0</v>
      </c>
      <c r="D198" s="216">
        <f>IF('Items sous domaines Sciences '!G200=5,'Items sous domaines Sciences '!D200,0)</f>
        <v>0</v>
      </c>
      <c r="E198" s="216">
        <f>IF('Items sous domaines Sciences '!G200=5,'Items sous domaines Sciences '!E200,0)</f>
        <v>0</v>
      </c>
      <c r="F198" s="489"/>
      <c r="G198" s="485"/>
    </row>
    <row r="199" spans="1:7" customFormat="1" ht="17.399999999999999" hidden="1" customHeight="1" thickBot="1" x14ac:dyDescent="0.3">
      <c r="A199" s="494"/>
      <c r="B199" s="57">
        <f>IF('Items sous domaines Sciences '!G201=5,'Items sous domaines Sciences '!B201,0)</f>
        <v>0</v>
      </c>
      <c r="C199" s="212">
        <f>IF('Items sous domaines Sciences '!G201=5,'Items sous domaines Sciences '!C201,0)</f>
        <v>0</v>
      </c>
      <c r="D199" s="215">
        <f>IF('Items sous domaines Sciences '!G201=5,'Items sous domaines Sciences '!D201,0)</f>
        <v>0</v>
      </c>
      <c r="E199" s="209">
        <f>IF('Items sous domaines Sciences '!G201=5,'Items sous domaines Sciences '!E201,0)</f>
        <v>0</v>
      </c>
      <c r="F199" s="489"/>
      <c r="G199" s="485"/>
    </row>
    <row r="200" spans="1:7" customFormat="1" ht="17.399999999999999" hidden="1" customHeight="1" thickBot="1" x14ac:dyDescent="0.3">
      <c r="A200" s="494"/>
      <c r="B200" s="57">
        <f>IF('Items sous domaines Sciences '!G202=5,'Items sous domaines Sciences '!B202,0)</f>
        <v>0</v>
      </c>
      <c r="C200" s="213">
        <f>IF('Items sous domaines Sciences '!G202=5,'Items sous domaines Sciences '!C202,0)</f>
        <v>0</v>
      </c>
      <c r="D200" s="216">
        <f>IF('Items sous domaines Sciences '!G202=5,'Items sous domaines Sciences '!D202,0)</f>
        <v>0</v>
      </c>
      <c r="E200" s="216">
        <f>IF('Items sous domaines Sciences '!G202=5,'Items sous domaines Sciences '!E202,0)</f>
        <v>0</v>
      </c>
      <c r="F200" s="489"/>
      <c r="G200" s="485"/>
    </row>
    <row r="201" spans="1:7" customFormat="1" ht="17.399999999999999" hidden="1" customHeight="1" thickBot="1" x14ac:dyDescent="0.3">
      <c r="A201" s="494"/>
      <c r="B201" s="57">
        <f>IF('Items sous domaines Sciences '!G203=5,'Items sous domaines Sciences '!B203,0)</f>
        <v>0</v>
      </c>
      <c r="C201" s="212">
        <f>IF('Items sous domaines Sciences '!G203=5,'Items sous domaines Sciences '!C203,0)</f>
        <v>0</v>
      </c>
      <c r="D201" s="215">
        <f>IF('Items sous domaines Sciences '!G203=5,'Items sous domaines Sciences '!D203,0)</f>
        <v>0</v>
      </c>
      <c r="E201" s="209">
        <f>IF('Items sous domaines Sciences '!G203=5,'Items sous domaines Sciences '!E203,0)</f>
        <v>0</v>
      </c>
      <c r="F201" s="489"/>
      <c r="G201" s="485"/>
    </row>
    <row r="202" spans="1:7" customFormat="1" ht="17.399999999999999" hidden="1" customHeight="1" thickBot="1" x14ac:dyDescent="0.3">
      <c r="A202" s="494"/>
      <c r="B202" s="57">
        <f>IF('Items sous domaines Sciences '!G204=5,'Items sous domaines Sciences '!B204,0)</f>
        <v>0</v>
      </c>
      <c r="C202" s="213">
        <f>IF('Items sous domaines Sciences '!G204=5,'Items sous domaines Sciences '!C204,0)</f>
        <v>0</v>
      </c>
      <c r="D202" s="216">
        <f>IF('Items sous domaines Sciences '!G204=5,'Items sous domaines Sciences '!D204,0)</f>
        <v>0</v>
      </c>
      <c r="E202" s="216">
        <f>IF('Items sous domaines Sciences '!G204=5,'Items sous domaines Sciences '!E204,0)</f>
        <v>0</v>
      </c>
      <c r="F202" s="489"/>
      <c r="G202" s="485"/>
    </row>
    <row r="203" spans="1:7" customFormat="1" ht="17.399999999999999" hidden="1" customHeight="1" thickBot="1" x14ac:dyDescent="0.3">
      <c r="A203" s="494"/>
      <c r="B203" s="57">
        <f>IF('Items sous domaines Sciences '!G205=5,'Items sous domaines Sciences '!B205,0)</f>
        <v>0</v>
      </c>
      <c r="C203" s="212">
        <f>IF('Items sous domaines Sciences '!G205=5,'Items sous domaines Sciences '!C205,0)</f>
        <v>0</v>
      </c>
      <c r="D203" s="215">
        <f>IF('Items sous domaines Sciences '!G205=5,'Items sous domaines Sciences '!D205,0)</f>
        <v>0</v>
      </c>
      <c r="E203" s="209">
        <f>IF('Items sous domaines Sciences '!G205=5,'Items sous domaines Sciences '!E205,0)</f>
        <v>0</v>
      </c>
      <c r="F203" s="489"/>
      <c r="G203" s="485"/>
    </row>
    <row r="204" spans="1:7" customFormat="1" ht="17.399999999999999" hidden="1" customHeight="1" thickBot="1" x14ac:dyDescent="0.3">
      <c r="A204" s="494"/>
      <c r="B204" s="57">
        <f>IF('Items sous domaines Sciences '!G206=5,'Items sous domaines Sciences '!B206,0)</f>
        <v>0</v>
      </c>
      <c r="C204" s="213">
        <f>IF('Items sous domaines Sciences '!G206=5,'Items sous domaines Sciences '!C206,0)</f>
        <v>0</v>
      </c>
      <c r="D204" s="216">
        <f>IF('Items sous domaines Sciences '!G206=5,'Items sous domaines Sciences '!D206,0)</f>
        <v>0</v>
      </c>
      <c r="E204" s="216">
        <f>IF('Items sous domaines Sciences '!G206=5,'Items sous domaines Sciences '!E206,0)</f>
        <v>0</v>
      </c>
      <c r="F204" s="489"/>
      <c r="G204" s="485"/>
    </row>
    <row r="205" spans="1:7" customFormat="1" ht="17.399999999999999" hidden="1" customHeight="1" thickBot="1" x14ac:dyDescent="0.3">
      <c r="A205" s="494"/>
      <c r="B205" s="57">
        <f>IF('Items sous domaines Sciences '!G207=5,'Items sous domaines Sciences '!B207,0)</f>
        <v>0</v>
      </c>
      <c r="C205" s="212">
        <f>IF('Items sous domaines Sciences '!G207=5,'Items sous domaines Sciences '!C207,0)</f>
        <v>0</v>
      </c>
      <c r="D205" s="215">
        <f>IF('Items sous domaines Sciences '!G207=5,'Items sous domaines Sciences '!D207,0)</f>
        <v>0</v>
      </c>
      <c r="E205" s="209">
        <f>IF('Items sous domaines Sciences '!G207=5,'Items sous domaines Sciences '!E207,0)</f>
        <v>0</v>
      </c>
      <c r="F205" s="489"/>
      <c r="G205" s="485"/>
    </row>
    <row r="206" spans="1:7" customFormat="1" ht="17.399999999999999" hidden="1" customHeight="1" thickBot="1" x14ac:dyDescent="0.3">
      <c r="A206" s="494"/>
      <c r="B206" s="57">
        <f>IF('Items sous domaines Sciences '!G208=5,'Items sous domaines Sciences '!B208,0)</f>
        <v>0</v>
      </c>
      <c r="C206" s="213">
        <f>IF('Items sous domaines Sciences '!G208=5,'Items sous domaines Sciences '!C208,0)</f>
        <v>0</v>
      </c>
      <c r="D206" s="216">
        <f>IF('Items sous domaines Sciences '!G208=5,'Items sous domaines Sciences '!D208,0)</f>
        <v>0</v>
      </c>
      <c r="E206" s="216">
        <f>IF('Items sous domaines Sciences '!G208=5,'Items sous domaines Sciences '!E208,0)</f>
        <v>0</v>
      </c>
      <c r="F206" s="489"/>
      <c r="G206" s="485"/>
    </row>
    <row r="207" spans="1:7" customFormat="1" ht="17.399999999999999" hidden="1" customHeight="1" thickBot="1" x14ac:dyDescent="0.3">
      <c r="A207" s="494"/>
      <c r="B207" s="57">
        <f>IF('Items sous domaines Sciences '!G209=5,'Items sous domaines Sciences '!B209,0)</f>
        <v>0</v>
      </c>
      <c r="C207" s="212">
        <f>IF('Items sous domaines Sciences '!G209=5,'Items sous domaines Sciences '!C209,0)</f>
        <v>0</v>
      </c>
      <c r="D207" s="215">
        <f>IF('Items sous domaines Sciences '!G209=5,'Items sous domaines Sciences '!D209,0)</f>
        <v>0</v>
      </c>
      <c r="E207" s="209">
        <f>IF('Items sous domaines Sciences '!G209=5,'Items sous domaines Sciences '!E209,0)</f>
        <v>0</v>
      </c>
      <c r="F207" s="489"/>
      <c r="G207" s="485"/>
    </row>
    <row r="208" spans="1:7" customFormat="1" ht="17.399999999999999" hidden="1" customHeight="1" thickBot="1" x14ac:dyDescent="0.3">
      <c r="A208" s="494"/>
      <c r="B208" s="57">
        <f>IF('Items sous domaines Sciences '!G210=5,'Items sous domaines Sciences '!B210,0)</f>
        <v>0</v>
      </c>
      <c r="C208" s="213">
        <f>IF('Items sous domaines Sciences '!G210=5,'Items sous domaines Sciences '!C210,0)</f>
        <v>0</v>
      </c>
      <c r="D208" s="216">
        <f>IF('Items sous domaines Sciences '!G210=5,'Items sous domaines Sciences '!D210,0)</f>
        <v>0</v>
      </c>
      <c r="E208" s="216">
        <f>IF('Items sous domaines Sciences '!G210=5,'Items sous domaines Sciences '!E210,0)</f>
        <v>0</v>
      </c>
      <c r="F208" s="489"/>
      <c r="G208" s="485"/>
    </row>
    <row r="209" spans="1:7" customFormat="1" ht="17.399999999999999" hidden="1" customHeight="1" thickBot="1" x14ac:dyDescent="0.3">
      <c r="A209" s="494"/>
      <c r="B209" s="57">
        <f>IF('Items sous domaines Sciences '!G211=5,'Items sous domaines Sciences '!B211,0)</f>
        <v>0</v>
      </c>
      <c r="C209" s="212">
        <f>IF('Items sous domaines Sciences '!G211=5,'Items sous domaines Sciences '!C211,0)</f>
        <v>0</v>
      </c>
      <c r="D209" s="215">
        <f>IF('Items sous domaines Sciences '!G211=5,'Items sous domaines Sciences '!D211,0)</f>
        <v>0</v>
      </c>
      <c r="E209" s="209">
        <f>IF('Items sous domaines Sciences '!G211=5,'Items sous domaines Sciences '!E211,0)</f>
        <v>0</v>
      </c>
      <c r="F209" s="489"/>
      <c r="G209" s="485"/>
    </row>
    <row r="210" spans="1:7" customFormat="1" ht="17.399999999999999" hidden="1" customHeight="1" thickBot="1" x14ac:dyDescent="0.3">
      <c r="A210" s="494"/>
      <c r="B210" s="57">
        <f>IF('Items sous domaines Sciences '!G212=5,'Items sous domaines Sciences '!B212,0)</f>
        <v>0</v>
      </c>
      <c r="C210" s="213">
        <f>IF('Items sous domaines Sciences '!G212=5,'Items sous domaines Sciences '!C212,0)</f>
        <v>0</v>
      </c>
      <c r="D210" s="216">
        <f>IF('Items sous domaines Sciences '!G212=5,'Items sous domaines Sciences '!D212,0)</f>
        <v>0</v>
      </c>
      <c r="E210" s="216">
        <f>IF('Items sous domaines Sciences '!G212=5,'Items sous domaines Sciences '!E212,0)</f>
        <v>0</v>
      </c>
      <c r="F210" s="489"/>
      <c r="G210" s="485"/>
    </row>
    <row r="211" spans="1:7" customFormat="1" ht="17.399999999999999" hidden="1" customHeight="1" thickBot="1" x14ac:dyDescent="0.3">
      <c r="A211" s="494"/>
      <c r="B211" s="57">
        <f>IF('Items sous domaines Sciences '!G213=5,'Items sous domaines Sciences '!B213,0)</f>
        <v>0</v>
      </c>
      <c r="C211" s="212">
        <f>IF('Items sous domaines Sciences '!G213=5,'Items sous domaines Sciences '!C213,0)</f>
        <v>0</v>
      </c>
      <c r="D211" s="215">
        <f>IF('Items sous domaines Sciences '!G213=5,'Items sous domaines Sciences '!D213,0)</f>
        <v>0</v>
      </c>
      <c r="E211" s="209">
        <f>IF('Items sous domaines Sciences '!G213=5,'Items sous domaines Sciences '!E213,0)</f>
        <v>0</v>
      </c>
      <c r="F211" s="489"/>
      <c r="G211" s="485"/>
    </row>
    <row r="212" spans="1:7" customFormat="1" ht="17.399999999999999" hidden="1" customHeight="1" thickBot="1" x14ac:dyDescent="0.3">
      <c r="A212" s="494"/>
      <c r="B212" s="57">
        <f>IF('Items sous domaines Sciences '!G214=5,'Items sous domaines Sciences '!B214,0)</f>
        <v>0</v>
      </c>
      <c r="C212" s="213">
        <f>IF('Items sous domaines Sciences '!G214=5,'Items sous domaines Sciences '!C214,0)</f>
        <v>0</v>
      </c>
      <c r="D212" s="216">
        <f>IF('Items sous domaines Sciences '!G214=5,'Items sous domaines Sciences '!D214,0)</f>
        <v>0</v>
      </c>
      <c r="E212" s="216">
        <f>IF('Items sous domaines Sciences '!G214=5,'Items sous domaines Sciences '!E214,0)</f>
        <v>0</v>
      </c>
      <c r="F212" s="489"/>
      <c r="G212" s="485"/>
    </row>
    <row r="213" spans="1:7" customFormat="1" ht="17.399999999999999" hidden="1" customHeight="1" thickBot="1" x14ac:dyDescent="0.3">
      <c r="A213" s="494"/>
      <c r="B213" s="57">
        <f>IF('Items sous domaines Sciences '!G215=5,'Items sous domaines Sciences '!B215,0)</f>
        <v>0</v>
      </c>
      <c r="C213" s="212">
        <f>IF('Items sous domaines Sciences '!G215=5,'Items sous domaines Sciences '!C215,0)</f>
        <v>0</v>
      </c>
      <c r="D213" s="215">
        <f>IF('Items sous domaines Sciences '!G215=5,'Items sous domaines Sciences '!D215,0)</f>
        <v>0</v>
      </c>
      <c r="E213" s="209">
        <f>IF('Items sous domaines Sciences '!G215=5,'Items sous domaines Sciences '!E215,0)</f>
        <v>0</v>
      </c>
      <c r="F213" s="489"/>
      <c r="G213" s="485"/>
    </row>
    <row r="214" spans="1:7" customFormat="1" ht="17.399999999999999" hidden="1" customHeight="1" thickBot="1" x14ac:dyDescent="0.3">
      <c r="A214" s="494"/>
      <c r="B214" s="57">
        <f>IF('Items sous domaines Sciences '!G216=5,'Items sous domaines Sciences '!B216,0)</f>
        <v>0</v>
      </c>
      <c r="C214" s="213">
        <f>IF('Items sous domaines Sciences '!G216=5,'Items sous domaines Sciences '!C216,0)</f>
        <v>0</v>
      </c>
      <c r="D214" s="216">
        <f>IF('Items sous domaines Sciences '!G216=5,'Items sous domaines Sciences '!D216,0)</f>
        <v>0</v>
      </c>
      <c r="E214" s="216">
        <f>IF('Items sous domaines Sciences '!G216=5,'Items sous domaines Sciences '!E216,0)</f>
        <v>0</v>
      </c>
      <c r="F214" s="489"/>
      <c r="G214" s="485"/>
    </row>
    <row r="215" spans="1:7" customFormat="1" ht="17.399999999999999" hidden="1" customHeight="1" thickBot="1" x14ac:dyDescent="0.3">
      <c r="A215" s="494"/>
      <c r="B215" s="57">
        <f>IF('Items sous domaines Sciences '!G217=5,'Items sous domaines Sciences '!B217,0)</f>
        <v>0</v>
      </c>
      <c r="C215" s="212">
        <f>IF('Items sous domaines Sciences '!G217=5,'Items sous domaines Sciences '!C217,0)</f>
        <v>0</v>
      </c>
      <c r="D215" s="215">
        <f>IF('Items sous domaines Sciences '!G217=5,'Items sous domaines Sciences '!D217,0)</f>
        <v>0</v>
      </c>
      <c r="E215" s="209">
        <f>IF('Items sous domaines Sciences '!G217=5,'Items sous domaines Sciences '!E217,0)</f>
        <v>0</v>
      </c>
      <c r="F215" s="489"/>
      <c r="G215" s="485"/>
    </row>
    <row r="216" spans="1:7" customFormat="1" ht="17.399999999999999" hidden="1" customHeight="1" thickBot="1" x14ac:dyDescent="0.3">
      <c r="A216" s="494"/>
      <c r="B216" s="57">
        <f>IF('Items sous domaines Sciences '!G218=5,'Items sous domaines Sciences '!B218,0)</f>
        <v>0</v>
      </c>
      <c r="C216" s="213">
        <f>IF('Items sous domaines Sciences '!G218=5,'Items sous domaines Sciences '!C218,0)</f>
        <v>0</v>
      </c>
      <c r="D216" s="216">
        <f>IF('Items sous domaines Sciences '!G218=5,'Items sous domaines Sciences '!D218,0)</f>
        <v>0</v>
      </c>
      <c r="E216" s="216">
        <f>IF('Items sous domaines Sciences '!G218=5,'Items sous domaines Sciences '!E218,0)</f>
        <v>0</v>
      </c>
      <c r="F216" s="489"/>
      <c r="G216" s="485"/>
    </row>
    <row r="217" spans="1:7" customFormat="1" ht="17.399999999999999" hidden="1" customHeight="1" thickBot="1" x14ac:dyDescent="0.3">
      <c r="A217" s="494"/>
      <c r="B217" s="57">
        <f>IF('Items sous domaines Sciences '!G219=5,'Items sous domaines Sciences '!B219,0)</f>
        <v>0</v>
      </c>
      <c r="C217" s="212">
        <f>IF('Items sous domaines Sciences '!G219=5,'Items sous domaines Sciences '!C219,0)</f>
        <v>0</v>
      </c>
      <c r="D217" s="215">
        <f>IF('Items sous domaines Sciences '!G219=5,'Items sous domaines Sciences '!D219,0)</f>
        <v>0</v>
      </c>
      <c r="E217" s="209">
        <f>IF('Items sous domaines Sciences '!G219=5,'Items sous domaines Sciences '!E219,0)</f>
        <v>0</v>
      </c>
      <c r="F217" s="489"/>
      <c r="G217" s="485"/>
    </row>
    <row r="218" spans="1:7" customFormat="1" ht="17.399999999999999" hidden="1" customHeight="1" thickBot="1" x14ac:dyDescent="0.3">
      <c r="A218" s="494"/>
      <c r="B218" s="57">
        <f>IF('Items sous domaines Sciences '!G220=5,'Items sous domaines Sciences '!B220,0)</f>
        <v>0</v>
      </c>
      <c r="C218" s="213">
        <f>IF('Items sous domaines Sciences '!G220=5,'Items sous domaines Sciences '!C220,0)</f>
        <v>0</v>
      </c>
      <c r="D218" s="216">
        <f>IF('Items sous domaines Sciences '!G220=5,'Items sous domaines Sciences '!D220,0)</f>
        <v>0</v>
      </c>
      <c r="E218" s="216">
        <f>IF('Items sous domaines Sciences '!G220=5,'Items sous domaines Sciences '!E220,0)</f>
        <v>0</v>
      </c>
      <c r="F218" s="489"/>
      <c r="G218" s="485"/>
    </row>
    <row r="219" spans="1:7" customFormat="1" ht="17.399999999999999" hidden="1" customHeight="1" thickBot="1" x14ac:dyDescent="0.3">
      <c r="A219" s="494"/>
      <c r="B219" s="57">
        <f>IF('Items sous domaines Sciences '!G221=5,'Items sous domaines Sciences '!B221,0)</f>
        <v>0</v>
      </c>
      <c r="C219" s="212">
        <f>IF('Items sous domaines Sciences '!G221=5,'Items sous domaines Sciences '!C221,0)</f>
        <v>0</v>
      </c>
      <c r="D219" s="215">
        <f>IF('Items sous domaines Sciences '!G221=5,'Items sous domaines Sciences '!D221,0)</f>
        <v>0</v>
      </c>
      <c r="E219" s="209">
        <f>IF('Items sous domaines Sciences '!G221=5,'Items sous domaines Sciences '!E221,0)</f>
        <v>0</v>
      </c>
      <c r="F219" s="489"/>
      <c r="G219" s="485"/>
    </row>
    <row r="220" spans="1:7" customFormat="1" ht="17.399999999999999" hidden="1" customHeight="1" thickBot="1" x14ac:dyDescent="0.3">
      <c r="A220" s="494"/>
      <c r="B220" s="57">
        <f>IF('Items sous domaines Sciences '!G222=5,'Items sous domaines Sciences '!B222,0)</f>
        <v>0</v>
      </c>
      <c r="C220" s="213">
        <f>IF('Items sous domaines Sciences '!G222=5,'Items sous domaines Sciences '!C222,0)</f>
        <v>0</v>
      </c>
      <c r="D220" s="216">
        <f>IF('Items sous domaines Sciences '!G222=5,'Items sous domaines Sciences '!D222,0)</f>
        <v>0</v>
      </c>
      <c r="E220" s="216">
        <f>IF('Items sous domaines Sciences '!G222=5,'Items sous domaines Sciences '!E222,0)</f>
        <v>0</v>
      </c>
      <c r="F220" s="489"/>
      <c r="G220" s="485"/>
    </row>
    <row r="221" spans="1:7" customFormat="1" ht="17.399999999999999" hidden="1" customHeight="1" thickBot="1" x14ac:dyDescent="0.3">
      <c r="A221" s="494"/>
      <c r="B221" s="57">
        <f>IF('Items sous domaines Sciences '!G223=5,'Items sous domaines Sciences '!B223,0)</f>
        <v>0</v>
      </c>
      <c r="C221" s="212">
        <f>IF('Items sous domaines Sciences '!G223=5,'Items sous domaines Sciences '!C223,0)</f>
        <v>0</v>
      </c>
      <c r="D221" s="215">
        <f>IF('Items sous domaines Sciences '!G223=5,'Items sous domaines Sciences '!D223,0)</f>
        <v>0</v>
      </c>
      <c r="E221" s="209">
        <f>IF('Items sous domaines Sciences '!G223=5,'Items sous domaines Sciences '!E223,0)</f>
        <v>0</v>
      </c>
      <c r="F221" s="489"/>
      <c r="G221" s="485"/>
    </row>
    <row r="222" spans="1:7" customFormat="1" ht="17.399999999999999" hidden="1" customHeight="1" thickBot="1" x14ac:dyDescent="0.3">
      <c r="A222" s="494"/>
      <c r="B222" s="57">
        <f>IF('Items sous domaines Sciences '!G224=5,'Items sous domaines Sciences '!B224,0)</f>
        <v>0</v>
      </c>
      <c r="C222" s="213">
        <f>IF('Items sous domaines Sciences '!G224=5,'Items sous domaines Sciences '!C224,0)</f>
        <v>0</v>
      </c>
      <c r="D222" s="216">
        <f>IF('Items sous domaines Sciences '!G224=5,'Items sous domaines Sciences '!D224,0)</f>
        <v>0</v>
      </c>
      <c r="E222" s="216">
        <f>IF('Items sous domaines Sciences '!G224=5,'Items sous domaines Sciences '!E224,0)</f>
        <v>0</v>
      </c>
      <c r="F222" s="489"/>
      <c r="G222" s="485"/>
    </row>
    <row r="223" spans="1:7" customFormat="1" ht="17.399999999999999" hidden="1" customHeight="1" thickBot="1" x14ac:dyDescent="0.3">
      <c r="A223" s="494"/>
      <c r="B223" s="57">
        <f>IF('Items sous domaines Sciences '!G225=5,'Items sous domaines Sciences '!B225,0)</f>
        <v>0</v>
      </c>
      <c r="C223" s="212">
        <f>IF('Items sous domaines Sciences '!G225=5,'Items sous domaines Sciences '!C225,0)</f>
        <v>0</v>
      </c>
      <c r="D223" s="215">
        <f>IF('Items sous domaines Sciences '!G225=5,'Items sous domaines Sciences '!D225,0)</f>
        <v>0</v>
      </c>
      <c r="E223" s="209">
        <f>IF('Items sous domaines Sciences '!G225=5,'Items sous domaines Sciences '!E225,0)</f>
        <v>0</v>
      </c>
      <c r="F223" s="489"/>
      <c r="G223" s="485"/>
    </row>
    <row r="224" spans="1:7" customFormat="1" ht="17.399999999999999" hidden="1" customHeight="1" thickBot="1" x14ac:dyDescent="0.3">
      <c r="A224" s="494"/>
      <c r="B224" s="57">
        <f>IF('Items sous domaines Sciences '!G226=5,'Items sous domaines Sciences '!B226,0)</f>
        <v>0</v>
      </c>
      <c r="C224" s="213">
        <f>IF('Items sous domaines Sciences '!G226=5,'Items sous domaines Sciences '!C226,0)</f>
        <v>0</v>
      </c>
      <c r="D224" s="216">
        <f>IF('Items sous domaines Sciences '!G226=5,'Items sous domaines Sciences '!D226,0)</f>
        <v>0</v>
      </c>
      <c r="E224" s="216">
        <f>IF('Items sous domaines Sciences '!G226=5,'Items sous domaines Sciences '!E226,0)</f>
        <v>0</v>
      </c>
      <c r="F224" s="489"/>
      <c r="G224" s="485"/>
    </row>
    <row r="225" spans="1:7" customFormat="1" ht="17.399999999999999" hidden="1" customHeight="1" thickBot="1" x14ac:dyDescent="0.3">
      <c r="A225" s="494"/>
      <c r="B225" s="57">
        <f>IF('Items sous domaines Sciences '!G227=5,'Items sous domaines Sciences '!B227,0)</f>
        <v>0</v>
      </c>
      <c r="C225" s="212">
        <f>IF('Items sous domaines Sciences '!G227=5,'Items sous domaines Sciences '!C227,0)</f>
        <v>0</v>
      </c>
      <c r="D225" s="215">
        <f>IF('Items sous domaines Sciences '!G227=5,'Items sous domaines Sciences '!D227,0)</f>
        <v>0</v>
      </c>
      <c r="E225" s="209">
        <f>IF('Items sous domaines Sciences '!G227=5,'Items sous domaines Sciences '!E227,0)</f>
        <v>0</v>
      </c>
      <c r="F225" s="489"/>
      <c r="G225" s="485"/>
    </row>
    <row r="226" spans="1:7" customFormat="1" ht="17.399999999999999" hidden="1" customHeight="1" thickBot="1" x14ac:dyDescent="0.3">
      <c r="A226" s="494"/>
      <c r="B226" s="57">
        <f>IF('Items sous domaines Sciences '!G228=5,'Items sous domaines Sciences '!B228,0)</f>
        <v>0</v>
      </c>
      <c r="C226" s="213">
        <f>IF('Items sous domaines Sciences '!G228=5,'Items sous domaines Sciences '!C228,0)</f>
        <v>0</v>
      </c>
      <c r="D226" s="216">
        <f>IF('Items sous domaines Sciences '!G228=5,'Items sous domaines Sciences '!D228,0)</f>
        <v>0</v>
      </c>
      <c r="E226" s="216">
        <f>IF('Items sous domaines Sciences '!G228=5,'Items sous domaines Sciences '!E228,0)</f>
        <v>0</v>
      </c>
      <c r="F226" s="489"/>
      <c r="G226" s="485"/>
    </row>
    <row r="227" spans="1:7" customFormat="1" ht="17.399999999999999" hidden="1" customHeight="1" thickBot="1" x14ac:dyDescent="0.3">
      <c r="A227" s="494"/>
      <c r="B227" s="57">
        <f>IF('Items sous domaines Sciences '!G229=5,'Items sous domaines Sciences '!B229,0)</f>
        <v>0</v>
      </c>
      <c r="C227" s="212">
        <f>IF('Items sous domaines Sciences '!G229=5,'Items sous domaines Sciences '!C229,0)</f>
        <v>0</v>
      </c>
      <c r="D227" s="215">
        <f>IF('Items sous domaines Sciences '!G229=5,'Items sous domaines Sciences '!D229,0)</f>
        <v>0</v>
      </c>
      <c r="E227" s="209">
        <f>IF('Items sous domaines Sciences '!G229=5,'Items sous domaines Sciences '!E229,0)</f>
        <v>0</v>
      </c>
      <c r="F227" s="489"/>
      <c r="G227" s="485"/>
    </row>
    <row r="228" spans="1:7" customFormat="1" ht="17.399999999999999" hidden="1" customHeight="1" thickBot="1" x14ac:dyDescent="0.3">
      <c r="A228" s="494"/>
      <c r="B228" s="57">
        <f>IF('Items sous domaines Sciences '!G230=5,'Items sous domaines Sciences '!B230,0)</f>
        <v>0</v>
      </c>
      <c r="C228" s="213">
        <f>IF('Items sous domaines Sciences '!G230=5,'Items sous domaines Sciences '!C230,0)</f>
        <v>0</v>
      </c>
      <c r="D228" s="216">
        <f>IF('Items sous domaines Sciences '!G230=5,'Items sous domaines Sciences '!D230,0)</f>
        <v>0</v>
      </c>
      <c r="E228" s="216">
        <f>IF('Items sous domaines Sciences '!G230=5,'Items sous domaines Sciences '!E230,0)</f>
        <v>0</v>
      </c>
      <c r="F228" s="489"/>
      <c r="G228" s="485"/>
    </row>
    <row r="229" spans="1:7" ht="19.95" customHeight="1" thickTop="1" x14ac:dyDescent="0.3">
      <c r="A229" s="495"/>
      <c r="B229" s="59" t="str">
        <f>IF('Items sous domaines Sciences '!G231=5,'Items sous domaines Sciences '!B231,0)</f>
        <v>Thermique - Thermodynamique</v>
      </c>
      <c r="C229" s="232" t="str">
        <f>IF('Items sous domaines Sciences '!G231=5,'Items sous domaines Sciences '!C231,0)</f>
        <v>Thermique</v>
      </c>
      <c r="D229" s="233" t="str">
        <f>IF('Items sous domaines Sciences '!G231=5,'Items sous domaines Sciences '!D231,0)</f>
        <v>Thermique surface</v>
      </c>
      <c r="E229" s="234" t="str">
        <f>IF('Items sous domaines Sciences '!G231=5,'Items sous domaines Sciences '!E231,0)</f>
        <v>Examiner les 3 modes de transferts thermiques.</v>
      </c>
      <c r="F229" s="430"/>
      <c r="G229" s="486"/>
    </row>
    <row r="230" spans="1:7" ht="19.95" customHeight="1" x14ac:dyDescent="0.3">
      <c r="A230" s="495"/>
      <c r="B230" s="59" t="str">
        <f>IF('Items sous domaines Sciences '!G232=5,'Items sous domaines Sciences '!B232,0)</f>
        <v>Thermique - Thermodynamique</v>
      </c>
      <c r="C230" s="213" t="str">
        <f>IF('Items sous domaines Sciences '!G232=5,'Items sous domaines Sciences '!C232,0)</f>
        <v>Thermique</v>
      </c>
      <c r="D230" s="216">
        <f>IF('Items sous domaines Sciences '!G232=5,'Items sous domaines Sciences '!D232,0)</f>
        <v>0</v>
      </c>
      <c r="E230" s="216" t="str">
        <f>IF('Items sous domaines Sciences '!G232=5,'Items sous domaines Sciences '!E232,0)</f>
        <v>Déterminer les facteurs ayant une influence sur les transferts thermiques.</v>
      </c>
      <c r="F230" s="431"/>
      <c r="G230" s="487"/>
    </row>
    <row r="231" spans="1:7" ht="19.95" customHeight="1" thickBot="1" x14ac:dyDescent="0.35">
      <c r="A231" s="495"/>
      <c r="B231" s="59" t="str">
        <f>IF('Items sous domaines Sciences '!G233=5,'Items sous domaines Sciences '!B233,0)</f>
        <v>Thermique - Thermodynamique</v>
      </c>
      <c r="C231" s="229" t="str">
        <f>IF('Items sous domaines Sciences '!G233=5,'Items sous domaines Sciences '!C233,0)</f>
        <v>Thermique</v>
      </c>
      <c r="D231" s="230">
        <f>IF('Items sous domaines Sciences '!G233=5,'Items sous domaines Sciences '!D233,0)</f>
        <v>0</v>
      </c>
      <c r="E231" s="231" t="str">
        <f>IF('Items sous domaines Sciences '!G233=5,'Items sous domaines Sciences '!E233,0)</f>
        <v>Interpréter les flux d'un transfert de chaleur complexe dans le but de construire une modélisation.</v>
      </c>
      <c r="F231" s="449"/>
      <c r="G231" s="488"/>
    </row>
    <row r="232" spans="1:7" customFormat="1" ht="17.399999999999999" hidden="1" customHeight="1" thickBot="1" x14ac:dyDescent="0.3">
      <c r="A232" s="494"/>
      <c r="B232" s="59">
        <f>IF('Items sous domaines Sciences '!G234=5,'Items sous domaines Sciences '!B234,0)</f>
        <v>0</v>
      </c>
      <c r="C232" s="221">
        <f>IF('Items sous domaines Sciences '!G234=5,'Items sous domaines Sciences '!C234,0)</f>
        <v>0</v>
      </c>
      <c r="D232" s="222">
        <f>IF('Items sous domaines Sciences '!G234=5,'Items sous domaines Sciences '!D234,0)</f>
        <v>0</v>
      </c>
      <c r="E232" s="222">
        <f>IF('Items sous domaines Sciences '!G234=5,'Items sous domaines Sciences '!E234,0)</f>
        <v>0</v>
      </c>
      <c r="F232" s="489"/>
      <c r="G232" s="485"/>
    </row>
    <row r="233" spans="1:7" ht="19.95" customHeight="1" thickTop="1" x14ac:dyDescent="0.3">
      <c r="A233" s="495"/>
      <c r="B233" s="59" t="str">
        <f>IF('Items sous domaines Sciences '!G235=5,'Items sous domaines Sciences '!B235,0)</f>
        <v>Thermique - Thermodynamique</v>
      </c>
      <c r="C233" s="240" t="str">
        <f>IF('Items sous domaines Sciences '!G235=5,'Items sous domaines Sciences '!C235,0)</f>
        <v>Thermodynamique</v>
      </c>
      <c r="D233" s="241">
        <f>IF('Items sous domaines Sciences '!G235=5,'Items sous domaines Sciences '!D235,0)</f>
        <v>0</v>
      </c>
      <c r="E233" s="241" t="str">
        <f>IF('Items sous domaines Sciences '!G235=5,'Items sous domaines Sciences '!E235,0)</f>
        <v>Décrire un système thermodynamique en fonction de ses variables d’état (P, V, T).</v>
      </c>
      <c r="F233" s="430"/>
      <c r="G233" s="486"/>
    </row>
    <row r="234" spans="1:7" ht="19.95" customHeight="1" x14ac:dyDescent="0.3">
      <c r="A234" s="495"/>
      <c r="B234" s="59" t="str">
        <f>IF('Items sous domaines Sciences '!G236=5,'Items sous domaines Sciences '!B236,0)</f>
        <v>Thermique - Thermodynamique</v>
      </c>
      <c r="C234" s="212" t="str">
        <f>IF('Items sous domaines Sciences '!G236=5,'Items sous domaines Sciences '!C236,0)</f>
        <v>Thermodynamique</v>
      </c>
      <c r="D234" s="215">
        <f>IF('Items sous domaines Sciences '!G236=5,'Items sous domaines Sciences '!D236,0)</f>
        <v>0</v>
      </c>
      <c r="E234" s="209" t="str">
        <f>IF('Items sous domaines Sciences '!G236=5,'Items sous domaines Sciences '!E236,0)</f>
        <v>Calculer le travail dans le cadre d’une transformation particulière.</v>
      </c>
      <c r="F234" s="431"/>
      <c r="G234" s="487"/>
    </row>
    <row r="235" spans="1:7" ht="19.95" customHeight="1" x14ac:dyDescent="0.3">
      <c r="A235" s="495"/>
      <c r="B235" s="59" t="str">
        <f>IF('Items sous domaines Sciences '!G237=5,'Items sous domaines Sciences '!B237,0)</f>
        <v>Thermique - Thermodynamique</v>
      </c>
      <c r="C235" s="213" t="str">
        <f>IF('Items sous domaines Sciences '!G237=5,'Items sous domaines Sciences '!C237,0)</f>
        <v>Thermodynamique</v>
      </c>
      <c r="D235" s="216">
        <f>IF('Items sous domaines Sciences '!G237=5,'Items sous domaines Sciences '!D237,0)</f>
        <v>0</v>
      </c>
      <c r="E235" s="216" t="str">
        <f>IF('Items sous domaines Sciences '!G237=5,'Items sous domaines Sciences '!E237,0)</f>
        <v>Établir un bilan énergétique afin de calculer les transferts énergétiques (travail ou chaleur) à partir du 1er Principe.</v>
      </c>
      <c r="F235" s="431"/>
      <c r="G235" s="487"/>
    </row>
    <row r="236" spans="1:7" ht="19.95" customHeight="1" x14ac:dyDescent="0.3">
      <c r="A236" s="495"/>
      <c r="B236" s="59" t="str">
        <f>IF('Items sous domaines Sciences '!G238=5,'Items sous domaines Sciences '!B238,0)</f>
        <v>Thermique - Thermodynamique</v>
      </c>
      <c r="C236" s="212" t="str">
        <f>IF('Items sous domaines Sciences '!G238=5,'Items sous domaines Sciences '!C238,0)</f>
        <v>Thermodynamique</v>
      </c>
      <c r="D236" s="215">
        <f>IF('Items sous domaines Sciences '!G238=5,'Items sous domaines Sciences '!D238,0)</f>
        <v>0</v>
      </c>
      <c r="E236" s="209" t="str">
        <f>IF('Items sous domaines Sciences '!G238=5,'Items sous domaines Sciences '!E238,0)</f>
        <v>Utiliser le 2ème Principe de la thermodynamique pour étudier la réversibilité, et prédire l’évolution du système.</v>
      </c>
      <c r="F236" s="431"/>
      <c r="G236" s="487"/>
    </row>
    <row r="237" spans="1:7" ht="19.95" customHeight="1" x14ac:dyDescent="0.3">
      <c r="A237" s="495"/>
      <c r="B237" s="59" t="str">
        <f>IF('Items sous domaines Sciences '!G239=5,'Items sous domaines Sciences '!B239,0)</f>
        <v>Thermique - Thermodynamique</v>
      </c>
      <c r="C237" s="213" t="str">
        <f>IF('Items sous domaines Sciences '!G239=5,'Items sous domaines Sciences '!C239,0)</f>
        <v>Thermodynamique</v>
      </c>
      <c r="D237" s="216">
        <f>IF('Items sous domaines Sciences '!G239=5,'Items sous domaines Sciences '!D239,0)</f>
        <v>0</v>
      </c>
      <c r="E237" s="216" t="str">
        <f>IF('Items sous domaines Sciences '!G239=5,'Items sous domaines Sciences '!E239,0)</f>
        <v>Déterminer les variables caractéristiques d’un changement de phase à partir du diagramme de phase ou de l’équation de Clapeyron.</v>
      </c>
      <c r="F237" s="431"/>
      <c r="G237" s="487"/>
    </row>
    <row r="238" spans="1:7" ht="19.95" customHeight="1" thickBot="1" x14ac:dyDescent="0.35">
      <c r="A238" s="495"/>
      <c r="B238" s="59" t="str">
        <f>IF('Items sous domaines Sciences '!G240=5,'Items sous domaines Sciences '!B240,0)</f>
        <v>Thermique - Thermodynamique</v>
      </c>
      <c r="C238" s="229" t="str">
        <f>IF('Items sous domaines Sciences '!G240=5,'Items sous domaines Sciences '!C240,0)</f>
        <v>Thermodynamique</v>
      </c>
      <c r="D238" s="230">
        <f>IF('Items sous domaines Sciences '!G240=5,'Items sous domaines Sciences '!D240,0)</f>
        <v>0</v>
      </c>
      <c r="E238" s="231" t="str">
        <f>IF('Items sous domaines Sciences '!G240=5,'Items sous domaines Sciences '!E240,0)</f>
        <v>Appliquer les concepts et calculs aux machines thermiques : rendement, efficacité, COP.</v>
      </c>
      <c r="F238" s="449"/>
      <c r="G238" s="488"/>
    </row>
    <row r="239" spans="1:7" customFormat="1" ht="17.399999999999999" hidden="1" customHeight="1" thickBot="1" x14ac:dyDescent="0.3">
      <c r="A239" s="494"/>
      <c r="B239">
        <f>IF('Items sous domaines Sciences '!G241=5,'Items sous domaines Sciences '!B241,0)</f>
        <v>0</v>
      </c>
      <c r="C239">
        <f>IF('Items sous domaines Sciences '!G241=5,'Items sous domaines Sciences '!C241,0)</f>
        <v>0</v>
      </c>
      <c r="D239">
        <f>IF('Items sous domaines Sciences '!G241=5,'Items sous domaines Sciences '!D241,0)</f>
        <v>0</v>
      </c>
      <c r="E239">
        <f>IF('Items sous domaines Sciences '!G241=5,'Items sous domaines Sciences '!E241,0)</f>
        <v>0</v>
      </c>
      <c r="F239" s="489"/>
      <c r="G239" s="485"/>
    </row>
    <row r="240" spans="1:7" customFormat="1" ht="17.399999999999999" hidden="1" customHeight="1" thickBot="1" x14ac:dyDescent="0.3">
      <c r="A240" s="494"/>
      <c r="B240" s="8">
        <f>IF('Items sous domaines Sciences '!G242=5,'Items sous domaines Sciences '!B242,0)</f>
        <v>0</v>
      </c>
      <c r="C240" s="8">
        <f>IF('Items sous domaines Sciences '!G242=5,'Items sous domaines Sciences '!C242,0)</f>
        <v>0</v>
      </c>
      <c r="D240" s="8">
        <f>IF('Items sous domaines Sciences '!G242=5,'Items sous domaines Sciences '!D242,0)</f>
        <v>0</v>
      </c>
      <c r="E240" s="8">
        <f>IF('Items sous domaines Sciences '!G242=5,'Items sous domaines Sciences '!E242,0)</f>
        <v>0</v>
      </c>
      <c r="F240" s="489"/>
      <c r="G240" s="485"/>
    </row>
    <row r="241" spans="1:7" customFormat="1" ht="17.399999999999999" hidden="1" customHeight="1" thickBot="1" x14ac:dyDescent="0.3">
      <c r="A241" s="494"/>
      <c r="B241" s="8">
        <f>IF('Items sous domaines Sciences '!G243=5,'Items sous domaines Sciences '!B243,0)</f>
        <v>0</v>
      </c>
      <c r="C241" s="8">
        <f>IF('Items sous domaines Sciences '!G243=5,'Items sous domaines Sciences '!C243,0)</f>
        <v>0</v>
      </c>
      <c r="D241" s="8">
        <f>IF('Items sous domaines Sciences '!G243=5,'Items sous domaines Sciences '!D243,0)</f>
        <v>0</v>
      </c>
      <c r="E241" s="8">
        <f>IF('Items sous domaines Sciences '!G243=5,'Items sous domaines Sciences '!E243,0)</f>
        <v>0</v>
      </c>
      <c r="F241" s="489"/>
      <c r="G241" s="485"/>
    </row>
    <row r="242" spans="1:7" customFormat="1" ht="17.399999999999999" hidden="1" customHeight="1" thickBot="1" x14ac:dyDescent="0.3">
      <c r="A242" s="494"/>
      <c r="B242" s="8">
        <f>IF('Items sous domaines Sciences '!G244=5,'Items sous domaines Sciences '!B244,0)</f>
        <v>0</v>
      </c>
      <c r="C242" s="8">
        <f>IF('Items sous domaines Sciences '!G244=5,'Items sous domaines Sciences '!C244,0)</f>
        <v>0</v>
      </c>
      <c r="D242" s="8">
        <f>IF('Items sous domaines Sciences '!G244=5,'Items sous domaines Sciences '!D244,0)</f>
        <v>0</v>
      </c>
      <c r="E242" s="8">
        <f>IF('Items sous domaines Sciences '!G244=5,'Items sous domaines Sciences '!E244,0)</f>
        <v>0</v>
      </c>
      <c r="F242" s="489"/>
      <c r="G242" s="485"/>
    </row>
    <row r="243" spans="1:7" customFormat="1" ht="17.399999999999999" hidden="1" customHeight="1" thickBot="1" x14ac:dyDescent="0.3">
      <c r="A243" s="494"/>
      <c r="B243" s="8">
        <f>IF('Items sous domaines Sciences '!G245=5,'Items sous domaines Sciences '!B245,0)</f>
        <v>0</v>
      </c>
      <c r="C243" s="8">
        <f>IF('Items sous domaines Sciences '!G245=5,'Items sous domaines Sciences '!C245,0)</f>
        <v>0</v>
      </c>
      <c r="D243" s="8">
        <f>IF('Items sous domaines Sciences '!G245=5,'Items sous domaines Sciences '!D245,0)</f>
        <v>0</v>
      </c>
      <c r="E243" s="8">
        <f>IF('Items sous domaines Sciences '!G245=5,'Items sous domaines Sciences '!E245,0)</f>
        <v>0</v>
      </c>
      <c r="F243" s="489"/>
      <c r="G243" s="485"/>
    </row>
    <row r="244" spans="1:7" customFormat="1" ht="13.5" hidden="1" customHeight="1" thickBot="1" x14ac:dyDescent="0.3">
      <c r="A244" s="494"/>
      <c r="B244" s="8">
        <f>IF('Items sous domaines Sciences '!G246=5,'Items sous domaines Sciences '!B246,0)</f>
        <v>0</v>
      </c>
      <c r="C244" s="8">
        <f>IF('Items sous domaines Sciences '!G246=5,'Items sous domaines Sciences '!C246,0)</f>
        <v>0</v>
      </c>
      <c r="D244" s="8">
        <f>IF('Items sous domaines Sciences '!G246=5,'Items sous domaines Sciences '!D246,0)</f>
        <v>0</v>
      </c>
      <c r="E244" s="8">
        <f>IF('Items sous domaines Sciences '!G246=5,'Items sous domaines Sciences '!E246,0)</f>
        <v>0</v>
      </c>
      <c r="F244" s="489"/>
      <c r="G244" s="485"/>
    </row>
    <row r="245" spans="1:7" customFormat="1" ht="13.5" hidden="1" customHeight="1" thickBot="1" x14ac:dyDescent="0.3">
      <c r="A245" s="494"/>
      <c r="B245" s="8">
        <f>IF('Items sous domaines Sciences '!G247=5,'Items sous domaines Sciences '!B247,0)</f>
        <v>0</v>
      </c>
      <c r="C245" s="8">
        <f>IF('Items sous domaines Sciences '!G247=5,'Items sous domaines Sciences '!C247,0)</f>
        <v>0</v>
      </c>
      <c r="D245" s="8">
        <f>IF('Items sous domaines Sciences '!G247=5,'Items sous domaines Sciences '!D247,0)</f>
        <v>0</v>
      </c>
      <c r="E245" s="8">
        <f>IF('Items sous domaines Sciences '!G247=5,'Items sous domaines Sciences '!E247,0)</f>
        <v>0</v>
      </c>
      <c r="F245" s="489"/>
      <c r="G245" s="485"/>
    </row>
    <row r="246" spans="1:7" customFormat="1" ht="13.5" hidden="1" customHeight="1" thickBot="1" x14ac:dyDescent="0.3">
      <c r="A246" s="494"/>
      <c r="B246" s="8">
        <f>IF('Items sous domaines Sciences '!G248=5,'Items sous domaines Sciences '!B248,0)</f>
        <v>0</v>
      </c>
      <c r="C246" s="8">
        <f>IF('Items sous domaines Sciences '!G248=5,'Items sous domaines Sciences '!C248,0)</f>
        <v>0</v>
      </c>
      <c r="D246" s="8">
        <f>IF('Items sous domaines Sciences '!G248=5,'Items sous domaines Sciences '!D248,0)</f>
        <v>0</v>
      </c>
      <c r="E246" s="8">
        <f>IF('Items sous domaines Sciences '!G248=5,'Items sous domaines Sciences '!E248,0)</f>
        <v>0</v>
      </c>
      <c r="F246" s="489"/>
      <c r="G246" s="485"/>
    </row>
    <row r="247" spans="1:7" customFormat="1" ht="13.5" hidden="1" customHeight="1" thickBot="1" x14ac:dyDescent="0.3">
      <c r="A247" s="494"/>
      <c r="B247" s="8">
        <f>IF('Items sous domaines Sciences '!G249=5,'Items sous domaines Sciences '!B249,0)</f>
        <v>0</v>
      </c>
      <c r="C247" s="8">
        <f>IF('Items sous domaines Sciences '!G249=5,'Items sous domaines Sciences '!C249,0)</f>
        <v>0</v>
      </c>
      <c r="D247" s="8">
        <f>IF('Items sous domaines Sciences '!G249=5,'Items sous domaines Sciences '!D249,0)</f>
        <v>0</v>
      </c>
      <c r="E247" s="8">
        <f>IF('Items sous domaines Sciences '!G249=5,'Items sous domaines Sciences '!E249,0)</f>
        <v>0</v>
      </c>
      <c r="F247" s="489"/>
      <c r="G247" s="485"/>
    </row>
    <row r="248" spans="1:7" customFormat="1" ht="13.5" hidden="1" customHeight="1" thickBot="1" x14ac:dyDescent="0.3">
      <c r="B248" s="8">
        <f>IF('Items sous domaines Sciences '!G250=5,'Items sous domaines Sciences '!B250,0)</f>
        <v>0</v>
      </c>
      <c r="C248" s="8">
        <f>IF('Items sous domaines Sciences '!G250=5,'Items sous domaines Sciences '!C250,0)</f>
        <v>0</v>
      </c>
      <c r="D248" s="8">
        <f>IF('Items sous domaines Sciences '!G250=5,'Items sous domaines Sciences '!D250,0)</f>
        <v>0</v>
      </c>
      <c r="E248" s="8">
        <f>IF('Items sous domaines Sciences '!G250=5,'Items sous domaines Sciences '!E250,0)</f>
        <v>0</v>
      </c>
      <c r="F248" s="489"/>
      <c r="G248" s="485"/>
    </row>
    <row r="249" spans="1:7" customFormat="1" ht="13.5" hidden="1" customHeight="1" thickBot="1" x14ac:dyDescent="0.3">
      <c r="A249" s="399" t="s">
        <v>476</v>
      </c>
      <c r="B249" s="8">
        <f>IF('Items sous domaines Sciences '!G251=5,'Items sous domaines Sciences '!B251,0)</f>
        <v>0</v>
      </c>
      <c r="C249" s="8">
        <f>IF('Items sous domaines Sciences '!G251=5,'Items sous domaines Sciences '!C251,0)</f>
        <v>0</v>
      </c>
      <c r="D249" s="8">
        <f>IF('Items sous domaines Sciences '!G251=5,'Items sous domaines Sciences '!D251,0)</f>
        <v>0</v>
      </c>
      <c r="E249" s="8">
        <f>IF('Items sous domaines Sciences '!G251=5,'Items sous domaines Sciences '!E251,0)</f>
        <v>0</v>
      </c>
      <c r="F249" s="489"/>
      <c r="G249" s="485"/>
    </row>
    <row r="250" spans="1:7" customFormat="1" ht="13.5" hidden="1" customHeight="1" thickBot="1" x14ac:dyDescent="0.3">
      <c r="A250" s="400"/>
      <c r="B250" s="8">
        <f>IF('Items sous domaines Sciences '!G252=5,'Items sous domaines Sciences '!B252,0)</f>
        <v>0</v>
      </c>
      <c r="C250" s="8">
        <f>IF('Items sous domaines Sciences '!G252=5,'Items sous domaines Sciences '!C252,0)</f>
        <v>0</v>
      </c>
      <c r="D250" s="8">
        <f>IF('Items sous domaines Sciences '!G252=5,'Items sous domaines Sciences '!D252,0)</f>
        <v>0</v>
      </c>
      <c r="E250" s="8">
        <f>IF('Items sous domaines Sciences '!G252=5,'Items sous domaines Sciences '!E252,0)</f>
        <v>0</v>
      </c>
      <c r="F250" s="489"/>
      <c r="G250" s="485"/>
    </row>
    <row r="251" spans="1:7" customFormat="1" ht="13.5" hidden="1" customHeight="1" thickBot="1" x14ac:dyDescent="0.3">
      <c r="A251" s="400"/>
      <c r="B251" s="8">
        <f>IF('Items sous domaines Sciences '!G253=5,'Items sous domaines Sciences '!B253,0)</f>
        <v>0</v>
      </c>
      <c r="C251" s="8">
        <f>IF('Items sous domaines Sciences '!G253=5,'Items sous domaines Sciences '!C253,0)</f>
        <v>0</v>
      </c>
      <c r="D251" s="8">
        <f>IF('Items sous domaines Sciences '!G253=5,'Items sous domaines Sciences '!D253,0)</f>
        <v>0</v>
      </c>
      <c r="E251" s="8">
        <f>IF('Items sous domaines Sciences '!G253=5,'Items sous domaines Sciences '!E253,0)</f>
        <v>0</v>
      </c>
      <c r="F251" s="489"/>
      <c r="G251" s="485"/>
    </row>
    <row r="252" spans="1:7" customFormat="1" ht="13.5" hidden="1" customHeight="1" thickBot="1" x14ac:dyDescent="0.3">
      <c r="A252" s="400"/>
      <c r="B252" s="8">
        <f>IF('Items sous domaines Sciences '!G254=5,'Items sous domaines Sciences '!B254,0)</f>
        <v>0</v>
      </c>
      <c r="C252" s="8">
        <f>IF('Items sous domaines Sciences '!G254=5,'Items sous domaines Sciences '!C254,0)</f>
        <v>0</v>
      </c>
      <c r="D252" s="8">
        <f>IF('Items sous domaines Sciences '!G254=5,'Items sous domaines Sciences '!D254,0)</f>
        <v>0</v>
      </c>
      <c r="E252" s="8">
        <f>IF('Items sous domaines Sciences '!G254=5,'Items sous domaines Sciences '!E254,0)</f>
        <v>0</v>
      </c>
      <c r="F252" s="489"/>
      <c r="G252" s="485"/>
    </row>
    <row r="253" spans="1:7" customFormat="1" ht="13.5" hidden="1" customHeight="1" thickBot="1" x14ac:dyDescent="0.3">
      <c r="A253" s="400"/>
      <c r="B253" s="8">
        <f>IF('Items sous domaines Sciences '!G255=5,'Items sous domaines Sciences '!B255,0)</f>
        <v>0</v>
      </c>
      <c r="C253" s="8">
        <f>IF('Items sous domaines Sciences '!G255=5,'Items sous domaines Sciences '!C255,0)</f>
        <v>0</v>
      </c>
      <c r="D253" s="8">
        <f>IF('Items sous domaines Sciences '!G255=5,'Items sous domaines Sciences '!D255,0)</f>
        <v>0</v>
      </c>
      <c r="E253" s="8">
        <f>IF('Items sous domaines Sciences '!G255=5,'Items sous domaines Sciences '!E255,0)</f>
        <v>0</v>
      </c>
      <c r="F253" s="489"/>
      <c r="G253" s="485"/>
    </row>
    <row r="254" spans="1:7" customFormat="1" ht="13.5" hidden="1" customHeight="1" thickBot="1" x14ac:dyDescent="0.3">
      <c r="A254" s="400"/>
      <c r="B254" s="8">
        <f>IF('Items sous domaines Sciences '!G256=5,'Items sous domaines Sciences '!B256,0)</f>
        <v>0</v>
      </c>
      <c r="C254" s="8">
        <f>IF('Items sous domaines Sciences '!G256=5,'Items sous domaines Sciences '!C256,0)</f>
        <v>0</v>
      </c>
      <c r="D254" s="8">
        <f>IF('Items sous domaines Sciences '!G256=5,'Items sous domaines Sciences '!D256,0)</f>
        <v>0</v>
      </c>
      <c r="E254" s="8">
        <f>IF('Items sous domaines Sciences '!G256=5,'Items sous domaines Sciences '!E256,0)</f>
        <v>0</v>
      </c>
      <c r="F254" s="489"/>
      <c r="G254" s="485"/>
    </row>
    <row r="255" spans="1:7" customFormat="1" ht="13.5" hidden="1" customHeight="1" thickBot="1" x14ac:dyDescent="0.3">
      <c r="A255" s="400"/>
      <c r="B255" s="8">
        <f>IF('Items sous domaines Sciences '!G257=5,'Items sous domaines Sciences '!B257,0)</f>
        <v>0</v>
      </c>
      <c r="C255" s="8">
        <f>IF('Items sous domaines Sciences '!G257=5,'Items sous domaines Sciences '!C257,0)</f>
        <v>0</v>
      </c>
      <c r="D255" s="8">
        <f>IF('Items sous domaines Sciences '!G257=5,'Items sous domaines Sciences '!D257,0)</f>
        <v>0</v>
      </c>
      <c r="E255" s="8">
        <f>IF('Items sous domaines Sciences '!G257=5,'Items sous domaines Sciences '!E257,0)</f>
        <v>0</v>
      </c>
      <c r="F255" s="489"/>
      <c r="G255" s="485"/>
    </row>
    <row r="256" spans="1:7" customFormat="1" ht="12.75" hidden="1" customHeight="1" thickBot="1" x14ac:dyDescent="0.3">
      <c r="A256" s="400"/>
      <c r="B256" s="8">
        <f>IF('Items sous domaines Sciences '!G258=5,'Items sous domaines Sciences '!B258,0)</f>
        <v>0</v>
      </c>
      <c r="C256" s="8">
        <f>IF('Items sous domaines Sciences '!G258=5,'Items sous domaines Sciences '!C258,0)</f>
        <v>0</v>
      </c>
      <c r="D256" s="8">
        <f>IF('Items sous domaines Sciences '!G258=5,'Items sous domaines Sciences '!D258,0)</f>
        <v>0</v>
      </c>
      <c r="E256" s="8">
        <f>IF('Items sous domaines Sciences '!G258=5,'Items sous domaines Sciences '!E258,0)</f>
        <v>0</v>
      </c>
      <c r="F256" s="489"/>
      <c r="G256" s="485"/>
    </row>
    <row r="257" spans="1:7" customFormat="1" ht="16.95" hidden="1" customHeight="1" thickBot="1" x14ac:dyDescent="0.3">
      <c r="A257" s="400"/>
      <c r="B257" s="8">
        <f>IF('Items sous domaines Sciences '!G259=5,'Items sous domaines Sciences '!B259,0)</f>
        <v>0</v>
      </c>
      <c r="C257" s="8">
        <f>IF('Items sous domaines Sciences '!G259=5,'Items sous domaines Sciences '!C259,0)</f>
        <v>0</v>
      </c>
      <c r="D257" s="8">
        <f>IF('Items sous domaines Sciences '!G259=5,'Items sous domaines Sciences '!D259,0)</f>
        <v>0</v>
      </c>
      <c r="E257" s="8">
        <f>IF('Items sous domaines Sciences '!G259=5,'Items sous domaines Sciences '!E259,0)</f>
        <v>0</v>
      </c>
      <c r="F257" s="489"/>
      <c r="G257" s="485"/>
    </row>
    <row r="258" spans="1:7" customFormat="1" ht="13.5" hidden="1" customHeight="1" thickBot="1" x14ac:dyDescent="0.3">
      <c r="A258" s="400"/>
      <c r="B258" s="8">
        <f>IF('Items sous domaines Sciences '!G260=5,'Items sous domaines Sciences '!B260,0)</f>
        <v>0</v>
      </c>
      <c r="C258" s="8">
        <f>IF('Items sous domaines Sciences '!G260=5,'Items sous domaines Sciences '!C260,0)</f>
        <v>0</v>
      </c>
      <c r="D258" s="8">
        <f>IF('Items sous domaines Sciences '!G260=5,'Items sous domaines Sciences '!D260,0)</f>
        <v>0</v>
      </c>
      <c r="E258" s="8">
        <f>IF('Items sous domaines Sciences '!G260=5,'Items sous domaines Sciences '!E260,0)</f>
        <v>0</v>
      </c>
      <c r="F258" s="489"/>
      <c r="G258" s="485"/>
    </row>
    <row r="259" spans="1:7" customFormat="1" ht="13.5" hidden="1" customHeight="1" thickBot="1" x14ac:dyDescent="0.3">
      <c r="A259" s="400"/>
      <c r="B259" s="8">
        <f>IF('Items sous domaines Sciences '!G261=5,'Items sous domaines Sciences '!B261,0)</f>
        <v>0</v>
      </c>
      <c r="C259" s="8">
        <f>IF('Items sous domaines Sciences '!G261=5,'Items sous domaines Sciences '!C261,0)</f>
        <v>0</v>
      </c>
      <c r="D259" s="8">
        <f>IF('Items sous domaines Sciences '!G261=5,'Items sous domaines Sciences '!D261,0)</f>
        <v>0</v>
      </c>
      <c r="E259" s="8">
        <f>IF('Items sous domaines Sciences '!G261=5,'Items sous domaines Sciences '!E261,0)</f>
        <v>0</v>
      </c>
      <c r="F259" s="489"/>
      <c r="G259" s="485"/>
    </row>
    <row r="260" spans="1:7" customFormat="1" ht="13.5" hidden="1" customHeight="1" thickBot="1" x14ac:dyDescent="0.3">
      <c r="A260" s="401"/>
      <c r="B260" s="8">
        <f>IF('Items sous domaines Sciences '!G262=5,'Items sous domaines Sciences '!B262,0)</f>
        <v>0</v>
      </c>
      <c r="C260" s="8">
        <f>IF('Items sous domaines Sciences '!G262=5,'Items sous domaines Sciences '!C262,0)</f>
        <v>0</v>
      </c>
      <c r="D260" s="8">
        <f>IF('Items sous domaines Sciences '!G262=5,'Items sous domaines Sciences '!D262,0)</f>
        <v>0</v>
      </c>
      <c r="E260" s="8">
        <f>IF('Items sous domaines Sciences '!G262=5,'Items sous domaines Sciences '!E262,0)</f>
        <v>0</v>
      </c>
      <c r="F260" s="489"/>
      <c r="G260" s="485"/>
    </row>
    <row r="261" spans="1:7" customFormat="1" ht="13.5" hidden="1" customHeight="1" thickBot="1" x14ac:dyDescent="0.3">
      <c r="A261" s="460"/>
      <c r="B261" s="8">
        <f>IF('Items sous domaines Sciences '!G263=5,'Items sous domaines Sciences '!B263,0)</f>
        <v>0</v>
      </c>
      <c r="C261" s="8">
        <f>IF('Items sous domaines Sciences '!G263=5,'Items sous domaines Sciences '!C263,0)</f>
        <v>0</v>
      </c>
      <c r="D261" s="8">
        <f>IF('Items sous domaines Sciences '!G263=5,'Items sous domaines Sciences '!D263,0)</f>
        <v>0</v>
      </c>
      <c r="E261" s="8">
        <f>IF('Items sous domaines Sciences '!G263=5,'Items sous domaines Sciences '!E263,0)</f>
        <v>0</v>
      </c>
      <c r="F261" s="489"/>
      <c r="G261" s="485"/>
    </row>
    <row r="262" spans="1:7" customFormat="1" ht="13.5" hidden="1" customHeight="1" thickBot="1" x14ac:dyDescent="0.3">
      <c r="A262" s="460"/>
      <c r="B262" s="8">
        <f>IF('Items sous domaines Sciences '!G264=5,'Items sous domaines Sciences '!B264,0)</f>
        <v>0</v>
      </c>
      <c r="C262" s="8">
        <f>IF('Items sous domaines Sciences '!G264=5,'Items sous domaines Sciences '!C264,0)</f>
        <v>0</v>
      </c>
      <c r="D262" s="8">
        <f>IF('Items sous domaines Sciences '!G264=5,'Items sous domaines Sciences '!D264,0)</f>
        <v>0</v>
      </c>
      <c r="E262" s="8">
        <f>IF('Items sous domaines Sciences '!G264=5,'Items sous domaines Sciences '!E264,0)</f>
        <v>0</v>
      </c>
      <c r="F262" s="489"/>
      <c r="G262" s="485"/>
    </row>
    <row r="263" spans="1:7" customFormat="1" ht="13.5" hidden="1" customHeight="1" thickBot="1" x14ac:dyDescent="0.3">
      <c r="A263" s="460"/>
      <c r="B263" s="8">
        <f>IF('Items sous domaines Sciences '!G265=5,'Items sous domaines Sciences '!B265,0)</f>
        <v>0</v>
      </c>
      <c r="C263" s="8">
        <f>IF('Items sous domaines Sciences '!G265=5,'Items sous domaines Sciences '!C265,0)</f>
        <v>0</v>
      </c>
      <c r="D263" s="8">
        <f>IF('Items sous domaines Sciences '!G265=5,'Items sous domaines Sciences '!D265,0)</f>
        <v>0</v>
      </c>
      <c r="E263" s="8">
        <f>IF('Items sous domaines Sciences '!G265=5,'Items sous domaines Sciences '!E265,0)</f>
        <v>0</v>
      </c>
      <c r="F263" s="489"/>
      <c r="G263" s="485"/>
    </row>
    <row r="264" spans="1:7" customFormat="1" ht="13.5" hidden="1" customHeight="1" thickBot="1" x14ac:dyDescent="0.3">
      <c r="A264" s="460"/>
      <c r="B264" s="8">
        <f>IF('Items sous domaines Sciences '!G266=5,'Items sous domaines Sciences '!B266,0)</f>
        <v>0</v>
      </c>
      <c r="C264" s="8">
        <f>IF('Items sous domaines Sciences '!G266=5,'Items sous domaines Sciences '!C266,0)</f>
        <v>0</v>
      </c>
      <c r="D264" s="8">
        <f>IF('Items sous domaines Sciences '!G266=5,'Items sous domaines Sciences '!D266,0)</f>
        <v>0</v>
      </c>
      <c r="E264" s="8">
        <f>IF('Items sous domaines Sciences '!G266=5,'Items sous domaines Sciences '!E266,0)</f>
        <v>0</v>
      </c>
      <c r="F264" s="489"/>
      <c r="G264" s="485"/>
    </row>
    <row r="265" spans="1:7" customFormat="1" ht="13.5" hidden="1" customHeight="1" thickBot="1" x14ac:dyDescent="0.3">
      <c r="A265" s="460"/>
      <c r="B265" s="8">
        <f>IF('Items sous domaines Sciences '!G267=5,'Items sous domaines Sciences '!B267,0)</f>
        <v>0</v>
      </c>
      <c r="C265" s="8">
        <f>IF('Items sous domaines Sciences '!G267=5,'Items sous domaines Sciences '!C267,0)</f>
        <v>0</v>
      </c>
      <c r="D265" s="8">
        <f>IF('Items sous domaines Sciences '!G267=5,'Items sous domaines Sciences '!D267,0)</f>
        <v>0</v>
      </c>
      <c r="E265" s="8">
        <f>IF('Items sous domaines Sciences '!G267=5,'Items sous domaines Sciences '!E267,0)</f>
        <v>0</v>
      </c>
      <c r="F265" s="489"/>
      <c r="G265" s="485"/>
    </row>
    <row r="266" spans="1:7" customFormat="1" ht="13.5" hidden="1" customHeight="1" thickBot="1" x14ac:dyDescent="0.3">
      <c r="A266" s="460"/>
      <c r="B266" s="8">
        <f>IF('Items sous domaines Sciences '!G268=5,'Items sous domaines Sciences '!B268,0)</f>
        <v>0</v>
      </c>
      <c r="C266" s="8">
        <f>IF('Items sous domaines Sciences '!G268=5,'Items sous domaines Sciences '!C268,0)</f>
        <v>0</v>
      </c>
      <c r="D266" s="8">
        <f>IF('Items sous domaines Sciences '!G268=5,'Items sous domaines Sciences '!D268,0)</f>
        <v>0</v>
      </c>
      <c r="E266" s="8">
        <f>IF('Items sous domaines Sciences '!G268=5,'Items sous domaines Sciences '!E268,0)</f>
        <v>0</v>
      </c>
      <c r="F266" s="489"/>
      <c r="G266" s="485"/>
    </row>
    <row r="267" spans="1:7" customFormat="1" ht="13.5" hidden="1" customHeight="1" thickBot="1" x14ac:dyDescent="0.3">
      <c r="A267" s="460"/>
      <c r="B267" s="8">
        <f>IF('Items sous domaines Sciences '!G269=5,'Items sous domaines Sciences '!B269,0)</f>
        <v>0</v>
      </c>
      <c r="C267" s="8">
        <f>IF('Items sous domaines Sciences '!G269=5,'Items sous domaines Sciences '!C269,0)</f>
        <v>0</v>
      </c>
      <c r="D267" s="8">
        <f>IF('Items sous domaines Sciences '!G269=5,'Items sous domaines Sciences '!D269,0)</f>
        <v>0</v>
      </c>
      <c r="E267" s="8">
        <f>IF('Items sous domaines Sciences '!G269=5,'Items sous domaines Sciences '!E269,0)</f>
        <v>0</v>
      </c>
      <c r="F267" s="489"/>
      <c r="G267" s="485"/>
    </row>
    <row r="268" spans="1:7" customFormat="1" ht="13.5" hidden="1" customHeight="1" thickBot="1" x14ac:dyDescent="0.3">
      <c r="A268" s="399"/>
      <c r="B268" s="8">
        <f>IF('Items sous domaines Sciences '!G270=5,'Items sous domaines Sciences '!B270,0)</f>
        <v>0</v>
      </c>
      <c r="C268" s="8">
        <f>IF('Items sous domaines Sciences '!G270=5,'Items sous domaines Sciences '!C270,0)</f>
        <v>0</v>
      </c>
      <c r="D268" s="8">
        <f>IF('Items sous domaines Sciences '!G270=5,'Items sous domaines Sciences '!D270,0)</f>
        <v>0</v>
      </c>
      <c r="E268" s="8">
        <f>IF('Items sous domaines Sciences '!G270=5,'Items sous domaines Sciences '!E270,0)</f>
        <v>0</v>
      </c>
      <c r="F268" s="489"/>
      <c r="G268" s="485"/>
    </row>
    <row r="269" spans="1:7" customFormat="1" ht="13.5" hidden="1" customHeight="1" thickBot="1" x14ac:dyDescent="0.3">
      <c r="A269" s="400"/>
      <c r="B269" s="8">
        <f>IF('Items sous domaines Sciences '!G271=5,'Items sous domaines Sciences '!B271,0)</f>
        <v>0</v>
      </c>
      <c r="C269" s="8">
        <f>IF('Items sous domaines Sciences '!G271=5,'Items sous domaines Sciences '!C271,0)</f>
        <v>0</v>
      </c>
      <c r="D269" s="8">
        <f>IF('Items sous domaines Sciences '!G271=5,'Items sous domaines Sciences '!D271,0)</f>
        <v>0</v>
      </c>
      <c r="E269" s="8">
        <f>IF('Items sous domaines Sciences '!G271=5,'Items sous domaines Sciences '!E271,0)</f>
        <v>0</v>
      </c>
      <c r="F269" s="489"/>
      <c r="G269" s="485"/>
    </row>
    <row r="270" spans="1:7" customFormat="1" ht="13.5" hidden="1" customHeight="1" thickBot="1" x14ac:dyDescent="0.3">
      <c r="A270" s="401"/>
      <c r="B270" s="8">
        <f>IF('Items sous domaines Sciences '!G272=5,'Items sous domaines Sciences '!B272,0)</f>
        <v>0</v>
      </c>
      <c r="C270" s="8">
        <f>IF('Items sous domaines Sciences '!G272=5,'Items sous domaines Sciences '!C272,0)</f>
        <v>0</v>
      </c>
      <c r="D270" s="8">
        <f>IF('Items sous domaines Sciences '!G272=5,'Items sous domaines Sciences '!D272,0)</f>
        <v>0</v>
      </c>
      <c r="E270" s="8">
        <f>IF('Items sous domaines Sciences '!G272=5,'Items sous domaines Sciences '!E272,0)</f>
        <v>0</v>
      </c>
      <c r="F270" s="489"/>
      <c r="G270" s="485"/>
    </row>
    <row r="271" spans="1:7" customFormat="1" ht="13.5" hidden="1" customHeight="1" thickBot="1" x14ac:dyDescent="0.3">
      <c r="A271" s="460"/>
      <c r="B271" s="8">
        <f>IF('Items sous domaines Sciences '!G273=5,'Items sous domaines Sciences '!B273,0)</f>
        <v>0</v>
      </c>
      <c r="C271" s="8">
        <f>IF('Items sous domaines Sciences '!G273=5,'Items sous domaines Sciences '!C273,0)</f>
        <v>0</v>
      </c>
      <c r="D271" s="8">
        <f>IF('Items sous domaines Sciences '!G273=5,'Items sous domaines Sciences '!D273,0)</f>
        <v>0</v>
      </c>
      <c r="E271" s="8">
        <f>IF('Items sous domaines Sciences '!G273=5,'Items sous domaines Sciences '!E273,0)</f>
        <v>0</v>
      </c>
      <c r="F271" s="489"/>
      <c r="G271" s="485"/>
    </row>
    <row r="272" spans="1:7" customFormat="1" ht="13.5" hidden="1" customHeight="1" thickBot="1" x14ac:dyDescent="0.3">
      <c r="A272" s="460"/>
      <c r="B272" s="8">
        <f>IF('Items sous domaines Sciences '!G274=5,'Items sous domaines Sciences '!B274,0)</f>
        <v>0</v>
      </c>
      <c r="C272" s="8">
        <f>IF('Items sous domaines Sciences '!G274=5,'Items sous domaines Sciences '!C274,0)</f>
        <v>0</v>
      </c>
      <c r="D272" s="8">
        <f>IF('Items sous domaines Sciences '!G274=5,'Items sous domaines Sciences '!D274,0)</f>
        <v>0</v>
      </c>
      <c r="E272" s="8">
        <f>IF('Items sous domaines Sciences '!G274=5,'Items sous domaines Sciences '!E274,0)</f>
        <v>0</v>
      </c>
      <c r="F272" s="489"/>
      <c r="G272" s="485"/>
    </row>
    <row r="273" spans="1:7" customFormat="1" ht="13.5" hidden="1" customHeight="1" thickBot="1" x14ac:dyDescent="0.3">
      <c r="A273" s="399"/>
      <c r="B273" s="8">
        <f>IF('Items sous domaines Sciences '!G275=5,'Items sous domaines Sciences '!B275,0)</f>
        <v>0</v>
      </c>
      <c r="C273" s="8">
        <f>IF('Items sous domaines Sciences '!G275=5,'Items sous domaines Sciences '!C275,0)</f>
        <v>0</v>
      </c>
      <c r="D273" s="8">
        <f>IF('Items sous domaines Sciences '!G275=5,'Items sous domaines Sciences '!D275,0)</f>
        <v>0</v>
      </c>
      <c r="E273" s="8">
        <f>IF('Items sous domaines Sciences '!G275=5,'Items sous domaines Sciences '!E275,0)</f>
        <v>0</v>
      </c>
      <c r="F273" s="489"/>
      <c r="G273" s="485"/>
    </row>
    <row r="274" spans="1:7" customFormat="1" ht="13.5" hidden="1" customHeight="1" thickBot="1" x14ac:dyDescent="0.3">
      <c r="A274" s="401"/>
      <c r="B274" s="8">
        <f>IF('Items sous domaines Sciences '!G276=5,'Items sous domaines Sciences '!B276,0)</f>
        <v>0</v>
      </c>
      <c r="C274" s="8">
        <f>IF('Items sous domaines Sciences '!G276=5,'Items sous domaines Sciences '!C276,0)</f>
        <v>0</v>
      </c>
      <c r="D274" s="8">
        <f>IF('Items sous domaines Sciences '!G276=5,'Items sous domaines Sciences '!D276,0)</f>
        <v>0</v>
      </c>
      <c r="E274" s="8">
        <f>IF('Items sous domaines Sciences '!G276=5,'Items sous domaines Sciences '!E276,0)</f>
        <v>0</v>
      </c>
      <c r="F274" s="489"/>
      <c r="G274" s="485"/>
    </row>
    <row r="275" spans="1:7" customFormat="1" ht="13.5" hidden="1" customHeight="1" thickBot="1" x14ac:dyDescent="0.3">
      <c r="A275" s="460"/>
      <c r="B275" s="8">
        <f>IF('Items sous domaines Sciences '!G277=5,'Items sous domaines Sciences '!B277,0)</f>
        <v>0</v>
      </c>
      <c r="C275" s="8">
        <f>IF('Items sous domaines Sciences '!G277=5,'Items sous domaines Sciences '!C277,0)</f>
        <v>0</v>
      </c>
      <c r="D275" s="8">
        <f>IF('Items sous domaines Sciences '!G277=5,'Items sous domaines Sciences '!D277,0)</f>
        <v>0</v>
      </c>
      <c r="E275" s="8">
        <f>IF('Items sous domaines Sciences '!G277=5,'Items sous domaines Sciences '!E277,0)</f>
        <v>0</v>
      </c>
      <c r="F275" s="489"/>
      <c r="G275" s="485"/>
    </row>
    <row r="276" spans="1:7" customFormat="1" ht="13.5" hidden="1" customHeight="1" thickBot="1" x14ac:dyDescent="0.3">
      <c r="A276" s="460"/>
      <c r="B276" s="8">
        <f>IF('Items sous domaines Sciences '!G278=5,'Items sous domaines Sciences '!B278,0)</f>
        <v>0</v>
      </c>
      <c r="C276" s="8">
        <f>IF('Items sous domaines Sciences '!G278=5,'Items sous domaines Sciences '!C278,0)</f>
        <v>0</v>
      </c>
      <c r="D276" s="8">
        <f>IF('Items sous domaines Sciences '!G278=5,'Items sous domaines Sciences '!D278,0)</f>
        <v>0</v>
      </c>
      <c r="E276" s="8">
        <f>IF('Items sous domaines Sciences '!G278=5,'Items sous domaines Sciences '!E278,0)</f>
        <v>0</v>
      </c>
      <c r="F276" s="489"/>
      <c r="G276" s="485"/>
    </row>
    <row r="277" spans="1:7" customFormat="1" ht="13.5" hidden="1" customHeight="1" thickBot="1" x14ac:dyDescent="0.3">
      <c r="A277" s="460"/>
      <c r="B277" s="8">
        <f>IF('Items sous domaines Sciences '!G279=5,'Items sous domaines Sciences '!B279,0)</f>
        <v>0</v>
      </c>
      <c r="C277" s="8">
        <f>IF('Items sous domaines Sciences '!G279=5,'Items sous domaines Sciences '!C279,0)</f>
        <v>0</v>
      </c>
      <c r="D277" s="8">
        <f>IF('Items sous domaines Sciences '!G279=5,'Items sous domaines Sciences '!D279,0)</f>
        <v>0</v>
      </c>
      <c r="E277" s="8">
        <f>IF('Items sous domaines Sciences '!G279=5,'Items sous domaines Sciences '!E279,0)</f>
        <v>0</v>
      </c>
      <c r="F277" s="489"/>
      <c r="G277" s="485"/>
    </row>
    <row r="278" spans="1:7" customFormat="1" ht="13.5" hidden="1" customHeight="1" thickBot="1" x14ac:dyDescent="0.3">
      <c r="A278" s="460"/>
      <c r="B278" s="8">
        <f>IF('Items sous domaines Sciences '!G280=5,'Items sous domaines Sciences '!B280,0)</f>
        <v>0</v>
      </c>
      <c r="C278" s="8">
        <f>IF('Items sous domaines Sciences '!G280=5,'Items sous domaines Sciences '!C280,0)</f>
        <v>0</v>
      </c>
      <c r="D278" s="8">
        <f>IF('Items sous domaines Sciences '!G280=5,'Items sous domaines Sciences '!D280,0)</f>
        <v>0</v>
      </c>
      <c r="E278" s="8">
        <f>IF('Items sous domaines Sciences '!G280=5,'Items sous domaines Sciences '!E280,0)</f>
        <v>0</v>
      </c>
      <c r="F278" s="489"/>
      <c r="G278" s="485"/>
    </row>
    <row r="279" spans="1:7" customFormat="1" ht="13.5" hidden="1" customHeight="1" thickBot="1" x14ac:dyDescent="0.3">
      <c r="A279" s="399"/>
      <c r="B279" s="8">
        <f>IF('Items sous domaines Sciences '!G281=5,'Items sous domaines Sciences '!B281,0)</f>
        <v>0</v>
      </c>
      <c r="C279" s="8">
        <f>IF('Items sous domaines Sciences '!G281=5,'Items sous domaines Sciences '!C281,0)</f>
        <v>0</v>
      </c>
      <c r="D279" s="8">
        <f>IF('Items sous domaines Sciences '!G281=5,'Items sous domaines Sciences '!D281,0)</f>
        <v>0</v>
      </c>
      <c r="E279" s="8">
        <f>IF('Items sous domaines Sciences '!G281=5,'Items sous domaines Sciences '!E281,0)</f>
        <v>0</v>
      </c>
      <c r="F279" s="489"/>
      <c r="G279" s="485"/>
    </row>
    <row r="280" spans="1:7" customFormat="1" ht="13.5" hidden="1" customHeight="1" thickBot="1" x14ac:dyDescent="0.3">
      <c r="A280" s="401"/>
      <c r="B280" s="8">
        <f>IF('Items sous domaines Sciences '!G282=5,'Items sous domaines Sciences '!B282,0)</f>
        <v>0</v>
      </c>
      <c r="C280" s="8">
        <f>IF('Items sous domaines Sciences '!G282=5,'Items sous domaines Sciences '!C282,0)</f>
        <v>0</v>
      </c>
      <c r="D280" s="8">
        <f>IF('Items sous domaines Sciences '!G282=5,'Items sous domaines Sciences '!D282,0)</f>
        <v>0</v>
      </c>
      <c r="E280" s="8">
        <f>IF('Items sous domaines Sciences '!G282=5,'Items sous domaines Sciences '!E282,0)</f>
        <v>0</v>
      </c>
      <c r="F280" s="489"/>
      <c r="G280" s="485"/>
    </row>
    <row r="281" spans="1:7" customFormat="1" ht="13.5" hidden="1" customHeight="1" thickBot="1" x14ac:dyDescent="0.3">
      <c r="A281" s="460"/>
      <c r="B281" s="8">
        <f>IF('Items sous domaines Sciences '!G283=5,'Items sous domaines Sciences '!B283,0)</f>
        <v>0</v>
      </c>
      <c r="C281" s="8">
        <f>IF('Items sous domaines Sciences '!G283=5,'Items sous domaines Sciences '!C283,0)</f>
        <v>0</v>
      </c>
      <c r="D281" s="8">
        <f>IF('Items sous domaines Sciences '!G283=5,'Items sous domaines Sciences '!D283,0)</f>
        <v>0</v>
      </c>
      <c r="E281" s="8">
        <f>IF('Items sous domaines Sciences '!G283=5,'Items sous domaines Sciences '!E283,0)</f>
        <v>0</v>
      </c>
      <c r="F281" s="489"/>
      <c r="G281" s="485"/>
    </row>
    <row r="282" spans="1:7" customFormat="1" ht="13.5" hidden="1" customHeight="1" thickBot="1" x14ac:dyDescent="0.3">
      <c r="B282" s="8">
        <f>IF('Items sous domaines Sciences '!G284=5,'Items sous domaines Sciences '!B284,0)</f>
        <v>0</v>
      </c>
      <c r="C282" s="8">
        <f>IF('Items sous domaines Sciences '!G284=5,'Items sous domaines Sciences '!C284,0)</f>
        <v>0</v>
      </c>
      <c r="D282" s="8">
        <f>IF('Items sous domaines Sciences '!G284=5,'Items sous domaines Sciences '!D284,0)</f>
        <v>0</v>
      </c>
      <c r="E282" s="8">
        <f>IF('Items sous domaines Sciences '!G284=5,'Items sous domaines Sciences '!E284,0)</f>
        <v>0</v>
      </c>
      <c r="F282" s="489"/>
      <c r="G282" s="485"/>
    </row>
    <row r="283" spans="1:7" customFormat="1" ht="13.5" hidden="1" customHeight="1" thickBot="1" x14ac:dyDescent="0.3">
      <c r="A283" s="467" t="s">
        <v>477</v>
      </c>
      <c r="B283" s="8">
        <f>IF('Items sous domaines Sciences '!G285=5,'Items sous domaines Sciences '!B285,0)</f>
        <v>0</v>
      </c>
      <c r="C283" s="8">
        <f>IF('Items sous domaines Sciences '!G285=5,'Items sous domaines Sciences '!C285,0)</f>
        <v>0</v>
      </c>
      <c r="D283" s="8">
        <f>IF('Items sous domaines Sciences '!G285=5,'Items sous domaines Sciences '!D285,0)</f>
        <v>0</v>
      </c>
      <c r="E283" s="8">
        <f>IF('Items sous domaines Sciences '!G285=5,'Items sous domaines Sciences '!E285,0)</f>
        <v>0</v>
      </c>
      <c r="F283" s="489"/>
      <c r="G283" s="485"/>
    </row>
    <row r="284" spans="1:7" customFormat="1" ht="13.5" hidden="1" customHeight="1" thickBot="1" x14ac:dyDescent="0.3">
      <c r="A284" s="481"/>
      <c r="B284" s="8">
        <f>IF('Items sous domaines Sciences '!G286=5,'Items sous domaines Sciences '!B286,0)</f>
        <v>0</v>
      </c>
      <c r="C284" s="8">
        <f>IF('Items sous domaines Sciences '!G286=5,'Items sous domaines Sciences '!C286,0)</f>
        <v>0</v>
      </c>
      <c r="D284" s="8">
        <f>IF('Items sous domaines Sciences '!G286=5,'Items sous domaines Sciences '!D286,0)</f>
        <v>0</v>
      </c>
      <c r="E284" s="8">
        <f>IF('Items sous domaines Sciences '!G286=5,'Items sous domaines Sciences '!E286,0)</f>
        <v>0</v>
      </c>
      <c r="F284" s="489"/>
      <c r="G284" s="485"/>
    </row>
    <row r="285" spans="1:7" customFormat="1" ht="17.399999999999999" hidden="1" customHeight="1" thickBot="1" x14ac:dyDescent="0.3">
      <c r="A285" s="481"/>
      <c r="B285" s="8">
        <f>IF('Items sous domaines Sciences '!G287=5,'Items sous domaines Sciences '!B287,0)</f>
        <v>0</v>
      </c>
      <c r="C285" s="8">
        <f>IF('Items sous domaines Sciences '!G287=5,'Items sous domaines Sciences '!C287,0)</f>
        <v>0</v>
      </c>
      <c r="D285" s="8">
        <f>IF('Items sous domaines Sciences '!G287=5,'Items sous domaines Sciences '!D287,0)</f>
        <v>0</v>
      </c>
      <c r="E285" s="8">
        <f>IF('Items sous domaines Sciences '!G287=5,'Items sous domaines Sciences '!E287,0)</f>
        <v>0</v>
      </c>
      <c r="F285" s="489"/>
      <c r="G285" s="485"/>
    </row>
    <row r="286" spans="1:7" customFormat="1" ht="17.399999999999999" hidden="1" customHeight="1" thickBot="1" x14ac:dyDescent="0.3">
      <c r="A286" s="481"/>
      <c r="B286" s="8">
        <f>IF('Items sous domaines Sciences '!G288=5,'Items sous domaines Sciences '!B288,0)</f>
        <v>0</v>
      </c>
      <c r="C286" s="8">
        <f>IF('Items sous domaines Sciences '!G288=5,'Items sous domaines Sciences '!C288,0)</f>
        <v>0</v>
      </c>
      <c r="D286" s="8">
        <f>IF('Items sous domaines Sciences '!G288=5,'Items sous domaines Sciences '!D288,0)</f>
        <v>0</v>
      </c>
      <c r="E286" s="8">
        <f>IF('Items sous domaines Sciences '!G288=5,'Items sous domaines Sciences '!E288,0)</f>
        <v>0</v>
      </c>
      <c r="F286" s="489"/>
      <c r="G286" s="485"/>
    </row>
    <row r="287" spans="1:7" customFormat="1" ht="17.399999999999999" hidden="1" customHeight="1" thickBot="1" x14ac:dyDescent="0.3">
      <c r="A287" s="481"/>
      <c r="B287" s="8">
        <f>IF('Items sous domaines Sciences '!G289=5,'Items sous domaines Sciences '!B289,0)</f>
        <v>0</v>
      </c>
      <c r="C287" s="8">
        <f>IF('Items sous domaines Sciences '!G289=5,'Items sous domaines Sciences '!C289,0)</f>
        <v>0</v>
      </c>
      <c r="D287" s="8">
        <f>IF('Items sous domaines Sciences '!G289=5,'Items sous domaines Sciences '!D289,0)</f>
        <v>0</v>
      </c>
      <c r="E287" s="8">
        <f>IF('Items sous domaines Sciences '!G289=5,'Items sous domaines Sciences '!E289,0)</f>
        <v>0</v>
      </c>
      <c r="F287" s="489"/>
      <c r="G287" s="485"/>
    </row>
    <row r="288" spans="1:7" customFormat="1" ht="17.399999999999999" hidden="1" customHeight="1" thickBot="1" x14ac:dyDescent="0.3">
      <c r="A288" s="481"/>
      <c r="B288" s="8">
        <f>IF('Items sous domaines Sciences '!G290=5,'Items sous domaines Sciences '!B290,0)</f>
        <v>0</v>
      </c>
      <c r="C288" s="8">
        <f>IF('Items sous domaines Sciences '!G290=5,'Items sous domaines Sciences '!C290,0)</f>
        <v>0</v>
      </c>
      <c r="D288" s="8">
        <f>IF('Items sous domaines Sciences '!G290=5,'Items sous domaines Sciences '!D290,0)</f>
        <v>0</v>
      </c>
      <c r="E288" s="8">
        <f>IF('Items sous domaines Sciences '!G290=5,'Items sous domaines Sciences '!E290,0)</f>
        <v>0</v>
      </c>
      <c r="F288" s="489"/>
      <c r="G288" s="485"/>
    </row>
    <row r="289" spans="1:7" customFormat="1" ht="17.399999999999999" hidden="1" customHeight="1" thickBot="1" x14ac:dyDescent="0.3">
      <c r="A289" s="481"/>
      <c r="B289" s="8">
        <f>IF('Items sous domaines Sciences '!G291=5,'Items sous domaines Sciences '!B291,0)</f>
        <v>0</v>
      </c>
      <c r="C289" s="8">
        <f>IF('Items sous domaines Sciences '!G291=5,'Items sous domaines Sciences '!C291,0)</f>
        <v>0</v>
      </c>
      <c r="D289" s="8">
        <f>IF('Items sous domaines Sciences '!G291=5,'Items sous domaines Sciences '!D291,0)</f>
        <v>0</v>
      </c>
      <c r="E289" s="8">
        <f>IF('Items sous domaines Sciences '!G291=5,'Items sous domaines Sciences '!E291,0)</f>
        <v>0</v>
      </c>
      <c r="F289" s="489"/>
      <c r="G289" s="485"/>
    </row>
    <row r="290" spans="1:7" customFormat="1" ht="17.399999999999999" hidden="1" customHeight="1" thickBot="1" x14ac:dyDescent="0.3">
      <c r="A290" s="481"/>
      <c r="B290" s="8">
        <f>IF('Items sous domaines Sciences '!G292=5,'Items sous domaines Sciences '!B292,0)</f>
        <v>0</v>
      </c>
      <c r="C290" s="8">
        <f>IF('Items sous domaines Sciences '!G292=5,'Items sous domaines Sciences '!C292,0)</f>
        <v>0</v>
      </c>
      <c r="D290" s="8">
        <f>IF('Items sous domaines Sciences '!G292=5,'Items sous domaines Sciences '!D292,0)</f>
        <v>0</v>
      </c>
      <c r="E290" s="8">
        <f>IF('Items sous domaines Sciences '!G292=5,'Items sous domaines Sciences '!E292,0)</f>
        <v>0</v>
      </c>
      <c r="F290" s="489"/>
      <c r="G290" s="485"/>
    </row>
    <row r="291" spans="1:7" customFormat="1" ht="17.399999999999999" hidden="1" customHeight="1" thickBot="1" x14ac:dyDescent="0.3">
      <c r="A291" s="481"/>
      <c r="B291" s="8">
        <f>IF('Items sous domaines Sciences '!G293=5,'Items sous domaines Sciences '!B293,0)</f>
        <v>0</v>
      </c>
      <c r="C291" s="8">
        <f>IF('Items sous domaines Sciences '!G293=5,'Items sous domaines Sciences '!C293,0)</f>
        <v>0</v>
      </c>
      <c r="D291" s="8">
        <f>IF('Items sous domaines Sciences '!G293=5,'Items sous domaines Sciences '!D293,0)</f>
        <v>0</v>
      </c>
      <c r="E291" s="8">
        <f>IF('Items sous domaines Sciences '!G293=5,'Items sous domaines Sciences '!E293,0)</f>
        <v>0</v>
      </c>
      <c r="F291" s="489"/>
      <c r="G291" s="485"/>
    </row>
    <row r="292" spans="1:7" customFormat="1" ht="17.399999999999999" hidden="1" customHeight="1" thickBot="1" x14ac:dyDescent="0.3">
      <c r="A292" s="481"/>
      <c r="B292" s="8">
        <f>IF('Items sous domaines Sciences '!G294=5,'Items sous domaines Sciences '!B294,0)</f>
        <v>0</v>
      </c>
      <c r="C292" s="8">
        <f>IF('Items sous domaines Sciences '!G294=5,'Items sous domaines Sciences '!C294,0)</f>
        <v>0</v>
      </c>
      <c r="D292" s="8">
        <f>IF('Items sous domaines Sciences '!G294=5,'Items sous domaines Sciences '!D294,0)</f>
        <v>0</v>
      </c>
      <c r="E292" s="8">
        <f>IF('Items sous domaines Sciences '!G294=5,'Items sous domaines Sciences '!E294,0)</f>
        <v>0</v>
      </c>
      <c r="F292" s="489"/>
      <c r="G292" s="485"/>
    </row>
    <row r="293" spans="1:7" ht="19.95" customHeight="1" thickTop="1" x14ac:dyDescent="0.3">
      <c r="A293" s="482"/>
      <c r="B293" s="252" t="str">
        <f>IF('Items sous domaines Sciences '!G295=5,'Items sous domaines Sciences '!B295,0)</f>
        <v>Chimie</v>
      </c>
      <c r="C293" s="225" t="str">
        <f>IF('Items sous domaines Sciences '!G295=5,'Items sous domaines Sciences '!C295,0)</f>
        <v>Chimie</v>
      </c>
      <c r="D293" s="226" t="str">
        <f>IF('Items sous domaines Sciences '!G295=5,'Items sous domaines Sciences '!D295,0)</f>
        <v>REDOX</v>
      </c>
      <c r="E293" s="226" t="str">
        <f>IF('Items sous domaines Sciences '!G295=5,'Items sous domaines Sciences '!E295,0)</f>
        <v>Utiliser les principes chimiques de base de l'oxydo-réduction : électrochimie.</v>
      </c>
      <c r="F293" s="430"/>
      <c r="G293" s="486"/>
    </row>
    <row r="294" spans="1:7" ht="19.95" customHeight="1" x14ac:dyDescent="0.3">
      <c r="A294" s="483"/>
      <c r="B294" s="61" t="str">
        <f>IF('Items sous domaines Sciences '!G296=5,'Items sous domaines Sciences '!B296,0)</f>
        <v>Chimie</v>
      </c>
      <c r="C294" s="212" t="str">
        <f>IF('Items sous domaines Sciences '!G296=5,'Items sous domaines Sciences '!C296,0)</f>
        <v>Chimie</v>
      </c>
      <c r="D294" s="215">
        <f>IF('Items sous domaines Sciences '!G296=5,'Items sous domaines Sciences '!D296,0)</f>
        <v>0</v>
      </c>
      <c r="E294" s="209" t="str">
        <f>IF('Items sous domaines Sciences '!G296=5,'Items sous domaines Sciences '!E296,0)</f>
        <v>Déterminer le fonctionnement d'une batterie à partir des principes de l'oxydo-réduction.</v>
      </c>
      <c r="F294" s="431"/>
      <c r="G294" s="487"/>
    </row>
    <row r="295" spans="1:7" ht="19.95" customHeight="1" x14ac:dyDescent="0.3">
      <c r="A295" s="483"/>
      <c r="B295" s="61" t="str">
        <f>IF('Items sous domaines Sciences '!G297=5,'Items sous domaines Sciences '!B297,0)</f>
        <v>Chimie</v>
      </c>
      <c r="C295" s="213" t="str">
        <f>IF('Items sous domaines Sciences '!G297=5,'Items sous domaines Sciences '!C297,0)</f>
        <v>Chimie</v>
      </c>
      <c r="D295" s="216">
        <f>IF('Items sous domaines Sciences '!G297=5,'Items sous domaines Sciences '!D297,0)</f>
        <v>0</v>
      </c>
      <c r="E295" s="216" t="str">
        <f>IF('Items sous domaines Sciences '!G297=5,'Items sous domaines Sciences '!E297,0)</f>
        <v>Décrire le fonctionnement d'un accumulateur à partir des principes de l'électrolyse.</v>
      </c>
      <c r="F295" s="431"/>
      <c r="G295" s="487"/>
    </row>
    <row r="296" spans="1:7" ht="19.95" customHeight="1" x14ac:dyDescent="0.3">
      <c r="A296" s="483"/>
      <c r="B296" s="61" t="str">
        <f>IF('Items sous domaines Sciences '!G298=5,'Items sous domaines Sciences '!B298,0)</f>
        <v>Chimie</v>
      </c>
      <c r="C296" s="212" t="str">
        <f>IF('Items sous domaines Sciences '!G298=5,'Items sous domaines Sciences '!C298,0)</f>
        <v>Chimie</v>
      </c>
      <c r="D296" s="215">
        <f>IF('Items sous domaines Sciences '!G298=5,'Items sous domaines Sciences '!D298,0)</f>
        <v>0</v>
      </c>
      <c r="E296" s="209" t="str">
        <f>IF('Items sous domaines Sciences '!G298=5,'Items sous domaines Sciences '!E298,0)</f>
        <v>Sélectionner les accumulateurs nécessaires.</v>
      </c>
      <c r="F296" s="431"/>
      <c r="G296" s="487"/>
    </row>
    <row r="297" spans="1:7" ht="19.95" customHeight="1" x14ac:dyDescent="0.3">
      <c r="A297" s="483"/>
      <c r="B297" s="61" t="str">
        <f>IF('Items sous domaines Sciences '!G299=5,'Items sous domaines Sciences '!B299,0)</f>
        <v>Chimie</v>
      </c>
      <c r="C297" s="213" t="str">
        <f>IF('Items sous domaines Sciences '!G299=5,'Items sous domaines Sciences '!C299,0)</f>
        <v>Chimie</v>
      </c>
      <c r="D297" s="216">
        <f>IF('Items sous domaines Sciences '!G299=5,'Items sous domaines Sciences '!D299,0)</f>
        <v>0</v>
      </c>
      <c r="E297" s="216" t="str">
        <f>IF('Items sous domaines Sciences '!G299=5,'Items sous domaines Sciences '!E299,0)</f>
        <v>Décrire la structure microscopique de matériaux semi-conducteurs.</v>
      </c>
      <c r="F297" s="431"/>
      <c r="G297" s="487"/>
    </row>
    <row r="298" spans="1:7" ht="19.95" customHeight="1" x14ac:dyDescent="0.3">
      <c r="A298" s="483"/>
      <c r="B298" s="61" t="str">
        <f>IF('Items sous domaines Sciences '!G300=5,'Items sous domaines Sciences '!B300,0)</f>
        <v>Chimie</v>
      </c>
      <c r="C298" s="212" t="str">
        <f>IF('Items sous domaines Sciences '!G300=5,'Items sous domaines Sciences '!C300,0)</f>
        <v>Chimie</v>
      </c>
      <c r="D298" s="215">
        <f>IF('Items sous domaines Sciences '!G300=5,'Items sous domaines Sciences '!D300,0)</f>
        <v>0</v>
      </c>
      <c r="E298" s="209" t="str">
        <f>IF('Items sous domaines Sciences '!G300=5,'Items sous domaines Sciences '!E300,0)</f>
        <v>Relier les propriétés physiques de la matière à sa structure.</v>
      </c>
      <c r="F298" s="431"/>
      <c r="G298" s="487"/>
    </row>
    <row r="299" spans="1:7" ht="19.95" customHeight="1" x14ac:dyDescent="0.3">
      <c r="A299" s="483"/>
      <c r="B299" s="61" t="str">
        <f>IF('Items sous domaines Sciences '!G301=5,'Items sous domaines Sciences '!B301,0)</f>
        <v>Chimie</v>
      </c>
      <c r="C299" s="213" t="str">
        <f>IF('Items sous domaines Sciences '!G301=5,'Items sous domaines Sciences '!C301,0)</f>
        <v>Chimie</v>
      </c>
      <c r="D299" s="216">
        <f>IF('Items sous domaines Sciences '!G301=5,'Items sous domaines Sciences '!D301,0)</f>
        <v>0</v>
      </c>
      <c r="E299" s="216" t="str">
        <f>IF('Items sous domaines Sciences '!G301=5,'Items sous domaines Sciences '!E301,0)</f>
        <v>Décrire les principes de production d'énergie de sources renouvelables (photovoltaïque ou petit éolien).</v>
      </c>
      <c r="F299" s="431"/>
      <c r="G299" s="487"/>
    </row>
    <row r="300" spans="1:7" ht="19.95" customHeight="1" x14ac:dyDescent="0.3">
      <c r="A300" s="483"/>
      <c r="B300" s="61" t="str">
        <f>IF('Items sous domaines Sciences '!G302=5,'Items sous domaines Sciences '!B302,0)</f>
        <v>Chimie</v>
      </c>
      <c r="C300" s="212" t="str">
        <f>IF('Items sous domaines Sciences '!G302=5,'Items sous domaines Sciences '!C302,0)</f>
        <v>Chimie</v>
      </c>
      <c r="D300" s="215">
        <f>IF('Items sous domaines Sciences '!G302=5,'Items sous domaines Sciences '!D302,0)</f>
        <v>0</v>
      </c>
      <c r="E300" s="209" t="str">
        <f>IF('Items sous domaines Sciences '!G302=5,'Items sous domaines Sciences '!E302,0)</f>
        <v>Déterminer les besoins énergétiques (photovoltaïque ou petit éolien).</v>
      </c>
      <c r="F300" s="431"/>
      <c r="G300" s="487"/>
    </row>
    <row r="301" spans="1:7" ht="19.95" customHeight="1" x14ac:dyDescent="0.3">
      <c r="A301" s="483"/>
      <c r="B301" s="61" t="str">
        <f>IF('Items sous domaines Sciences '!G303=5,'Items sous domaines Sciences '!B303,0)</f>
        <v>Chimie</v>
      </c>
      <c r="C301" s="213" t="str">
        <f>IF('Items sous domaines Sciences '!G303=5,'Items sous domaines Sciences '!C303,0)</f>
        <v>Chimie</v>
      </c>
      <c r="D301" s="216">
        <f>IF('Items sous domaines Sciences '!G303=5,'Items sous domaines Sciences '!D303,0)</f>
        <v>0</v>
      </c>
      <c r="E301" s="216" t="str">
        <f>IF('Items sous domaines Sciences '!G303=5,'Items sous domaines Sciences '!E303,0)</f>
        <v>Sélectionner des systèmes énergétiques (photovoltaïque ou petit éolien).</v>
      </c>
      <c r="F301" s="431"/>
      <c r="G301" s="487"/>
    </row>
    <row r="302" spans="1:7" ht="19.95" customHeight="1" thickBot="1" x14ac:dyDescent="0.35">
      <c r="A302" s="484"/>
      <c r="B302" s="82" t="str">
        <f>IF('Items sous domaines Sciences '!G304=5,'Items sous domaines Sciences '!B304,0)</f>
        <v>Chimie</v>
      </c>
      <c r="C302" s="229" t="str">
        <f>IF('Items sous domaines Sciences '!G304=5,'Items sous domaines Sciences '!C304,0)</f>
        <v>Chimie</v>
      </c>
      <c r="D302" s="230">
        <f>IF('Items sous domaines Sciences '!G304=5,'Items sous domaines Sciences '!D304,0)</f>
        <v>0</v>
      </c>
      <c r="E302" s="231" t="str">
        <f>IF('Items sous domaines Sciences '!G304=5,'Items sous domaines Sciences '!E304,0)</f>
        <v>Produire un schéma d'ingénierie et analyser les performances de l'implatation des panneaux.</v>
      </c>
      <c r="F302" s="449"/>
      <c r="G302" s="488"/>
    </row>
    <row r="303" spans="1:7" customFormat="1" ht="17.399999999999999" hidden="1" customHeight="1" thickBot="1" x14ac:dyDescent="0.3">
      <c r="B303">
        <f>IF('Items sous domaines Sciences '!G305=5,'Items sous domaines Sciences '!B305,0)</f>
        <v>0</v>
      </c>
      <c r="C303">
        <f>IF('Items sous domaines Sciences '!G305=5,'Items sous domaines Sciences '!C305,0)</f>
        <v>0</v>
      </c>
      <c r="D303">
        <f>IF('Items sous domaines Sciences '!G305=5,'Items sous domaines Sciences '!D305,0)</f>
        <v>0</v>
      </c>
      <c r="E303">
        <f>IF('Items sous domaines Sciences '!G305=5,'Items sous domaines Sciences '!E305,0)</f>
        <v>0</v>
      </c>
      <c r="F303" s="489"/>
      <c r="G303" s="267" t="e">
        <f>IF(AND('Items sous domaines Sciences '!#REF!&lt;=5, 'Items sous domaines Sciences '!#REF!&gt;0),'Items sous domaines Sciences '!#REF!,0)</f>
        <v>#REF!</v>
      </c>
    </row>
    <row r="304" spans="1:7" customFormat="1" ht="17.399999999999999" hidden="1" customHeight="1" thickBot="1" x14ac:dyDescent="0.3">
      <c r="B304" s="8">
        <f>IF('Items sous domaines Sciences '!G306=5,'Items sous domaines Sciences '!B306,0)</f>
        <v>0</v>
      </c>
      <c r="C304" s="8">
        <f>IF('Items sous domaines Sciences '!G306=5,'Items sous domaines Sciences '!C306,0)</f>
        <v>0</v>
      </c>
      <c r="D304" s="8">
        <f>IF('Items sous domaines Sciences '!G306=5,'Items sous domaines Sciences '!D306,0)</f>
        <v>0</v>
      </c>
      <c r="E304" s="8">
        <f>IF('Items sous domaines Sciences '!G306=5,'Items sous domaines Sciences '!E306,0)</f>
        <v>0</v>
      </c>
      <c r="F304" s="489"/>
      <c r="G304" s="9" t="e">
        <f>IF(AND('Items sous domaines Sciences '!#REF!&lt;=5, 'Items sous domaines Sciences '!#REF!&gt;0),'Items sous domaines Sciences '!#REF!,0)</f>
        <v>#REF!</v>
      </c>
    </row>
    <row r="305" spans="1:7" customFormat="1" ht="17.399999999999999" hidden="1" customHeight="1" thickBot="1" x14ac:dyDescent="0.3">
      <c r="B305" s="8">
        <f>IF('Items sous domaines Sciences '!G307=5,'Items sous domaines Sciences '!B307,0)</f>
        <v>0</v>
      </c>
      <c r="C305" s="8">
        <f>IF('Items sous domaines Sciences '!G307=5,'Items sous domaines Sciences '!C307,0)</f>
        <v>0</v>
      </c>
      <c r="D305" s="8">
        <f>IF('Items sous domaines Sciences '!G307=5,'Items sous domaines Sciences '!D307,0)</f>
        <v>0</v>
      </c>
      <c r="E305" s="8">
        <f>IF('Items sous domaines Sciences '!G307=5,'Items sous domaines Sciences '!E307,0)</f>
        <v>0</v>
      </c>
      <c r="F305" s="489"/>
      <c r="G305" s="9" t="e">
        <f>IF(AND('Items sous domaines Sciences '!#REF!&lt;=5, 'Items sous domaines Sciences '!#REF!&gt;0),'Items sous domaines Sciences '!#REF!,0)</f>
        <v>#REF!</v>
      </c>
    </row>
    <row r="306" spans="1:7" customFormat="1" ht="17.399999999999999" hidden="1" customHeight="1" thickBot="1" x14ac:dyDescent="0.3">
      <c r="B306" s="8">
        <f>IF('Items sous domaines Sciences '!G308=5,'Items sous domaines Sciences '!B308,0)</f>
        <v>0</v>
      </c>
      <c r="C306" s="8">
        <f>IF('Items sous domaines Sciences '!G308=5,'Items sous domaines Sciences '!C308,0)</f>
        <v>0</v>
      </c>
      <c r="D306" s="8">
        <f>IF('Items sous domaines Sciences '!G308=5,'Items sous domaines Sciences '!D308,0)</f>
        <v>0</v>
      </c>
      <c r="E306" s="8">
        <f>IF('Items sous domaines Sciences '!G308=5,'Items sous domaines Sciences '!E308,0)</f>
        <v>0</v>
      </c>
      <c r="F306" s="489"/>
      <c r="G306" s="9" t="e">
        <f>IF(AND('Items sous domaines Sciences '!#REF!&lt;=5, 'Items sous domaines Sciences '!#REF!&gt;0),'Items sous domaines Sciences '!#REF!,0)</f>
        <v>#REF!</v>
      </c>
    </row>
    <row r="307" spans="1:7" customFormat="1" ht="17.399999999999999" hidden="1" customHeight="1" thickBot="1" x14ac:dyDescent="0.3">
      <c r="B307" s="8">
        <f>IF('Items sous domaines Sciences '!G309=5,'Items sous domaines Sciences '!B309,0)</f>
        <v>0</v>
      </c>
      <c r="C307" s="8">
        <f>IF('Items sous domaines Sciences '!G309=5,'Items sous domaines Sciences '!C309,0)</f>
        <v>0</v>
      </c>
      <c r="D307" s="8">
        <f>IF('Items sous domaines Sciences '!G309=5,'Items sous domaines Sciences '!D309,0)</f>
        <v>0</v>
      </c>
      <c r="E307" s="8">
        <f>IF('Items sous domaines Sciences '!G309=5,'Items sous domaines Sciences '!E309,0)</f>
        <v>0</v>
      </c>
      <c r="F307" s="489"/>
      <c r="G307" s="9" t="e">
        <f>IF(AND('Items sous domaines Sciences '!#REF!&lt;=5, 'Items sous domaines Sciences '!#REF!&gt;0),'Items sous domaines Sciences '!#REF!,0)</f>
        <v>#REF!</v>
      </c>
    </row>
    <row r="308" spans="1:7" customFormat="1" ht="13.5" hidden="1" customHeight="1" thickBot="1" x14ac:dyDescent="0.3">
      <c r="B308" s="8">
        <f>IF('Items sous domaines Sciences '!G310=5,'Items sous domaines Sciences '!B310,0)</f>
        <v>0</v>
      </c>
      <c r="C308" s="8">
        <f>IF('Items sous domaines Sciences '!G310=5,'Items sous domaines Sciences '!C310,0)</f>
        <v>0</v>
      </c>
      <c r="D308" s="8">
        <f>IF('Items sous domaines Sciences '!G310=5,'Items sous domaines Sciences '!D310,0)</f>
        <v>0</v>
      </c>
      <c r="E308" s="8">
        <f>IF('Items sous domaines Sciences '!G310=5,'Items sous domaines Sciences '!E310,0)</f>
        <v>0</v>
      </c>
      <c r="F308" s="489"/>
      <c r="G308" s="9" t="e">
        <f>IF(AND('Items sous domaines Sciences '!#REF!&lt;=5, 'Items sous domaines Sciences '!#REF!&gt;0),'Items sous domaines Sciences '!#REF!,0)</f>
        <v>#REF!</v>
      </c>
    </row>
    <row r="309" spans="1:7" customFormat="1" ht="13.5" hidden="1" customHeight="1" thickBot="1" x14ac:dyDescent="0.3">
      <c r="B309" s="8">
        <f>IF('Items sous domaines Sciences '!G311=5,'Items sous domaines Sciences '!B311,0)</f>
        <v>0</v>
      </c>
      <c r="C309" s="8">
        <f>IF('Items sous domaines Sciences '!G311=5,'Items sous domaines Sciences '!C311,0)</f>
        <v>0</v>
      </c>
      <c r="D309" s="8">
        <f>IF('Items sous domaines Sciences '!G311=5,'Items sous domaines Sciences '!D311,0)</f>
        <v>0</v>
      </c>
      <c r="E309" s="8">
        <f>IF('Items sous domaines Sciences '!G311=5,'Items sous domaines Sciences '!E311,0)</f>
        <v>0</v>
      </c>
      <c r="F309" s="489"/>
      <c r="G309" s="9" t="e">
        <f>IF(AND('Items sous domaines Sciences '!#REF!&lt;=5, 'Items sous domaines Sciences '!#REF!&gt;0),'Items sous domaines Sciences '!#REF!,0)</f>
        <v>#REF!</v>
      </c>
    </row>
    <row r="310" spans="1:7" customFormat="1" ht="13.5" hidden="1" customHeight="1" thickBot="1" x14ac:dyDescent="0.3">
      <c r="B310" s="8">
        <f>IF('Items sous domaines Sciences '!G312=5,'Items sous domaines Sciences '!B312,0)</f>
        <v>0</v>
      </c>
      <c r="C310" s="8">
        <f>IF('Items sous domaines Sciences '!G312=5,'Items sous domaines Sciences '!C312,0)</f>
        <v>0</v>
      </c>
      <c r="D310" s="8">
        <f>IF('Items sous domaines Sciences '!G312=5,'Items sous domaines Sciences '!D312,0)</f>
        <v>0</v>
      </c>
      <c r="E310" s="8">
        <f>IF('Items sous domaines Sciences '!G312=5,'Items sous domaines Sciences '!E312,0)</f>
        <v>0</v>
      </c>
      <c r="F310" s="489"/>
      <c r="G310" s="9" t="e">
        <f>IF(AND('Items sous domaines Sciences '!#REF!&lt;=5, 'Items sous domaines Sciences '!#REF!&gt;0),'Items sous domaines Sciences '!#REF!,0)</f>
        <v>#REF!</v>
      </c>
    </row>
    <row r="311" spans="1:7" customFormat="1" ht="13.2" hidden="1" customHeight="1" x14ac:dyDescent="0.25">
      <c r="A311" s="396" t="s">
        <v>478</v>
      </c>
      <c r="B311" s="8">
        <f>IF('Items sous domaines Sciences '!G313=5,'Items sous domaines Sciences '!B313,0)</f>
        <v>0</v>
      </c>
      <c r="C311" s="8">
        <f>IF('Items sous domaines Sciences '!G313=5,'Items sous domaines Sciences '!C313,0)</f>
        <v>0</v>
      </c>
      <c r="D311" s="8">
        <f>IF('Items sous domaines Sciences '!G313=5,'Items sous domaines Sciences '!D313,0)</f>
        <v>0</v>
      </c>
      <c r="E311" s="8">
        <f>IF('Items sous domaines Sciences '!G313=5,'Items sous domaines Sciences '!E313,0)</f>
        <v>0</v>
      </c>
      <c r="F311" s="489"/>
      <c r="G311" s="333" t="s">
        <v>422</v>
      </c>
    </row>
    <row r="312" spans="1:7" customFormat="1" ht="13.2" hidden="1" customHeight="1" x14ac:dyDescent="0.25">
      <c r="A312" s="397"/>
      <c r="B312" s="8">
        <f>IF('Items sous domaines Sciences '!G314=5,'Items sous domaines Sciences '!B314,0)</f>
        <v>0</v>
      </c>
      <c r="C312" s="8">
        <f>IF('Items sous domaines Sciences '!G314=5,'Items sous domaines Sciences '!C314,0)</f>
        <v>0</v>
      </c>
      <c r="D312" s="8">
        <f>IF('Items sous domaines Sciences '!G314=5,'Items sous domaines Sciences '!D314,0)</f>
        <v>0</v>
      </c>
      <c r="E312" s="8">
        <f>IF('Items sous domaines Sciences '!G314=5,'Items sous domaines Sciences '!E314,0)</f>
        <v>0</v>
      </c>
      <c r="F312" s="489"/>
      <c r="G312" s="333"/>
    </row>
    <row r="313" spans="1:7" customFormat="1" ht="13.2" hidden="1" customHeight="1" x14ac:dyDescent="0.25">
      <c r="A313" s="397"/>
      <c r="B313" s="8">
        <f>IF('Items sous domaines Sciences '!G315=5,'Items sous domaines Sciences '!B315,0)</f>
        <v>0</v>
      </c>
      <c r="C313" s="8">
        <f>IF('Items sous domaines Sciences '!G315=5,'Items sous domaines Sciences '!C315,0)</f>
        <v>0</v>
      </c>
      <c r="D313" s="8">
        <f>IF('Items sous domaines Sciences '!G315=5,'Items sous domaines Sciences '!D315,0)</f>
        <v>0</v>
      </c>
      <c r="E313" s="8">
        <f>IF('Items sous domaines Sciences '!G315=5,'Items sous domaines Sciences '!E315,0)</f>
        <v>0</v>
      </c>
      <c r="F313" s="489"/>
      <c r="G313" s="333"/>
    </row>
    <row r="314" spans="1:7" customFormat="1" ht="13.2" hidden="1" customHeight="1" x14ac:dyDescent="0.25">
      <c r="A314" s="397"/>
      <c r="B314" s="8">
        <f>IF('Items sous domaines Sciences '!G316=5,'Items sous domaines Sciences '!B316,0)</f>
        <v>0</v>
      </c>
      <c r="C314" s="8">
        <f>IF('Items sous domaines Sciences '!G316=5,'Items sous domaines Sciences '!C316,0)</f>
        <v>0</v>
      </c>
      <c r="D314" s="8">
        <f>IF('Items sous domaines Sciences '!G316=5,'Items sous domaines Sciences '!D316,0)</f>
        <v>0</v>
      </c>
      <c r="E314" s="8">
        <f>IF('Items sous domaines Sciences '!G316=5,'Items sous domaines Sciences '!E316,0)</f>
        <v>0</v>
      </c>
      <c r="F314" s="489"/>
      <c r="G314" s="333"/>
    </row>
    <row r="315" spans="1:7" customFormat="1" ht="13.2" hidden="1" customHeight="1" x14ac:dyDescent="0.25">
      <c r="A315" s="397"/>
      <c r="B315" s="8">
        <f>IF('Items sous domaines Sciences '!G317=5,'Items sous domaines Sciences '!B317,0)</f>
        <v>0</v>
      </c>
      <c r="C315" s="8">
        <f>IF('Items sous domaines Sciences '!G317=5,'Items sous domaines Sciences '!C317,0)</f>
        <v>0</v>
      </c>
      <c r="D315" s="8">
        <f>IF('Items sous domaines Sciences '!G317=5,'Items sous domaines Sciences '!D317,0)</f>
        <v>0</v>
      </c>
      <c r="E315" s="8">
        <f>IF('Items sous domaines Sciences '!G317=5,'Items sous domaines Sciences '!E317,0)</f>
        <v>0</v>
      </c>
      <c r="F315" s="489"/>
      <c r="G315" s="333"/>
    </row>
    <row r="316" spans="1:7" customFormat="1" ht="13.2" hidden="1" customHeight="1" x14ac:dyDescent="0.25">
      <c r="A316" s="397"/>
      <c r="B316" s="8">
        <f>IF('Items sous domaines Sciences '!G318=5,'Items sous domaines Sciences '!B318,0)</f>
        <v>0</v>
      </c>
      <c r="C316" s="8">
        <f>IF('Items sous domaines Sciences '!G318=5,'Items sous domaines Sciences '!C318,0)</f>
        <v>0</v>
      </c>
      <c r="D316" s="8">
        <f>IF('Items sous domaines Sciences '!G318=5,'Items sous domaines Sciences '!D318,0)</f>
        <v>0</v>
      </c>
      <c r="E316" s="8">
        <f>IF('Items sous domaines Sciences '!G318=5,'Items sous domaines Sciences '!E318,0)</f>
        <v>0</v>
      </c>
      <c r="F316" s="489"/>
      <c r="G316" s="333"/>
    </row>
    <row r="317" spans="1:7" customFormat="1" ht="13.2" hidden="1" customHeight="1" x14ac:dyDescent="0.25">
      <c r="A317" s="397"/>
      <c r="B317" s="8">
        <f>IF('Items sous domaines Sciences '!G319=5,'Items sous domaines Sciences '!B319,0)</f>
        <v>0</v>
      </c>
      <c r="C317" s="8">
        <f>IF('Items sous domaines Sciences '!G319=5,'Items sous domaines Sciences '!C319,0)</f>
        <v>0</v>
      </c>
      <c r="D317" s="8">
        <f>IF('Items sous domaines Sciences '!G319=5,'Items sous domaines Sciences '!D319,0)</f>
        <v>0</v>
      </c>
      <c r="E317" s="8">
        <f>IF('Items sous domaines Sciences '!G319=5,'Items sous domaines Sciences '!E319,0)</f>
        <v>0</v>
      </c>
      <c r="F317" s="489"/>
      <c r="G317" s="333"/>
    </row>
    <row r="318" spans="1:7" customFormat="1" ht="13.2" hidden="1" customHeight="1" x14ac:dyDescent="0.25">
      <c r="A318" s="397"/>
      <c r="B318" s="8">
        <f>IF('Items sous domaines Sciences '!G320=5,'Items sous domaines Sciences '!B320,0)</f>
        <v>0</v>
      </c>
      <c r="C318" s="8">
        <f>IF('Items sous domaines Sciences '!G320=5,'Items sous domaines Sciences '!C320,0)</f>
        <v>0</v>
      </c>
      <c r="D318" s="8">
        <f>IF('Items sous domaines Sciences '!G320=5,'Items sous domaines Sciences '!D320,0)</f>
        <v>0</v>
      </c>
      <c r="E318" s="8">
        <f>IF('Items sous domaines Sciences '!G320=5,'Items sous domaines Sciences '!E320,0)</f>
        <v>0</v>
      </c>
      <c r="F318" s="489"/>
      <c r="G318" s="333"/>
    </row>
    <row r="319" spans="1:7" customFormat="1" ht="13.2" hidden="1" customHeight="1" x14ac:dyDescent="0.25">
      <c r="A319" s="397"/>
      <c r="B319" s="8">
        <f>IF('Items sous domaines Sciences '!G321=5,'Items sous domaines Sciences '!B321,0)</f>
        <v>0</v>
      </c>
      <c r="C319" s="8">
        <f>IF('Items sous domaines Sciences '!G321=5,'Items sous domaines Sciences '!C321,0)</f>
        <v>0</v>
      </c>
      <c r="D319" s="8">
        <f>IF('Items sous domaines Sciences '!G321=5,'Items sous domaines Sciences '!D321,0)</f>
        <v>0</v>
      </c>
      <c r="E319" s="8">
        <f>IF('Items sous domaines Sciences '!G321=5,'Items sous domaines Sciences '!E321,0)</f>
        <v>0</v>
      </c>
      <c r="F319" s="489"/>
      <c r="G319" s="333"/>
    </row>
    <row r="320" spans="1:7" customFormat="1" ht="13.2" hidden="1" customHeight="1" x14ac:dyDescent="0.25">
      <c r="A320" s="397"/>
      <c r="B320" s="8">
        <f>IF('Items sous domaines Sciences '!G322=5,'Items sous domaines Sciences '!B322,0)</f>
        <v>0</v>
      </c>
      <c r="C320" s="8">
        <f>IF('Items sous domaines Sciences '!G322=5,'Items sous domaines Sciences '!C322,0)</f>
        <v>0</v>
      </c>
      <c r="D320" s="8">
        <f>IF('Items sous domaines Sciences '!G322=5,'Items sous domaines Sciences '!D322,0)</f>
        <v>0</v>
      </c>
      <c r="E320" s="8">
        <f>IF('Items sous domaines Sciences '!G322=5,'Items sous domaines Sciences '!E322,0)</f>
        <v>0</v>
      </c>
      <c r="F320" s="489"/>
      <c r="G320" s="333"/>
    </row>
    <row r="321" spans="1:7" customFormat="1" ht="13.95" hidden="1" customHeight="1" thickBot="1" x14ac:dyDescent="0.3">
      <c r="A321" s="398"/>
      <c r="B321" s="8">
        <f>IF('Items sous domaines Sciences '!G323=5,'Items sous domaines Sciences '!B323,0)</f>
        <v>0</v>
      </c>
      <c r="C321" s="8">
        <f>IF('Items sous domaines Sciences '!G323=5,'Items sous domaines Sciences '!C323,0)</f>
        <v>0</v>
      </c>
      <c r="D321" s="8">
        <f>IF('Items sous domaines Sciences '!G323=5,'Items sous domaines Sciences '!D323,0)</f>
        <v>0</v>
      </c>
      <c r="E321" s="8">
        <f>IF('Items sous domaines Sciences '!G323=5,'Items sous domaines Sciences '!E323,0)</f>
        <v>0</v>
      </c>
      <c r="F321" s="489"/>
      <c r="G321" s="333"/>
    </row>
    <row r="322" spans="1:7" customFormat="1" ht="13.5" hidden="1" customHeight="1" thickBot="1" x14ac:dyDescent="0.3">
      <c r="B322" s="8">
        <f>IF('Items sous domaines Sciences '!G324=5,'Items sous domaines Sciences '!B324,0)</f>
        <v>0</v>
      </c>
      <c r="C322" s="8">
        <f>IF('Items sous domaines Sciences '!G324=5,'Items sous domaines Sciences '!C324,0)</f>
        <v>0</v>
      </c>
      <c r="D322" s="8">
        <f>IF('Items sous domaines Sciences '!G324=5,'Items sous domaines Sciences '!D324,0)</f>
        <v>0</v>
      </c>
      <c r="E322" s="8">
        <f>IF('Items sous domaines Sciences '!G324=5,'Items sous domaines Sciences '!E324,0)</f>
        <v>0</v>
      </c>
      <c r="F322" s="489"/>
      <c r="G322" s="9" t="e">
        <f>IF(AND('Items sous domaines Sciences '!#REF!&lt;=5, 'Items sous domaines Sciences '!#REF!&gt;0),'Items sous domaines Sciences '!#REF!,0)</f>
        <v>#REF!</v>
      </c>
    </row>
    <row r="323" spans="1:7" customFormat="1" ht="13.5" hidden="1" customHeight="1" thickBot="1" x14ac:dyDescent="0.3">
      <c r="B323" s="8">
        <f>IF('Items sous domaines Sciences '!G325=5,'Items sous domaines Sciences '!B325,0)</f>
        <v>0</v>
      </c>
      <c r="C323" s="8">
        <f>IF('Items sous domaines Sciences '!G325=5,'Items sous domaines Sciences '!C325,0)</f>
        <v>0</v>
      </c>
      <c r="D323" s="8">
        <f>IF('Items sous domaines Sciences '!G325=5,'Items sous domaines Sciences '!D325,0)</f>
        <v>0</v>
      </c>
      <c r="E323" s="8">
        <f>IF('Items sous domaines Sciences '!G325=5,'Items sous domaines Sciences '!E325,0)</f>
        <v>0</v>
      </c>
      <c r="F323" s="489"/>
      <c r="G323" s="9" t="e">
        <f>IF(AND('Items sous domaines Sciences '!#REF!&lt;=5, 'Items sous domaines Sciences '!#REF!&gt;0),'Items sous domaines Sciences '!#REF!,0)</f>
        <v>#REF!</v>
      </c>
    </row>
    <row r="324" spans="1:7" customFormat="1" ht="13.5" hidden="1" customHeight="1" thickBot="1" x14ac:dyDescent="0.3">
      <c r="B324" s="8">
        <f>IF('Items sous domaines Sciences '!G326=5,'Items sous domaines Sciences '!B326,0)</f>
        <v>0</v>
      </c>
      <c r="C324" s="8">
        <f>IF('Items sous domaines Sciences '!G326=5,'Items sous domaines Sciences '!C326,0)</f>
        <v>0</v>
      </c>
      <c r="D324" s="8">
        <f>IF('Items sous domaines Sciences '!G326=5,'Items sous domaines Sciences '!D326,0)</f>
        <v>0</v>
      </c>
      <c r="E324" s="8">
        <f>IF('Items sous domaines Sciences '!G326=5,'Items sous domaines Sciences '!E326,0)</f>
        <v>0</v>
      </c>
      <c r="F324" s="489"/>
      <c r="G324" s="9" t="e">
        <f>IF(AND('Items sous domaines Sciences '!#REF!&lt;=5, 'Items sous domaines Sciences '!#REF!&gt;0),'Items sous domaines Sciences '!#REF!,0)</f>
        <v>#REF!</v>
      </c>
    </row>
    <row r="325" spans="1:7" customFormat="1" ht="13.5" hidden="1" customHeight="1" thickBot="1" x14ac:dyDescent="0.3">
      <c r="B325" s="8">
        <f>IF('Items sous domaines Sciences '!G327=5,'Items sous domaines Sciences '!B327,0)</f>
        <v>0</v>
      </c>
      <c r="C325" s="8">
        <f>IF('Items sous domaines Sciences '!G327=5,'Items sous domaines Sciences '!C327,0)</f>
        <v>0</v>
      </c>
      <c r="D325" s="8">
        <f>IF('Items sous domaines Sciences '!G327=5,'Items sous domaines Sciences '!D327,0)</f>
        <v>0</v>
      </c>
      <c r="E325" s="8">
        <f>IF('Items sous domaines Sciences '!G327=5,'Items sous domaines Sciences '!E327,0)</f>
        <v>0</v>
      </c>
      <c r="F325" s="489"/>
      <c r="G325" s="9" t="e">
        <f>IF(AND('Items sous domaines Sciences '!#REF!&lt;=5, 'Items sous domaines Sciences '!#REF!&gt;0),'Items sous domaines Sciences '!#REF!,0)</f>
        <v>#REF!</v>
      </c>
    </row>
    <row r="326" spans="1:7" customFormat="1" ht="13.5" hidden="1" customHeight="1" thickBot="1" x14ac:dyDescent="0.3">
      <c r="B326" s="8">
        <f>IF('Items sous domaines Sciences '!G328=5,'Items sous domaines Sciences '!B328,0)</f>
        <v>0</v>
      </c>
      <c r="C326" s="8">
        <f>IF('Items sous domaines Sciences '!G328=5,'Items sous domaines Sciences '!C328,0)</f>
        <v>0</v>
      </c>
      <c r="D326" s="8">
        <f>IF('Items sous domaines Sciences '!G328=5,'Items sous domaines Sciences '!D328,0)</f>
        <v>0</v>
      </c>
      <c r="E326" s="8">
        <f>IF('Items sous domaines Sciences '!G328=5,'Items sous domaines Sciences '!E328,0)</f>
        <v>0</v>
      </c>
      <c r="F326" s="489"/>
      <c r="G326" s="9" t="e">
        <f>IF(AND('Items sous domaines Sciences '!#REF!&lt;=5, 'Items sous domaines Sciences '!#REF!&gt;0),'Items sous domaines Sciences '!#REF!,0)</f>
        <v>#REF!</v>
      </c>
    </row>
    <row r="327" spans="1:7" customFormat="1" ht="13.5" hidden="1" customHeight="1" thickBot="1" x14ac:dyDescent="0.3">
      <c r="B327" s="8">
        <f>IF('Items sous domaines Sciences '!G329=5,'Items sous domaines Sciences '!B329,0)</f>
        <v>0</v>
      </c>
      <c r="C327" s="8">
        <f>IF('Items sous domaines Sciences '!G329=5,'Items sous domaines Sciences '!C329,0)</f>
        <v>0</v>
      </c>
      <c r="D327" s="8">
        <f>IF('Items sous domaines Sciences '!G329=5,'Items sous domaines Sciences '!D329,0)</f>
        <v>0</v>
      </c>
      <c r="E327" s="8">
        <f>IF('Items sous domaines Sciences '!G329=5,'Items sous domaines Sciences '!E329,0)</f>
        <v>0</v>
      </c>
      <c r="F327" s="489"/>
      <c r="G327" s="9" t="e">
        <f>IF(AND('Items sous domaines Sciences '!#REF!&lt;=5, 'Items sous domaines Sciences '!#REF!&gt;0),'Items sous domaines Sciences '!#REF!,0)</f>
        <v>#REF!</v>
      </c>
    </row>
    <row r="328" spans="1:7" customFormat="1" ht="13.5" hidden="1" customHeight="1" thickBot="1" x14ac:dyDescent="0.3">
      <c r="B328" s="8">
        <f>IF('Items sous domaines Sciences '!G330=5,'Items sous domaines Sciences '!B330,0)</f>
        <v>0</v>
      </c>
      <c r="C328" s="8">
        <f>IF('Items sous domaines Sciences '!G330=5,'Items sous domaines Sciences '!C330,0)</f>
        <v>0</v>
      </c>
      <c r="D328" s="8">
        <f>IF('Items sous domaines Sciences '!G330=5,'Items sous domaines Sciences '!D330,0)</f>
        <v>0</v>
      </c>
      <c r="E328" s="8">
        <f>IF('Items sous domaines Sciences '!G330=5,'Items sous domaines Sciences '!E330,0)</f>
        <v>0</v>
      </c>
      <c r="F328" s="489"/>
      <c r="G328" s="9" t="e">
        <f>IF(AND('Items sous domaines Sciences '!#REF!&lt;=5, 'Items sous domaines Sciences '!#REF!&gt;0),'Items sous domaines Sciences '!#REF!,0)</f>
        <v>#REF!</v>
      </c>
    </row>
    <row r="329" spans="1:7" customFormat="1" ht="13.5" hidden="1" customHeight="1" thickBot="1" x14ac:dyDescent="0.3">
      <c r="B329" s="8">
        <f>IF('Items sous domaines Sciences '!G331=5,'Items sous domaines Sciences '!B331,0)</f>
        <v>0</v>
      </c>
      <c r="C329" s="8">
        <f>IF('Items sous domaines Sciences '!G331=5,'Items sous domaines Sciences '!C331,0)</f>
        <v>0</v>
      </c>
      <c r="D329" s="8">
        <f>IF('Items sous domaines Sciences '!G331=5,'Items sous domaines Sciences '!D331,0)</f>
        <v>0</v>
      </c>
      <c r="E329" s="8">
        <f>IF('Items sous domaines Sciences '!G331=5,'Items sous domaines Sciences '!E331,0)</f>
        <v>0</v>
      </c>
      <c r="F329" s="489"/>
      <c r="G329" s="9" t="e">
        <f>IF(AND('Items sous domaines Sciences '!#REF!&lt;=5, 'Items sous domaines Sciences '!#REF!&gt;0),'Items sous domaines Sciences '!#REF!,0)</f>
        <v>#REF!</v>
      </c>
    </row>
    <row r="330" spans="1:7" customFormat="1" ht="13.5" hidden="1" customHeight="1" thickBot="1" x14ac:dyDescent="0.3">
      <c r="B330" s="8">
        <f>IF('Items sous domaines Sciences '!G332=5,'Items sous domaines Sciences '!B332,0)</f>
        <v>0</v>
      </c>
      <c r="C330" s="8">
        <f>IF('Items sous domaines Sciences '!G332=5,'Items sous domaines Sciences '!C332,0)</f>
        <v>0</v>
      </c>
      <c r="D330" s="8">
        <f>IF('Items sous domaines Sciences '!G332=5,'Items sous domaines Sciences '!D332,0)</f>
        <v>0</v>
      </c>
      <c r="E330" s="8">
        <f>IF('Items sous domaines Sciences '!G332=5,'Items sous domaines Sciences '!E332,0)</f>
        <v>0</v>
      </c>
      <c r="F330" s="489"/>
      <c r="G330" s="9" t="e">
        <f>IF(AND('Items sous domaines Sciences '!#REF!&lt;=5, 'Items sous domaines Sciences '!#REF!&gt;0),'Items sous domaines Sciences '!#REF!,0)</f>
        <v>#REF!</v>
      </c>
    </row>
    <row r="331" spans="1:7" customFormat="1" ht="13.5" hidden="1" customHeight="1" thickBot="1" x14ac:dyDescent="0.3">
      <c r="B331" s="8">
        <f>IF('Items sous domaines Sciences '!G333=5,'Items sous domaines Sciences '!B333,0)</f>
        <v>0</v>
      </c>
      <c r="C331" s="8">
        <f>IF('Items sous domaines Sciences '!G333=5,'Items sous domaines Sciences '!C333,0)</f>
        <v>0</v>
      </c>
      <c r="D331" s="8">
        <f>IF('Items sous domaines Sciences '!G333=5,'Items sous domaines Sciences '!D333,0)</f>
        <v>0</v>
      </c>
      <c r="E331" s="8">
        <f>IF('Items sous domaines Sciences '!G333=5,'Items sous domaines Sciences '!E333,0)</f>
        <v>0</v>
      </c>
      <c r="F331" s="489"/>
      <c r="G331" s="9" t="e">
        <f>IF(AND('Items sous domaines Sciences '!#REF!&lt;=5, 'Items sous domaines Sciences '!#REF!&gt;0),'Items sous domaines Sciences '!#REF!,0)</f>
        <v>#REF!</v>
      </c>
    </row>
    <row r="332" spans="1:7" customFormat="1" ht="13.5" hidden="1" customHeight="1" thickBot="1" x14ac:dyDescent="0.3">
      <c r="B332" s="8">
        <f>IF('Items sous domaines Sciences '!G334=5,'Items sous domaines Sciences '!B334,0)</f>
        <v>0</v>
      </c>
      <c r="C332" s="8">
        <f>IF('Items sous domaines Sciences '!G334=5,'Items sous domaines Sciences '!C334,0)</f>
        <v>0</v>
      </c>
      <c r="D332" s="8">
        <f>IF('Items sous domaines Sciences '!G334=5,'Items sous domaines Sciences '!D334,0)</f>
        <v>0</v>
      </c>
      <c r="E332" s="8">
        <f>IF('Items sous domaines Sciences '!G334=5,'Items sous domaines Sciences '!E334,0)</f>
        <v>0</v>
      </c>
      <c r="F332" s="489"/>
      <c r="G332" s="9" t="e">
        <f>IF(AND('Items sous domaines Sciences '!#REF!&lt;=5, 'Items sous domaines Sciences '!#REF!&gt;0),'Items sous domaines Sciences '!#REF!,0)</f>
        <v>#REF!</v>
      </c>
    </row>
    <row r="333" spans="1:7" customFormat="1" ht="13.5" hidden="1" customHeight="1" thickBot="1" x14ac:dyDescent="0.3">
      <c r="B333" s="8">
        <f>IF('Items sous domaines Sciences '!G335=5,'Items sous domaines Sciences '!B335,0)</f>
        <v>0</v>
      </c>
      <c r="C333" s="8">
        <f>IF('Items sous domaines Sciences '!G335=5,'Items sous domaines Sciences '!C335,0)</f>
        <v>0</v>
      </c>
      <c r="D333" s="8">
        <f>IF('Items sous domaines Sciences '!G335=5,'Items sous domaines Sciences '!D335,0)</f>
        <v>0</v>
      </c>
      <c r="E333" s="8">
        <f>IF('Items sous domaines Sciences '!G335=5,'Items sous domaines Sciences '!E335,0)</f>
        <v>0</v>
      </c>
      <c r="F333" s="489"/>
      <c r="G333" s="9" t="e">
        <f>IF(AND('Items sous domaines Sciences '!#REF!&lt;=5, 'Items sous domaines Sciences '!#REF!&gt;0),'Items sous domaines Sciences '!#REF!,0)</f>
        <v>#REF!</v>
      </c>
    </row>
    <row r="334" spans="1:7" customFormat="1" ht="13.5" hidden="1" customHeight="1" thickBot="1" x14ac:dyDescent="0.3">
      <c r="B334" s="8">
        <f>IF('Items sous domaines Sciences '!G336=5,'Items sous domaines Sciences '!B336,0)</f>
        <v>0</v>
      </c>
      <c r="C334" s="8">
        <f>IF('Items sous domaines Sciences '!G336=5,'Items sous domaines Sciences '!C336,0)</f>
        <v>0</v>
      </c>
      <c r="D334" s="8">
        <f>IF('Items sous domaines Sciences '!G336=5,'Items sous domaines Sciences '!D336,0)</f>
        <v>0</v>
      </c>
      <c r="E334" s="8">
        <f>IF('Items sous domaines Sciences '!G336=5,'Items sous domaines Sciences '!E336,0)</f>
        <v>0</v>
      </c>
      <c r="F334" s="489"/>
      <c r="G334" s="9" t="e">
        <f>IF(AND('Items sous domaines Sciences '!#REF!&lt;=5, 'Items sous domaines Sciences '!#REF!&gt;0),'Items sous domaines Sciences '!#REF!,0)</f>
        <v>#REF!</v>
      </c>
    </row>
    <row r="335" spans="1:7" customFormat="1" ht="13.5" hidden="1" customHeight="1" thickBot="1" x14ac:dyDescent="0.3">
      <c r="B335" s="8">
        <f>IF('Items sous domaines Sciences '!G337=5,'Items sous domaines Sciences '!B337,0)</f>
        <v>0</v>
      </c>
      <c r="C335" s="8">
        <f>IF('Items sous domaines Sciences '!G337=5,'Items sous domaines Sciences '!C337,0)</f>
        <v>0</v>
      </c>
      <c r="D335" s="8">
        <f>IF('Items sous domaines Sciences '!G337=5,'Items sous domaines Sciences '!D337,0)</f>
        <v>0</v>
      </c>
      <c r="E335" s="8">
        <f>IF('Items sous domaines Sciences '!G337=5,'Items sous domaines Sciences '!E337,0)</f>
        <v>0</v>
      </c>
      <c r="F335" s="489"/>
      <c r="G335" s="9" t="e">
        <f>IF(AND('Items sous domaines Sciences '!#REF!&lt;=5, 'Items sous domaines Sciences '!#REF!&gt;0),'Items sous domaines Sciences '!#REF!,0)</f>
        <v>#REF!</v>
      </c>
    </row>
    <row r="336" spans="1:7" customFormat="1" ht="13.5" hidden="1" customHeight="1" thickBot="1" x14ac:dyDescent="0.3">
      <c r="B336" s="8">
        <f>IF('Items sous domaines Sciences '!G338=5,'Items sous domaines Sciences '!B338,0)</f>
        <v>0</v>
      </c>
      <c r="C336" s="8">
        <f>IF('Items sous domaines Sciences '!G338=5,'Items sous domaines Sciences '!C338,0)</f>
        <v>0</v>
      </c>
      <c r="D336" s="8">
        <f>IF('Items sous domaines Sciences '!G338=5,'Items sous domaines Sciences '!D338,0)</f>
        <v>0</v>
      </c>
      <c r="E336" s="8">
        <f>IF('Items sous domaines Sciences '!G338=5,'Items sous domaines Sciences '!E338,0)</f>
        <v>0</v>
      </c>
      <c r="F336" s="489"/>
      <c r="G336" s="9" t="e">
        <f>IF(AND('Items sous domaines Sciences '!#REF!&lt;=5, 'Items sous domaines Sciences '!#REF!&gt;0),'Items sous domaines Sciences '!#REF!,0)</f>
        <v>#REF!</v>
      </c>
    </row>
    <row r="337" spans="1:7" customFormat="1" ht="17.399999999999999" hidden="1" customHeight="1" thickBot="1" x14ac:dyDescent="0.3">
      <c r="B337" s="8">
        <f>IF('Items sous domaines Sciences '!G339=5,'Items sous domaines Sciences '!B339,0)</f>
        <v>0</v>
      </c>
      <c r="C337" s="8">
        <f>IF('Items sous domaines Sciences '!G339=5,'Items sous domaines Sciences '!C339,0)</f>
        <v>0</v>
      </c>
      <c r="D337" s="8">
        <f>IF('Items sous domaines Sciences '!G339=5,'Items sous domaines Sciences '!D339,0)</f>
        <v>0</v>
      </c>
      <c r="E337" s="8">
        <f>IF('Items sous domaines Sciences '!G339=5,'Items sous domaines Sciences '!E339,0)</f>
        <v>0</v>
      </c>
      <c r="F337" s="489"/>
      <c r="G337" s="9" t="e">
        <f>IF(AND('Items sous domaines Sciences '!#REF!&lt;=5, 'Items sous domaines Sciences '!#REF!&gt;0),'Items sous domaines Sciences '!#REF!,0)</f>
        <v>#REF!</v>
      </c>
    </row>
    <row r="338" spans="1:7" customFormat="1" ht="17.399999999999999" hidden="1" customHeight="1" thickBot="1" x14ac:dyDescent="0.3">
      <c r="B338" s="8">
        <f>IF('Items sous domaines Sciences '!G340=5,'Items sous domaines Sciences '!B340,0)</f>
        <v>0</v>
      </c>
      <c r="C338" s="8">
        <f>IF('Items sous domaines Sciences '!G340=5,'Items sous domaines Sciences '!C340,0)</f>
        <v>0</v>
      </c>
      <c r="D338" s="8">
        <f>IF('Items sous domaines Sciences '!G340=5,'Items sous domaines Sciences '!D340,0)</f>
        <v>0</v>
      </c>
      <c r="E338" s="8">
        <f>IF('Items sous domaines Sciences '!G340=5,'Items sous domaines Sciences '!E340,0)</f>
        <v>0</v>
      </c>
      <c r="F338" s="489"/>
      <c r="G338" s="9" t="e">
        <f>IF(AND('Items sous domaines Sciences '!#REF!&lt;=5, 'Items sous domaines Sciences '!#REF!&gt;0),'Items sous domaines Sciences '!#REF!,0)</f>
        <v>#REF!</v>
      </c>
    </row>
    <row r="339" spans="1:7" customFormat="1" ht="17.399999999999999" hidden="1" customHeight="1" thickBot="1" x14ac:dyDescent="0.3">
      <c r="B339" s="8">
        <f>IF('Items sous domaines Sciences '!G341=5,'Items sous domaines Sciences '!B341,0)</f>
        <v>0</v>
      </c>
      <c r="C339" s="8">
        <f>IF('Items sous domaines Sciences '!G341=5,'Items sous domaines Sciences '!C341,0)</f>
        <v>0</v>
      </c>
      <c r="D339" s="8">
        <f>IF('Items sous domaines Sciences '!G341=5,'Items sous domaines Sciences '!D341,0)</f>
        <v>0</v>
      </c>
      <c r="E339" s="8">
        <f>IF('Items sous domaines Sciences '!G341=5,'Items sous domaines Sciences '!E341,0)</f>
        <v>0</v>
      </c>
      <c r="F339" s="489"/>
      <c r="G339" s="9" t="e">
        <f>IF(AND('Items sous domaines Sciences '!#REF!&lt;=5, 'Items sous domaines Sciences '!#REF!&gt;0),'Items sous domaines Sciences '!#REF!,0)</f>
        <v>#REF!</v>
      </c>
    </row>
    <row r="340" spans="1:7" customFormat="1" ht="17.399999999999999" hidden="1" customHeight="1" thickBot="1" x14ac:dyDescent="0.3">
      <c r="B340" s="8">
        <f>IF('Items sous domaines Sciences '!G342=5,'Items sous domaines Sciences '!B342,0)</f>
        <v>0</v>
      </c>
      <c r="C340" s="8">
        <f>IF('Items sous domaines Sciences '!G342=5,'Items sous domaines Sciences '!C342,0)</f>
        <v>0</v>
      </c>
      <c r="D340" s="8">
        <f>IF('Items sous domaines Sciences '!G342=5,'Items sous domaines Sciences '!D342,0)</f>
        <v>0</v>
      </c>
      <c r="E340" s="8">
        <f>IF('Items sous domaines Sciences '!G342=5,'Items sous domaines Sciences '!E342,0)</f>
        <v>0</v>
      </c>
      <c r="F340" s="489"/>
      <c r="G340" s="9" t="e">
        <f>IF(AND('Items sous domaines Sciences '!#REF!&lt;=5, 'Items sous domaines Sciences '!#REF!&gt;0),'Items sous domaines Sciences '!#REF!,0)</f>
        <v>#REF!</v>
      </c>
    </row>
    <row r="341" spans="1:7" customFormat="1" ht="17.399999999999999" hidden="1" customHeight="1" thickBot="1" x14ac:dyDescent="0.3">
      <c r="B341" s="8">
        <f>IF('Items sous domaines Sciences '!G343=5,'Items sous domaines Sciences '!B343,0)</f>
        <v>0</v>
      </c>
      <c r="C341" s="8">
        <f>IF('Items sous domaines Sciences '!G343=5,'Items sous domaines Sciences '!C343,0)</f>
        <v>0</v>
      </c>
      <c r="D341" s="8">
        <f>IF('Items sous domaines Sciences '!G343=5,'Items sous domaines Sciences '!D343,0)</f>
        <v>0</v>
      </c>
      <c r="E341" s="8">
        <f>IF('Items sous domaines Sciences '!G343=5,'Items sous domaines Sciences '!E343,0)</f>
        <v>0</v>
      </c>
      <c r="F341" s="489"/>
      <c r="G341" s="9" t="e">
        <f>IF(AND('Items sous domaines Sciences '!#REF!&lt;=5, 'Items sous domaines Sciences '!#REF!&gt;0),'Items sous domaines Sciences '!#REF!,0)</f>
        <v>#REF!</v>
      </c>
    </row>
    <row r="342" spans="1:7" customFormat="1" ht="17.399999999999999" hidden="1" customHeight="1" thickBot="1" x14ac:dyDescent="0.3">
      <c r="B342" s="8">
        <f>IF('Items sous domaines Sciences '!G344=5,'Items sous domaines Sciences '!B344,0)</f>
        <v>0</v>
      </c>
      <c r="C342" s="8">
        <f>IF('Items sous domaines Sciences '!G344=5,'Items sous domaines Sciences '!C344,0)</f>
        <v>0</v>
      </c>
      <c r="D342" s="8">
        <f>IF('Items sous domaines Sciences '!G344=5,'Items sous domaines Sciences '!D344,0)</f>
        <v>0</v>
      </c>
      <c r="E342" s="8">
        <f>IF('Items sous domaines Sciences '!G344=5,'Items sous domaines Sciences '!E344,0)</f>
        <v>0</v>
      </c>
      <c r="F342" s="489"/>
      <c r="G342" s="9" t="e">
        <f>IF(AND('Items sous domaines Sciences '!#REF!&lt;=5, 'Items sous domaines Sciences '!#REF!&gt;0),'Items sous domaines Sciences '!#REF!,0)</f>
        <v>#REF!</v>
      </c>
    </row>
    <row r="343" spans="1:7" customFormat="1" ht="17.399999999999999" hidden="1" customHeight="1" thickBot="1" x14ac:dyDescent="0.3">
      <c r="A343" s="491" t="s">
        <v>479</v>
      </c>
      <c r="B343" s="8">
        <f>IF('Items sous domaines Sciences '!G345=5,'Items sous domaines Sciences '!B345,0)</f>
        <v>0</v>
      </c>
      <c r="C343" s="8">
        <f>IF('Items sous domaines Sciences '!G345=5,'Items sous domaines Sciences '!C345,0)</f>
        <v>0</v>
      </c>
      <c r="D343" s="8">
        <f>IF('Items sous domaines Sciences '!G345=5,'Items sous domaines Sciences '!D345,0)</f>
        <v>0</v>
      </c>
      <c r="E343" s="8">
        <f>IF('Items sous domaines Sciences '!G345=5,'Items sous domaines Sciences '!E345,0)</f>
        <v>0</v>
      </c>
      <c r="F343" s="489"/>
      <c r="G343" s="477" t="s">
        <v>452</v>
      </c>
    </row>
    <row r="344" spans="1:7" customFormat="1" ht="17.399999999999999" hidden="1" customHeight="1" thickBot="1" x14ac:dyDescent="0.3">
      <c r="A344" s="492"/>
      <c r="B344" s="8">
        <f>IF('Items sous domaines Sciences '!G346=5,'Items sous domaines Sciences '!B346,0)</f>
        <v>0</v>
      </c>
      <c r="C344" s="8">
        <f>IF('Items sous domaines Sciences '!G346=5,'Items sous domaines Sciences '!C346,0)</f>
        <v>0</v>
      </c>
      <c r="D344" s="8">
        <f>IF('Items sous domaines Sciences '!G346=5,'Items sous domaines Sciences '!D346,0)</f>
        <v>0</v>
      </c>
      <c r="E344" s="8">
        <f>IF('Items sous domaines Sciences '!G346=5,'Items sous domaines Sciences '!E346,0)</f>
        <v>0</v>
      </c>
      <c r="F344" s="489"/>
      <c r="G344" s="478"/>
    </row>
    <row r="345" spans="1:7" customFormat="1" ht="17.399999999999999" hidden="1" customHeight="1" thickBot="1" x14ac:dyDescent="0.3">
      <c r="A345" s="492"/>
      <c r="B345" s="8">
        <f>IF('Items sous domaines Sciences '!G347=5,'Items sous domaines Sciences '!B347,0)</f>
        <v>0</v>
      </c>
      <c r="C345" s="8">
        <f>IF('Items sous domaines Sciences '!G347=5,'Items sous domaines Sciences '!C347,0)</f>
        <v>0</v>
      </c>
      <c r="D345" s="8">
        <f>IF('Items sous domaines Sciences '!G347=5,'Items sous domaines Sciences '!D347,0)</f>
        <v>0</v>
      </c>
      <c r="E345" s="8">
        <f>IF('Items sous domaines Sciences '!G347=5,'Items sous domaines Sciences '!E347,0)</f>
        <v>0</v>
      </c>
      <c r="F345" s="489"/>
      <c r="G345" s="478"/>
    </row>
    <row r="346" spans="1:7" customFormat="1" ht="17.399999999999999" hidden="1" customHeight="1" thickBot="1" x14ac:dyDescent="0.3">
      <c r="A346" s="492"/>
      <c r="B346" s="8">
        <f>IF('Items sous domaines Sciences '!G348=5,'Items sous domaines Sciences '!B348,0)</f>
        <v>0</v>
      </c>
      <c r="C346" s="8">
        <f>IF('Items sous domaines Sciences '!G348=5,'Items sous domaines Sciences '!C348,0)</f>
        <v>0</v>
      </c>
      <c r="D346" s="8">
        <f>IF('Items sous domaines Sciences '!G348=5,'Items sous domaines Sciences '!D348,0)</f>
        <v>0</v>
      </c>
      <c r="E346" s="8">
        <f>IF('Items sous domaines Sciences '!G348=5,'Items sous domaines Sciences '!E348,0)</f>
        <v>0</v>
      </c>
      <c r="F346" s="489"/>
      <c r="G346" s="478"/>
    </row>
    <row r="347" spans="1:7" customFormat="1" ht="17.399999999999999" hidden="1" customHeight="1" thickBot="1" x14ac:dyDescent="0.3">
      <c r="A347" s="492"/>
      <c r="B347" s="8">
        <f>IF('Items sous domaines Sciences '!G349=5,'Items sous domaines Sciences '!B349,0)</f>
        <v>0</v>
      </c>
      <c r="C347" s="8">
        <f>IF('Items sous domaines Sciences '!G349=5,'Items sous domaines Sciences '!C349,0)</f>
        <v>0</v>
      </c>
      <c r="D347" s="8">
        <f>IF('Items sous domaines Sciences '!G349=5,'Items sous domaines Sciences '!D349,0)</f>
        <v>0</v>
      </c>
      <c r="E347" s="8">
        <f>IF('Items sous domaines Sciences '!G349=5,'Items sous domaines Sciences '!E349,0)</f>
        <v>0</v>
      </c>
      <c r="F347" s="489"/>
      <c r="G347" s="478"/>
    </row>
    <row r="348" spans="1:7" customFormat="1" ht="13.2" hidden="1" customHeight="1" x14ac:dyDescent="0.25">
      <c r="A348" s="492"/>
      <c r="B348" s="8">
        <f>IF('Items sous domaines Sciences '!G350=5,'Items sous domaines Sciences '!B350,0)</f>
        <v>0</v>
      </c>
      <c r="C348" s="8">
        <f>IF('Items sous domaines Sciences '!G350=5,'Items sous domaines Sciences '!C350,0)</f>
        <v>0</v>
      </c>
      <c r="D348" s="8">
        <f>IF('Items sous domaines Sciences '!G350=5,'Items sous domaines Sciences '!D350,0)</f>
        <v>0</v>
      </c>
      <c r="E348" s="8">
        <f>IF('Items sous domaines Sciences '!G350=5,'Items sous domaines Sciences '!E350,0)</f>
        <v>0</v>
      </c>
      <c r="F348" s="489"/>
      <c r="G348" s="478"/>
    </row>
    <row r="349" spans="1:7" customFormat="1" ht="13.2" hidden="1" customHeight="1" x14ac:dyDescent="0.25">
      <c r="A349" s="492"/>
      <c r="B349" s="8">
        <f>IF('Items sous domaines Sciences '!G351=5,'Items sous domaines Sciences '!B351,0)</f>
        <v>0</v>
      </c>
      <c r="C349" s="8">
        <f>IF('Items sous domaines Sciences '!G351=5,'Items sous domaines Sciences '!C351,0)</f>
        <v>0</v>
      </c>
      <c r="D349" s="8">
        <f>IF('Items sous domaines Sciences '!G351=5,'Items sous domaines Sciences '!D351,0)</f>
        <v>0</v>
      </c>
      <c r="E349" s="8">
        <f>IF('Items sous domaines Sciences '!G351=5,'Items sous domaines Sciences '!E351,0)</f>
        <v>0</v>
      </c>
      <c r="F349" s="489"/>
      <c r="G349" s="478"/>
    </row>
    <row r="350" spans="1:7" customFormat="1" ht="13.2" hidden="1" customHeight="1" x14ac:dyDescent="0.25">
      <c r="A350" s="492"/>
      <c r="B350" s="8">
        <f>IF('Items sous domaines Sciences '!G352=5,'Items sous domaines Sciences '!B352,0)</f>
        <v>0</v>
      </c>
      <c r="C350" s="8">
        <f>IF('Items sous domaines Sciences '!G352=5,'Items sous domaines Sciences '!C352,0)</f>
        <v>0</v>
      </c>
      <c r="D350" s="8">
        <f>IF('Items sous domaines Sciences '!G352=5,'Items sous domaines Sciences '!D352,0)</f>
        <v>0</v>
      </c>
      <c r="E350" s="8">
        <f>IF('Items sous domaines Sciences '!G352=5,'Items sous domaines Sciences '!E352,0)</f>
        <v>0</v>
      </c>
      <c r="F350" s="489"/>
      <c r="G350" s="478"/>
    </row>
    <row r="351" spans="1:7" customFormat="1" ht="13.2" hidden="1" customHeight="1" x14ac:dyDescent="0.25">
      <c r="A351" s="492"/>
      <c r="B351" s="8">
        <f>IF('Items sous domaines Sciences '!G353=5,'Items sous domaines Sciences '!B353,0)</f>
        <v>0</v>
      </c>
      <c r="C351" s="8">
        <f>IF('Items sous domaines Sciences '!G353=5,'Items sous domaines Sciences '!C353,0)</f>
        <v>0</v>
      </c>
      <c r="D351" s="8">
        <f>IF('Items sous domaines Sciences '!G353=5,'Items sous domaines Sciences '!D353,0)</f>
        <v>0</v>
      </c>
      <c r="E351" s="8">
        <f>IF('Items sous domaines Sciences '!G353=5,'Items sous domaines Sciences '!E353,0)</f>
        <v>0</v>
      </c>
      <c r="F351" s="489"/>
      <c r="G351" s="478"/>
    </row>
    <row r="352" spans="1:7" customFormat="1" ht="13.2" hidden="1" customHeight="1" x14ac:dyDescent="0.25">
      <c r="A352" s="372"/>
      <c r="B352" s="8">
        <f>IF('Items sous domaines Sciences '!G354=5,'Items sous domaines Sciences '!B354,0)</f>
        <v>0</v>
      </c>
      <c r="C352" s="8">
        <f>IF('Items sous domaines Sciences '!G354=5,'Items sous domaines Sciences '!C354,0)</f>
        <v>0</v>
      </c>
      <c r="D352" s="8">
        <f>IF('Items sous domaines Sciences '!G354=5,'Items sous domaines Sciences '!D354,0)</f>
        <v>0</v>
      </c>
      <c r="E352" s="8">
        <f>IF('Items sous domaines Sciences '!G354=5,'Items sous domaines Sciences '!E354,0)</f>
        <v>0</v>
      </c>
      <c r="F352" s="489"/>
      <c r="G352" s="478"/>
    </row>
    <row r="353" spans="1:7" customFormat="1" ht="13.2" hidden="1" customHeight="1" x14ac:dyDescent="0.25">
      <c r="A353" s="372"/>
      <c r="B353" s="8">
        <f>IF('Items sous domaines Sciences '!G355=5,'Items sous domaines Sciences '!B355,0)</f>
        <v>0</v>
      </c>
      <c r="C353" s="8">
        <f>IF('Items sous domaines Sciences '!G355=5,'Items sous domaines Sciences '!C355,0)</f>
        <v>0</v>
      </c>
      <c r="D353" s="8">
        <f>IF('Items sous domaines Sciences '!G355=5,'Items sous domaines Sciences '!D355,0)</f>
        <v>0</v>
      </c>
      <c r="E353" s="8">
        <f>IF('Items sous domaines Sciences '!G355=5,'Items sous domaines Sciences '!E355,0)</f>
        <v>0</v>
      </c>
      <c r="F353" s="489"/>
      <c r="G353" s="478"/>
    </row>
    <row r="354" spans="1:7" customFormat="1" ht="13.2" hidden="1" customHeight="1" x14ac:dyDescent="0.25">
      <c r="A354" s="372"/>
      <c r="B354" s="8">
        <f>IF('Items sous domaines Sciences '!G356=5,'Items sous domaines Sciences '!B356,0)</f>
        <v>0</v>
      </c>
      <c r="C354" s="8">
        <f>IF('Items sous domaines Sciences '!G356=5,'Items sous domaines Sciences '!C356,0)</f>
        <v>0</v>
      </c>
      <c r="D354" s="8">
        <f>IF('Items sous domaines Sciences '!G356=5,'Items sous domaines Sciences '!D356,0)</f>
        <v>0</v>
      </c>
      <c r="E354" s="8">
        <f>IF('Items sous domaines Sciences '!G356=5,'Items sous domaines Sciences '!E356,0)</f>
        <v>0</v>
      </c>
      <c r="F354" s="489"/>
      <c r="G354" s="478"/>
    </row>
    <row r="355" spans="1:7" customFormat="1" ht="13.95" hidden="1" customHeight="1" thickBot="1" x14ac:dyDescent="0.3">
      <c r="A355" s="385"/>
      <c r="B355" s="8">
        <f>IF('Items sous domaines Sciences '!G357=5,'Items sous domaines Sciences '!B357,0)</f>
        <v>0</v>
      </c>
      <c r="C355" s="8">
        <f>IF('Items sous domaines Sciences '!G357=5,'Items sous domaines Sciences '!C357,0)</f>
        <v>0</v>
      </c>
      <c r="D355" s="8">
        <f>IF('Items sous domaines Sciences '!G357=5,'Items sous domaines Sciences '!D357,0)</f>
        <v>0</v>
      </c>
      <c r="E355" s="8">
        <f>IF('Items sous domaines Sciences '!G357=5,'Items sous domaines Sciences '!E357,0)</f>
        <v>0</v>
      </c>
      <c r="F355" s="489"/>
      <c r="G355" s="478"/>
    </row>
    <row r="356" spans="1:7" customFormat="1" ht="13.5" hidden="1" customHeight="1" thickBot="1" x14ac:dyDescent="0.3">
      <c r="A356" s="372"/>
      <c r="B356" s="8">
        <f>IF('Items sous domaines Sciences '!G358=5,'Items sous domaines Sciences '!B358,0)</f>
        <v>0</v>
      </c>
      <c r="C356" s="8">
        <f>IF('Items sous domaines Sciences '!G358=5,'Items sous domaines Sciences '!C358,0)</f>
        <v>0</v>
      </c>
      <c r="D356" s="8">
        <f>IF('Items sous domaines Sciences '!G358=5,'Items sous domaines Sciences '!D358,0)</f>
        <v>0</v>
      </c>
      <c r="E356" s="8">
        <f>IF('Items sous domaines Sciences '!G358=5,'Items sous domaines Sciences '!E358,0)</f>
        <v>0</v>
      </c>
      <c r="F356" s="489"/>
      <c r="G356" s="479"/>
    </row>
    <row r="357" spans="1:7" customFormat="1" ht="13.5" hidden="1" customHeight="1" thickBot="1" x14ac:dyDescent="0.3">
      <c r="A357" s="372"/>
      <c r="B357" s="8">
        <f>IF('Items sous domaines Sciences '!G359=5,'Items sous domaines Sciences '!B359,0)</f>
        <v>0</v>
      </c>
      <c r="C357" s="8">
        <f>IF('Items sous domaines Sciences '!G359=5,'Items sous domaines Sciences '!C359,0)</f>
        <v>0</v>
      </c>
      <c r="D357" s="8">
        <f>IF('Items sous domaines Sciences '!G359=5,'Items sous domaines Sciences '!D359,0)</f>
        <v>0</v>
      </c>
      <c r="E357" s="8">
        <f>IF('Items sous domaines Sciences '!G359=5,'Items sous domaines Sciences '!E359,0)</f>
        <v>0</v>
      </c>
      <c r="F357" s="489"/>
      <c r="G357" s="479"/>
    </row>
    <row r="358" spans="1:7" customFormat="1" ht="13.5" hidden="1" customHeight="1" thickBot="1" x14ac:dyDescent="0.3">
      <c r="A358" s="372"/>
      <c r="B358" s="8">
        <f>IF('Items sous domaines Sciences '!G360=5,'Items sous domaines Sciences '!B360,0)</f>
        <v>0</v>
      </c>
      <c r="C358" s="8">
        <f>IF('Items sous domaines Sciences '!G360=5,'Items sous domaines Sciences '!C360,0)</f>
        <v>0</v>
      </c>
      <c r="D358" s="8">
        <f>IF('Items sous domaines Sciences '!G360=5,'Items sous domaines Sciences '!D360,0)</f>
        <v>0</v>
      </c>
      <c r="E358" s="8">
        <f>IF('Items sous domaines Sciences '!G360=5,'Items sous domaines Sciences '!E360,0)</f>
        <v>0</v>
      </c>
      <c r="F358" s="489"/>
      <c r="G358" s="479"/>
    </row>
    <row r="359" spans="1:7" customFormat="1" ht="13.5" hidden="1" customHeight="1" thickBot="1" x14ac:dyDescent="0.3">
      <c r="A359" s="372"/>
      <c r="B359" s="8">
        <f>IF('Items sous domaines Sciences '!G361=5,'Items sous domaines Sciences '!B361,0)</f>
        <v>0</v>
      </c>
      <c r="C359" s="8">
        <f>IF('Items sous domaines Sciences '!G361=5,'Items sous domaines Sciences '!C361,0)</f>
        <v>0</v>
      </c>
      <c r="D359" s="8">
        <f>IF('Items sous domaines Sciences '!G361=5,'Items sous domaines Sciences '!D361,0)</f>
        <v>0</v>
      </c>
      <c r="E359" s="8">
        <f>IF('Items sous domaines Sciences '!G361=5,'Items sous domaines Sciences '!E361,0)</f>
        <v>0</v>
      </c>
      <c r="F359" s="489"/>
      <c r="G359" s="479"/>
    </row>
    <row r="360" spans="1:7" customFormat="1" ht="13.5" hidden="1" customHeight="1" thickBot="1" x14ac:dyDescent="0.3">
      <c r="A360" s="372"/>
      <c r="B360" s="8">
        <f>IF('Items sous domaines Sciences '!G362=5,'Items sous domaines Sciences '!B362,0)</f>
        <v>0</v>
      </c>
      <c r="C360" s="8">
        <f>IF('Items sous domaines Sciences '!G362=5,'Items sous domaines Sciences '!C362,0)</f>
        <v>0</v>
      </c>
      <c r="D360" s="8">
        <f>IF('Items sous domaines Sciences '!G362=5,'Items sous domaines Sciences '!D362,0)</f>
        <v>0</v>
      </c>
      <c r="E360" s="8">
        <f>IF('Items sous domaines Sciences '!G362=5,'Items sous domaines Sciences '!E362,0)</f>
        <v>0</v>
      </c>
      <c r="F360" s="489"/>
      <c r="G360" s="479"/>
    </row>
    <row r="361" spans="1:7" customFormat="1" ht="13.5" hidden="1" customHeight="1" thickBot="1" x14ac:dyDescent="0.3">
      <c r="A361" s="385"/>
      <c r="B361" s="8">
        <f>IF('Items sous domaines Sciences '!G363=5,'Items sous domaines Sciences '!B363,0)</f>
        <v>0</v>
      </c>
      <c r="C361" s="8">
        <f>IF('Items sous domaines Sciences '!G363=5,'Items sous domaines Sciences '!C363,0)</f>
        <v>0</v>
      </c>
      <c r="D361" s="8">
        <f>IF('Items sous domaines Sciences '!G363=5,'Items sous domaines Sciences '!D363,0)</f>
        <v>0</v>
      </c>
      <c r="E361" s="8">
        <f>IF('Items sous domaines Sciences '!G363=5,'Items sous domaines Sciences '!E363,0)</f>
        <v>0</v>
      </c>
      <c r="F361" s="489"/>
      <c r="G361" s="479"/>
    </row>
    <row r="362" spans="1:7" customFormat="1" ht="12.75" hidden="1" customHeight="1" thickBot="1" x14ac:dyDescent="0.3">
      <c r="A362" s="367"/>
      <c r="B362" s="8">
        <f>IF('Items sous domaines Sciences '!G364=5,'Items sous domaines Sciences '!B364,0)</f>
        <v>0</v>
      </c>
      <c r="C362" s="8">
        <f>IF('Items sous domaines Sciences '!G364=5,'Items sous domaines Sciences '!C364,0)</f>
        <v>0</v>
      </c>
      <c r="D362" s="8">
        <f>IF('Items sous domaines Sciences '!G364=5,'Items sous domaines Sciences '!D364,0)</f>
        <v>0</v>
      </c>
      <c r="E362" s="8">
        <f>IF('Items sous domaines Sciences '!G364=5,'Items sous domaines Sciences '!E364,0)</f>
        <v>0</v>
      </c>
      <c r="F362" s="489"/>
      <c r="G362" s="479"/>
    </row>
    <row r="363" spans="1:7" customFormat="1" ht="13.2" hidden="1" customHeight="1" x14ac:dyDescent="0.25">
      <c r="A363" s="491"/>
      <c r="B363" s="8">
        <f>IF('Items sous domaines Sciences '!G365=5,'Items sous domaines Sciences '!B365,0)</f>
        <v>0</v>
      </c>
      <c r="C363" s="8">
        <f>IF('Items sous domaines Sciences '!G365=5,'Items sous domaines Sciences '!C365,0)</f>
        <v>0</v>
      </c>
      <c r="D363" s="8">
        <f>IF('Items sous domaines Sciences '!G365=5,'Items sous domaines Sciences '!D365,0)</f>
        <v>0</v>
      </c>
      <c r="E363" s="8">
        <f>IF('Items sous domaines Sciences '!G365=5,'Items sous domaines Sciences '!E365,0)</f>
        <v>0</v>
      </c>
      <c r="F363" s="489"/>
      <c r="G363" s="478"/>
    </row>
    <row r="364" spans="1:7" customFormat="1" ht="13.2" hidden="1" customHeight="1" x14ac:dyDescent="0.25">
      <c r="A364" s="492"/>
      <c r="B364" s="8">
        <f>IF('Items sous domaines Sciences '!G366=5,'Items sous domaines Sciences '!B366,0)</f>
        <v>0</v>
      </c>
      <c r="C364" s="8">
        <f>IF('Items sous domaines Sciences '!G366=5,'Items sous domaines Sciences '!C366,0)</f>
        <v>0</v>
      </c>
      <c r="D364" s="8">
        <f>IF('Items sous domaines Sciences '!G366=5,'Items sous domaines Sciences '!D366,0)</f>
        <v>0</v>
      </c>
      <c r="E364" s="8">
        <f>IF('Items sous domaines Sciences '!G366=5,'Items sous domaines Sciences '!E366,0)</f>
        <v>0</v>
      </c>
      <c r="F364" s="489"/>
      <c r="G364" s="478"/>
    </row>
    <row r="365" spans="1:7" customFormat="1" ht="13.2" hidden="1" customHeight="1" x14ac:dyDescent="0.25">
      <c r="A365" s="492"/>
      <c r="B365" s="8">
        <f>IF('Items sous domaines Sciences '!G367=5,'Items sous domaines Sciences '!B367,0)</f>
        <v>0</v>
      </c>
      <c r="C365" s="8">
        <f>IF('Items sous domaines Sciences '!G367=5,'Items sous domaines Sciences '!C367,0)</f>
        <v>0</v>
      </c>
      <c r="D365" s="8">
        <f>IF('Items sous domaines Sciences '!G367=5,'Items sous domaines Sciences '!D367,0)</f>
        <v>0</v>
      </c>
      <c r="E365" s="8">
        <f>IF('Items sous domaines Sciences '!G367=5,'Items sous domaines Sciences '!E367,0)</f>
        <v>0</v>
      </c>
      <c r="F365" s="489"/>
      <c r="G365" s="478"/>
    </row>
    <row r="366" spans="1:7" customFormat="1" ht="13.2" hidden="1" customHeight="1" x14ac:dyDescent="0.25">
      <c r="A366" s="492"/>
      <c r="B366" s="8">
        <f>IF('Items sous domaines Sciences '!G368=5,'Items sous domaines Sciences '!B368,0)</f>
        <v>0</v>
      </c>
      <c r="C366" s="8">
        <f>IF('Items sous domaines Sciences '!G368=5,'Items sous domaines Sciences '!C368,0)</f>
        <v>0</v>
      </c>
      <c r="D366" s="8">
        <f>IF('Items sous domaines Sciences '!G368=5,'Items sous domaines Sciences '!D368,0)</f>
        <v>0</v>
      </c>
      <c r="E366" s="8">
        <f>IF('Items sous domaines Sciences '!G368=5,'Items sous domaines Sciences '!E368,0)</f>
        <v>0</v>
      </c>
      <c r="F366" s="489"/>
      <c r="G366" s="478"/>
    </row>
    <row r="367" spans="1:7" customFormat="1" ht="13.2" hidden="1" customHeight="1" x14ac:dyDescent="0.25">
      <c r="A367" s="492"/>
      <c r="B367" s="8">
        <f>IF('Items sous domaines Sciences '!G369=5,'Items sous domaines Sciences '!B369,0)</f>
        <v>0</v>
      </c>
      <c r="C367" s="8">
        <f>IF('Items sous domaines Sciences '!G369=5,'Items sous domaines Sciences '!C369,0)</f>
        <v>0</v>
      </c>
      <c r="D367" s="8">
        <f>IF('Items sous domaines Sciences '!G369=5,'Items sous domaines Sciences '!D369,0)</f>
        <v>0</v>
      </c>
      <c r="E367" s="8">
        <f>IF('Items sous domaines Sciences '!G369=5,'Items sous domaines Sciences '!E369,0)</f>
        <v>0</v>
      </c>
      <c r="F367" s="489"/>
      <c r="G367" s="478"/>
    </row>
    <row r="368" spans="1:7" customFormat="1" ht="13.2" hidden="1" customHeight="1" x14ac:dyDescent="0.25">
      <c r="A368" s="492"/>
      <c r="B368" s="8">
        <f>IF('Items sous domaines Sciences '!G370=5,'Items sous domaines Sciences '!B370,0)</f>
        <v>0</v>
      </c>
      <c r="C368" s="8">
        <f>IF('Items sous domaines Sciences '!G370=5,'Items sous domaines Sciences '!C370,0)</f>
        <v>0</v>
      </c>
      <c r="D368" s="8">
        <f>IF('Items sous domaines Sciences '!G370=5,'Items sous domaines Sciences '!D370,0)</f>
        <v>0</v>
      </c>
      <c r="E368" s="8">
        <f>IF('Items sous domaines Sciences '!G370=5,'Items sous domaines Sciences '!E370,0)</f>
        <v>0</v>
      </c>
      <c r="F368" s="489"/>
      <c r="G368" s="478"/>
    </row>
    <row r="369" spans="1:7" customFormat="1" ht="13.2" hidden="1" customHeight="1" x14ac:dyDescent="0.25">
      <c r="A369" s="492"/>
      <c r="B369" s="8">
        <f>IF('Items sous domaines Sciences '!G371=5,'Items sous domaines Sciences '!B371,0)</f>
        <v>0</v>
      </c>
      <c r="C369" s="8">
        <f>IF('Items sous domaines Sciences '!G371=5,'Items sous domaines Sciences '!C371,0)</f>
        <v>0</v>
      </c>
      <c r="D369" s="8">
        <f>IF('Items sous domaines Sciences '!G371=5,'Items sous domaines Sciences '!D371,0)</f>
        <v>0</v>
      </c>
      <c r="E369" s="8">
        <f>IF('Items sous domaines Sciences '!G371=5,'Items sous domaines Sciences '!E371,0)</f>
        <v>0</v>
      </c>
      <c r="F369" s="489"/>
      <c r="G369" s="478"/>
    </row>
    <row r="370" spans="1:7" customFormat="1" ht="13.2" hidden="1" customHeight="1" x14ac:dyDescent="0.25">
      <c r="A370" s="492"/>
      <c r="B370" s="8">
        <f>IF('Items sous domaines Sciences '!G372=5,'Items sous domaines Sciences '!B372,0)</f>
        <v>0</v>
      </c>
      <c r="C370" s="8">
        <f>IF('Items sous domaines Sciences '!G372=5,'Items sous domaines Sciences '!C372,0)</f>
        <v>0</v>
      </c>
      <c r="D370" s="8">
        <f>IF('Items sous domaines Sciences '!G372=5,'Items sous domaines Sciences '!D372,0)</f>
        <v>0</v>
      </c>
      <c r="E370" s="8">
        <f>IF('Items sous domaines Sciences '!G372=5,'Items sous domaines Sciences '!E372,0)</f>
        <v>0</v>
      </c>
      <c r="F370" s="489"/>
      <c r="G370" s="478"/>
    </row>
    <row r="371" spans="1:7" customFormat="1" ht="13.95" hidden="1" customHeight="1" thickBot="1" x14ac:dyDescent="0.3">
      <c r="A371" s="385"/>
      <c r="B371" s="8">
        <f>IF('Items sous domaines Sciences '!G373=5,'Items sous domaines Sciences '!B373,0)</f>
        <v>0</v>
      </c>
      <c r="C371" s="8">
        <f>IF('Items sous domaines Sciences '!G373=5,'Items sous domaines Sciences '!C373,0)</f>
        <v>0</v>
      </c>
      <c r="D371" s="8">
        <f>IF('Items sous domaines Sciences '!G373=5,'Items sous domaines Sciences '!D373,0)</f>
        <v>0</v>
      </c>
      <c r="E371" s="8">
        <f>IF('Items sous domaines Sciences '!G373=5,'Items sous domaines Sciences '!E373,0)</f>
        <v>0</v>
      </c>
      <c r="F371" s="489"/>
      <c r="G371" s="478"/>
    </row>
    <row r="372" spans="1:7" customFormat="1" ht="13.5" hidden="1" customHeight="1" thickBot="1" x14ac:dyDescent="0.3">
      <c r="A372" s="372"/>
      <c r="B372" s="8">
        <f>IF('Items sous domaines Sciences '!G374=5,'Items sous domaines Sciences '!B374,0)</f>
        <v>0</v>
      </c>
      <c r="C372" s="8">
        <f>IF('Items sous domaines Sciences '!G374=5,'Items sous domaines Sciences '!C374,0)</f>
        <v>0</v>
      </c>
      <c r="D372" s="8">
        <f>IF('Items sous domaines Sciences '!G374=5,'Items sous domaines Sciences '!D374,0)</f>
        <v>0</v>
      </c>
      <c r="E372" s="8">
        <f>IF('Items sous domaines Sciences '!G374=5,'Items sous domaines Sciences '!E374,0)</f>
        <v>0</v>
      </c>
      <c r="F372" s="489"/>
      <c r="G372" s="479"/>
    </row>
    <row r="373" spans="1:7" customFormat="1" ht="13.5" hidden="1" customHeight="1" thickBot="1" x14ac:dyDescent="0.3">
      <c r="A373" s="372"/>
      <c r="B373" s="8">
        <f>IF('Items sous domaines Sciences '!G375=5,'Items sous domaines Sciences '!B375,0)</f>
        <v>0</v>
      </c>
      <c r="C373" s="8">
        <f>IF('Items sous domaines Sciences '!G375=5,'Items sous domaines Sciences '!C375,0)</f>
        <v>0</v>
      </c>
      <c r="D373" s="8">
        <f>IF('Items sous domaines Sciences '!G375=5,'Items sous domaines Sciences '!D375,0)</f>
        <v>0</v>
      </c>
      <c r="E373" s="8">
        <f>IF('Items sous domaines Sciences '!G375=5,'Items sous domaines Sciences '!E375,0)</f>
        <v>0</v>
      </c>
      <c r="F373" s="489"/>
      <c r="G373" s="479"/>
    </row>
    <row r="374" spans="1:7" customFormat="1" ht="13.5" hidden="1" customHeight="1" thickBot="1" x14ac:dyDescent="0.3">
      <c r="A374" s="372"/>
      <c r="B374" s="8">
        <f>IF('Items sous domaines Sciences '!G376=5,'Items sous domaines Sciences '!B376,0)</f>
        <v>0</v>
      </c>
      <c r="C374" s="8">
        <f>IF('Items sous domaines Sciences '!G376=5,'Items sous domaines Sciences '!C376,0)</f>
        <v>0</v>
      </c>
      <c r="D374" s="8">
        <f>IF('Items sous domaines Sciences '!G376=5,'Items sous domaines Sciences '!D376,0)</f>
        <v>0</v>
      </c>
      <c r="E374" s="8">
        <f>IF('Items sous domaines Sciences '!G376=5,'Items sous domaines Sciences '!E376,0)</f>
        <v>0</v>
      </c>
      <c r="F374" s="489"/>
      <c r="G374" s="479"/>
    </row>
    <row r="375" spans="1:7" customFormat="1" ht="13.5" hidden="1" customHeight="1" thickBot="1" x14ac:dyDescent="0.3">
      <c r="A375" s="372"/>
      <c r="B375" s="8">
        <f>IF('Items sous domaines Sciences '!G377=5,'Items sous domaines Sciences '!B377,0)</f>
        <v>0</v>
      </c>
      <c r="C375" s="8">
        <f>IF('Items sous domaines Sciences '!G377=5,'Items sous domaines Sciences '!C377,0)</f>
        <v>0</v>
      </c>
      <c r="D375" s="8">
        <f>IF('Items sous domaines Sciences '!G377=5,'Items sous domaines Sciences '!D377,0)</f>
        <v>0</v>
      </c>
      <c r="E375" s="8">
        <f>IF('Items sous domaines Sciences '!G377=5,'Items sous domaines Sciences '!E377,0)</f>
        <v>0</v>
      </c>
      <c r="F375" s="489"/>
      <c r="G375" s="479"/>
    </row>
    <row r="376" spans="1:7" customFormat="1" ht="13.5" hidden="1" customHeight="1" thickBot="1" x14ac:dyDescent="0.3">
      <c r="A376" s="372"/>
      <c r="B376" s="8">
        <f>IF('Items sous domaines Sciences '!G378=5,'Items sous domaines Sciences '!B378,0)</f>
        <v>0</v>
      </c>
      <c r="C376" s="8">
        <f>IF('Items sous domaines Sciences '!G378=5,'Items sous domaines Sciences '!C378,0)</f>
        <v>0</v>
      </c>
      <c r="D376" s="8">
        <f>IF('Items sous domaines Sciences '!G378=5,'Items sous domaines Sciences '!D378,0)</f>
        <v>0</v>
      </c>
      <c r="E376" s="8">
        <f>IF('Items sous domaines Sciences '!G378=5,'Items sous domaines Sciences '!E378,0)</f>
        <v>0</v>
      </c>
      <c r="F376" s="489"/>
      <c r="G376" s="479"/>
    </row>
    <row r="377" spans="1:7" customFormat="1" ht="13.5" hidden="1" customHeight="1" thickBot="1" x14ac:dyDescent="0.3">
      <c r="A377" s="372"/>
      <c r="B377" s="8">
        <f>IF('Items sous domaines Sciences '!G379=5,'Items sous domaines Sciences '!B379,0)</f>
        <v>0</v>
      </c>
      <c r="C377" s="8">
        <f>IF('Items sous domaines Sciences '!G379=5,'Items sous domaines Sciences '!C379,0)</f>
        <v>0</v>
      </c>
      <c r="D377" s="8">
        <f>IF('Items sous domaines Sciences '!G379=5,'Items sous domaines Sciences '!D379,0)</f>
        <v>0</v>
      </c>
      <c r="E377" s="8">
        <f>IF('Items sous domaines Sciences '!G379=5,'Items sous domaines Sciences '!E379,0)</f>
        <v>0</v>
      </c>
      <c r="F377" s="489"/>
      <c r="G377" s="479"/>
    </row>
    <row r="378" spans="1:7" customFormat="1" ht="13.2" hidden="1" customHeight="1" x14ac:dyDescent="0.25">
      <c r="A378" s="402"/>
      <c r="B378" s="8">
        <f>IF('Items sous domaines Sciences '!G380=5,'Items sous domaines Sciences '!B380,0)</f>
        <v>0</v>
      </c>
      <c r="C378" s="8">
        <f>IF('Items sous domaines Sciences '!G380=5,'Items sous domaines Sciences '!C380,0)</f>
        <v>0</v>
      </c>
      <c r="D378" s="8">
        <f>IF('Items sous domaines Sciences '!G380=5,'Items sous domaines Sciences '!D380,0)</f>
        <v>0</v>
      </c>
      <c r="E378" s="8">
        <f>IF('Items sous domaines Sciences '!G380=5,'Items sous domaines Sciences '!E380,0)</f>
        <v>0</v>
      </c>
      <c r="F378" s="489"/>
      <c r="G378" s="478"/>
    </row>
    <row r="379" spans="1:7" customFormat="1" ht="13.95" hidden="1" customHeight="1" thickBot="1" x14ac:dyDescent="0.3">
      <c r="A379" s="385"/>
      <c r="B379" s="8">
        <f>IF('Items sous domaines Sciences '!G381=5,'Items sous domaines Sciences '!B381,0)</f>
        <v>0</v>
      </c>
      <c r="C379" s="8">
        <f>IF('Items sous domaines Sciences '!G381=5,'Items sous domaines Sciences '!C381,0)</f>
        <v>0</v>
      </c>
      <c r="D379" s="8">
        <f>IF('Items sous domaines Sciences '!G381=5,'Items sous domaines Sciences '!D381,0)</f>
        <v>0</v>
      </c>
      <c r="E379" s="8">
        <f>IF('Items sous domaines Sciences '!G381=5,'Items sous domaines Sciences '!E381,0)</f>
        <v>0</v>
      </c>
      <c r="F379" s="490"/>
      <c r="G379" s="480"/>
    </row>
    <row r="380" spans="1:7" customFormat="1" ht="13.2" hidden="1" x14ac:dyDescent="0.25">
      <c r="A380" s="372"/>
      <c r="B380" s="8">
        <f>IF('Items sous domaines Sciences '!G382=5,'Items sous domaines Sciences '!B382,0)</f>
        <v>0</v>
      </c>
      <c r="C380" s="8">
        <f>IF('Items sous domaines Sciences '!G382=5,'Items sous domaines Sciences '!C382,0)</f>
        <v>0</v>
      </c>
      <c r="D380" s="8">
        <f>IF('Items sous domaines Sciences '!G382=5,'Items sous domaines Sciences '!D382,0)</f>
        <v>0</v>
      </c>
      <c r="E380" s="8">
        <f>IF('Items sous domaines Sciences '!G382=5,'Items sous domaines Sciences '!E382,0)</f>
        <v>0</v>
      </c>
      <c r="F380" t="e">
        <f>IF('Items sous domaines Sciences '!#REF!&lt;4,'Items sous domaines Sciences '!#REF!,0)</f>
        <v>#REF!</v>
      </c>
      <c r="G380" s="9" t="e">
        <f>IF(AND('Items sous domaines Sciences '!#REF!&lt;=5, 'Items sous domaines Sciences '!#REF!&gt;0),'Items sous domaines Sciences '!#REF!,0)</f>
        <v>#REF!</v>
      </c>
    </row>
    <row r="381" spans="1:7" customFormat="1" ht="13.2" hidden="1" x14ac:dyDescent="0.25">
      <c r="A381" s="372"/>
      <c r="B381" s="8">
        <f>IF('Items sous domaines Sciences '!G383=5,'Items sous domaines Sciences '!B383,0)</f>
        <v>0</v>
      </c>
      <c r="C381" s="8">
        <f>IF('Items sous domaines Sciences '!G383=5,'Items sous domaines Sciences '!C383,0)</f>
        <v>0</v>
      </c>
      <c r="D381" s="8">
        <f>IF('Items sous domaines Sciences '!G383=5,'Items sous domaines Sciences '!D383,0)</f>
        <v>0</v>
      </c>
      <c r="E381" s="8">
        <f>IF('Items sous domaines Sciences '!G383=5,'Items sous domaines Sciences '!E383,0)</f>
        <v>0</v>
      </c>
      <c r="F381" t="e">
        <f>IF('Items sous domaines Sciences '!#REF!&lt;4,'Items sous domaines Sciences '!#REF!,0)</f>
        <v>#REF!</v>
      </c>
      <c r="G381" s="9" t="e">
        <f>IF(AND('Items sous domaines Sciences '!#REF!&lt;=5, 'Items sous domaines Sciences '!#REF!&gt;0),'Items sous domaines Sciences '!#REF!,0)</f>
        <v>#REF!</v>
      </c>
    </row>
    <row r="382" spans="1:7" customFormat="1" ht="13.2" hidden="1" x14ac:dyDescent="0.25">
      <c r="A382" s="372"/>
      <c r="B382" s="8">
        <f>IF('Items sous domaines Sciences '!G384=5,'Items sous domaines Sciences '!B384,0)</f>
        <v>0</v>
      </c>
      <c r="C382" s="8">
        <f>IF('Items sous domaines Sciences '!G384=5,'Items sous domaines Sciences '!C384,0)</f>
        <v>0</v>
      </c>
      <c r="D382" s="8">
        <f>IF('Items sous domaines Sciences '!G384=5,'Items sous domaines Sciences '!D384,0)</f>
        <v>0</v>
      </c>
      <c r="E382" s="8">
        <f>IF('Items sous domaines Sciences '!G384=5,'Items sous domaines Sciences '!E384,0)</f>
        <v>0</v>
      </c>
      <c r="F382" t="e">
        <f>IF('Items sous domaines Sciences '!#REF!&lt;4,'Items sous domaines Sciences '!#REF!,0)</f>
        <v>#REF!</v>
      </c>
      <c r="G382" s="9" t="e">
        <f>IF(AND('Items sous domaines Sciences '!#REF!&lt;=5, 'Items sous domaines Sciences '!#REF!&gt;0),'Items sous domaines Sciences '!#REF!,0)</f>
        <v>#REF!</v>
      </c>
    </row>
    <row r="383" spans="1:7" customFormat="1" ht="13.8" hidden="1" thickBot="1" x14ac:dyDescent="0.3">
      <c r="A383" s="385"/>
      <c r="B383" s="8">
        <f>IF('Items sous domaines Sciences '!G385=5,'Items sous domaines Sciences '!B385,0)</f>
        <v>0</v>
      </c>
      <c r="C383" s="8">
        <f>IF('Items sous domaines Sciences '!G385=5,'Items sous domaines Sciences '!C385,0)</f>
        <v>0</v>
      </c>
      <c r="D383" s="8">
        <f>IF('Items sous domaines Sciences '!G385=5,'Items sous domaines Sciences '!D385,0)</f>
        <v>0</v>
      </c>
      <c r="E383" s="8">
        <f>IF('Items sous domaines Sciences '!G385=5,'Items sous domaines Sciences '!E385,0)</f>
        <v>0</v>
      </c>
      <c r="F383" t="e">
        <f>IF('Items sous domaines Sciences '!#REF!&lt;4,'Items sous domaines Sciences '!#REF!,0)</f>
        <v>#REF!</v>
      </c>
      <c r="G383" s="9" t="e">
        <f>IF(AND('Items sous domaines Sciences '!#REF!&lt;=5, 'Items sous domaines Sciences '!#REF!&gt;0),'Items sous domaines Sciences '!#REF!,0)</f>
        <v>#REF!</v>
      </c>
    </row>
    <row r="384" spans="1:7" customFormat="1" ht="13.2" hidden="1" x14ac:dyDescent="0.25">
      <c r="B384" s="8">
        <f>IF('Items sous domaines Sciences '!G386=5,'Items sous domaines Sciences '!B386,0)</f>
        <v>0</v>
      </c>
      <c r="C384" s="8">
        <f>IF('Items sous domaines Sciences '!G386=5,'Items sous domaines Sciences '!C386,0)</f>
        <v>0</v>
      </c>
      <c r="D384" s="8">
        <f>IF('Items sous domaines Sciences '!G386=5,'Items sous domaines Sciences '!D386,0)</f>
        <v>0</v>
      </c>
      <c r="E384" s="8">
        <f>IF('Items sous domaines Sciences '!G386=5,'Items sous domaines Sciences '!E386,0)</f>
        <v>0</v>
      </c>
      <c r="F384" t="e">
        <f>IF('Items sous domaines Sciences '!#REF!&lt;4,'Items sous domaines Sciences '!#REF!,0)</f>
        <v>#REF!</v>
      </c>
      <c r="G384" s="9" t="e">
        <f>IF(AND('Items sous domaines Sciences '!#REF!&lt;=5, 'Items sous domaines Sciences '!#REF!&gt;0),'Items sous domaines Sciences '!#REF!,0)</f>
        <v>#REF!</v>
      </c>
    </row>
    <row r="385" spans="2:7" customFormat="1" ht="13.2" hidden="1" x14ac:dyDescent="0.25">
      <c r="B385" s="8">
        <f>IF('Items sous domaines Sciences '!G387=5,'Items sous domaines Sciences '!B387,0)</f>
        <v>0</v>
      </c>
      <c r="C385" s="8">
        <f>IF('Items sous domaines Sciences '!G387=5,'Items sous domaines Sciences '!C387,0)</f>
        <v>0</v>
      </c>
      <c r="D385" s="8">
        <f>IF('Items sous domaines Sciences '!G387=5,'Items sous domaines Sciences '!D387,0)</f>
        <v>0</v>
      </c>
      <c r="E385" s="8">
        <f>IF('Items sous domaines Sciences '!G387=5,'Items sous domaines Sciences '!E387,0)</f>
        <v>0</v>
      </c>
      <c r="F385" t="e">
        <f>IF('Items sous domaines Sciences '!#REF!&lt;4,'Items sous domaines Sciences '!#REF!,0)</f>
        <v>#REF!</v>
      </c>
      <c r="G385" s="9" t="e">
        <f>IF(AND('Items sous domaines Sciences '!#REF!&lt;=5, 'Items sous domaines Sciences '!#REF!&gt;0),'Items sous domaines Sciences '!#REF!,0)</f>
        <v>#REF!</v>
      </c>
    </row>
    <row r="386" spans="2:7" customFormat="1" ht="13.2" hidden="1" x14ac:dyDescent="0.25">
      <c r="B386" s="8">
        <f>IF('Items sous domaines Sciences '!G388=5,'Items sous domaines Sciences '!B388,0)</f>
        <v>0</v>
      </c>
      <c r="C386" s="8">
        <f>IF('Items sous domaines Sciences '!G388=5,'Items sous domaines Sciences '!C388,0)</f>
        <v>0</v>
      </c>
      <c r="D386" s="8">
        <f>IF('Items sous domaines Sciences '!G388=5,'Items sous domaines Sciences '!D388,0)</f>
        <v>0</v>
      </c>
      <c r="E386" s="8">
        <f>IF('Items sous domaines Sciences '!G388=5,'Items sous domaines Sciences '!E388,0)</f>
        <v>0</v>
      </c>
      <c r="F386" t="e">
        <f>IF('Items sous domaines Sciences '!#REF!&lt;4,'Items sous domaines Sciences '!#REF!,0)</f>
        <v>#REF!</v>
      </c>
      <c r="G386" s="9" t="e">
        <f>IF(AND('Items sous domaines Sciences '!#REF!&lt;=5, 'Items sous domaines Sciences '!#REF!&gt;0),'Items sous domaines Sciences '!#REF!,0)</f>
        <v>#REF!</v>
      </c>
    </row>
    <row r="387" spans="2:7" customFormat="1" ht="13.2" hidden="1" x14ac:dyDescent="0.25">
      <c r="B387" s="8">
        <f>IF('Items sous domaines Sciences '!G389=5,'Items sous domaines Sciences '!B389,0)</f>
        <v>0</v>
      </c>
      <c r="C387" s="8">
        <f>IF('Items sous domaines Sciences '!G389=5,'Items sous domaines Sciences '!C389,0)</f>
        <v>0</v>
      </c>
      <c r="D387" s="8">
        <f>IF('Items sous domaines Sciences '!G389=5,'Items sous domaines Sciences '!D389,0)</f>
        <v>0</v>
      </c>
      <c r="E387" s="8">
        <f>IF('Items sous domaines Sciences '!G389=5,'Items sous domaines Sciences '!E389,0)</f>
        <v>0</v>
      </c>
      <c r="F387" t="e">
        <f>IF('Items sous domaines Sciences '!#REF!&lt;4,'Items sous domaines Sciences '!#REF!,0)</f>
        <v>#REF!</v>
      </c>
      <c r="G387" s="9" t="e">
        <f>IF(AND('Items sous domaines Sciences '!#REF!&lt;=5, 'Items sous domaines Sciences '!#REF!&gt;0),'Items sous domaines Sciences '!#REF!,0)</f>
        <v>#REF!</v>
      </c>
    </row>
    <row r="388" spans="2:7" customFormat="1" ht="13.2" hidden="1" x14ac:dyDescent="0.25">
      <c r="B388" s="8">
        <f>IF('Items sous domaines Sciences '!G390=5,'Items sous domaines Sciences '!B390,0)</f>
        <v>0</v>
      </c>
      <c r="C388" s="8">
        <f>IF('Items sous domaines Sciences '!G390=5,'Items sous domaines Sciences '!C390,0)</f>
        <v>0</v>
      </c>
      <c r="D388" s="8">
        <f>IF('Items sous domaines Sciences '!G390=5,'Items sous domaines Sciences '!D390,0)</f>
        <v>0</v>
      </c>
      <c r="E388" s="8">
        <f>IF('Items sous domaines Sciences '!G390=5,'Items sous domaines Sciences '!E390,0)</f>
        <v>0</v>
      </c>
      <c r="F388" t="e">
        <f>IF('Items sous domaines Sciences '!#REF!&lt;4,'Items sous domaines Sciences '!#REF!,0)</f>
        <v>#REF!</v>
      </c>
      <c r="G388" s="9" t="e">
        <f>IF(AND('Items sous domaines Sciences '!#REF!&lt;=5, 'Items sous domaines Sciences '!#REF!&gt;0),'Items sous domaines Sciences '!#REF!,0)</f>
        <v>#REF!</v>
      </c>
    </row>
    <row r="389" spans="2:7" customFormat="1" ht="13.2" hidden="1" x14ac:dyDescent="0.25">
      <c r="B389" s="8">
        <f>IF('Items sous domaines Sciences '!G391=5,'Items sous domaines Sciences '!B391,0)</f>
        <v>0</v>
      </c>
      <c r="C389" s="8">
        <f>IF('Items sous domaines Sciences '!G391=5,'Items sous domaines Sciences '!C391,0)</f>
        <v>0</v>
      </c>
      <c r="D389" s="8">
        <f>IF('Items sous domaines Sciences '!G391=5,'Items sous domaines Sciences '!D391,0)</f>
        <v>0</v>
      </c>
      <c r="E389" s="8">
        <f>IF('Items sous domaines Sciences '!G391=5,'Items sous domaines Sciences '!E391,0)</f>
        <v>0</v>
      </c>
      <c r="F389" t="e">
        <f>IF('Items sous domaines Sciences '!#REF!&lt;4,'Items sous domaines Sciences '!#REF!,0)</f>
        <v>#REF!</v>
      </c>
      <c r="G389" s="9" t="e">
        <f>IF(AND('Items sous domaines Sciences '!#REF!&lt;=5, 'Items sous domaines Sciences '!#REF!&gt;0),'Items sous domaines Sciences '!#REF!,0)</f>
        <v>#REF!</v>
      </c>
    </row>
    <row r="390" spans="2:7" customFormat="1" ht="13.2" hidden="1" x14ac:dyDescent="0.25">
      <c r="B390" s="8">
        <f>IF('Items sous domaines Sciences '!G392=5,'Items sous domaines Sciences '!B392,0)</f>
        <v>0</v>
      </c>
      <c r="C390" s="8">
        <f>IF('Items sous domaines Sciences '!G392=5,'Items sous domaines Sciences '!C392,0)</f>
        <v>0</v>
      </c>
      <c r="D390" s="8">
        <f>IF('Items sous domaines Sciences '!G392=5,'Items sous domaines Sciences '!D392,0)</f>
        <v>0</v>
      </c>
      <c r="E390" s="8">
        <f>IF('Items sous domaines Sciences '!G392=5,'Items sous domaines Sciences '!E392,0)</f>
        <v>0</v>
      </c>
      <c r="F390" t="e">
        <f>IF('Items sous domaines Sciences '!#REF!&lt;4,'Items sous domaines Sciences '!#REF!,0)</f>
        <v>#REF!</v>
      </c>
      <c r="G390" s="9" t="e">
        <f>IF(AND('Items sous domaines Sciences '!#REF!&lt;=5, 'Items sous domaines Sciences '!#REF!&gt;0),'Items sous domaines Sciences '!#REF!,0)</f>
        <v>#REF!</v>
      </c>
    </row>
    <row r="391" spans="2:7" customFormat="1" ht="13.2" hidden="1" x14ac:dyDescent="0.25">
      <c r="B391" s="8">
        <f>IF('Items sous domaines Sciences '!G393=5,'Items sous domaines Sciences '!B393,0)</f>
        <v>0</v>
      </c>
      <c r="C391" s="8">
        <f>IF('Items sous domaines Sciences '!G393=5,'Items sous domaines Sciences '!C393,0)</f>
        <v>0</v>
      </c>
      <c r="D391" s="8">
        <f>IF('Items sous domaines Sciences '!G393=5,'Items sous domaines Sciences '!D393,0)</f>
        <v>0</v>
      </c>
      <c r="E391" s="8">
        <f>IF('Items sous domaines Sciences '!G393=5,'Items sous domaines Sciences '!E393,0)</f>
        <v>0</v>
      </c>
      <c r="F391" t="e">
        <f>IF('Items sous domaines Sciences '!#REF!&lt;4,'Items sous domaines Sciences '!#REF!,0)</f>
        <v>#REF!</v>
      </c>
      <c r="G391" s="9" t="e">
        <f>IF(AND('Items sous domaines Sciences '!#REF!&lt;=5, 'Items sous domaines Sciences '!#REF!&gt;0),'Items sous domaines Sciences '!#REF!,0)</f>
        <v>#REF!</v>
      </c>
    </row>
    <row r="392" spans="2:7" customFormat="1" ht="13.2" hidden="1" x14ac:dyDescent="0.25">
      <c r="B392" s="8">
        <f>IF('Items sous domaines Sciences '!G394=5,'Items sous domaines Sciences '!B394,0)</f>
        <v>0</v>
      </c>
      <c r="C392" s="8">
        <f>IF('Items sous domaines Sciences '!G394=5,'Items sous domaines Sciences '!C394,0)</f>
        <v>0</v>
      </c>
      <c r="D392" s="8">
        <f>IF('Items sous domaines Sciences '!G394=5,'Items sous domaines Sciences '!D394,0)</f>
        <v>0</v>
      </c>
      <c r="E392" s="8">
        <f>IF('Items sous domaines Sciences '!G394=5,'Items sous domaines Sciences '!E394,0)</f>
        <v>0</v>
      </c>
      <c r="F392" t="e">
        <f>IF('Items sous domaines Sciences '!#REF!&lt;4,'Items sous domaines Sciences '!#REF!,0)</f>
        <v>#REF!</v>
      </c>
      <c r="G392" s="9" t="e">
        <f>IF(AND('Items sous domaines Sciences '!#REF!&lt;=5, 'Items sous domaines Sciences '!#REF!&gt;0),'Items sous domaines Sciences '!#REF!,0)</f>
        <v>#REF!</v>
      </c>
    </row>
    <row r="393" spans="2:7" customFormat="1" ht="13.2" hidden="1" x14ac:dyDescent="0.25">
      <c r="B393" s="8">
        <f>IF('Items sous domaines Sciences '!G395=5,'Items sous domaines Sciences '!B395,0)</f>
        <v>0</v>
      </c>
      <c r="C393" s="8">
        <f>IF('Items sous domaines Sciences '!G395=5,'Items sous domaines Sciences '!C395,0)</f>
        <v>0</v>
      </c>
      <c r="D393" s="8">
        <f>IF('Items sous domaines Sciences '!G395=5,'Items sous domaines Sciences '!D395,0)</f>
        <v>0</v>
      </c>
      <c r="E393" s="8">
        <f>IF('Items sous domaines Sciences '!G395=5,'Items sous domaines Sciences '!E395,0)</f>
        <v>0</v>
      </c>
      <c r="F393" t="e">
        <f>IF('Items sous domaines Sciences '!#REF!&lt;4,'Items sous domaines Sciences '!#REF!,0)</f>
        <v>#REF!</v>
      </c>
      <c r="G393" s="9" t="e">
        <f>IF(AND('Items sous domaines Sciences '!#REF!&lt;=5, 'Items sous domaines Sciences '!#REF!&gt;0),'Items sous domaines Sciences '!#REF!,0)</f>
        <v>#REF!</v>
      </c>
    </row>
    <row r="394" spans="2:7" customFormat="1" ht="13.2" hidden="1" x14ac:dyDescent="0.25">
      <c r="B394" s="8">
        <f>IF('Items sous domaines Sciences '!G396=5,'Items sous domaines Sciences '!B396,0)</f>
        <v>0</v>
      </c>
      <c r="C394" s="8">
        <f>IF('Items sous domaines Sciences '!G396=5,'Items sous domaines Sciences '!C396,0)</f>
        <v>0</v>
      </c>
      <c r="D394" s="8">
        <f>IF('Items sous domaines Sciences '!G396=5,'Items sous domaines Sciences '!D396,0)</f>
        <v>0</v>
      </c>
      <c r="E394" s="8">
        <f>IF('Items sous domaines Sciences '!G396=5,'Items sous domaines Sciences '!E396,0)</f>
        <v>0</v>
      </c>
      <c r="F394" t="e">
        <f>IF('Items sous domaines Sciences '!#REF!&lt;4,'Items sous domaines Sciences '!#REF!,0)</f>
        <v>#REF!</v>
      </c>
      <c r="G394" s="9" t="e">
        <f>IF(AND('Items sous domaines Sciences '!#REF!&lt;=5, 'Items sous domaines Sciences '!#REF!&gt;0),'Items sous domaines Sciences '!#REF!,0)</f>
        <v>#REF!</v>
      </c>
    </row>
    <row r="395" spans="2:7" customFormat="1" ht="13.2" hidden="1" x14ac:dyDescent="0.25">
      <c r="B395" s="8">
        <f>IF('Items sous domaines Sciences '!G397=5,'Items sous domaines Sciences '!B397,0)</f>
        <v>0</v>
      </c>
      <c r="C395" s="8">
        <f>IF('Items sous domaines Sciences '!G397=5,'Items sous domaines Sciences '!C397,0)</f>
        <v>0</v>
      </c>
      <c r="D395" s="8">
        <f>IF('Items sous domaines Sciences '!G397=5,'Items sous domaines Sciences '!D397,0)</f>
        <v>0</v>
      </c>
      <c r="E395" s="8">
        <f>IF('Items sous domaines Sciences '!G397=5,'Items sous domaines Sciences '!E397,0)</f>
        <v>0</v>
      </c>
      <c r="F395" t="e">
        <f>IF('Items sous domaines Sciences '!#REF!&lt;4,'Items sous domaines Sciences '!#REF!,0)</f>
        <v>#REF!</v>
      </c>
      <c r="G395" s="9" t="e">
        <f>IF(AND('Items sous domaines Sciences '!#REF!&lt;=5, 'Items sous domaines Sciences '!#REF!&gt;0),'Items sous domaines Sciences '!#REF!,0)</f>
        <v>#REF!</v>
      </c>
    </row>
    <row r="396" spans="2:7" customFormat="1" ht="13.2" hidden="1" x14ac:dyDescent="0.25">
      <c r="B396" s="8">
        <f>IF('Items sous domaines Sciences '!G398=5,'Items sous domaines Sciences '!B398,0)</f>
        <v>0</v>
      </c>
      <c r="C396" s="8">
        <f>IF('Items sous domaines Sciences '!G398=5,'Items sous domaines Sciences '!C398,0)</f>
        <v>0</v>
      </c>
      <c r="D396" s="8">
        <f>IF('Items sous domaines Sciences '!G398=5,'Items sous domaines Sciences '!D398,0)</f>
        <v>0</v>
      </c>
      <c r="E396" s="8">
        <f>IF('Items sous domaines Sciences '!G398=5,'Items sous domaines Sciences '!E398,0)</f>
        <v>0</v>
      </c>
      <c r="F396" t="e">
        <f>IF('Items sous domaines Sciences '!#REF!&lt;4,'Items sous domaines Sciences '!#REF!,0)</f>
        <v>#REF!</v>
      </c>
      <c r="G396" s="9" t="e">
        <f>IF(AND('Items sous domaines Sciences '!#REF!&lt;=5, 'Items sous domaines Sciences '!#REF!&gt;0),'Items sous domaines Sciences '!#REF!,0)</f>
        <v>#REF!</v>
      </c>
    </row>
    <row r="397" spans="2:7" customFormat="1" ht="13.2" hidden="1" x14ac:dyDescent="0.25">
      <c r="B397" s="8">
        <f>IF('Items sous domaines Sciences '!G399=5,'Items sous domaines Sciences '!B399,0)</f>
        <v>0</v>
      </c>
      <c r="C397" s="8">
        <f>IF('Items sous domaines Sciences '!G399=5,'Items sous domaines Sciences '!C399,0)</f>
        <v>0</v>
      </c>
      <c r="D397" s="8">
        <f>IF('Items sous domaines Sciences '!G399=5,'Items sous domaines Sciences '!D399,0)</f>
        <v>0</v>
      </c>
      <c r="E397" s="8">
        <f>IF('Items sous domaines Sciences '!G399=5,'Items sous domaines Sciences '!E399,0)</f>
        <v>0</v>
      </c>
      <c r="F397" t="e">
        <f>IF('Items sous domaines Sciences '!#REF!&lt;4,'Items sous domaines Sciences '!#REF!,0)</f>
        <v>#REF!</v>
      </c>
      <c r="G397" s="9" t="e">
        <f>IF(AND('Items sous domaines Sciences '!#REF!&lt;=5, 'Items sous domaines Sciences '!#REF!&gt;0),'Items sous domaines Sciences '!#REF!,0)</f>
        <v>#REF!</v>
      </c>
    </row>
    <row r="398" spans="2:7" customFormat="1" ht="13.2" hidden="1" x14ac:dyDescent="0.25">
      <c r="B398" s="8">
        <f>IF('Items sous domaines Sciences '!G400=5,'Items sous domaines Sciences '!B400,0)</f>
        <v>0</v>
      </c>
      <c r="C398" s="8">
        <f>IF('Items sous domaines Sciences '!G400=5,'Items sous domaines Sciences '!C400,0)</f>
        <v>0</v>
      </c>
      <c r="D398" s="8">
        <f>IF('Items sous domaines Sciences '!G400=5,'Items sous domaines Sciences '!D400,0)</f>
        <v>0</v>
      </c>
      <c r="E398" s="8">
        <f>IF('Items sous domaines Sciences '!G400=5,'Items sous domaines Sciences '!E400,0)</f>
        <v>0</v>
      </c>
      <c r="F398" t="e">
        <f>IF('Items sous domaines Sciences '!#REF!&lt;4,'Items sous domaines Sciences '!#REF!,0)</f>
        <v>#REF!</v>
      </c>
      <c r="G398" s="9" t="e">
        <f>IF(AND('Items sous domaines Sciences '!#REF!&lt;=5, 'Items sous domaines Sciences '!#REF!&gt;0),'Items sous domaines Sciences '!#REF!,0)</f>
        <v>#REF!</v>
      </c>
    </row>
    <row r="399" spans="2:7" customFormat="1" ht="13.2" hidden="1" x14ac:dyDescent="0.25">
      <c r="B399" s="8">
        <f>IF('Items sous domaines Sciences '!G401=5,'Items sous domaines Sciences '!B401,0)</f>
        <v>0</v>
      </c>
      <c r="C399" s="8">
        <f>IF('Items sous domaines Sciences '!G401=5,'Items sous domaines Sciences '!C401,0)</f>
        <v>0</v>
      </c>
      <c r="D399" s="8">
        <f>IF('Items sous domaines Sciences '!G401=5,'Items sous domaines Sciences '!D401,0)</f>
        <v>0</v>
      </c>
      <c r="E399" s="8">
        <f>IF('Items sous domaines Sciences '!G401=5,'Items sous domaines Sciences '!E401,0)</f>
        <v>0</v>
      </c>
      <c r="F399" t="e">
        <f>IF('Items sous domaines Sciences '!#REF!&lt;4,'Items sous domaines Sciences '!#REF!,0)</f>
        <v>#REF!</v>
      </c>
      <c r="G399" s="9" t="e">
        <f>IF(AND('Items sous domaines Sciences '!#REF!&lt;=5, 'Items sous domaines Sciences '!#REF!&gt;0),'Items sous domaines Sciences '!#REF!,0)</f>
        <v>#REF!</v>
      </c>
    </row>
    <row r="400" spans="2:7" customFormat="1" ht="13.2" hidden="1" x14ac:dyDescent="0.25">
      <c r="B400" s="8">
        <f>IF('Items sous domaines Sciences '!G402=5,'Items sous domaines Sciences '!B402,0)</f>
        <v>0</v>
      </c>
      <c r="C400" s="8">
        <f>IF('Items sous domaines Sciences '!G402=5,'Items sous domaines Sciences '!C402,0)</f>
        <v>0</v>
      </c>
      <c r="D400" s="8">
        <f>IF('Items sous domaines Sciences '!G402=5,'Items sous domaines Sciences '!D402,0)</f>
        <v>0</v>
      </c>
      <c r="E400" s="8">
        <f>IF('Items sous domaines Sciences '!G402=5,'Items sous domaines Sciences '!E402,0)</f>
        <v>0</v>
      </c>
      <c r="F400" t="e">
        <f>IF('Items sous domaines Sciences '!#REF!&lt;4,'Items sous domaines Sciences '!#REF!,0)</f>
        <v>#REF!</v>
      </c>
      <c r="G400" s="9" t="e">
        <f>IF(AND('Items sous domaines Sciences '!#REF!&lt;=5, 'Items sous domaines Sciences '!#REF!&gt;0),'Items sous domaines Sciences '!#REF!,0)</f>
        <v>#REF!</v>
      </c>
    </row>
    <row r="401" spans="2:7" customFormat="1" ht="13.2" hidden="1" x14ac:dyDescent="0.25">
      <c r="B401" s="8">
        <f>IF('Items sous domaines Sciences '!G403=5,'Items sous domaines Sciences '!B403,0)</f>
        <v>0</v>
      </c>
      <c r="C401" s="8">
        <f>IF('Items sous domaines Sciences '!G403=5,'Items sous domaines Sciences '!C403,0)</f>
        <v>0</v>
      </c>
      <c r="D401" s="8">
        <f>IF('Items sous domaines Sciences '!G403=5,'Items sous domaines Sciences '!D403,0)</f>
        <v>0</v>
      </c>
      <c r="E401" s="8">
        <f>IF('Items sous domaines Sciences '!G403=5,'Items sous domaines Sciences '!E403,0)</f>
        <v>0</v>
      </c>
      <c r="F401" t="e">
        <f>IF('Items sous domaines Sciences '!#REF!&lt;4,'Items sous domaines Sciences '!#REF!,0)</f>
        <v>#REF!</v>
      </c>
      <c r="G401" s="9" t="e">
        <f>IF(AND('Items sous domaines Sciences '!#REF!&lt;=5, 'Items sous domaines Sciences '!#REF!&gt;0),'Items sous domaines Sciences '!#REF!,0)</f>
        <v>#REF!</v>
      </c>
    </row>
    <row r="402" spans="2:7" customFormat="1" ht="13.2" hidden="1" x14ac:dyDescent="0.25">
      <c r="B402" s="8">
        <f>IF('Items sous domaines Sciences '!G404=5,'Items sous domaines Sciences '!B404,0)</f>
        <v>0</v>
      </c>
      <c r="C402" s="8">
        <f>IF('Items sous domaines Sciences '!G404=5,'Items sous domaines Sciences '!C404,0)</f>
        <v>0</v>
      </c>
      <c r="D402" s="8">
        <f>IF('Items sous domaines Sciences '!G404=5,'Items sous domaines Sciences '!D404,0)</f>
        <v>0</v>
      </c>
      <c r="E402" s="8">
        <f>IF('Items sous domaines Sciences '!G404=5,'Items sous domaines Sciences '!E404,0)</f>
        <v>0</v>
      </c>
      <c r="F402" t="e">
        <f>IF('Items sous domaines Sciences '!#REF!&lt;4,'Items sous domaines Sciences '!#REF!,0)</f>
        <v>#REF!</v>
      </c>
      <c r="G402" s="9" t="e">
        <f>IF(AND('Items sous domaines Sciences '!#REF!&lt;=5, 'Items sous domaines Sciences '!#REF!&gt;0),'Items sous domaines Sciences '!#REF!,0)</f>
        <v>#REF!</v>
      </c>
    </row>
    <row r="403" spans="2:7" customFormat="1" ht="13.2" hidden="1" x14ac:dyDescent="0.25">
      <c r="B403" s="8">
        <f>IF('Items sous domaines Sciences '!G405=5,'Items sous domaines Sciences '!B405,0)</f>
        <v>0</v>
      </c>
      <c r="C403" s="8">
        <f>IF('Items sous domaines Sciences '!G405=5,'Items sous domaines Sciences '!C405,0)</f>
        <v>0</v>
      </c>
      <c r="D403" s="8">
        <f>IF('Items sous domaines Sciences '!G405=5,'Items sous domaines Sciences '!D405,0)</f>
        <v>0</v>
      </c>
      <c r="E403" s="8">
        <f>IF('Items sous domaines Sciences '!G405=5,'Items sous domaines Sciences '!E405,0)</f>
        <v>0</v>
      </c>
      <c r="F403" t="e">
        <f>IF('Items sous domaines Sciences '!#REF!&lt;4,'Items sous domaines Sciences '!#REF!,0)</f>
        <v>#REF!</v>
      </c>
      <c r="G403" s="9" t="e">
        <f>IF(AND('Items sous domaines Sciences '!#REF!&lt;=5, 'Items sous domaines Sciences '!#REF!&gt;0),'Items sous domaines Sciences '!#REF!,0)</f>
        <v>#REF!</v>
      </c>
    </row>
    <row r="404" spans="2:7" customFormat="1" ht="13.2" hidden="1" x14ac:dyDescent="0.25">
      <c r="B404" s="8">
        <f>IF('Items sous domaines Sciences '!G406=5,'Items sous domaines Sciences '!B406,0)</f>
        <v>0</v>
      </c>
      <c r="C404" s="8">
        <f>IF('Items sous domaines Sciences '!G406=5,'Items sous domaines Sciences '!C406,0)</f>
        <v>0</v>
      </c>
      <c r="D404" s="8">
        <f>IF('Items sous domaines Sciences '!G406=5,'Items sous domaines Sciences '!D406,0)</f>
        <v>0</v>
      </c>
      <c r="E404" s="8">
        <f>IF('Items sous domaines Sciences '!G406=5,'Items sous domaines Sciences '!E406,0)</f>
        <v>0</v>
      </c>
      <c r="F404" t="e">
        <f>IF('Items sous domaines Sciences '!#REF!&lt;4,'Items sous domaines Sciences '!#REF!,0)</f>
        <v>#REF!</v>
      </c>
      <c r="G404" s="9" t="e">
        <f>IF(AND('Items sous domaines Sciences '!#REF!&lt;=5, 'Items sous domaines Sciences '!#REF!&gt;0),'Items sous domaines Sciences '!#REF!,0)</f>
        <v>#REF!</v>
      </c>
    </row>
    <row r="405" spans="2:7" customFormat="1" ht="13.2" hidden="1" x14ac:dyDescent="0.25">
      <c r="B405" s="8">
        <f>IF('Items sous domaines Sciences '!G407=5,'Items sous domaines Sciences '!B407,0)</f>
        <v>0</v>
      </c>
      <c r="C405" s="8">
        <f>IF('Items sous domaines Sciences '!G407=5,'Items sous domaines Sciences '!C407,0)</f>
        <v>0</v>
      </c>
      <c r="D405" s="8">
        <f>IF('Items sous domaines Sciences '!G407=5,'Items sous domaines Sciences '!D407,0)</f>
        <v>0</v>
      </c>
      <c r="E405" s="8">
        <f>IF('Items sous domaines Sciences '!G407=5,'Items sous domaines Sciences '!E407,0)</f>
        <v>0</v>
      </c>
      <c r="F405" t="e">
        <f>IF('Items sous domaines Sciences '!#REF!&lt;4,'Items sous domaines Sciences '!#REF!,0)</f>
        <v>#REF!</v>
      </c>
      <c r="G405" s="9" t="e">
        <f>IF(AND('Items sous domaines Sciences '!#REF!&lt;=5, 'Items sous domaines Sciences '!#REF!&gt;0),'Items sous domaines Sciences '!#REF!,0)</f>
        <v>#REF!</v>
      </c>
    </row>
    <row r="406" spans="2:7" customFormat="1" ht="13.2" hidden="1" x14ac:dyDescent="0.25">
      <c r="B406" s="8">
        <f>IF('Items sous domaines Sciences '!G408=5,'Items sous domaines Sciences '!B408,0)</f>
        <v>0</v>
      </c>
      <c r="C406" s="8">
        <f>IF('Items sous domaines Sciences '!G408=5,'Items sous domaines Sciences '!C408,0)</f>
        <v>0</v>
      </c>
      <c r="D406" s="8">
        <f>IF('Items sous domaines Sciences '!G408=5,'Items sous domaines Sciences '!D408,0)</f>
        <v>0</v>
      </c>
      <c r="E406" s="8">
        <f>IF('Items sous domaines Sciences '!G408=5,'Items sous domaines Sciences '!E408,0)</f>
        <v>0</v>
      </c>
      <c r="F406" t="e">
        <f>IF('Items sous domaines Sciences '!#REF!&lt;4,'Items sous domaines Sciences '!#REF!,0)</f>
        <v>#REF!</v>
      </c>
      <c r="G406" s="9" t="e">
        <f>IF(AND('Items sous domaines Sciences '!#REF!&lt;=5, 'Items sous domaines Sciences '!#REF!&gt;0),'Items sous domaines Sciences '!#REF!,0)</f>
        <v>#REF!</v>
      </c>
    </row>
    <row r="407" spans="2:7" customFormat="1" ht="13.2" hidden="1" x14ac:dyDescent="0.25">
      <c r="B407" s="8">
        <f>IF('Items sous domaines Sciences '!G409=5,'Items sous domaines Sciences '!B409,0)</f>
        <v>0</v>
      </c>
      <c r="C407" s="8">
        <f>IF('Items sous domaines Sciences '!G409=5,'Items sous domaines Sciences '!C409,0)</f>
        <v>0</v>
      </c>
      <c r="D407" s="8">
        <f>IF('Items sous domaines Sciences '!G409=5,'Items sous domaines Sciences '!D409,0)</f>
        <v>0</v>
      </c>
      <c r="E407" s="8">
        <f>IF('Items sous domaines Sciences '!G409=5,'Items sous domaines Sciences '!E409,0)</f>
        <v>0</v>
      </c>
      <c r="F407" t="e">
        <f>IF('Items sous domaines Sciences '!#REF!&lt;4,'Items sous domaines Sciences '!#REF!,0)</f>
        <v>#REF!</v>
      </c>
      <c r="G407" s="9" t="e">
        <f>IF(AND('Items sous domaines Sciences '!#REF!&lt;=5, 'Items sous domaines Sciences '!#REF!&gt;0),'Items sous domaines Sciences '!#REF!,0)</f>
        <v>#REF!</v>
      </c>
    </row>
    <row r="408" spans="2:7" customFormat="1" ht="13.2" hidden="1" x14ac:dyDescent="0.25">
      <c r="B408" s="8">
        <f>IF('Items sous domaines Sciences '!G410=5,'Items sous domaines Sciences '!B410,0)</f>
        <v>0</v>
      </c>
      <c r="C408" s="8">
        <f>IF('Items sous domaines Sciences '!G410=5,'Items sous domaines Sciences '!C410,0)</f>
        <v>0</v>
      </c>
      <c r="D408" s="8">
        <f>IF('Items sous domaines Sciences '!G410=5,'Items sous domaines Sciences '!D410,0)</f>
        <v>0</v>
      </c>
      <c r="E408" s="8">
        <f>IF('Items sous domaines Sciences '!G410=5,'Items sous domaines Sciences '!E410,0)</f>
        <v>0</v>
      </c>
      <c r="F408" t="e">
        <f>IF('Items sous domaines Sciences '!#REF!&lt;4,'Items sous domaines Sciences '!#REF!,0)</f>
        <v>#REF!</v>
      </c>
      <c r="G408" s="9" t="e">
        <f>IF(AND('Items sous domaines Sciences '!#REF!&lt;=5, 'Items sous domaines Sciences '!#REF!&gt;0),'Items sous domaines Sciences '!#REF!,0)</f>
        <v>#REF!</v>
      </c>
    </row>
    <row r="409" spans="2:7" customFormat="1" ht="13.2" hidden="1" x14ac:dyDescent="0.25">
      <c r="B409" s="8">
        <f>IF('Items sous domaines Sciences '!G411=5,'Items sous domaines Sciences '!B411,0)</f>
        <v>0</v>
      </c>
      <c r="C409" s="8">
        <f>IF('Items sous domaines Sciences '!G411=5,'Items sous domaines Sciences '!C411,0)</f>
        <v>0</v>
      </c>
      <c r="D409" s="8">
        <f>IF('Items sous domaines Sciences '!G411=5,'Items sous domaines Sciences '!D411,0)</f>
        <v>0</v>
      </c>
      <c r="E409" s="8">
        <f>IF('Items sous domaines Sciences '!G411=5,'Items sous domaines Sciences '!E411,0)</f>
        <v>0</v>
      </c>
      <c r="F409" t="e">
        <f>IF('Items sous domaines Sciences '!#REF!&lt;4,'Items sous domaines Sciences '!#REF!,0)</f>
        <v>#REF!</v>
      </c>
      <c r="G409" s="9" t="e">
        <f>IF(AND('Items sous domaines Sciences '!#REF!&lt;=5, 'Items sous domaines Sciences '!#REF!&gt;0),'Items sous domaines Sciences '!#REF!,0)</f>
        <v>#REF!</v>
      </c>
    </row>
    <row r="410" spans="2:7" customFormat="1" ht="13.2" hidden="1" x14ac:dyDescent="0.25">
      <c r="B410" s="8">
        <f>IF('Items sous domaines Sciences '!G412=5,'Items sous domaines Sciences '!B412,0)</f>
        <v>0</v>
      </c>
      <c r="C410" s="8">
        <f>IF('Items sous domaines Sciences '!G412=5,'Items sous domaines Sciences '!C412,0)</f>
        <v>0</v>
      </c>
      <c r="D410" s="8">
        <f>IF('Items sous domaines Sciences '!G412=5,'Items sous domaines Sciences '!D412,0)</f>
        <v>0</v>
      </c>
      <c r="E410" s="8">
        <f>IF('Items sous domaines Sciences '!G412=5,'Items sous domaines Sciences '!E412,0)</f>
        <v>0</v>
      </c>
      <c r="F410" t="e">
        <f>IF('Items sous domaines Sciences '!#REF!&lt;4,'Items sous domaines Sciences '!#REF!,0)</f>
        <v>#REF!</v>
      </c>
      <c r="G410" s="9" t="e">
        <f>IF(AND('Items sous domaines Sciences '!#REF!&lt;=5, 'Items sous domaines Sciences '!#REF!&gt;0),'Items sous domaines Sciences '!#REF!,0)</f>
        <v>#REF!</v>
      </c>
    </row>
    <row r="411" spans="2:7" customFormat="1" ht="13.2" hidden="1" x14ac:dyDescent="0.25">
      <c r="B411" s="8">
        <f>IF('Items sous domaines Sciences '!G413=5,'Items sous domaines Sciences '!B413,0)</f>
        <v>0</v>
      </c>
      <c r="C411" s="8">
        <f>IF('Items sous domaines Sciences '!G413=5,'Items sous domaines Sciences '!C413,0)</f>
        <v>0</v>
      </c>
      <c r="D411" s="8">
        <f>IF('Items sous domaines Sciences '!G413=5,'Items sous domaines Sciences '!D413,0)</f>
        <v>0</v>
      </c>
      <c r="E411" s="8">
        <f>IF('Items sous domaines Sciences '!G413=5,'Items sous domaines Sciences '!E413,0)</f>
        <v>0</v>
      </c>
      <c r="F411" t="e">
        <f>IF('Items sous domaines Sciences '!#REF!&lt;4,'Items sous domaines Sciences '!F311,0)</f>
        <v>#REF!</v>
      </c>
      <c r="G411" s="9" t="e">
        <f>IF(AND('Items sous domaines Sciences '!#REF!&lt;=5, 'Items sous domaines Sciences '!#REF!&gt;0),'Items sous domaines Sciences '!#REF!,0)</f>
        <v>#REF!</v>
      </c>
    </row>
    <row r="412" spans="2:7" customFormat="1" ht="13.2" hidden="1" x14ac:dyDescent="0.25">
      <c r="B412" s="8">
        <f>IF('Items sous domaines Sciences '!G414=5,'Items sous domaines Sciences '!B414,0)</f>
        <v>0</v>
      </c>
      <c r="C412" s="8">
        <f>IF('Items sous domaines Sciences '!G414=5,'Items sous domaines Sciences '!C414,0)</f>
        <v>0</v>
      </c>
      <c r="D412" s="8">
        <f>IF('Items sous domaines Sciences '!G414=5,'Items sous domaines Sciences '!D414,0)</f>
        <v>0</v>
      </c>
      <c r="E412" s="8">
        <f>IF('Items sous domaines Sciences '!G414=5,'Items sous domaines Sciences '!E414,0)</f>
        <v>0</v>
      </c>
      <c r="F412" t="e">
        <f>IF('Items sous domaines Sciences '!#REF!&lt;4,'Items sous domaines Sciences '!F312,0)</f>
        <v>#REF!</v>
      </c>
      <c r="G412" s="9" t="e">
        <f>IF(AND('Items sous domaines Sciences '!#REF!&lt;=5, 'Items sous domaines Sciences '!#REF!&gt;0),'Items sous domaines Sciences '!#REF!,0)</f>
        <v>#REF!</v>
      </c>
    </row>
    <row r="413" spans="2:7" customFormat="1" ht="13.2" hidden="1" x14ac:dyDescent="0.25">
      <c r="B413" s="8">
        <f>IF('Items sous domaines Sciences '!G415=5,'Items sous domaines Sciences '!B415,0)</f>
        <v>0</v>
      </c>
      <c r="C413" s="8">
        <f>IF('Items sous domaines Sciences '!G415=5,'Items sous domaines Sciences '!C415,0)</f>
        <v>0</v>
      </c>
      <c r="D413" s="8">
        <f>IF('Items sous domaines Sciences '!G415=5,'Items sous domaines Sciences '!D415,0)</f>
        <v>0</v>
      </c>
      <c r="E413" s="8">
        <f>IF('Items sous domaines Sciences '!G415=5,'Items sous domaines Sciences '!E415,0)</f>
        <v>0</v>
      </c>
      <c r="F413" t="e">
        <f>IF('Items sous domaines Sciences '!#REF!&lt;4,'Items sous domaines Sciences '!F313,0)</f>
        <v>#REF!</v>
      </c>
      <c r="G413" s="9" t="e">
        <f>IF(AND('Items sous domaines Sciences '!#REF!&lt;=5, 'Items sous domaines Sciences '!#REF!&gt;0),'Items sous domaines Sciences '!#REF!,0)</f>
        <v>#REF!</v>
      </c>
    </row>
    <row r="414" spans="2:7" customFormat="1" ht="13.2" hidden="1" x14ac:dyDescent="0.25">
      <c r="B414" s="8">
        <f>IF('Items sous domaines Sciences '!G416=5,'Items sous domaines Sciences '!B416,0)</f>
        <v>0</v>
      </c>
      <c r="C414" s="8">
        <f>IF('Items sous domaines Sciences '!G416=5,'Items sous domaines Sciences '!C416,0)</f>
        <v>0</v>
      </c>
      <c r="D414" s="8">
        <f>IF('Items sous domaines Sciences '!G416=5,'Items sous domaines Sciences '!D416,0)</f>
        <v>0</v>
      </c>
      <c r="E414" s="8">
        <f>IF('Items sous domaines Sciences '!G416=5,'Items sous domaines Sciences '!E416,0)</f>
        <v>0</v>
      </c>
      <c r="F414" t="e">
        <f>IF('Items sous domaines Sciences '!#REF!&lt;4,'Items sous domaines Sciences '!F314,0)</f>
        <v>#REF!</v>
      </c>
      <c r="G414" s="9" t="e">
        <f>IF(AND('Items sous domaines Sciences '!#REF!&lt;=5, 'Items sous domaines Sciences '!#REF!&gt;0),'Items sous domaines Sciences '!#REF!,0)</f>
        <v>#REF!</v>
      </c>
    </row>
    <row r="415" spans="2:7" customFormat="1" ht="13.2" hidden="1" x14ac:dyDescent="0.25">
      <c r="B415" s="8">
        <f>IF('Items sous domaines Sciences '!G417=5,'Items sous domaines Sciences '!B417,0)</f>
        <v>0</v>
      </c>
      <c r="C415" s="8">
        <f>IF('Items sous domaines Sciences '!G417=5,'Items sous domaines Sciences '!C417,0)</f>
        <v>0</v>
      </c>
      <c r="D415" s="8">
        <f>IF('Items sous domaines Sciences '!G417=5,'Items sous domaines Sciences '!D417,0)</f>
        <v>0</v>
      </c>
      <c r="E415" s="8">
        <f>IF('Items sous domaines Sciences '!G417=5,'Items sous domaines Sciences '!E417,0)</f>
        <v>0</v>
      </c>
      <c r="F415" t="e">
        <f>IF('Items sous domaines Sciences '!#REF!&lt;4,'Items sous domaines Sciences '!F315,0)</f>
        <v>#REF!</v>
      </c>
      <c r="G415" s="9" t="e">
        <f>IF(AND('Items sous domaines Sciences '!#REF!&lt;=5, 'Items sous domaines Sciences '!#REF!&gt;0),'Items sous domaines Sciences '!#REF!,0)</f>
        <v>#REF!</v>
      </c>
    </row>
    <row r="416" spans="2:7" customFormat="1" ht="13.2" hidden="1" x14ac:dyDescent="0.25">
      <c r="B416" s="8">
        <f>IF('Items sous domaines Sciences '!G418=5,'Items sous domaines Sciences '!B418,0)</f>
        <v>0</v>
      </c>
      <c r="C416" s="8">
        <f>IF('Items sous domaines Sciences '!G418=5,'Items sous domaines Sciences '!C418,0)</f>
        <v>0</v>
      </c>
      <c r="D416" s="8">
        <f>IF('Items sous domaines Sciences '!G418=5,'Items sous domaines Sciences '!D418,0)</f>
        <v>0</v>
      </c>
      <c r="E416" s="8">
        <f>IF('Items sous domaines Sciences '!G418=5,'Items sous domaines Sciences '!E418,0)</f>
        <v>0</v>
      </c>
      <c r="F416" t="e">
        <f>IF('Items sous domaines Sciences '!#REF!&lt;4,'Items sous domaines Sciences '!F316,0)</f>
        <v>#REF!</v>
      </c>
      <c r="G416" s="9" t="e">
        <f>IF(AND('Items sous domaines Sciences '!#REF!&lt;=5, 'Items sous domaines Sciences '!#REF!&gt;0),'Items sous domaines Sciences '!#REF!,0)</f>
        <v>#REF!</v>
      </c>
    </row>
    <row r="417" spans="2:7" customFormat="1" ht="13.2" hidden="1" x14ac:dyDescent="0.25">
      <c r="B417" s="8">
        <f>IF('Items sous domaines Sciences '!G419=5,'Items sous domaines Sciences '!B419,0)</f>
        <v>0</v>
      </c>
      <c r="C417" s="8">
        <f>IF('Items sous domaines Sciences '!G419=5,'Items sous domaines Sciences '!C419,0)</f>
        <v>0</v>
      </c>
      <c r="D417" s="8">
        <f>IF('Items sous domaines Sciences '!G419=5,'Items sous domaines Sciences '!D419,0)</f>
        <v>0</v>
      </c>
      <c r="E417" s="8">
        <f>IF('Items sous domaines Sciences '!G419=5,'Items sous domaines Sciences '!E419,0)</f>
        <v>0</v>
      </c>
      <c r="F417" t="e">
        <f>IF('Items sous domaines Sciences '!#REF!&lt;4,'Items sous domaines Sciences '!F317,0)</f>
        <v>#REF!</v>
      </c>
      <c r="G417" s="9" t="e">
        <f>IF(AND('Items sous domaines Sciences '!#REF!&lt;=5, 'Items sous domaines Sciences '!#REF!&gt;0),'Items sous domaines Sciences '!#REF!,0)</f>
        <v>#REF!</v>
      </c>
    </row>
    <row r="418" spans="2:7" customFormat="1" ht="13.2" hidden="1" x14ac:dyDescent="0.25">
      <c r="B418" s="8">
        <f>IF('Items sous domaines Sciences '!G420=5,'Items sous domaines Sciences '!B420,0)</f>
        <v>0</v>
      </c>
      <c r="C418" s="8">
        <f>IF('Items sous domaines Sciences '!G420=5,'Items sous domaines Sciences '!C420,0)</f>
        <v>0</v>
      </c>
      <c r="D418" s="8">
        <f>IF('Items sous domaines Sciences '!G420=5,'Items sous domaines Sciences '!D420,0)</f>
        <v>0</v>
      </c>
      <c r="E418" s="8">
        <f>IF('Items sous domaines Sciences '!G420=5,'Items sous domaines Sciences '!E420,0)</f>
        <v>0</v>
      </c>
      <c r="F418" t="e">
        <f>IF('Items sous domaines Sciences '!#REF!&lt;4,'Items sous domaines Sciences '!F318,0)</f>
        <v>#REF!</v>
      </c>
      <c r="G418" s="9" t="e">
        <f>IF(AND('Items sous domaines Sciences '!#REF!&lt;=5, 'Items sous domaines Sciences '!#REF!&gt;0),'Items sous domaines Sciences '!#REF!,0)</f>
        <v>#REF!</v>
      </c>
    </row>
    <row r="419" spans="2:7" customFormat="1" ht="13.2" hidden="1" x14ac:dyDescent="0.25">
      <c r="B419" s="8">
        <f>IF('Items sous domaines Sciences '!G421=5,'Items sous domaines Sciences '!B421,0)</f>
        <v>0</v>
      </c>
      <c r="C419" s="8">
        <f>IF('Items sous domaines Sciences '!G421=5,'Items sous domaines Sciences '!C421,0)</f>
        <v>0</v>
      </c>
      <c r="D419" s="8">
        <f>IF('Items sous domaines Sciences '!G421=5,'Items sous domaines Sciences '!D421,0)</f>
        <v>0</v>
      </c>
      <c r="E419" s="8">
        <f>IF('Items sous domaines Sciences '!G421=5,'Items sous domaines Sciences '!E421,0)</f>
        <v>0</v>
      </c>
      <c r="F419" t="e">
        <f>IF('Items sous domaines Sciences '!#REF!&lt;4,'Items sous domaines Sciences '!F319,0)</f>
        <v>#REF!</v>
      </c>
      <c r="G419" s="9" t="e">
        <f>IF(AND('Items sous domaines Sciences '!#REF!&lt;=5, 'Items sous domaines Sciences '!#REF!&gt;0),'Items sous domaines Sciences '!#REF!,0)</f>
        <v>#REF!</v>
      </c>
    </row>
    <row r="420" spans="2:7" customFormat="1" ht="13.2" hidden="1" x14ac:dyDescent="0.25">
      <c r="B420" s="8">
        <f>IF('Items sous domaines Sciences '!G422=5,'Items sous domaines Sciences '!B422,0)</f>
        <v>0</v>
      </c>
      <c r="C420" s="8">
        <f>IF('Items sous domaines Sciences '!G422=5,'Items sous domaines Sciences '!C422,0)</f>
        <v>0</v>
      </c>
      <c r="D420" s="8">
        <f>IF('Items sous domaines Sciences '!G422=5,'Items sous domaines Sciences '!D422,0)</f>
        <v>0</v>
      </c>
      <c r="E420" s="8">
        <f>IF('Items sous domaines Sciences '!G422=5,'Items sous domaines Sciences '!E422,0)</f>
        <v>0</v>
      </c>
      <c r="F420" t="e">
        <f>IF('Items sous domaines Sciences '!#REF!&lt;4,'Items sous domaines Sciences '!F320,0)</f>
        <v>#REF!</v>
      </c>
      <c r="G420" s="9" t="e">
        <f>IF(AND('Items sous domaines Sciences '!#REF!&lt;=5, 'Items sous domaines Sciences '!#REF!&gt;0),'Items sous domaines Sciences '!#REF!,0)</f>
        <v>#REF!</v>
      </c>
    </row>
    <row r="421" spans="2:7" customFormat="1" ht="13.2" hidden="1" x14ac:dyDescent="0.25">
      <c r="B421" s="8">
        <f>IF('Items sous domaines Sciences '!G423=5,'Items sous domaines Sciences '!B423,0)</f>
        <v>0</v>
      </c>
      <c r="C421" s="8">
        <f>IF('Items sous domaines Sciences '!G423=5,'Items sous domaines Sciences '!C423,0)</f>
        <v>0</v>
      </c>
      <c r="D421" s="8">
        <f>IF('Items sous domaines Sciences '!G423=5,'Items sous domaines Sciences '!D423,0)</f>
        <v>0</v>
      </c>
      <c r="E421" s="8">
        <f>IF('Items sous domaines Sciences '!G423=5,'Items sous domaines Sciences '!E423,0)</f>
        <v>0</v>
      </c>
      <c r="F421" t="e">
        <f>IF('Items sous domaines Sciences '!#REF!&lt;4,'Items sous domaines Sciences '!F321,0)</f>
        <v>#REF!</v>
      </c>
      <c r="G421" s="9" t="e">
        <f>IF(AND('Items sous domaines Sciences '!#REF!&lt;=5, 'Items sous domaines Sciences '!#REF!&gt;0),'Items sous domaines Sciences '!#REF!,0)</f>
        <v>#REF!</v>
      </c>
    </row>
    <row r="422" spans="2:7" customFormat="1" ht="13.2" hidden="1" x14ac:dyDescent="0.25">
      <c r="B422" s="8">
        <f>IF('Items sous domaines Sciences '!G424=5,'Items sous domaines Sciences '!B424,0)</f>
        <v>0</v>
      </c>
      <c r="C422" s="8">
        <f>IF('Items sous domaines Sciences '!G424=5,'Items sous domaines Sciences '!C424,0)</f>
        <v>0</v>
      </c>
      <c r="D422" s="8">
        <f>IF('Items sous domaines Sciences '!G424=5,'Items sous domaines Sciences '!D424,0)</f>
        <v>0</v>
      </c>
      <c r="E422" s="8">
        <f>IF('Items sous domaines Sciences '!G424=5,'Items sous domaines Sciences '!E424,0)</f>
        <v>0</v>
      </c>
      <c r="F422" t="e">
        <f>IF('Items sous domaines Sciences '!#REF!&lt;4,'Items sous domaines Sciences '!F322,0)</f>
        <v>#REF!</v>
      </c>
      <c r="G422" s="9" t="e">
        <f>IF(AND('Items sous domaines Sciences '!#REF!&lt;=5, 'Items sous domaines Sciences '!#REF!&gt;0),'Items sous domaines Sciences '!#REF!,0)</f>
        <v>#REF!</v>
      </c>
    </row>
    <row r="423" spans="2:7" customFormat="1" ht="13.2" hidden="1" x14ac:dyDescent="0.25">
      <c r="B423" s="8">
        <f>IF('Items sous domaines Sciences '!G425=5,'Items sous domaines Sciences '!B425,0)</f>
        <v>0</v>
      </c>
      <c r="C423" s="8">
        <f>IF('Items sous domaines Sciences '!G425=5,'Items sous domaines Sciences '!C425,0)</f>
        <v>0</v>
      </c>
      <c r="D423" s="8">
        <f>IF('Items sous domaines Sciences '!G425=5,'Items sous domaines Sciences '!D425,0)</f>
        <v>0</v>
      </c>
      <c r="E423" s="8">
        <f>IF('Items sous domaines Sciences '!G425=5,'Items sous domaines Sciences '!E425,0)</f>
        <v>0</v>
      </c>
      <c r="F423" t="e">
        <f>IF('Items sous domaines Sciences '!#REF!&lt;4,'Items sous domaines Sciences '!F323,0)</f>
        <v>#REF!</v>
      </c>
      <c r="G423" s="9" t="e">
        <f>IF(AND('Items sous domaines Sciences '!#REF!&lt;=5, 'Items sous domaines Sciences '!#REF!&gt;0),'Items sous domaines Sciences '!#REF!,0)</f>
        <v>#REF!</v>
      </c>
    </row>
    <row r="424" spans="2:7" customFormat="1" ht="13.2" hidden="1" x14ac:dyDescent="0.25">
      <c r="B424" s="8">
        <f>IF('Items sous domaines Sciences '!G426=5,'Items sous domaines Sciences '!B426,0)</f>
        <v>0</v>
      </c>
      <c r="C424" s="8">
        <f>IF('Items sous domaines Sciences '!G426=5,'Items sous domaines Sciences '!C426,0)</f>
        <v>0</v>
      </c>
      <c r="D424" s="8">
        <f>IF('Items sous domaines Sciences '!G426=5,'Items sous domaines Sciences '!D426,0)</f>
        <v>0</v>
      </c>
      <c r="E424" s="8">
        <f>IF('Items sous domaines Sciences '!G426=5,'Items sous domaines Sciences '!E426,0)</f>
        <v>0</v>
      </c>
      <c r="F424" t="e">
        <f>IF('Items sous domaines Sciences '!#REF!&lt;4,'Items sous domaines Sciences '!F324,0)</f>
        <v>#REF!</v>
      </c>
      <c r="G424" s="9" t="e">
        <f>IF(AND('Items sous domaines Sciences '!#REF!&lt;=5, 'Items sous domaines Sciences '!#REF!&gt;0),'Items sous domaines Sciences '!#REF!,0)</f>
        <v>#REF!</v>
      </c>
    </row>
    <row r="425" spans="2:7" customFormat="1" ht="13.2" hidden="1" x14ac:dyDescent="0.25">
      <c r="B425" s="8">
        <f>IF('Items sous domaines Sciences '!G427=5,'Items sous domaines Sciences '!B427,0)</f>
        <v>0</v>
      </c>
      <c r="C425" s="8">
        <f>IF('Items sous domaines Sciences '!G427=5,'Items sous domaines Sciences '!C427,0)</f>
        <v>0</v>
      </c>
      <c r="D425" s="8">
        <f>IF('Items sous domaines Sciences '!G427=5,'Items sous domaines Sciences '!D427,0)</f>
        <v>0</v>
      </c>
      <c r="E425" s="8">
        <f>IF('Items sous domaines Sciences '!G427=5,'Items sous domaines Sciences '!E427,0)</f>
        <v>0</v>
      </c>
      <c r="F425" t="e">
        <f>IF('Items sous domaines Sciences '!#REF!&lt;4,'Items sous domaines Sciences '!F325,0)</f>
        <v>#REF!</v>
      </c>
      <c r="G425" s="9" t="e">
        <f>IF(AND('Items sous domaines Sciences '!#REF!&lt;=5, 'Items sous domaines Sciences '!#REF!&gt;0),'Items sous domaines Sciences '!#REF!,0)</f>
        <v>#REF!</v>
      </c>
    </row>
    <row r="426" spans="2:7" customFormat="1" ht="13.2" hidden="1" x14ac:dyDescent="0.25">
      <c r="B426" s="8">
        <f>IF('Items sous domaines Sciences '!G428=5,'Items sous domaines Sciences '!B428,0)</f>
        <v>0</v>
      </c>
      <c r="C426" s="8">
        <f>IF('Items sous domaines Sciences '!G428=5,'Items sous domaines Sciences '!C428,0)</f>
        <v>0</v>
      </c>
      <c r="D426" s="8">
        <f>IF('Items sous domaines Sciences '!G428=5,'Items sous domaines Sciences '!D428,0)</f>
        <v>0</v>
      </c>
      <c r="E426" s="8">
        <f>IF('Items sous domaines Sciences '!G428=5,'Items sous domaines Sciences '!E428,0)</f>
        <v>0</v>
      </c>
      <c r="F426" t="e">
        <f>IF('Items sous domaines Sciences '!#REF!&lt;4,'Items sous domaines Sciences '!F326,0)</f>
        <v>#REF!</v>
      </c>
      <c r="G426" s="9" t="e">
        <f>IF(AND('Items sous domaines Sciences '!#REF!&lt;=5, 'Items sous domaines Sciences '!#REF!&gt;0),'Items sous domaines Sciences '!#REF!,0)</f>
        <v>#REF!</v>
      </c>
    </row>
    <row r="427" spans="2:7" customFormat="1" ht="13.2" hidden="1" x14ac:dyDescent="0.25">
      <c r="B427" s="8">
        <f>IF('Items sous domaines Sciences '!G429=5,'Items sous domaines Sciences '!B429,0)</f>
        <v>0</v>
      </c>
      <c r="C427" s="8">
        <f>IF('Items sous domaines Sciences '!G429=5,'Items sous domaines Sciences '!C429,0)</f>
        <v>0</v>
      </c>
      <c r="D427" s="8">
        <f>IF('Items sous domaines Sciences '!G429=5,'Items sous domaines Sciences '!D429,0)</f>
        <v>0</v>
      </c>
      <c r="E427" s="8">
        <f>IF('Items sous domaines Sciences '!G429=5,'Items sous domaines Sciences '!E429,0)</f>
        <v>0</v>
      </c>
      <c r="F427" t="e">
        <f>IF('Items sous domaines Sciences '!#REF!&lt;4,'Items sous domaines Sciences '!F327,0)</f>
        <v>#REF!</v>
      </c>
      <c r="G427" s="9" t="e">
        <f>IF(AND('Items sous domaines Sciences '!#REF!&lt;=5, 'Items sous domaines Sciences '!#REF!&gt;0),'Items sous domaines Sciences '!#REF!,0)</f>
        <v>#REF!</v>
      </c>
    </row>
    <row r="428" spans="2:7" customFormat="1" ht="13.2" hidden="1" x14ac:dyDescent="0.25">
      <c r="B428" s="8">
        <f>IF('Items sous domaines Sciences '!G430=5,'Items sous domaines Sciences '!B430,0)</f>
        <v>0</v>
      </c>
      <c r="C428" s="8">
        <f>IF('Items sous domaines Sciences '!G430=5,'Items sous domaines Sciences '!C430,0)</f>
        <v>0</v>
      </c>
      <c r="D428" s="8">
        <f>IF('Items sous domaines Sciences '!G430=5,'Items sous domaines Sciences '!D430,0)</f>
        <v>0</v>
      </c>
      <c r="E428" s="8">
        <f>IF('Items sous domaines Sciences '!G430=5,'Items sous domaines Sciences '!E430,0)</f>
        <v>0</v>
      </c>
      <c r="F428" t="e">
        <f>IF('Items sous domaines Sciences '!#REF!&lt;4,'Items sous domaines Sciences '!F328,0)</f>
        <v>#REF!</v>
      </c>
      <c r="G428" s="9" t="e">
        <f>IF(AND('Items sous domaines Sciences '!#REF!&lt;=5, 'Items sous domaines Sciences '!#REF!&gt;0),'Items sous domaines Sciences '!#REF!,0)</f>
        <v>#REF!</v>
      </c>
    </row>
    <row r="429" spans="2:7" customFormat="1" ht="13.2" hidden="1" x14ac:dyDescent="0.25">
      <c r="B429" s="8">
        <f>IF('Items sous domaines Sciences '!G431=5,'Items sous domaines Sciences '!B431,0)</f>
        <v>0</v>
      </c>
      <c r="C429" s="8">
        <f>IF('Items sous domaines Sciences '!G431=5,'Items sous domaines Sciences '!C431,0)</f>
        <v>0</v>
      </c>
      <c r="D429" s="8">
        <f>IF('Items sous domaines Sciences '!G431=5,'Items sous domaines Sciences '!D431,0)</f>
        <v>0</v>
      </c>
      <c r="E429" s="8">
        <f>IF('Items sous domaines Sciences '!G431=5,'Items sous domaines Sciences '!E431,0)</f>
        <v>0</v>
      </c>
      <c r="F429" t="e">
        <f>IF('Items sous domaines Sciences '!#REF!&lt;4,'Items sous domaines Sciences '!F329,0)</f>
        <v>#REF!</v>
      </c>
      <c r="G429" s="9" t="e">
        <f>IF(AND('Items sous domaines Sciences '!#REF!&lt;=5, 'Items sous domaines Sciences '!#REF!&gt;0),'Items sous domaines Sciences '!#REF!,0)</f>
        <v>#REF!</v>
      </c>
    </row>
    <row r="430" spans="2:7" customFormat="1" ht="13.2" hidden="1" x14ac:dyDescent="0.25">
      <c r="B430" s="8">
        <f>IF('Items sous domaines Sciences '!G432=5,'Items sous domaines Sciences '!B432,0)</f>
        <v>0</v>
      </c>
      <c r="C430" s="8">
        <f>IF('Items sous domaines Sciences '!G432=5,'Items sous domaines Sciences '!C432,0)</f>
        <v>0</v>
      </c>
      <c r="D430" s="8">
        <f>IF('Items sous domaines Sciences '!G432=5,'Items sous domaines Sciences '!D432,0)</f>
        <v>0</v>
      </c>
      <c r="E430" s="8">
        <f>IF('Items sous domaines Sciences '!G432=5,'Items sous domaines Sciences '!E432,0)</f>
        <v>0</v>
      </c>
      <c r="F430" t="e">
        <f>IF('Items sous domaines Sciences '!#REF!&lt;4,'Items sous domaines Sciences '!F330,0)</f>
        <v>#REF!</v>
      </c>
      <c r="G430" s="9" t="e">
        <f>IF(AND('Items sous domaines Sciences '!#REF!&lt;=5, 'Items sous domaines Sciences '!#REF!&gt;0),'Items sous domaines Sciences '!#REF!,0)</f>
        <v>#REF!</v>
      </c>
    </row>
    <row r="431" spans="2:7" customFormat="1" ht="13.2" hidden="1" x14ac:dyDescent="0.25">
      <c r="B431" s="8">
        <f>IF('Items sous domaines Sciences '!G433=5,'Items sous domaines Sciences '!B433,0)</f>
        <v>0</v>
      </c>
      <c r="C431" s="8">
        <f>IF('Items sous domaines Sciences '!G433=5,'Items sous domaines Sciences '!C433,0)</f>
        <v>0</v>
      </c>
      <c r="D431" s="8">
        <f>IF('Items sous domaines Sciences '!G433=5,'Items sous domaines Sciences '!D433,0)</f>
        <v>0</v>
      </c>
      <c r="E431" s="8">
        <f>IF('Items sous domaines Sciences '!G433=5,'Items sous domaines Sciences '!E433,0)</f>
        <v>0</v>
      </c>
      <c r="F431" t="e">
        <f>IF('Items sous domaines Sciences '!#REF!&lt;4,'Items sous domaines Sciences '!F331,0)</f>
        <v>#REF!</v>
      </c>
      <c r="G431" s="9" t="e">
        <f>IF(AND('Items sous domaines Sciences '!#REF!&lt;=5, 'Items sous domaines Sciences '!#REF!&gt;0),'Items sous domaines Sciences '!H311,0)</f>
        <v>#REF!</v>
      </c>
    </row>
    <row r="432" spans="2:7" customFormat="1" ht="13.2" hidden="1" x14ac:dyDescent="0.25">
      <c r="B432" s="8">
        <f>IF('Items sous domaines Sciences '!G434=5,'Items sous domaines Sciences '!B434,0)</f>
        <v>0</v>
      </c>
      <c r="C432" s="8">
        <f>IF('Items sous domaines Sciences '!G434=5,'Items sous domaines Sciences '!C434,0)</f>
        <v>0</v>
      </c>
      <c r="D432" s="8">
        <f>IF('Items sous domaines Sciences '!G434=5,'Items sous domaines Sciences '!D434,0)</f>
        <v>0</v>
      </c>
      <c r="E432" s="8">
        <f>IF('Items sous domaines Sciences '!G434=5,'Items sous domaines Sciences '!E434,0)</f>
        <v>0</v>
      </c>
      <c r="F432" t="e">
        <f>IF('Items sous domaines Sciences '!G332&lt;4,'Items sous domaines Sciences '!#REF!,0)</f>
        <v>#REF!</v>
      </c>
      <c r="G432" s="9" t="e">
        <f>IF(AND('Items sous domaines Sciences '!#REF!&lt;=5, 'Items sous domaines Sciences '!#REF!&gt;0),'Items sous domaines Sciences '!H312,0)</f>
        <v>#REF!</v>
      </c>
    </row>
    <row r="433" spans="2:7" customFormat="1" ht="13.2" hidden="1" x14ac:dyDescent="0.25">
      <c r="B433" s="8">
        <f>IF('Items sous domaines Sciences '!G435=5,'Items sous domaines Sciences '!B435,0)</f>
        <v>0</v>
      </c>
      <c r="C433" s="8">
        <f>IF('Items sous domaines Sciences '!G435=5,'Items sous domaines Sciences '!C435,0)</f>
        <v>0</v>
      </c>
      <c r="D433" s="8">
        <f>IF('Items sous domaines Sciences '!G435=5,'Items sous domaines Sciences '!D435,0)</f>
        <v>0</v>
      </c>
      <c r="E433" s="8">
        <f>IF('Items sous domaines Sciences '!G435=5,'Items sous domaines Sciences '!E435,0)</f>
        <v>0</v>
      </c>
      <c r="F433" t="e">
        <f>IF('Items sous domaines Sciences '!G333&lt;4,'Items sous domaines Sciences '!#REF!,0)</f>
        <v>#REF!</v>
      </c>
      <c r="G433" s="9" t="e">
        <f>IF(AND('Items sous domaines Sciences '!#REF!&lt;=5, 'Items sous domaines Sciences '!#REF!&gt;0),'Items sous domaines Sciences '!H313,0)</f>
        <v>#REF!</v>
      </c>
    </row>
    <row r="434" spans="2:7" customFormat="1" ht="13.2" hidden="1" x14ac:dyDescent="0.25">
      <c r="B434" s="8">
        <f>IF('Items sous domaines Sciences '!G436=5,'Items sous domaines Sciences '!B436,0)</f>
        <v>0</v>
      </c>
      <c r="C434" s="8">
        <f>IF('Items sous domaines Sciences '!G436=5,'Items sous domaines Sciences '!C436,0)</f>
        <v>0</v>
      </c>
      <c r="D434" s="8">
        <f>IF('Items sous domaines Sciences '!G436=5,'Items sous domaines Sciences '!D436,0)</f>
        <v>0</v>
      </c>
      <c r="E434" s="8">
        <f>IF('Items sous domaines Sciences '!G436=5,'Items sous domaines Sciences '!E436,0)</f>
        <v>0</v>
      </c>
      <c r="F434" t="e">
        <f>IF('Items sous domaines Sciences '!G334&lt;4,'Items sous domaines Sciences '!#REF!,0)</f>
        <v>#REF!</v>
      </c>
      <c r="G434" s="9" t="e">
        <f>IF(AND('Items sous domaines Sciences '!#REF!&lt;=5, 'Items sous domaines Sciences '!#REF!&gt;0),'Items sous domaines Sciences '!H314,0)</f>
        <v>#REF!</v>
      </c>
    </row>
    <row r="435" spans="2:7" customFormat="1" ht="13.2" hidden="1" x14ac:dyDescent="0.25">
      <c r="B435" s="8">
        <f>IF('Items sous domaines Sciences '!G437=5,'Items sous domaines Sciences '!B437,0)</f>
        <v>0</v>
      </c>
      <c r="C435" s="8">
        <f>IF('Items sous domaines Sciences '!G437=5,'Items sous domaines Sciences '!C437,0)</f>
        <v>0</v>
      </c>
      <c r="D435" s="8">
        <f>IF('Items sous domaines Sciences '!G437=5,'Items sous domaines Sciences '!D437,0)</f>
        <v>0</v>
      </c>
      <c r="E435" s="8">
        <f>IF('Items sous domaines Sciences '!G437=5,'Items sous domaines Sciences '!E437,0)</f>
        <v>0</v>
      </c>
      <c r="F435" t="e">
        <f>IF('Items sous domaines Sciences '!G335&lt;4,'Items sous domaines Sciences '!#REF!,0)</f>
        <v>#REF!</v>
      </c>
      <c r="G435" s="9" t="e">
        <f>IF(AND('Items sous domaines Sciences '!#REF!&lt;=5, 'Items sous domaines Sciences '!#REF!&gt;0),'Items sous domaines Sciences '!H315,0)</f>
        <v>#REF!</v>
      </c>
    </row>
    <row r="436" spans="2:7" customFormat="1" ht="13.2" hidden="1" x14ac:dyDescent="0.25">
      <c r="B436" s="8">
        <f>IF('Items sous domaines Sciences '!G438=5,'Items sous domaines Sciences '!B438,0)</f>
        <v>0</v>
      </c>
      <c r="C436" s="8">
        <f>IF('Items sous domaines Sciences '!G438=5,'Items sous domaines Sciences '!C438,0)</f>
        <v>0</v>
      </c>
      <c r="D436" s="8">
        <f>IF('Items sous domaines Sciences '!G438=5,'Items sous domaines Sciences '!D438,0)</f>
        <v>0</v>
      </c>
      <c r="E436" s="8">
        <f>IF('Items sous domaines Sciences '!G438=5,'Items sous domaines Sciences '!E438,0)</f>
        <v>0</v>
      </c>
      <c r="F436" t="e">
        <f>IF('Items sous domaines Sciences '!G336&lt;4,'Items sous domaines Sciences '!#REF!,0)</f>
        <v>#REF!</v>
      </c>
      <c r="G436" s="9" t="e">
        <f>IF(AND('Items sous domaines Sciences '!#REF!&lt;=5, 'Items sous domaines Sciences '!#REF!&gt;0),'Items sous domaines Sciences '!H316,0)</f>
        <v>#REF!</v>
      </c>
    </row>
    <row r="437" spans="2:7" customFormat="1" ht="13.2" hidden="1" x14ac:dyDescent="0.25">
      <c r="B437" s="8">
        <f>IF('Items sous domaines Sciences '!G439=5,'Items sous domaines Sciences '!B439,0)</f>
        <v>0</v>
      </c>
      <c r="C437" s="8">
        <f>IF('Items sous domaines Sciences '!G439=5,'Items sous domaines Sciences '!C439,0)</f>
        <v>0</v>
      </c>
      <c r="D437" s="8">
        <f>IF('Items sous domaines Sciences '!G439=5,'Items sous domaines Sciences '!D439,0)</f>
        <v>0</v>
      </c>
      <c r="E437" s="8">
        <f>IF('Items sous domaines Sciences '!G439=5,'Items sous domaines Sciences '!E439,0)</f>
        <v>0</v>
      </c>
      <c r="F437" t="e">
        <f>IF('Items sous domaines Sciences '!G337&lt;4,'Items sous domaines Sciences '!#REF!,0)</f>
        <v>#REF!</v>
      </c>
      <c r="G437" s="9" t="e">
        <f>IF(AND('Items sous domaines Sciences '!#REF!&lt;=5, 'Items sous domaines Sciences '!#REF!&gt;0),'Items sous domaines Sciences '!H317,0)</f>
        <v>#REF!</v>
      </c>
    </row>
    <row r="438" spans="2:7" customFormat="1" ht="13.2" hidden="1" x14ac:dyDescent="0.25">
      <c r="B438" s="8">
        <f>IF('Items sous domaines Sciences '!G440=5,'Items sous domaines Sciences '!B440,0)</f>
        <v>0</v>
      </c>
      <c r="C438" s="8">
        <f>IF('Items sous domaines Sciences '!G440=5,'Items sous domaines Sciences '!C440,0)</f>
        <v>0</v>
      </c>
      <c r="D438" s="8">
        <f>IF('Items sous domaines Sciences '!G440=5,'Items sous domaines Sciences '!D440,0)</f>
        <v>0</v>
      </c>
      <c r="E438" s="8">
        <f>IF('Items sous domaines Sciences '!G440=5,'Items sous domaines Sciences '!E440,0)</f>
        <v>0</v>
      </c>
      <c r="F438" t="e">
        <f>IF('Items sous domaines Sciences '!G338&lt;4,'Items sous domaines Sciences '!#REF!,0)</f>
        <v>#REF!</v>
      </c>
      <c r="G438" s="9" t="e">
        <f>IF(AND('Items sous domaines Sciences '!#REF!&lt;=5, 'Items sous domaines Sciences '!#REF!&gt;0),'Items sous domaines Sciences '!H318,0)</f>
        <v>#REF!</v>
      </c>
    </row>
    <row r="439" spans="2:7" customFormat="1" ht="13.2" hidden="1" x14ac:dyDescent="0.25">
      <c r="B439" s="8">
        <f>IF('Items sous domaines Sciences '!G441=5,'Items sous domaines Sciences '!B441,0)</f>
        <v>0</v>
      </c>
      <c r="C439" s="8">
        <f>IF('Items sous domaines Sciences '!G441=5,'Items sous domaines Sciences '!C441,0)</f>
        <v>0</v>
      </c>
      <c r="D439" s="8">
        <f>IF('Items sous domaines Sciences '!G441=5,'Items sous domaines Sciences '!D441,0)</f>
        <v>0</v>
      </c>
      <c r="E439" s="8">
        <f>IF('Items sous domaines Sciences '!G441=5,'Items sous domaines Sciences '!E441,0)</f>
        <v>0</v>
      </c>
      <c r="F439" t="e">
        <f>IF('Items sous domaines Sciences '!G339&lt;4,'Items sous domaines Sciences '!#REF!,0)</f>
        <v>#REF!</v>
      </c>
      <c r="G439" s="9" t="e">
        <f>IF(AND('Items sous domaines Sciences '!#REF!&lt;=5, 'Items sous domaines Sciences '!#REF!&gt;0),'Items sous domaines Sciences '!H319,0)</f>
        <v>#REF!</v>
      </c>
    </row>
    <row r="440" spans="2:7" customFormat="1" ht="13.2" hidden="1" x14ac:dyDescent="0.25">
      <c r="B440" s="8">
        <f>IF('Items sous domaines Sciences '!G442=5,'Items sous domaines Sciences '!B442,0)</f>
        <v>0</v>
      </c>
      <c r="C440" s="8">
        <f>IF('Items sous domaines Sciences '!G442=5,'Items sous domaines Sciences '!C442,0)</f>
        <v>0</v>
      </c>
      <c r="D440" s="8">
        <f>IF('Items sous domaines Sciences '!G442=5,'Items sous domaines Sciences '!D442,0)</f>
        <v>0</v>
      </c>
      <c r="E440" s="8">
        <f>IF('Items sous domaines Sciences '!G442=5,'Items sous domaines Sciences '!E442,0)</f>
        <v>0</v>
      </c>
      <c r="F440" t="e">
        <f>IF('Items sous domaines Sciences '!G340&lt;4,'Items sous domaines Sciences '!#REF!,0)</f>
        <v>#REF!</v>
      </c>
      <c r="G440" s="9" t="e">
        <f>IF(AND('Items sous domaines Sciences '!#REF!&lt;=5, 'Items sous domaines Sciences '!#REF!&gt;0),'Items sous domaines Sciences '!H320,0)</f>
        <v>#REF!</v>
      </c>
    </row>
    <row r="441" spans="2:7" customFormat="1" ht="13.2" hidden="1" x14ac:dyDescent="0.25">
      <c r="B441" s="8">
        <f>IF('Items sous domaines Sciences '!G443=5,'Items sous domaines Sciences '!B443,0)</f>
        <v>0</v>
      </c>
      <c r="C441" s="8">
        <f>IF('Items sous domaines Sciences '!G443=5,'Items sous domaines Sciences '!C443,0)</f>
        <v>0</v>
      </c>
      <c r="D441" s="8">
        <f>IF('Items sous domaines Sciences '!G443=5,'Items sous domaines Sciences '!D443,0)</f>
        <v>0</v>
      </c>
      <c r="E441" s="8">
        <f>IF('Items sous domaines Sciences '!G443=5,'Items sous domaines Sciences '!E443,0)</f>
        <v>0</v>
      </c>
      <c r="F441" t="e">
        <f>IF('Items sous domaines Sciences '!G341&lt;4,'Items sous domaines Sciences '!#REF!,0)</f>
        <v>#REF!</v>
      </c>
      <c r="G441" s="9" t="e">
        <f>IF(AND('Items sous domaines Sciences '!#REF!&lt;=5, 'Items sous domaines Sciences '!#REF!&gt;0),'Items sous domaines Sciences '!H321,0)</f>
        <v>#REF!</v>
      </c>
    </row>
    <row r="442" spans="2:7" customFormat="1" ht="13.2" hidden="1" x14ac:dyDescent="0.25">
      <c r="B442" s="8">
        <f>IF('Items sous domaines Sciences '!G444=5,'Items sous domaines Sciences '!B444,0)</f>
        <v>0</v>
      </c>
      <c r="C442" s="8">
        <f>IF('Items sous domaines Sciences '!G444=5,'Items sous domaines Sciences '!C444,0)</f>
        <v>0</v>
      </c>
      <c r="D442" s="8">
        <f>IF('Items sous domaines Sciences '!G444=5,'Items sous domaines Sciences '!D444,0)</f>
        <v>0</v>
      </c>
      <c r="E442" s="8">
        <f>IF('Items sous domaines Sciences '!G444=5,'Items sous domaines Sciences '!E444,0)</f>
        <v>0</v>
      </c>
      <c r="F442" t="e">
        <f>IF('Items sous domaines Sciences '!G342&lt;4,'Items sous domaines Sciences '!#REF!,0)</f>
        <v>#REF!</v>
      </c>
      <c r="G442" s="9" t="e">
        <f>IF(AND('Items sous domaines Sciences '!#REF!&lt;=5, 'Items sous domaines Sciences '!#REF!&gt;0),'Items sous domaines Sciences '!H322,0)</f>
        <v>#REF!</v>
      </c>
    </row>
    <row r="443" spans="2:7" customFormat="1" ht="13.2" hidden="1" x14ac:dyDescent="0.25">
      <c r="B443" s="8">
        <f>IF('Items sous domaines Sciences '!G445=5,'Items sous domaines Sciences '!B445,0)</f>
        <v>0</v>
      </c>
      <c r="C443" s="8">
        <f>IF('Items sous domaines Sciences '!G445=5,'Items sous domaines Sciences '!C445,0)</f>
        <v>0</v>
      </c>
      <c r="D443" s="8">
        <f>IF('Items sous domaines Sciences '!G445=5,'Items sous domaines Sciences '!D445,0)</f>
        <v>0</v>
      </c>
      <c r="E443" s="8">
        <f>IF('Items sous domaines Sciences '!G445=5,'Items sous domaines Sciences '!E445,0)</f>
        <v>0</v>
      </c>
      <c r="F443" t="e">
        <f>IF('Items sous domaines Sciences '!G343&lt;4,'Items sous domaines Sciences '!#REF!,0)</f>
        <v>#REF!</v>
      </c>
      <c r="G443" s="9" t="e">
        <f>IF(AND('Items sous domaines Sciences '!#REF!&lt;=5, 'Items sous domaines Sciences '!#REF!&gt;0),'Items sous domaines Sciences '!H323,0)</f>
        <v>#REF!</v>
      </c>
    </row>
    <row r="444" spans="2:7" customFormat="1" ht="13.2" hidden="1" x14ac:dyDescent="0.25">
      <c r="B444" s="8">
        <f>IF('Items sous domaines Sciences '!G446=5,'Items sous domaines Sciences '!B446,0)</f>
        <v>0</v>
      </c>
      <c r="C444" s="8">
        <f>IF('Items sous domaines Sciences '!G446=5,'Items sous domaines Sciences '!C446,0)</f>
        <v>0</v>
      </c>
      <c r="D444" s="8">
        <f>IF('Items sous domaines Sciences '!G446=5,'Items sous domaines Sciences '!D446,0)</f>
        <v>0</v>
      </c>
      <c r="E444" s="8">
        <f>IF('Items sous domaines Sciences '!G446=5,'Items sous domaines Sciences '!E446,0)</f>
        <v>0</v>
      </c>
      <c r="F444" t="e">
        <f>IF('Items sous domaines Sciences '!G344&lt;4,'Items sous domaines Sciences '!#REF!,0)</f>
        <v>#REF!</v>
      </c>
      <c r="G444" s="9" t="e">
        <f>IF(AND('Items sous domaines Sciences '!#REF!&lt;=5, 'Items sous domaines Sciences '!#REF!&gt;0),'Items sous domaines Sciences '!H324,0)</f>
        <v>#REF!</v>
      </c>
    </row>
    <row r="445" spans="2:7" customFormat="1" ht="13.2" hidden="1" x14ac:dyDescent="0.25">
      <c r="B445" s="8">
        <f>IF('Items sous domaines Sciences '!G447=5,'Items sous domaines Sciences '!B447,0)</f>
        <v>0</v>
      </c>
      <c r="C445" s="8">
        <f>IF('Items sous domaines Sciences '!G447=5,'Items sous domaines Sciences '!C447,0)</f>
        <v>0</v>
      </c>
      <c r="D445" s="8">
        <f>IF('Items sous domaines Sciences '!G447=5,'Items sous domaines Sciences '!D447,0)</f>
        <v>0</v>
      </c>
      <c r="E445" s="8">
        <f>IF('Items sous domaines Sciences '!G447=5,'Items sous domaines Sciences '!E447,0)</f>
        <v>0</v>
      </c>
      <c r="F445" t="e">
        <f>IF('Items sous domaines Sciences '!G345&lt;4,'Items sous domaines Sciences '!#REF!,0)</f>
        <v>#REF!</v>
      </c>
      <c r="G445" s="9" t="e">
        <f>IF(AND('Items sous domaines Sciences '!#REF!&lt;=5, 'Items sous domaines Sciences '!#REF!&gt;0),'Items sous domaines Sciences '!H325,0)</f>
        <v>#REF!</v>
      </c>
    </row>
    <row r="446" spans="2:7" customFormat="1" ht="13.2" hidden="1" x14ac:dyDescent="0.25">
      <c r="B446" s="8">
        <f>IF('Items sous domaines Sciences '!G448=5,'Items sous domaines Sciences '!B448,0)</f>
        <v>0</v>
      </c>
      <c r="C446" s="8">
        <f>IF('Items sous domaines Sciences '!G448=5,'Items sous domaines Sciences '!C448,0)</f>
        <v>0</v>
      </c>
      <c r="D446" s="8">
        <f>IF('Items sous domaines Sciences '!G448=5,'Items sous domaines Sciences '!D448,0)</f>
        <v>0</v>
      </c>
      <c r="E446" s="8">
        <f>IF('Items sous domaines Sciences '!G448=5,'Items sous domaines Sciences '!E448,0)</f>
        <v>0</v>
      </c>
      <c r="F446" t="e">
        <f>IF('Items sous domaines Sciences '!G346&lt;4,'Items sous domaines Sciences '!#REF!,0)</f>
        <v>#REF!</v>
      </c>
      <c r="G446" s="9" t="e">
        <f>IF(AND('Items sous domaines Sciences '!#REF!&lt;=5, 'Items sous domaines Sciences '!#REF!&gt;0),'Items sous domaines Sciences '!H326,0)</f>
        <v>#REF!</v>
      </c>
    </row>
    <row r="447" spans="2:7" customFormat="1" ht="13.2" hidden="1" x14ac:dyDescent="0.25">
      <c r="B447" s="8">
        <f>IF('Items sous domaines Sciences '!G449=5,'Items sous domaines Sciences '!B449,0)</f>
        <v>0</v>
      </c>
      <c r="C447" s="8">
        <f>IF('Items sous domaines Sciences '!G449=5,'Items sous domaines Sciences '!C449,0)</f>
        <v>0</v>
      </c>
      <c r="D447" s="8">
        <f>IF('Items sous domaines Sciences '!G449=5,'Items sous domaines Sciences '!D449,0)</f>
        <v>0</v>
      </c>
      <c r="E447" s="8">
        <f>IF('Items sous domaines Sciences '!G449=5,'Items sous domaines Sciences '!E449,0)</f>
        <v>0</v>
      </c>
      <c r="F447" t="e">
        <f>IF('Items sous domaines Sciences '!G347&lt;4,'Items sous domaines Sciences '!#REF!,0)</f>
        <v>#REF!</v>
      </c>
      <c r="G447" s="9" t="e">
        <f>IF(AND('Items sous domaines Sciences '!#REF!&lt;=5, 'Items sous domaines Sciences '!#REF!&gt;0),'Items sous domaines Sciences '!H327,0)</f>
        <v>#REF!</v>
      </c>
    </row>
    <row r="448" spans="2:7" customFormat="1" ht="13.2" hidden="1" x14ac:dyDescent="0.25">
      <c r="B448" s="8">
        <f>IF('Items sous domaines Sciences '!G450=5,'Items sous domaines Sciences '!B450,0)</f>
        <v>0</v>
      </c>
      <c r="C448" s="8">
        <f>IF('Items sous domaines Sciences '!G450=5,'Items sous domaines Sciences '!C450,0)</f>
        <v>0</v>
      </c>
      <c r="D448" s="8">
        <f>IF('Items sous domaines Sciences '!G450=5,'Items sous domaines Sciences '!D450,0)</f>
        <v>0</v>
      </c>
      <c r="E448" s="8">
        <f>IF('Items sous domaines Sciences '!G450=5,'Items sous domaines Sciences '!E450,0)</f>
        <v>0</v>
      </c>
      <c r="F448" t="e">
        <f>IF('Items sous domaines Sciences '!G348&lt;4,'Items sous domaines Sciences '!#REF!,0)</f>
        <v>#REF!</v>
      </c>
      <c r="G448" s="9" t="e">
        <f>IF(AND('Items sous domaines Sciences '!#REF!&lt;=5, 'Items sous domaines Sciences '!#REF!&gt;0),'Items sous domaines Sciences '!H328,0)</f>
        <v>#REF!</v>
      </c>
    </row>
    <row r="449" spans="2:7" customFormat="1" ht="13.2" hidden="1" x14ac:dyDescent="0.25">
      <c r="B449" s="8">
        <f>IF('Items sous domaines Sciences '!G451=5,'Items sous domaines Sciences '!B451,0)</f>
        <v>0</v>
      </c>
      <c r="C449" s="8">
        <f>IF('Items sous domaines Sciences '!G451=5,'Items sous domaines Sciences '!C451,0)</f>
        <v>0</v>
      </c>
      <c r="D449" s="8">
        <f>IF('Items sous domaines Sciences '!G451=5,'Items sous domaines Sciences '!D451,0)</f>
        <v>0</v>
      </c>
      <c r="E449" s="8">
        <f>IF('Items sous domaines Sciences '!G451=5,'Items sous domaines Sciences '!E451,0)</f>
        <v>0</v>
      </c>
      <c r="F449" t="e">
        <f>IF('Items sous domaines Sciences '!G349&lt;4,'Items sous domaines Sciences '!#REF!,0)</f>
        <v>#REF!</v>
      </c>
      <c r="G449" s="9" t="e">
        <f>IF(AND('Items sous domaines Sciences '!#REF!&lt;=5, 'Items sous domaines Sciences '!#REF!&gt;0),'Items sous domaines Sciences '!H329,0)</f>
        <v>#REF!</v>
      </c>
    </row>
    <row r="450" spans="2:7" customFormat="1" ht="13.2" hidden="1" x14ac:dyDescent="0.25">
      <c r="B450" s="8">
        <f>IF('Items sous domaines Sciences '!G452=5,'Items sous domaines Sciences '!B452,0)</f>
        <v>0</v>
      </c>
      <c r="C450" s="8">
        <f>IF('Items sous domaines Sciences '!G452=5,'Items sous domaines Sciences '!C452,0)</f>
        <v>0</v>
      </c>
      <c r="D450" s="8">
        <f>IF('Items sous domaines Sciences '!G452=5,'Items sous domaines Sciences '!D452,0)</f>
        <v>0</v>
      </c>
      <c r="E450" s="8">
        <f>IF('Items sous domaines Sciences '!G452=5,'Items sous domaines Sciences '!E452,0)</f>
        <v>0</v>
      </c>
      <c r="F450" t="e">
        <f>IF('Items sous domaines Sciences '!G350&lt;4,'Items sous domaines Sciences '!#REF!,0)</f>
        <v>#REF!</v>
      </c>
      <c r="G450" s="9" t="e">
        <f>IF(AND('Items sous domaines Sciences '!#REF!&lt;=5, 'Items sous domaines Sciences '!#REF!&gt;0),'Items sous domaines Sciences '!H330,0)</f>
        <v>#REF!</v>
      </c>
    </row>
    <row r="451" spans="2:7" customFormat="1" ht="13.2" hidden="1" x14ac:dyDescent="0.25">
      <c r="B451" s="8">
        <f>IF('Items sous domaines Sciences '!G453=5,'Items sous domaines Sciences '!B453,0)</f>
        <v>0</v>
      </c>
      <c r="C451" s="8">
        <f>IF('Items sous domaines Sciences '!G453=5,'Items sous domaines Sciences '!C453,0)</f>
        <v>0</v>
      </c>
      <c r="D451" s="8">
        <f>IF('Items sous domaines Sciences '!G453=5,'Items sous domaines Sciences '!D453,0)</f>
        <v>0</v>
      </c>
      <c r="E451" s="8">
        <f>IF('Items sous domaines Sciences '!G453=5,'Items sous domaines Sciences '!E453,0)</f>
        <v>0</v>
      </c>
      <c r="F451" t="e">
        <f>IF('Items sous domaines Sciences '!G351&lt;4,'Items sous domaines Sciences '!#REF!,0)</f>
        <v>#REF!</v>
      </c>
      <c r="G451" s="9" t="e">
        <f>IF(AND('Items sous domaines Sciences '!#REF!&lt;=5, 'Items sous domaines Sciences '!#REF!&gt;0),'Items sous domaines Sciences '!H331,0)</f>
        <v>#REF!</v>
      </c>
    </row>
    <row r="452" spans="2:7" customFormat="1" ht="13.2" hidden="1" x14ac:dyDescent="0.25">
      <c r="B452" s="8">
        <f>IF('Items sous domaines Sciences '!G454=5,'Items sous domaines Sciences '!B454,0)</f>
        <v>0</v>
      </c>
      <c r="C452" s="8">
        <f>IF('Items sous domaines Sciences '!G454=5,'Items sous domaines Sciences '!C454,0)</f>
        <v>0</v>
      </c>
      <c r="D452" s="8">
        <f>IF('Items sous domaines Sciences '!G454=5,'Items sous domaines Sciences '!D454,0)</f>
        <v>0</v>
      </c>
      <c r="E452" s="8">
        <f>IF('Items sous domaines Sciences '!G454=5,'Items sous domaines Sciences '!E454,0)</f>
        <v>0</v>
      </c>
      <c r="F452" t="e">
        <f>IF('Items sous domaines Sciences '!G352&lt;4,'Items sous domaines Sciences '!#REF!,0)</f>
        <v>#REF!</v>
      </c>
      <c r="G452" s="9" t="e">
        <f>IF(AND('Items sous domaines Sciences '!#REF!&lt;=5, 'Items sous domaines Sciences '!#REF!&gt;0),'Items sous domaines Sciences '!H332,0)</f>
        <v>#REF!</v>
      </c>
    </row>
    <row r="453" spans="2:7" customFormat="1" ht="13.2" hidden="1" x14ac:dyDescent="0.25">
      <c r="B453" s="8">
        <f>IF('Items sous domaines Sciences '!G455=5,'Items sous domaines Sciences '!B455,0)</f>
        <v>0</v>
      </c>
      <c r="C453" s="8">
        <f>IF('Items sous domaines Sciences '!G455=5,'Items sous domaines Sciences '!C455,0)</f>
        <v>0</v>
      </c>
      <c r="D453" s="8">
        <f>IF('Items sous domaines Sciences '!G455=5,'Items sous domaines Sciences '!D455,0)</f>
        <v>0</v>
      </c>
      <c r="E453" s="8">
        <f>IF('Items sous domaines Sciences '!G455=5,'Items sous domaines Sciences '!E455,0)</f>
        <v>0</v>
      </c>
      <c r="F453" t="e">
        <f>IF('Items sous domaines Sciences '!G353&lt;4,'Items sous domaines Sciences '!#REF!,0)</f>
        <v>#REF!</v>
      </c>
      <c r="G453" s="9" t="e">
        <f>IF(AND('Items sous domaines Sciences '!#REF!&lt;=5, 'Items sous domaines Sciences '!#REF!&gt;0),'Items sous domaines Sciences '!H333,0)</f>
        <v>#REF!</v>
      </c>
    </row>
    <row r="454" spans="2:7" customFormat="1" ht="13.2" hidden="1" x14ac:dyDescent="0.25">
      <c r="B454" s="8">
        <f>IF('Items sous domaines Sciences '!G456=5,'Items sous domaines Sciences '!B456,0)</f>
        <v>0</v>
      </c>
      <c r="C454" s="8">
        <f>IF('Items sous domaines Sciences '!G456=5,'Items sous domaines Sciences '!C456,0)</f>
        <v>0</v>
      </c>
      <c r="D454" s="8">
        <f>IF('Items sous domaines Sciences '!G456=5,'Items sous domaines Sciences '!D456,0)</f>
        <v>0</v>
      </c>
      <c r="E454" s="8">
        <f>IF('Items sous domaines Sciences '!G456=5,'Items sous domaines Sciences '!E456,0)</f>
        <v>0</v>
      </c>
      <c r="F454" t="e">
        <f>IF('Items sous domaines Sciences '!G354&lt;4,'Items sous domaines Sciences '!#REF!,0)</f>
        <v>#REF!</v>
      </c>
      <c r="G454" s="9" t="e">
        <f>IF(AND('Items sous domaines Sciences '!#REF!&lt;=5, 'Items sous domaines Sciences '!#REF!&gt;0),'Items sous domaines Sciences '!H334,0)</f>
        <v>#REF!</v>
      </c>
    </row>
    <row r="455" spans="2:7" customFormat="1" ht="13.2" hidden="1" x14ac:dyDescent="0.25">
      <c r="B455" s="8">
        <f>IF('Items sous domaines Sciences '!G457=5,'Items sous domaines Sciences '!B457,0)</f>
        <v>0</v>
      </c>
      <c r="C455" s="8">
        <f>IF('Items sous domaines Sciences '!G457=5,'Items sous domaines Sciences '!C457,0)</f>
        <v>0</v>
      </c>
      <c r="D455" s="8">
        <f>IF('Items sous domaines Sciences '!G457=5,'Items sous domaines Sciences '!D457,0)</f>
        <v>0</v>
      </c>
      <c r="E455" s="8">
        <f>IF('Items sous domaines Sciences '!G457=5,'Items sous domaines Sciences '!E457,0)</f>
        <v>0</v>
      </c>
      <c r="F455" t="e">
        <f>IF('Items sous domaines Sciences '!G355&lt;4,'Items sous domaines Sciences '!#REF!,0)</f>
        <v>#REF!</v>
      </c>
      <c r="G455" s="9" t="e">
        <f>IF(AND('Items sous domaines Sciences '!#REF!&lt;=5, 'Items sous domaines Sciences '!#REF!&gt;0),'Items sous domaines Sciences '!H335,0)</f>
        <v>#REF!</v>
      </c>
    </row>
    <row r="456" spans="2:7" customFormat="1" ht="13.2" hidden="1" x14ac:dyDescent="0.25">
      <c r="B456" s="8">
        <f>IF('Items sous domaines Sciences '!G458=5,'Items sous domaines Sciences '!B458,0)</f>
        <v>0</v>
      </c>
      <c r="C456" s="8">
        <f>IF('Items sous domaines Sciences '!G458=5,'Items sous domaines Sciences '!C458,0)</f>
        <v>0</v>
      </c>
      <c r="D456" s="8">
        <f>IF('Items sous domaines Sciences '!G458=5,'Items sous domaines Sciences '!D458,0)</f>
        <v>0</v>
      </c>
      <c r="E456" s="8">
        <f>IF('Items sous domaines Sciences '!G458=5,'Items sous domaines Sciences '!E458,0)</f>
        <v>0</v>
      </c>
      <c r="F456" t="e">
        <f>IF('Items sous domaines Sciences '!G356&lt;4,'Items sous domaines Sciences '!#REF!,0)</f>
        <v>#REF!</v>
      </c>
      <c r="G456" s="9" t="e">
        <f>IF(AND('Items sous domaines Sciences '!#REF!&lt;=5, 'Items sous domaines Sciences '!#REF!&gt;0),'Items sous domaines Sciences '!H336,0)</f>
        <v>#REF!</v>
      </c>
    </row>
    <row r="457" spans="2:7" customFormat="1" ht="13.2" hidden="1" x14ac:dyDescent="0.25">
      <c r="B457" s="8">
        <f>IF('Items sous domaines Sciences '!G459=5,'Items sous domaines Sciences '!B459,0)</f>
        <v>0</v>
      </c>
      <c r="C457" s="8">
        <f>IF('Items sous domaines Sciences '!G459=5,'Items sous domaines Sciences '!C459,0)</f>
        <v>0</v>
      </c>
      <c r="D457" s="8">
        <f>IF('Items sous domaines Sciences '!G459=5,'Items sous domaines Sciences '!D459,0)</f>
        <v>0</v>
      </c>
      <c r="E457" s="8">
        <f>IF('Items sous domaines Sciences '!G459=5,'Items sous domaines Sciences '!E459,0)</f>
        <v>0</v>
      </c>
      <c r="F457" t="e">
        <f>IF('Items sous domaines Sciences '!G357&lt;4,'Items sous domaines Sciences '!#REF!,0)</f>
        <v>#REF!</v>
      </c>
      <c r="G457" s="9" t="e">
        <f>IF(AND('Items sous domaines Sciences '!#REF!&lt;=5, 'Items sous domaines Sciences '!#REF!&gt;0),'Items sous domaines Sciences '!H337,0)</f>
        <v>#REF!</v>
      </c>
    </row>
    <row r="458" spans="2:7" customFormat="1" ht="13.2" hidden="1" x14ac:dyDescent="0.25">
      <c r="B458" s="8">
        <f>IF('Items sous domaines Sciences '!G460=5,'Items sous domaines Sciences '!B460,0)</f>
        <v>0</v>
      </c>
      <c r="C458" s="8">
        <f>IF('Items sous domaines Sciences '!G460=5,'Items sous domaines Sciences '!C460,0)</f>
        <v>0</v>
      </c>
      <c r="D458" s="8">
        <f>IF('Items sous domaines Sciences '!G460=5,'Items sous domaines Sciences '!D460,0)</f>
        <v>0</v>
      </c>
      <c r="E458" s="8">
        <f>IF('Items sous domaines Sciences '!G460=5,'Items sous domaines Sciences '!E460,0)</f>
        <v>0</v>
      </c>
      <c r="F458" t="e">
        <f>IF('Items sous domaines Sciences '!G358&lt;4,'Items sous domaines Sciences '!#REF!,0)</f>
        <v>#REF!</v>
      </c>
      <c r="G458" s="9" t="e">
        <f>IF(AND('Items sous domaines Sciences '!#REF!&lt;=5, 'Items sous domaines Sciences '!#REF!&gt;0),'Items sous domaines Sciences '!H338,0)</f>
        <v>#REF!</v>
      </c>
    </row>
    <row r="459" spans="2:7" customFormat="1" ht="13.2" hidden="1" x14ac:dyDescent="0.25">
      <c r="B459" s="8">
        <f>IF('Items sous domaines Sciences '!G461=5,'Items sous domaines Sciences '!B461,0)</f>
        <v>0</v>
      </c>
      <c r="C459" s="8">
        <f>IF('Items sous domaines Sciences '!G461=5,'Items sous domaines Sciences '!C461,0)</f>
        <v>0</v>
      </c>
      <c r="D459" s="8">
        <f>IF('Items sous domaines Sciences '!G461=5,'Items sous domaines Sciences '!D461,0)</f>
        <v>0</v>
      </c>
      <c r="E459" s="8">
        <f>IF('Items sous domaines Sciences '!G461=5,'Items sous domaines Sciences '!E461,0)</f>
        <v>0</v>
      </c>
      <c r="F459" t="e">
        <f>IF('Items sous domaines Sciences '!G359&lt;4,'Items sous domaines Sciences '!#REF!,0)</f>
        <v>#REF!</v>
      </c>
      <c r="G459" s="9" t="e">
        <f>IF(AND('Items sous domaines Sciences '!#REF!&lt;=5, 'Items sous domaines Sciences '!#REF!&gt;0),'Items sous domaines Sciences '!H339,0)</f>
        <v>#REF!</v>
      </c>
    </row>
    <row r="460" spans="2:7" customFormat="1" ht="13.2" hidden="1" x14ac:dyDescent="0.25">
      <c r="B460" s="8">
        <f>IF('Items sous domaines Sciences '!G462=5,'Items sous domaines Sciences '!B462,0)</f>
        <v>0</v>
      </c>
      <c r="C460" s="8">
        <f>IF('Items sous domaines Sciences '!G462=5,'Items sous domaines Sciences '!C462,0)</f>
        <v>0</v>
      </c>
      <c r="D460" s="8">
        <f>IF('Items sous domaines Sciences '!G462=5,'Items sous domaines Sciences '!D462,0)</f>
        <v>0</v>
      </c>
      <c r="E460" s="8">
        <f>IF('Items sous domaines Sciences '!G462=5,'Items sous domaines Sciences '!E462,0)</f>
        <v>0</v>
      </c>
      <c r="F460" t="e">
        <f>IF('Items sous domaines Sciences '!G360&lt;4,'Items sous domaines Sciences '!#REF!,0)</f>
        <v>#REF!</v>
      </c>
      <c r="G460" s="9" t="e">
        <f>IF(AND('Items sous domaines Sciences '!#REF!&lt;=5, 'Items sous domaines Sciences '!#REF!&gt;0),'Items sous domaines Sciences '!H340,0)</f>
        <v>#REF!</v>
      </c>
    </row>
    <row r="461" spans="2:7" customFormat="1" ht="13.2" hidden="1" x14ac:dyDescent="0.25">
      <c r="B461" s="8">
        <f>IF('Items sous domaines Sciences '!G463=5,'Items sous domaines Sciences '!B463,0)</f>
        <v>0</v>
      </c>
      <c r="C461" s="8">
        <f>IF('Items sous domaines Sciences '!G463=5,'Items sous domaines Sciences '!C463,0)</f>
        <v>0</v>
      </c>
      <c r="D461" s="8">
        <f>IF('Items sous domaines Sciences '!G463=5,'Items sous domaines Sciences '!D463,0)</f>
        <v>0</v>
      </c>
      <c r="E461" s="8">
        <f>IF('Items sous domaines Sciences '!G463=5,'Items sous domaines Sciences '!E463,0)</f>
        <v>0</v>
      </c>
      <c r="F461" t="e">
        <f>IF('Items sous domaines Sciences '!G361&lt;4,'Items sous domaines Sciences '!#REF!,0)</f>
        <v>#REF!</v>
      </c>
      <c r="G461" s="9" t="e">
        <f>IF(AND('Items sous domaines Sciences '!#REF!&lt;=5, 'Items sous domaines Sciences '!#REF!&gt;0),'Items sous domaines Sciences '!H341,0)</f>
        <v>#REF!</v>
      </c>
    </row>
    <row r="462" spans="2:7" customFormat="1" ht="13.2" hidden="1" x14ac:dyDescent="0.25">
      <c r="B462" s="8">
        <f>IF('Items sous domaines Sciences '!G464=5,'Items sous domaines Sciences '!B464,0)</f>
        <v>0</v>
      </c>
      <c r="C462" s="8">
        <f>IF('Items sous domaines Sciences '!G464=5,'Items sous domaines Sciences '!C464,0)</f>
        <v>0</v>
      </c>
      <c r="D462" s="8">
        <f>IF('Items sous domaines Sciences '!G464=5,'Items sous domaines Sciences '!D464,0)</f>
        <v>0</v>
      </c>
      <c r="E462" s="8">
        <f>IF('Items sous domaines Sciences '!G464=5,'Items sous domaines Sciences '!E464,0)</f>
        <v>0</v>
      </c>
      <c r="F462" t="e">
        <f>IF('Items sous domaines Sciences '!G362&lt;4,'Items sous domaines Sciences '!#REF!,0)</f>
        <v>#REF!</v>
      </c>
      <c r="G462" s="9" t="e">
        <f>IF(AND('Items sous domaines Sciences '!#REF!&lt;=5, 'Items sous domaines Sciences '!#REF!&gt;0),'Items sous domaines Sciences '!H342,0)</f>
        <v>#REF!</v>
      </c>
    </row>
    <row r="463" spans="2:7" customFormat="1" ht="13.2" hidden="1" x14ac:dyDescent="0.25">
      <c r="B463" s="8">
        <f>IF('Items sous domaines Sciences '!G465=5,'Items sous domaines Sciences '!B465,0)</f>
        <v>0</v>
      </c>
      <c r="C463" s="8">
        <f>IF('Items sous domaines Sciences '!G465=5,'Items sous domaines Sciences '!C465,0)</f>
        <v>0</v>
      </c>
      <c r="D463" s="8">
        <f>IF('Items sous domaines Sciences '!G465=5,'Items sous domaines Sciences '!D465,0)</f>
        <v>0</v>
      </c>
      <c r="E463" s="8">
        <f>IF('Items sous domaines Sciences '!G465=5,'Items sous domaines Sciences '!E465,0)</f>
        <v>0</v>
      </c>
      <c r="F463" t="e">
        <f>IF('Items sous domaines Sciences '!G363&lt;4,'Items sous domaines Sciences '!#REF!,0)</f>
        <v>#REF!</v>
      </c>
      <c r="G463" s="9" t="e">
        <f>IF(AND('Items sous domaines Sciences '!#REF!&lt;=5, 'Items sous domaines Sciences '!#REF!&gt;0),'Items sous domaines Sciences '!H343,0)</f>
        <v>#REF!</v>
      </c>
    </row>
    <row r="464" spans="2:7" customFormat="1" ht="13.2" hidden="1" x14ac:dyDescent="0.25">
      <c r="B464" s="8">
        <f>IF('Items sous domaines Sciences '!G466=5,'Items sous domaines Sciences '!B466,0)</f>
        <v>0</v>
      </c>
      <c r="C464" s="8">
        <f>IF('Items sous domaines Sciences '!G466=5,'Items sous domaines Sciences '!C466,0)</f>
        <v>0</v>
      </c>
      <c r="D464" s="8">
        <f>IF('Items sous domaines Sciences '!G466=5,'Items sous domaines Sciences '!D466,0)</f>
        <v>0</v>
      </c>
      <c r="E464" s="8">
        <f>IF('Items sous domaines Sciences '!G466=5,'Items sous domaines Sciences '!E466,0)</f>
        <v>0</v>
      </c>
      <c r="F464" t="e">
        <f>IF('Items sous domaines Sciences '!G364&lt;4,'Items sous domaines Sciences '!#REF!,0)</f>
        <v>#REF!</v>
      </c>
      <c r="G464" s="9" t="e">
        <f>IF(AND('Items sous domaines Sciences '!#REF!&lt;=5, 'Items sous domaines Sciences '!#REF!&gt;0),'Items sous domaines Sciences '!H344,0)</f>
        <v>#REF!</v>
      </c>
    </row>
    <row r="465" spans="2:7" customFormat="1" ht="13.2" hidden="1" x14ac:dyDescent="0.25">
      <c r="B465" s="8">
        <f>IF('Items sous domaines Sciences '!G467=5,'Items sous domaines Sciences '!B467,0)</f>
        <v>0</v>
      </c>
      <c r="C465" s="8">
        <f>IF('Items sous domaines Sciences '!G467=5,'Items sous domaines Sciences '!C467,0)</f>
        <v>0</v>
      </c>
      <c r="D465" s="8">
        <f>IF('Items sous domaines Sciences '!G467=5,'Items sous domaines Sciences '!D467,0)</f>
        <v>0</v>
      </c>
      <c r="E465" s="8">
        <f>IF('Items sous domaines Sciences '!G467=5,'Items sous domaines Sciences '!E467,0)</f>
        <v>0</v>
      </c>
      <c r="F465" t="e">
        <f>IF('Items sous domaines Sciences '!G365&lt;4,'Items sous domaines Sciences '!#REF!,0)</f>
        <v>#REF!</v>
      </c>
      <c r="G465" s="9" t="e">
        <f>IF(AND('Items sous domaines Sciences '!#REF!&lt;=5, 'Items sous domaines Sciences '!#REF!&gt;0),'Items sous domaines Sciences '!H345,0)</f>
        <v>#REF!</v>
      </c>
    </row>
    <row r="466" spans="2:7" customFormat="1" ht="13.2" hidden="1" x14ac:dyDescent="0.25">
      <c r="B466" s="8">
        <f>IF('Items sous domaines Sciences '!G468=5,'Items sous domaines Sciences '!B468,0)</f>
        <v>0</v>
      </c>
      <c r="C466" s="8">
        <f>IF('Items sous domaines Sciences '!G468=5,'Items sous domaines Sciences '!C468,0)</f>
        <v>0</v>
      </c>
      <c r="D466" s="8">
        <f>IF('Items sous domaines Sciences '!G468=5,'Items sous domaines Sciences '!D468,0)</f>
        <v>0</v>
      </c>
      <c r="E466" s="8">
        <f>IF('Items sous domaines Sciences '!G468=5,'Items sous domaines Sciences '!E468,0)</f>
        <v>0</v>
      </c>
      <c r="F466" t="e">
        <f>IF('Items sous domaines Sciences '!G366&lt;4,'Items sous domaines Sciences '!#REF!,0)</f>
        <v>#REF!</v>
      </c>
      <c r="G466" s="9" t="e">
        <f>IF(AND('Items sous domaines Sciences '!#REF!&lt;=5, 'Items sous domaines Sciences '!#REF!&gt;0),'Items sous domaines Sciences '!H346,0)</f>
        <v>#REF!</v>
      </c>
    </row>
    <row r="467" spans="2:7" customFormat="1" ht="13.2" hidden="1" x14ac:dyDescent="0.25">
      <c r="B467" s="8">
        <f>IF('Items sous domaines Sciences '!G469=5,'Items sous domaines Sciences '!B469,0)</f>
        <v>0</v>
      </c>
      <c r="C467" s="8">
        <f>IF('Items sous domaines Sciences '!G469=5,'Items sous domaines Sciences '!C469,0)</f>
        <v>0</v>
      </c>
      <c r="D467" s="8">
        <f>IF('Items sous domaines Sciences '!G469=5,'Items sous domaines Sciences '!D469,0)</f>
        <v>0</v>
      </c>
      <c r="E467" s="8">
        <f>IF('Items sous domaines Sciences '!G469=5,'Items sous domaines Sciences '!E469,0)</f>
        <v>0</v>
      </c>
      <c r="F467" t="e">
        <f>IF('Items sous domaines Sciences '!G367&lt;4,'Items sous domaines Sciences '!#REF!,0)</f>
        <v>#REF!</v>
      </c>
      <c r="G467" s="9" t="e">
        <f>IF(AND('Items sous domaines Sciences '!#REF!&lt;=5, 'Items sous domaines Sciences '!#REF!&gt;0),'Items sous domaines Sciences '!H347,0)</f>
        <v>#REF!</v>
      </c>
    </row>
    <row r="468" spans="2:7" customFormat="1" ht="13.2" hidden="1" x14ac:dyDescent="0.25">
      <c r="B468" s="8">
        <f>IF('Items sous domaines Sciences '!G470=5,'Items sous domaines Sciences '!B470,0)</f>
        <v>0</v>
      </c>
      <c r="C468" s="8">
        <f>IF('Items sous domaines Sciences '!G470=5,'Items sous domaines Sciences '!C470,0)</f>
        <v>0</v>
      </c>
      <c r="D468" s="8">
        <f>IF('Items sous domaines Sciences '!G470=5,'Items sous domaines Sciences '!D470,0)</f>
        <v>0</v>
      </c>
      <c r="E468" s="8">
        <f>IF('Items sous domaines Sciences '!G470=5,'Items sous domaines Sciences '!E470,0)</f>
        <v>0</v>
      </c>
      <c r="F468" t="e">
        <f>IF('Items sous domaines Sciences '!G368&lt;4,'Items sous domaines Sciences '!#REF!,0)</f>
        <v>#REF!</v>
      </c>
      <c r="G468" s="9" t="e">
        <f>IF(AND('Items sous domaines Sciences '!#REF!&lt;=5, 'Items sous domaines Sciences '!#REF!&gt;0),'Items sous domaines Sciences '!H348,0)</f>
        <v>#REF!</v>
      </c>
    </row>
    <row r="469" spans="2:7" customFormat="1" ht="13.2" hidden="1" x14ac:dyDescent="0.25">
      <c r="B469" s="8">
        <f>IF('Items sous domaines Sciences '!G471=5,'Items sous domaines Sciences '!B471,0)</f>
        <v>0</v>
      </c>
      <c r="C469" s="8">
        <f>IF('Items sous domaines Sciences '!G471=5,'Items sous domaines Sciences '!C471,0)</f>
        <v>0</v>
      </c>
      <c r="D469" s="8">
        <f>IF('Items sous domaines Sciences '!G471=5,'Items sous domaines Sciences '!D471,0)</f>
        <v>0</v>
      </c>
      <c r="E469" s="8">
        <f>IF('Items sous domaines Sciences '!G471=5,'Items sous domaines Sciences '!E471,0)</f>
        <v>0</v>
      </c>
      <c r="F469" t="e">
        <f>IF('Items sous domaines Sciences '!G369&lt;4,'Items sous domaines Sciences '!#REF!,0)</f>
        <v>#REF!</v>
      </c>
      <c r="G469" s="9" t="e">
        <f>IF(AND('Items sous domaines Sciences '!#REF!&lt;=5, 'Items sous domaines Sciences '!#REF!&gt;0),'Items sous domaines Sciences '!H349,0)</f>
        <v>#REF!</v>
      </c>
    </row>
    <row r="470" spans="2:7" customFormat="1" ht="13.2" hidden="1" x14ac:dyDescent="0.25">
      <c r="B470" s="8">
        <f>IF('Items sous domaines Sciences '!G472=5,'Items sous domaines Sciences '!B472,0)</f>
        <v>0</v>
      </c>
      <c r="C470" s="8">
        <f>IF('Items sous domaines Sciences '!G472=5,'Items sous domaines Sciences '!C472,0)</f>
        <v>0</v>
      </c>
      <c r="D470" s="8">
        <f>IF('Items sous domaines Sciences '!G472=5,'Items sous domaines Sciences '!D472,0)</f>
        <v>0</v>
      </c>
      <c r="E470" s="8">
        <f>IF('Items sous domaines Sciences '!G472=5,'Items sous domaines Sciences '!E472,0)</f>
        <v>0</v>
      </c>
      <c r="F470" t="e">
        <f>IF('Items sous domaines Sciences '!G370&lt;4,'Items sous domaines Sciences '!#REF!,0)</f>
        <v>#REF!</v>
      </c>
      <c r="G470" s="9" t="e">
        <f>IF(AND('Items sous domaines Sciences '!#REF!&lt;=5, 'Items sous domaines Sciences '!#REF!&gt;0),'Items sous domaines Sciences '!H350,0)</f>
        <v>#REF!</v>
      </c>
    </row>
    <row r="471" spans="2:7" customFormat="1" ht="13.2" hidden="1" x14ac:dyDescent="0.25">
      <c r="B471" s="8">
        <f>IF('Items sous domaines Sciences '!G473=5,'Items sous domaines Sciences '!B473,0)</f>
        <v>0</v>
      </c>
      <c r="C471" s="8">
        <f>IF('Items sous domaines Sciences '!G473=5,'Items sous domaines Sciences '!C473,0)</f>
        <v>0</v>
      </c>
      <c r="D471" s="8">
        <f>IF('Items sous domaines Sciences '!G473=5,'Items sous domaines Sciences '!D473,0)</f>
        <v>0</v>
      </c>
      <c r="E471" s="8">
        <f>IF('Items sous domaines Sciences '!G473=5,'Items sous domaines Sciences '!E473,0)</f>
        <v>0</v>
      </c>
      <c r="F471" t="e">
        <f>IF('Items sous domaines Sciences '!G371&lt;4,'Items sous domaines Sciences '!#REF!,0)</f>
        <v>#REF!</v>
      </c>
      <c r="G471" s="9" t="e">
        <f>IF(AND('Items sous domaines Sciences '!#REF!&lt;=5, 'Items sous domaines Sciences '!#REF!&gt;0),'Items sous domaines Sciences '!H351,0)</f>
        <v>#REF!</v>
      </c>
    </row>
    <row r="472" spans="2:7" customFormat="1" ht="13.2" hidden="1" x14ac:dyDescent="0.25">
      <c r="B472" s="8">
        <f>IF('Items sous domaines Sciences '!G474=5,'Items sous domaines Sciences '!B474,0)</f>
        <v>0</v>
      </c>
      <c r="C472" s="8">
        <f>IF('Items sous domaines Sciences '!G474=5,'Items sous domaines Sciences '!C474,0)</f>
        <v>0</v>
      </c>
      <c r="D472" s="8">
        <f>IF('Items sous domaines Sciences '!G474=5,'Items sous domaines Sciences '!D474,0)</f>
        <v>0</v>
      </c>
      <c r="E472" s="8">
        <f>IF('Items sous domaines Sciences '!G474=5,'Items sous domaines Sciences '!E474,0)</f>
        <v>0</v>
      </c>
      <c r="F472" t="e">
        <f>IF('Items sous domaines Sciences '!G372&lt;4,'Items sous domaines Sciences '!#REF!,0)</f>
        <v>#REF!</v>
      </c>
      <c r="G472" s="9" t="e">
        <f>IF(AND('Items sous domaines Sciences '!#REF!&lt;=5, 'Items sous domaines Sciences '!#REF!&gt;0),'Items sous domaines Sciences '!H352,0)</f>
        <v>#REF!</v>
      </c>
    </row>
    <row r="473" spans="2:7" customFormat="1" ht="13.2" hidden="1" x14ac:dyDescent="0.25">
      <c r="B473" s="8">
        <f>IF('Items sous domaines Sciences '!G475=5,'Items sous domaines Sciences '!B475,0)</f>
        <v>0</v>
      </c>
      <c r="C473" s="8">
        <f>IF('Items sous domaines Sciences '!G475=5,'Items sous domaines Sciences '!C475,0)</f>
        <v>0</v>
      </c>
      <c r="D473" s="8">
        <f>IF('Items sous domaines Sciences '!G475=5,'Items sous domaines Sciences '!D475,0)</f>
        <v>0</v>
      </c>
      <c r="E473" s="8">
        <f>IF('Items sous domaines Sciences '!G475=5,'Items sous domaines Sciences '!E475,0)</f>
        <v>0</v>
      </c>
      <c r="F473" t="e">
        <f>IF('Items sous domaines Sciences '!G373&lt;4,'Items sous domaines Sciences '!#REF!,0)</f>
        <v>#REF!</v>
      </c>
      <c r="G473" s="9" t="e">
        <f>IF(AND('Items sous domaines Sciences '!#REF!&lt;=5, 'Items sous domaines Sciences '!#REF!&gt;0),'Items sous domaines Sciences '!H353,0)</f>
        <v>#REF!</v>
      </c>
    </row>
    <row r="474" spans="2:7" customFormat="1" ht="13.2" hidden="1" x14ac:dyDescent="0.25">
      <c r="B474" s="8">
        <f>IF('Items sous domaines Sciences '!G476=5,'Items sous domaines Sciences '!B476,0)</f>
        <v>0</v>
      </c>
      <c r="C474" s="8">
        <f>IF('Items sous domaines Sciences '!G476=5,'Items sous domaines Sciences '!C476,0)</f>
        <v>0</v>
      </c>
      <c r="D474" s="8">
        <f>IF('Items sous domaines Sciences '!G476=5,'Items sous domaines Sciences '!D476,0)</f>
        <v>0</v>
      </c>
      <c r="E474" s="8">
        <f>IF('Items sous domaines Sciences '!G476=5,'Items sous domaines Sciences '!E476,0)</f>
        <v>0</v>
      </c>
      <c r="F474" t="e">
        <f>IF('Items sous domaines Sciences '!G374&lt;4,'Items sous domaines Sciences '!#REF!,0)</f>
        <v>#REF!</v>
      </c>
      <c r="G474" s="9" t="e">
        <f>IF(AND('Items sous domaines Sciences '!#REF!&lt;=5, 'Items sous domaines Sciences '!#REF!&gt;0),'Items sous domaines Sciences '!H354,0)</f>
        <v>#REF!</v>
      </c>
    </row>
    <row r="475" spans="2:7" customFormat="1" ht="13.2" hidden="1" x14ac:dyDescent="0.25">
      <c r="B475" s="8">
        <f>IF('Items sous domaines Sciences '!G477=5,'Items sous domaines Sciences '!B477,0)</f>
        <v>0</v>
      </c>
      <c r="C475" s="8">
        <f>IF('Items sous domaines Sciences '!G477=5,'Items sous domaines Sciences '!C477,0)</f>
        <v>0</v>
      </c>
      <c r="D475" s="8">
        <f>IF('Items sous domaines Sciences '!G477=5,'Items sous domaines Sciences '!D477,0)</f>
        <v>0</v>
      </c>
      <c r="E475" s="8">
        <f>IF('Items sous domaines Sciences '!G477=5,'Items sous domaines Sciences '!E477,0)</f>
        <v>0</v>
      </c>
      <c r="F475" t="e">
        <f>IF('Items sous domaines Sciences '!G375&lt;4,'Items sous domaines Sciences '!#REF!,0)</f>
        <v>#REF!</v>
      </c>
      <c r="G475" s="9" t="e">
        <f>IF(AND('Items sous domaines Sciences '!#REF!&lt;=5, 'Items sous domaines Sciences '!#REF!&gt;0),'Items sous domaines Sciences '!H355,0)</f>
        <v>#REF!</v>
      </c>
    </row>
    <row r="476" spans="2:7" customFormat="1" ht="13.2" hidden="1" x14ac:dyDescent="0.25">
      <c r="B476" s="8">
        <f>IF('Items sous domaines Sciences '!G478=5,'Items sous domaines Sciences '!B478,0)</f>
        <v>0</v>
      </c>
      <c r="C476" s="8">
        <f>IF('Items sous domaines Sciences '!G478=5,'Items sous domaines Sciences '!C478,0)</f>
        <v>0</v>
      </c>
      <c r="D476" s="8">
        <f>IF('Items sous domaines Sciences '!G478=5,'Items sous domaines Sciences '!D478,0)</f>
        <v>0</v>
      </c>
      <c r="E476" s="8">
        <f>IF('Items sous domaines Sciences '!G478=5,'Items sous domaines Sciences '!E478,0)</f>
        <v>0</v>
      </c>
      <c r="F476" t="e">
        <f>IF('Items sous domaines Sciences '!G376&lt;4,'Items sous domaines Sciences '!#REF!,0)</f>
        <v>#REF!</v>
      </c>
      <c r="G476" s="9" t="e">
        <f>IF(AND('Items sous domaines Sciences '!#REF!&lt;=5, 'Items sous domaines Sciences '!#REF!&gt;0),'Items sous domaines Sciences '!H356,0)</f>
        <v>#REF!</v>
      </c>
    </row>
    <row r="477" spans="2:7" customFormat="1" ht="13.2" hidden="1" x14ac:dyDescent="0.25">
      <c r="B477" s="8">
        <f>IF('Items sous domaines Sciences '!G479=5,'Items sous domaines Sciences '!B479,0)</f>
        <v>0</v>
      </c>
      <c r="C477" s="8">
        <f>IF('Items sous domaines Sciences '!G479=5,'Items sous domaines Sciences '!C479,0)</f>
        <v>0</v>
      </c>
      <c r="D477" s="8">
        <f>IF('Items sous domaines Sciences '!G479=5,'Items sous domaines Sciences '!D479,0)</f>
        <v>0</v>
      </c>
      <c r="E477" s="8">
        <f>IF('Items sous domaines Sciences '!G479=5,'Items sous domaines Sciences '!E479,0)</f>
        <v>0</v>
      </c>
      <c r="F477" t="e">
        <f>IF('Items sous domaines Sciences '!G377&lt;4,'Items sous domaines Sciences '!#REF!,0)</f>
        <v>#REF!</v>
      </c>
      <c r="G477" s="9" t="e">
        <f>IF(AND('Items sous domaines Sciences '!#REF!&lt;=5, 'Items sous domaines Sciences '!#REF!&gt;0),'Items sous domaines Sciences '!H357,0)</f>
        <v>#REF!</v>
      </c>
    </row>
    <row r="478" spans="2:7" customFormat="1" ht="13.2" hidden="1" x14ac:dyDescent="0.25">
      <c r="B478" s="8">
        <f>IF('Items sous domaines Sciences '!G480=5,'Items sous domaines Sciences '!B480,0)</f>
        <v>0</v>
      </c>
      <c r="C478" s="8">
        <f>IF('Items sous domaines Sciences '!G480=5,'Items sous domaines Sciences '!C480,0)</f>
        <v>0</v>
      </c>
      <c r="D478" s="8">
        <f>IF('Items sous domaines Sciences '!G480=5,'Items sous domaines Sciences '!D480,0)</f>
        <v>0</v>
      </c>
      <c r="E478" s="8">
        <f>IF('Items sous domaines Sciences '!G480=5,'Items sous domaines Sciences '!E480,0)</f>
        <v>0</v>
      </c>
      <c r="F478" t="e">
        <f>IF('Items sous domaines Sciences '!G378&lt;4,'Items sous domaines Sciences '!#REF!,0)</f>
        <v>#REF!</v>
      </c>
      <c r="G478" s="9" t="e">
        <f>IF(AND('Items sous domaines Sciences '!#REF!&lt;=5, 'Items sous domaines Sciences '!#REF!&gt;0),'Items sous domaines Sciences '!H358,0)</f>
        <v>#REF!</v>
      </c>
    </row>
    <row r="479" spans="2:7" customFormat="1" ht="13.2" hidden="1" x14ac:dyDescent="0.25">
      <c r="B479" s="8">
        <f>IF('Items sous domaines Sciences '!G481=5,'Items sous domaines Sciences '!B481,0)</f>
        <v>0</v>
      </c>
      <c r="C479" s="8">
        <f>IF('Items sous domaines Sciences '!G481=5,'Items sous domaines Sciences '!C481,0)</f>
        <v>0</v>
      </c>
      <c r="D479" s="8">
        <f>IF('Items sous domaines Sciences '!G481=5,'Items sous domaines Sciences '!D481,0)</f>
        <v>0</v>
      </c>
      <c r="E479" s="8">
        <f>IF('Items sous domaines Sciences '!G481=5,'Items sous domaines Sciences '!E481,0)</f>
        <v>0</v>
      </c>
      <c r="F479" t="e">
        <f>IF('Items sous domaines Sciences '!G379&lt;4,'Items sous domaines Sciences '!#REF!,0)</f>
        <v>#REF!</v>
      </c>
      <c r="G479" s="9" t="e">
        <f>IF(AND('Items sous domaines Sciences '!#REF!&lt;=5, 'Items sous domaines Sciences '!#REF!&gt;0),'Items sous domaines Sciences '!H359,0)</f>
        <v>#REF!</v>
      </c>
    </row>
    <row r="480" spans="2:7" customFormat="1" ht="13.2" hidden="1" x14ac:dyDescent="0.25">
      <c r="B480" s="8">
        <f>IF('Items sous domaines Sciences '!G482=5,'Items sous domaines Sciences '!B482,0)</f>
        <v>0</v>
      </c>
      <c r="C480" s="8">
        <f>IF('Items sous domaines Sciences '!G482=5,'Items sous domaines Sciences '!C482,0)</f>
        <v>0</v>
      </c>
      <c r="D480" s="8">
        <f>IF('Items sous domaines Sciences '!G482=5,'Items sous domaines Sciences '!D482,0)</f>
        <v>0</v>
      </c>
      <c r="E480" s="8">
        <f>IF('Items sous domaines Sciences '!G482=5,'Items sous domaines Sciences '!E482,0)</f>
        <v>0</v>
      </c>
      <c r="F480" t="e">
        <f>IF('Items sous domaines Sciences '!G380&lt;4,'Items sous domaines Sciences '!#REF!,0)</f>
        <v>#REF!</v>
      </c>
      <c r="G480" s="9" t="e">
        <f>IF(AND('Items sous domaines Sciences '!#REF!&lt;=5, 'Items sous domaines Sciences '!#REF!&gt;0),'Items sous domaines Sciences '!H360,0)</f>
        <v>#REF!</v>
      </c>
    </row>
    <row r="481" spans="1:7" customFormat="1" ht="13.2" hidden="1" x14ac:dyDescent="0.25">
      <c r="B481" s="8">
        <f>IF('Items sous domaines Sciences '!G483=5,'Items sous domaines Sciences '!B483,0)</f>
        <v>0</v>
      </c>
      <c r="C481" s="8">
        <f>IF('Items sous domaines Sciences '!G483=5,'Items sous domaines Sciences '!C483,0)</f>
        <v>0</v>
      </c>
      <c r="D481" s="8">
        <f>IF('Items sous domaines Sciences '!G483=5,'Items sous domaines Sciences '!D483,0)</f>
        <v>0</v>
      </c>
      <c r="E481" s="8">
        <f>IF('Items sous domaines Sciences '!G483=5,'Items sous domaines Sciences '!E483,0)</f>
        <v>0</v>
      </c>
      <c r="F481" t="e">
        <f>IF('Items sous domaines Sciences '!G381&lt;4,'Items sous domaines Sciences '!#REF!,0)</f>
        <v>#REF!</v>
      </c>
      <c r="G481" s="9" t="e">
        <f>IF(AND('Items sous domaines Sciences '!#REF!&lt;=5, 'Items sous domaines Sciences '!#REF!&gt;0),'Items sous domaines Sciences '!H361,0)</f>
        <v>#REF!</v>
      </c>
    </row>
    <row r="482" spans="1:7" customFormat="1" ht="13.2" hidden="1" x14ac:dyDescent="0.25">
      <c r="B482" s="8">
        <f>IF('Items sous domaines Sciences '!G484=5,'Items sous domaines Sciences '!B484,0)</f>
        <v>0</v>
      </c>
      <c r="C482" s="8">
        <f>IF('Items sous domaines Sciences '!G484=5,'Items sous domaines Sciences '!C484,0)</f>
        <v>0</v>
      </c>
      <c r="D482" s="8">
        <f>IF('Items sous domaines Sciences '!G484=5,'Items sous domaines Sciences '!D484,0)</f>
        <v>0</v>
      </c>
      <c r="E482" s="8">
        <f>IF('Items sous domaines Sciences '!G484=5,'Items sous domaines Sciences '!E484,0)</f>
        <v>0</v>
      </c>
      <c r="F482" t="e">
        <f>IF('Items sous domaines Sciences '!G382&lt;4,'Items sous domaines Sciences '!#REF!,0)</f>
        <v>#REF!</v>
      </c>
      <c r="G482" s="9" t="e">
        <f>IF(AND('Items sous domaines Sciences '!#REF!&lt;=5, 'Items sous domaines Sciences '!#REF!&gt;0),'Items sous domaines Sciences '!H362,0)</f>
        <v>#REF!</v>
      </c>
    </row>
    <row r="483" spans="1:7" customFormat="1" ht="13.2" hidden="1" x14ac:dyDescent="0.25">
      <c r="B483" s="8">
        <f>IF('Items sous domaines Sciences '!G485=5,'Items sous domaines Sciences '!B485,0)</f>
        <v>0</v>
      </c>
      <c r="C483" s="8">
        <f>IF('Items sous domaines Sciences '!G485=5,'Items sous domaines Sciences '!C485,0)</f>
        <v>0</v>
      </c>
      <c r="D483" s="8">
        <f>IF('Items sous domaines Sciences '!G485=5,'Items sous domaines Sciences '!D485,0)</f>
        <v>0</v>
      </c>
      <c r="E483" s="8">
        <f>IF('Items sous domaines Sciences '!G485=5,'Items sous domaines Sciences '!E485,0)</f>
        <v>0</v>
      </c>
      <c r="F483" t="e">
        <f>IF('Items sous domaines Sciences '!G383&lt;4,'Items sous domaines Sciences '!#REF!,0)</f>
        <v>#REF!</v>
      </c>
      <c r="G483" s="9" t="e">
        <f>IF(AND('Items sous domaines Sciences '!#REF!&lt;=5, 'Items sous domaines Sciences '!#REF!&gt;0),'Items sous domaines Sciences '!H363,0)</f>
        <v>#REF!</v>
      </c>
    </row>
    <row r="484" spans="1:7" customFormat="1" ht="13.2" hidden="1" x14ac:dyDescent="0.25">
      <c r="B484" s="8">
        <f>IF('Items sous domaines Sciences '!G486=5,'Items sous domaines Sciences '!B486,0)</f>
        <v>0</v>
      </c>
      <c r="C484" s="8">
        <f>IF('Items sous domaines Sciences '!G486=5,'Items sous domaines Sciences '!C486,0)</f>
        <v>0</v>
      </c>
      <c r="D484" s="8">
        <f>IF('Items sous domaines Sciences '!G486=5,'Items sous domaines Sciences '!D486,0)</f>
        <v>0</v>
      </c>
      <c r="E484" s="8">
        <f>IF('Items sous domaines Sciences '!G486=5,'Items sous domaines Sciences '!E486,0)</f>
        <v>0</v>
      </c>
      <c r="F484" t="e">
        <f>IF('Items sous domaines Sciences '!G384&lt;4,'Items sous domaines Sciences '!#REF!,0)</f>
        <v>#REF!</v>
      </c>
      <c r="G484" s="9" t="e">
        <f>IF(AND('Items sous domaines Sciences '!#REF!&lt;=5, 'Items sous domaines Sciences '!#REF!&gt;0),'Items sous domaines Sciences '!H364,0)</f>
        <v>#REF!</v>
      </c>
    </row>
    <row r="485" spans="1:7" customFormat="1" ht="13.2" hidden="1" x14ac:dyDescent="0.25">
      <c r="B485" s="8">
        <f>IF('Items sous domaines Sciences '!G487=5,'Items sous domaines Sciences '!B487,0)</f>
        <v>0</v>
      </c>
      <c r="C485" s="8">
        <f>IF('Items sous domaines Sciences '!G487=5,'Items sous domaines Sciences '!C487,0)</f>
        <v>0</v>
      </c>
      <c r="D485" s="8">
        <f>IF('Items sous domaines Sciences '!G487=5,'Items sous domaines Sciences '!D487,0)</f>
        <v>0</v>
      </c>
      <c r="E485" s="8">
        <f>IF('Items sous domaines Sciences '!G487=5,'Items sous domaines Sciences '!E487,0)</f>
        <v>0</v>
      </c>
      <c r="F485" t="e">
        <f>IF('Items sous domaines Sciences '!G385&lt;4,'Items sous domaines Sciences '!#REF!,0)</f>
        <v>#REF!</v>
      </c>
      <c r="G485" s="9" t="e">
        <f>IF(AND('Items sous domaines Sciences '!#REF!&lt;=5, 'Items sous domaines Sciences '!#REF!&gt;0),'Items sous domaines Sciences '!H365,0)</f>
        <v>#REF!</v>
      </c>
    </row>
    <row r="486" spans="1:7" customFormat="1" ht="13.2" hidden="1" x14ac:dyDescent="0.25">
      <c r="B486" s="8">
        <f>IF('Items sous domaines Sciences '!G488=5,'Items sous domaines Sciences '!B488,0)</f>
        <v>0</v>
      </c>
      <c r="C486" s="8">
        <f>IF('Items sous domaines Sciences '!G488=5,'Items sous domaines Sciences '!C488,0)</f>
        <v>0</v>
      </c>
      <c r="D486" s="8">
        <f>IF('Items sous domaines Sciences '!G488=5,'Items sous domaines Sciences '!D488,0)</f>
        <v>0</v>
      </c>
      <c r="E486" s="8">
        <f>IF('Items sous domaines Sciences '!G488=5,'Items sous domaines Sciences '!E488,0)</f>
        <v>0</v>
      </c>
      <c r="F486" t="e">
        <f>IF('Items sous domaines Sciences '!G386&lt;4,'Items sous domaines Sciences '!#REF!,0)</f>
        <v>#REF!</v>
      </c>
      <c r="G486" s="9" t="e">
        <f>IF(AND('Items sous domaines Sciences '!#REF!&lt;=5, 'Items sous domaines Sciences '!#REF!&gt;0),'Items sous domaines Sciences '!H366,0)</f>
        <v>#REF!</v>
      </c>
    </row>
    <row r="487" spans="1:7" customFormat="1" ht="13.2" hidden="1" x14ac:dyDescent="0.25">
      <c r="B487" s="8">
        <f>IF('Items sous domaines Sciences '!G489=5,'Items sous domaines Sciences '!B489,0)</f>
        <v>0</v>
      </c>
      <c r="C487" s="8">
        <f>IF('Items sous domaines Sciences '!G489=5,'Items sous domaines Sciences '!C489,0)</f>
        <v>0</v>
      </c>
      <c r="D487" s="8">
        <f>IF('Items sous domaines Sciences '!G489=5,'Items sous domaines Sciences '!D489,0)</f>
        <v>0</v>
      </c>
      <c r="E487" s="8">
        <f>IF('Items sous domaines Sciences '!G489=5,'Items sous domaines Sciences '!E489,0)</f>
        <v>0</v>
      </c>
      <c r="F487" t="e">
        <f>IF('Items sous domaines Sciences '!G387&lt;4,'Items sous domaines Sciences '!#REF!,0)</f>
        <v>#REF!</v>
      </c>
      <c r="G487" s="3"/>
    </row>
    <row r="488" spans="1:7" customFormat="1" ht="13.2" hidden="1" x14ac:dyDescent="0.25">
      <c r="B488" s="8">
        <f>IF('Items sous domaines Sciences '!G490=5,'Items sous domaines Sciences '!B490,0)</f>
        <v>0</v>
      </c>
      <c r="C488" s="8">
        <f>IF('Items sous domaines Sciences '!G490=5,'Items sous domaines Sciences '!C490,0)</f>
        <v>0</v>
      </c>
      <c r="D488" s="8">
        <f>IF('Items sous domaines Sciences '!G490=5,'Items sous domaines Sciences '!D490,0)</f>
        <v>0</v>
      </c>
      <c r="E488" s="8">
        <f>IF('Items sous domaines Sciences '!G490=5,'Items sous domaines Sciences '!E490,0)</f>
        <v>0</v>
      </c>
      <c r="F488" t="e">
        <f>IF('Items sous domaines Sciences '!G388&lt;4,'Items sous domaines Sciences '!#REF!,0)</f>
        <v>#REF!</v>
      </c>
      <c r="G488" s="3"/>
    </row>
    <row r="489" spans="1:7" customFormat="1" ht="13.2" hidden="1" x14ac:dyDescent="0.25">
      <c r="A489" s="14"/>
      <c r="B489" s="8">
        <f>IF(AND('Items sous domaines Sciences '!G389&lt;=1, 'Items sous domaines Sciences '!G389&gt;0),'Items sous domaines Sciences '!B389,0)</f>
        <v>0</v>
      </c>
      <c r="C489" s="8" t="b">
        <f>IF(AND('Items sous domaines Sciences '!G389&lt;=1, 'Items sous domaines Sciences '!G389&gt;0),'Items sous domaines Sciences '!C389)</f>
        <v>0</v>
      </c>
      <c r="D489" s="8">
        <f>IF(AND('Items sous domaines Sciences '!G389&lt;=14, 'Items sous domaines Sciences '!G389&gt;0),'Items sous domaines Sciences '!D389,0)</f>
        <v>0</v>
      </c>
      <c r="E489" s="8">
        <f>IF(AND('Items sous domaines Sciences '!G389&lt;=1, 'Items sous domaines Sciences '!G389&gt;0),'Items sous domaines Sciences '!E389,0)</f>
        <v>0</v>
      </c>
      <c r="F489" s="4"/>
      <c r="G489" s="3"/>
    </row>
    <row r="490" spans="1:7" ht="18.600000000000001" thickTop="1" x14ac:dyDescent="0.3">
      <c r="F490" s="285"/>
    </row>
  </sheetData>
  <autoFilter ref="A7:H489" xr:uid="{00000000-0009-0000-0000-000006000000}">
    <filterColumn colId="1">
      <filters>
        <filter val="Chimie"/>
        <filter val="Electricité-electromagnétisme"/>
        <filter val="Mécanique"/>
        <filter val="Thermique-Thermodynamique"/>
      </filters>
    </filterColumn>
  </autoFilter>
  <mergeCells count="13">
    <mergeCell ref="G343:G379"/>
    <mergeCell ref="G311:G321"/>
    <mergeCell ref="A283:A302"/>
    <mergeCell ref="G8:G302"/>
    <mergeCell ref="G2:G4"/>
    <mergeCell ref="G5:G6"/>
    <mergeCell ref="A1:F3"/>
    <mergeCell ref="A4:F6"/>
    <mergeCell ref="F8:F379"/>
    <mergeCell ref="A311:A321"/>
    <mergeCell ref="A343:A383"/>
    <mergeCell ref="A8:A247"/>
    <mergeCell ref="A249:A281"/>
  </mergeCells>
  <hyperlinks>
    <hyperlink ref="G311" r:id="rId1" display="https://uel.unisciel.fr/mathematiques/analyse1/analyse1_ch02/co/analyse1_ch02.html" xr:uid="{00000000-0004-0000-0600-000000000000}"/>
    <hyperlink ref="G343" r:id="rId2" xr:uid="{00000000-0004-0000-0600-000001000000}"/>
    <hyperlink ref="G8" r:id="rId3" display="https://uel.unisciel.fr/physique/meca/meca/co/meca.html" xr:uid="{00000000-0004-0000-0600-000002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326295"/>
  </sheetPr>
  <dimension ref="A1:G431"/>
  <sheetViews>
    <sheetView topLeftCell="C119" zoomScale="70" zoomScaleNormal="70" workbookViewId="0">
      <selection activeCell="F431" sqref="F431"/>
    </sheetView>
  </sheetViews>
  <sheetFormatPr baseColWidth="10" defaultColWidth="11.44140625" defaultRowHeight="18" x14ac:dyDescent="0.3"/>
  <cols>
    <col min="1" max="1" width="32.6640625" style="188" customWidth="1"/>
    <col min="2" max="2" width="40.6640625" style="33" customWidth="1"/>
    <col min="3" max="3" width="27.88671875" style="50" customWidth="1"/>
    <col min="4" max="4" width="26.5546875" style="52" customWidth="1"/>
    <col min="5" max="5" width="135.33203125" style="52" customWidth="1"/>
    <col min="6" max="6" width="34.44140625" style="53" bestFit="1" customWidth="1"/>
    <col min="7" max="7" width="28.6640625" style="48" customWidth="1"/>
    <col min="8" max="16384" width="11.44140625" style="33"/>
  </cols>
  <sheetData>
    <row r="1" spans="1:7" ht="17.399999999999999" customHeight="1" thickTop="1" x14ac:dyDescent="0.3">
      <c r="A1" s="343" t="s">
        <v>380</v>
      </c>
      <c r="B1" s="344"/>
      <c r="C1" s="344"/>
      <c r="D1" s="344"/>
      <c r="E1" s="344"/>
      <c r="F1" s="344"/>
      <c r="G1" s="256"/>
    </row>
    <row r="2" spans="1:7" ht="17.399999999999999" customHeight="1" x14ac:dyDescent="0.3">
      <c r="A2" s="345"/>
      <c r="B2" s="346"/>
      <c r="C2" s="346"/>
      <c r="D2" s="346"/>
      <c r="E2" s="346"/>
      <c r="F2" s="346"/>
      <c r="G2" s="257"/>
    </row>
    <row r="3" spans="1:7" ht="17.25" customHeight="1" thickBot="1" x14ac:dyDescent="0.35">
      <c r="A3" s="465"/>
      <c r="B3" s="466"/>
      <c r="C3" s="466"/>
      <c r="D3" s="466"/>
      <c r="E3" s="466"/>
      <c r="F3" s="466"/>
      <c r="G3" s="423" t="s">
        <v>16</v>
      </c>
    </row>
    <row r="4" spans="1:7" ht="12.75" customHeight="1" x14ac:dyDescent="0.3">
      <c r="A4" s="358" t="s">
        <v>480</v>
      </c>
      <c r="B4" s="359"/>
      <c r="C4" s="359"/>
      <c r="D4" s="360"/>
      <c r="E4" s="359"/>
      <c r="F4" s="359"/>
      <c r="G4" s="423"/>
    </row>
    <row r="5" spans="1:7" ht="17.399999999999999" customHeight="1" x14ac:dyDescent="0.3">
      <c r="A5" s="361"/>
      <c r="B5" s="362"/>
      <c r="C5" s="362"/>
      <c r="D5" s="363"/>
      <c r="E5" s="362"/>
      <c r="F5" s="362"/>
      <c r="G5" s="423"/>
    </row>
    <row r="6" spans="1:7" ht="17.399999999999999" customHeight="1" thickBot="1" x14ac:dyDescent="0.35">
      <c r="A6" s="364"/>
      <c r="B6" s="365"/>
      <c r="C6" s="365"/>
      <c r="D6" s="366"/>
      <c r="E6" s="365"/>
      <c r="F6" s="365"/>
      <c r="G6" s="334" t="s">
        <v>19</v>
      </c>
    </row>
    <row r="7" spans="1:7" s="43" customFormat="1" ht="19.95" customHeight="1" thickBot="1" x14ac:dyDescent="0.45">
      <c r="A7" s="223" t="str">
        <f>'A1 CPI S1'!A7</f>
        <v>UE du DS</v>
      </c>
      <c r="B7" s="224" t="str">
        <f>'A1 CPI S1'!B7</f>
        <v>Domaine</v>
      </c>
      <c r="C7" s="224" t="str">
        <f>'A1 CPI S1'!C7</f>
        <v>Discipline</v>
      </c>
      <c r="D7" s="224" t="str">
        <f>'A1 CPI S1'!D7</f>
        <v>Chapitres</v>
      </c>
      <c r="E7" s="224" t="str">
        <f>'A1 CPI S1'!E7</f>
        <v>Thèmes</v>
      </c>
      <c r="F7" s="224" t="s">
        <v>387</v>
      </c>
      <c r="G7" s="424"/>
    </row>
    <row r="8" spans="1:7" customFormat="1" ht="25.2" hidden="1" customHeight="1" thickBot="1" x14ac:dyDescent="0.3">
      <c r="A8" s="507" t="s">
        <v>481</v>
      </c>
      <c r="B8">
        <f>IF('Items sous domaines Sciences '!G10=6,'Items sous domaines Sciences '!B10,0)</f>
        <v>0</v>
      </c>
      <c r="C8">
        <f>IF('Items sous domaines Sciences '!G10=6,'Items sous domaines Sciences '!C10,0)</f>
        <v>0</v>
      </c>
      <c r="D8">
        <f>IF('Items sous domaines Sciences '!G10=6,'Items sous domaines Sciences '!D10,0)</f>
        <v>0</v>
      </c>
      <c r="E8">
        <f>IF('Items sous domaines Sciences '!G10=6,'Items sous domaines Sciences '!E10,0)</f>
        <v>0</v>
      </c>
      <c r="F8" t="e">
        <f>IF(AND('Items sous domaines Sciences '!#REF!=6, 'Items sous domaines Sciences '!#REF!&gt;0),'Items sous domaines Sciences '!#REF!,0)</f>
        <v>#REF!</v>
      </c>
    </row>
    <row r="9" spans="1:7" customFormat="1" ht="22.2" hidden="1" customHeight="1" thickBot="1" x14ac:dyDescent="0.3">
      <c r="A9" s="494"/>
      <c r="B9" s="8">
        <f>IF('Items sous domaines Sciences '!G11=6,'Items sous domaines Sciences '!B11,0)</f>
        <v>0</v>
      </c>
      <c r="C9" s="8">
        <f>IF('Items sous domaines Sciences '!G11=6,'Items sous domaines Sciences '!C11,0)</f>
        <v>0</v>
      </c>
      <c r="D9" s="8">
        <f>IF('Items sous domaines Sciences '!G11=6,'Items sous domaines Sciences '!D11,0)</f>
        <v>0</v>
      </c>
      <c r="E9" s="8">
        <f>IF('Items sous domaines Sciences '!G11=6,'Items sous domaines Sciences '!E11,0)</f>
        <v>0</v>
      </c>
      <c r="F9" t="e">
        <f>IF('Items sous domaines Sciences '!#REF!=6,'Items sous domaines Sciences '!#REF!,0)</f>
        <v>#REF!</v>
      </c>
    </row>
    <row r="10" spans="1:7" customFormat="1" ht="17.399999999999999" hidden="1" customHeight="1" thickBot="1" x14ac:dyDescent="0.3">
      <c r="A10" s="494"/>
      <c r="B10" s="8">
        <f>IF('Items sous domaines Sciences '!G12=6,'Items sous domaines Sciences '!B12,0)</f>
        <v>0</v>
      </c>
      <c r="C10" s="8">
        <f>IF('Items sous domaines Sciences '!G12=6,'Items sous domaines Sciences '!C12,0)</f>
        <v>0</v>
      </c>
      <c r="D10" s="8">
        <f>IF('Items sous domaines Sciences '!G12=6,'Items sous domaines Sciences '!D12,0)</f>
        <v>0</v>
      </c>
      <c r="E10" s="8">
        <f>IF('Items sous domaines Sciences '!G12=6,'Items sous domaines Sciences '!E12,0)</f>
        <v>0</v>
      </c>
      <c r="F10" t="e">
        <f>IF('Items sous domaines Sciences '!#REF!=6,'Items sous domaines Sciences '!#REF!,0)</f>
        <v>#REF!</v>
      </c>
    </row>
    <row r="11" spans="1:7" customFormat="1" ht="17.399999999999999" hidden="1" customHeight="1" thickBot="1" x14ac:dyDescent="0.3">
      <c r="A11" s="494"/>
      <c r="B11" s="8">
        <f>IF('Items sous domaines Sciences '!G13=6,'Items sous domaines Sciences '!B13,0)</f>
        <v>0</v>
      </c>
      <c r="C11" s="8">
        <f>IF('Items sous domaines Sciences '!G13=6,'Items sous domaines Sciences '!C13,0)</f>
        <v>0</v>
      </c>
      <c r="D11" s="8">
        <f>IF('Items sous domaines Sciences '!G13=6,'Items sous domaines Sciences '!D13,0)</f>
        <v>0</v>
      </c>
      <c r="E11" s="8">
        <f>IF('Items sous domaines Sciences '!G13=6,'Items sous domaines Sciences '!E13,0)</f>
        <v>0</v>
      </c>
      <c r="F11" s="506" t="s">
        <v>482</v>
      </c>
      <c r="G11" s="17"/>
    </row>
    <row r="12" spans="1:7" customFormat="1" ht="30.6" hidden="1" customHeight="1" thickBot="1" x14ac:dyDescent="0.3">
      <c r="A12" s="494"/>
      <c r="B12" s="8">
        <f>IF('Items sous domaines Sciences '!G14=6,'Items sous domaines Sciences '!B14,0)</f>
        <v>0</v>
      </c>
      <c r="C12" s="8">
        <f>IF('Items sous domaines Sciences '!G14=6,'Items sous domaines Sciences '!C14,0)</f>
        <v>0</v>
      </c>
      <c r="D12" s="8">
        <f>IF('Items sous domaines Sciences '!G14=6,'Items sous domaines Sciences '!D14,0)</f>
        <v>0</v>
      </c>
      <c r="E12" s="8">
        <f>IF('Items sous domaines Sciences '!G14=6,'Items sous domaines Sciences '!E14,0)</f>
        <v>0</v>
      </c>
      <c r="F12" s="489"/>
      <c r="G12" s="24" t="s">
        <v>428</v>
      </c>
    </row>
    <row r="13" spans="1:7" customFormat="1" ht="27" hidden="1" customHeight="1" thickBot="1" x14ac:dyDescent="0.3">
      <c r="A13" s="494"/>
      <c r="B13" s="8">
        <f>IF('Items sous domaines Sciences '!G15=6,'Items sous domaines Sciences '!B15,0)</f>
        <v>0</v>
      </c>
      <c r="C13" s="8">
        <f>IF('Items sous domaines Sciences '!G15=6,'Items sous domaines Sciences '!C15,0)</f>
        <v>0</v>
      </c>
      <c r="D13" s="8">
        <f>IF('Items sous domaines Sciences '!G15=6,'Items sous domaines Sciences '!D15,0)</f>
        <v>0</v>
      </c>
      <c r="E13" s="8">
        <f>IF('Items sous domaines Sciences '!G15=6,'Items sous domaines Sciences '!E15,0)</f>
        <v>0</v>
      </c>
      <c r="F13" s="489"/>
      <c r="G13" s="17"/>
    </row>
    <row r="14" spans="1:7" customFormat="1" ht="17.399999999999999" hidden="1" customHeight="1" thickBot="1" x14ac:dyDescent="0.3">
      <c r="A14" s="494"/>
      <c r="B14" s="8">
        <f>IF('Items sous domaines Sciences '!G16=6,'Items sous domaines Sciences '!B16,0)</f>
        <v>0</v>
      </c>
      <c r="C14" s="8">
        <f>IF('Items sous domaines Sciences '!G16=6,'Items sous domaines Sciences '!C16,0)</f>
        <v>0</v>
      </c>
      <c r="D14" s="8">
        <f>IF('Items sous domaines Sciences '!G16=6,'Items sous domaines Sciences '!D16,0)</f>
        <v>0</v>
      </c>
      <c r="E14" s="8">
        <f>IF('Items sous domaines Sciences '!G16=6,'Items sous domaines Sciences '!E16,0)</f>
        <v>0</v>
      </c>
      <c r="F14" s="489"/>
      <c r="G14" s="17"/>
    </row>
    <row r="15" spans="1:7" customFormat="1" ht="17.399999999999999" hidden="1" customHeight="1" thickBot="1" x14ac:dyDescent="0.3">
      <c r="A15" s="494"/>
      <c r="B15" s="8">
        <f>IF('Items sous domaines Sciences '!G17=6,'Items sous domaines Sciences '!B17,0)</f>
        <v>0</v>
      </c>
      <c r="C15" s="8">
        <f>IF('Items sous domaines Sciences '!G17=6,'Items sous domaines Sciences '!C17,0)</f>
        <v>0</v>
      </c>
      <c r="D15" s="8">
        <f>IF('Items sous domaines Sciences '!G17=6,'Items sous domaines Sciences '!D17,0)</f>
        <v>0</v>
      </c>
      <c r="E15" s="8">
        <f>IF('Items sous domaines Sciences '!G17=6,'Items sous domaines Sciences '!E17,0)</f>
        <v>0</v>
      </c>
      <c r="F15" s="489"/>
    </row>
    <row r="16" spans="1:7" customFormat="1" ht="17.399999999999999" hidden="1" customHeight="1" thickBot="1" x14ac:dyDescent="0.3">
      <c r="A16" s="494"/>
      <c r="B16" s="8">
        <f>IF('Items sous domaines Sciences '!G18=6,'Items sous domaines Sciences '!B18,0)</f>
        <v>0</v>
      </c>
      <c r="C16" s="8">
        <f>IF('Items sous domaines Sciences '!G18=6,'Items sous domaines Sciences '!C18,0)</f>
        <v>0</v>
      </c>
      <c r="D16" s="8">
        <f>IF('Items sous domaines Sciences '!G18=6,'Items sous domaines Sciences '!D18,0)</f>
        <v>0</v>
      </c>
      <c r="E16" s="8">
        <f>IF('Items sous domaines Sciences '!G18=6,'Items sous domaines Sciences '!E18,0)</f>
        <v>0</v>
      </c>
      <c r="F16" s="489"/>
    </row>
    <row r="17" spans="1:7" customFormat="1" ht="17.399999999999999" hidden="1" customHeight="1" thickBot="1" x14ac:dyDescent="0.3">
      <c r="A17" s="494"/>
      <c r="B17" s="8">
        <f>IF('Items sous domaines Sciences '!G19=6,'Items sous domaines Sciences '!B19,0)</f>
        <v>0</v>
      </c>
      <c r="C17" s="8">
        <f>IF('Items sous domaines Sciences '!G19=6,'Items sous domaines Sciences '!C19,0)</f>
        <v>0</v>
      </c>
      <c r="D17" s="8">
        <f>IF('Items sous domaines Sciences '!G19=6,'Items sous domaines Sciences '!D19,0)</f>
        <v>0</v>
      </c>
      <c r="E17" s="8">
        <f>IF('Items sous domaines Sciences '!G19=6,'Items sous domaines Sciences '!E19,0)</f>
        <v>0</v>
      </c>
      <c r="F17" s="489"/>
    </row>
    <row r="18" spans="1:7" customFormat="1" ht="17.399999999999999" hidden="1" customHeight="1" thickBot="1" x14ac:dyDescent="0.3">
      <c r="A18" s="494"/>
      <c r="B18" s="8">
        <f>IF('Items sous domaines Sciences '!G20=6,'Items sous domaines Sciences '!B20,0)</f>
        <v>0</v>
      </c>
      <c r="C18" s="8">
        <f>IF('Items sous domaines Sciences '!G20=6,'Items sous domaines Sciences '!C20,0)</f>
        <v>0</v>
      </c>
      <c r="D18" s="8">
        <f>IF('Items sous domaines Sciences '!G20=6,'Items sous domaines Sciences '!D20,0)</f>
        <v>0</v>
      </c>
      <c r="E18" s="8">
        <f>IF('Items sous domaines Sciences '!G20=6,'Items sous domaines Sciences '!E20,0)</f>
        <v>0</v>
      </c>
      <c r="F18" s="489"/>
    </row>
    <row r="19" spans="1:7" customFormat="1" ht="17.399999999999999" hidden="1" customHeight="1" thickBot="1" x14ac:dyDescent="0.3">
      <c r="A19" s="494"/>
      <c r="B19" s="8">
        <f>IF('Items sous domaines Sciences '!G21=6,'Items sous domaines Sciences '!B21,0)</f>
        <v>0</v>
      </c>
      <c r="C19" s="8">
        <f>IF('Items sous domaines Sciences '!G21=6,'Items sous domaines Sciences '!C21,0)</f>
        <v>0</v>
      </c>
      <c r="D19" s="8">
        <f>IF('Items sous domaines Sciences '!G21=6,'Items sous domaines Sciences '!D21,0)</f>
        <v>0</v>
      </c>
      <c r="E19" s="8">
        <f>IF('Items sous domaines Sciences '!G21=6,'Items sous domaines Sciences '!E21,0)</f>
        <v>0</v>
      </c>
      <c r="F19" s="489"/>
    </row>
    <row r="20" spans="1:7" customFormat="1" ht="17.399999999999999" hidden="1" customHeight="1" thickBot="1" x14ac:dyDescent="0.3">
      <c r="A20" s="494"/>
      <c r="B20" s="8">
        <f>IF('Items sous domaines Sciences '!G22=6,'Items sous domaines Sciences '!B22,0)</f>
        <v>0</v>
      </c>
      <c r="C20" s="8">
        <f>IF('Items sous domaines Sciences '!G22=6,'Items sous domaines Sciences '!C22,0)</f>
        <v>0</v>
      </c>
      <c r="D20" s="8">
        <f>IF('Items sous domaines Sciences '!G22=6,'Items sous domaines Sciences '!D22,0)</f>
        <v>0</v>
      </c>
      <c r="E20" s="8">
        <f>IF('Items sous domaines Sciences '!G22=6,'Items sous domaines Sciences '!E22,0)</f>
        <v>0</v>
      </c>
      <c r="F20" s="489"/>
    </row>
    <row r="21" spans="1:7" customFormat="1" ht="17.399999999999999" hidden="1" customHeight="1" thickBot="1" x14ac:dyDescent="0.3">
      <c r="A21" s="494"/>
      <c r="B21" s="8">
        <f>IF('Items sous domaines Sciences '!G23=6,'Items sous domaines Sciences '!B23,0)</f>
        <v>0</v>
      </c>
      <c r="C21" s="8">
        <f>IF('Items sous domaines Sciences '!G23=6,'Items sous domaines Sciences '!C23,0)</f>
        <v>0</v>
      </c>
      <c r="D21" s="8">
        <f>IF('Items sous domaines Sciences '!G23=6,'Items sous domaines Sciences '!D23,0)</f>
        <v>0</v>
      </c>
      <c r="E21" s="8">
        <f>IF('Items sous domaines Sciences '!G23=6,'Items sous domaines Sciences '!E23,0)</f>
        <v>0</v>
      </c>
      <c r="F21" s="489"/>
    </row>
    <row r="22" spans="1:7" customFormat="1" ht="17.399999999999999" hidden="1" customHeight="1" thickBot="1" x14ac:dyDescent="0.3">
      <c r="A22" s="494"/>
      <c r="B22" s="8">
        <f>IF('Items sous domaines Sciences '!G24=6,'Items sous domaines Sciences '!B24,0)</f>
        <v>0</v>
      </c>
      <c r="C22" s="8">
        <f>IF('Items sous domaines Sciences '!G24=6,'Items sous domaines Sciences '!C24,0)</f>
        <v>0</v>
      </c>
      <c r="D22" s="8">
        <f>IF('Items sous domaines Sciences '!G24=6,'Items sous domaines Sciences '!D24,0)</f>
        <v>0</v>
      </c>
      <c r="E22" s="8">
        <f>IF('Items sous domaines Sciences '!G24=6,'Items sous domaines Sciences '!E24,0)</f>
        <v>0</v>
      </c>
      <c r="F22" s="489"/>
    </row>
    <row r="23" spans="1:7" customFormat="1" ht="17.399999999999999" hidden="1" customHeight="1" thickBot="1" x14ac:dyDescent="0.3">
      <c r="A23" s="494"/>
      <c r="B23" s="8">
        <f>IF('Items sous domaines Sciences '!G25=6,'Items sous domaines Sciences '!B25,0)</f>
        <v>0</v>
      </c>
      <c r="C23" s="8">
        <f>IF('Items sous domaines Sciences '!G25=6,'Items sous domaines Sciences '!C25,0)</f>
        <v>0</v>
      </c>
      <c r="D23" s="8">
        <f>IF('Items sous domaines Sciences '!G25=6,'Items sous domaines Sciences '!D25,0)</f>
        <v>0</v>
      </c>
      <c r="E23" s="8">
        <f>IF('Items sous domaines Sciences '!G25=6,'Items sous domaines Sciences '!E25,0)</f>
        <v>0</v>
      </c>
      <c r="F23" s="489"/>
    </row>
    <row r="24" spans="1:7" customFormat="1" ht="17.399999999999999" hidden="1" customHeight="1" thickBot="1" x14ac:dyDescent="0.3">
      <c r="A24" s="494"/>
      <c r="B24" s="8">
        <f>IF('Items sous domaines Sciences '!G26=6,'Items sous domaines Sciences '!B26,0)</f>
        <v>0</v>
      </c>
      <c r="C24" s="8">
        <f>IF('Items sous domaines Sciences '!G26=6,'Items sous domaines Sciences '!C26,0)</f>
        <v>0</v>
      </c>
      <c r="D24" s="8">
        <f>IF('Items sous domaines Sciences '!G26=6,'Items sous domaines Sciences '!D26,0)</f>
        <v>0</v>
      </c>
      <c r="E24" s="8">
        <f>IF('Items sous domaines Sciences '!G26=6,'Items sous domaines Sciences '!E26,0)</f>
        <v>0</v>
      </c>
      <c r="F24" s="489"/>
    </row>
    <row r="25" spans="1:7" customFormat="1" ht="17.399999999999999" hidden="1" customHeight="1" thickBot="1" x14ac:dyDescent="0.3">
      <c r="A25" s="494"/>
      <c r="B25" s="8">
        <f>IF('Items sous domaines Sciences '!G27=6,'Items sous domaines Sciences '!B27,0)</f>
        <v>0</v>
      </c>
      <c r="C25" s="8">
        <f>IF('Items sous domaines Sciences '!G27=6,'Items sous domaines Sciences '!C27,0)</f>
        <v>0</v>
      </c>
      <c r="D25" s="8">
        <f>IF('Items sous domaines Sciences '!G27=6,'Items sous domaines Sciences '!D27,0)</f>
        <v>0</v>
      </c>
      <c r="E25" s="8">
        <f>IF('Items sous domaines Sciences '!G27=6,'Items sous domaines Sciences '!E27,0)</f>
        <v>0</v>
      </c>
      <c r="F25" s="489"/>
    </row>
    <row r="26" spans="1:7" customFormat="1" ht="17.399999999999999" hidden="1" customHeight="1" thickBot="1" x14ac:dyDescent="0.3">
      <c r="A26" s="494"/>
      <c r="B26" s="8">
        <f>IF('Items sous domaines Sciences '!G28=6,'Items sous domaines Sciences '!B28,0)</f>
        <v>0</v>
      </c>
      <c r="C26" s="8">
        <f>IF('Items sous domaines Sciences '!G28=6,'Items sous domaines Sciences '!C28,0)</f>
        <v>0</v>
      </c>
      <c r="D26" s="8">
        <f>IF('Items sous domaines Sciences '!G28=6,'Items sous domaines Sciences '!D28,0)</f>
        <v>0</v>
      </c>
      <c r="E26" s="8">
        <f>IF('Items sous domaines Sciences '!G28=6,'Items sous domaines Sciences '!E28,0)</f>
        <v>0</v>
      </c>
      <c r="F26" s="489"/>
    </row>
    <row r="27" spans="1:7" customFormat="1" ht="17.399999999999999" hidden="1" customHeight="1" thickBot="1" x14ac:dyDescent="0.3">
      <c r="A27" s="494"/>
      <c r="B27" s="8">
        <f>IF('Items sous domaines Sciences '!G29=6,'Items sous domaines Sciences '!B29,0)</f>
        <v>0</v>
      </c>
      <c r="C27" s="8">
        <f>IF('Items sous domaines Sciences '!G29=6,'Items sous domaines Sciences '!C29,0)</f>
        <v>0</v>
      </c>
      <c r="D27" s="8">
        <f>IF('Items sous domaines Sciences '!G29=6,'Items sous domaines Sciences '!D29,0)</f>
        <v>0</v>
      </c>
      <c r="E27" s="8">
        <f>IF('Items sous domaines Sciences '!G29=6,'Items sous domaines Sciences '!E29,0)</f>
        <v>0</v>
      </c>
      <c r="F27" s="489"/>
    </row>
    <row r="28" spans="1:7" customFormat="1" ht="17.399999999999999" hidden="1" customHeight="1" thickBot="1" x14ac:dyDescent="0.3">
      <c r="A28" s="494"/>
      <c r="B28" s="8">
        <f>IF('Items sous domaines Sciences '!G30=6,'Items sous domaines Sciences '!B30,0)</f>
        <v>0</v>
      </c>
      <c r="C28" s="8">
        <f>IF('Items sous domaines Sciences '!G30=6,'Items sous domaines Sciences '!C30,0)</f>
        <v>0</v>
      </c>
      <c r="D28" s="8">
        <f>IF('Items sous domaines Sciences '!G30=6,'Items sous domaines Sciences '!D30,0)</f>
        <v>0</v>
      </c>
      <c r="E28" s="8">
        <f>IF('Items sous domaines Sciences '!G30=6,'Items sous domaines Sciences '!E30,0)</f>
        <v>0</v>
      </c>
      <c r="F28" s="489"/>
    </row>
    <row r="29" spans="1:7" ht="19.95" customHeight="1" thickTop="1" x14ac:dyDescent="0.3">
      <c r="A29" s="508"/>
      <c r="B29" s="249" t="str">
        <f>IF('Items sous domaines Sciences '!G31=6,'Items sous domaines Sciences '!B31,0)</f>
        <v>Mécanique</v>
      </c>
      <c r="C29" s="225" t="str">
        <f>IF('Items sous domaines Sciences '!G31=6,'Items sous domaines Sciences '!C31,0)</f>
        <v>Solide</v>
      </c>
      <c r="D29" s="226">
        <f>IF('Items sous domaines Sciences '!G31=6,'Items sous domaines Sciences '!D31,0)</f>
        <v>0</v>
      </c>
      <c r="E29" s="208" t="str">
        <f>IF('Items sous domaines Sciences '!G31=6,'Items sous domaines Sciences '!E31,0)</f>
        <v>Appliquer le principe fondamental de la dynamique.</v>
      </c>
      <c r="F29" s="430"/>
      <c r="G29" s="271" t="s">
        <v>390</v>
      </c>
    </row>
    <row r="30" spans="1:7" ht="19.95" customHeight="1" x14ac:dyDescent="0.3">
      <c r="A30" s="494"/>
      <c r="B30" s="55" t="str">
        <f>IF('Items sous domaines Sciences '!G32=6,'Items sous domaines Sciences '!B32,0)</f>
        <v>Mécanique</v>
      </c>
      <c r="C30" s="195" t="str">
        <f>IF('Items sous domaines Sciences '!G32=6,'Items sous domaines Sciences '!C32,0)</f>
        <v>Solide</v>
      </c>
      <c r="D30" s="98">
        <f>IF('Items sous domaines Sciences '!G32=6,'Items sous domaines Sciences '!D32,0)</f>
        <v>0</v>
      </c>
      <c r="E30" s="209" t="str">
        <f>IF('Items sous domaines Sciences '!G32=6,'Items sous domaines Sciences '!E32,0)</f>
        <v>Schématiser les actions mécaniques.</v>
      </c>
      <c r="F30" s="431"/>
      <c r="G30" s="257"/>
    </row>
    <row r="31" spans="1:7" ht="19.95" customHeight="1" x14ac:dyDescent="0.3">
      <c r="A31" s="494"/>
      <c r="B31" s="55" t="str">
        <f>IF('Items sous domaines Sciences '!G33=6,'Items sous domaines Sciences '!B33,0)</f>
        <v>Mécanique</v>
      </c>
      <c r="C31" s="213" t="str">
        <f>IF('Items sous domaines Sciences '!G33=6,'Items sous domaines Sciences '!C33,0)</f>
        <v>Solide</v>
      </c>
      <c r="D31" s="216">
        <f>IF('Items sous domaines Sciences '!G33=6,'Items sous domaines Sciences '!D33,0)</f>
        <v>0</v>
      </c>
      <c r="E31" s="254" t="str">
        <f>IF('Items sous domaines Sciences '!G33=6,'Items sous domaines Sciences '!E33,0)</f>
        <v>Calculer une puissance mécanique.</v>
      </c>
      <c r="F31" s="431"/>
      <c r="G31" s="257"/>
    </row>
    <row r="32" spans="1:7" ht="19.95" customHeight="1" x14ac:dyDescent="0.3">
      <c r="A32" s="494"/>
      <c r="B32" s="55" t="str">
        <f>IF('Items sous domaines Sciences '!G34=6,'Items sous domaines Sciences '!B34,0)</f>
        <v>Mécanique</v>
      </c>
      <c r="C32" s="195" t="str">
        <f>IF('Items sous domaines Sciences '!G34=6,'Items sous domaines Sciences '!C34,0)</f>
        <v>Solide</v>
      </c>
      <c r="D32" s="98">
        <f>IF('Items sous domaines Sciences '!G34=6,'Items sous domaines Sciences '!D34,0)</f>
        <v>0</v>
      </c>
      <c r="E32" s="209" t="str">
        <f>IF('Items sous domaines Sciences '!G34=6,'Items sous domaines Sciences '!E34,0)</f>
        <v>Appliquer le théorème de l'énergie cinétique.</v>
      </c>
      <c r="F32" s="431"/>
      <c r="G32" s="257"/>
    </row>
    <row r="33" spans="1:7" ht="19.95" customHeight="1" thickBot="1" x14ac:dyDescent="0.35">
      <c r="A33" s="509"/>
      <c r="B33" s="250" t="str">
        <f>IF('Items sous domaines Sciences '!G35=6,'Items sous domaines Sciences '!B35,0)</f>
        <v>Mécanique</v>
      </c>
      <c r="C33" s="227" t="str">
        <f>IF('Items sous domaines Sciences '!G35=6,'Items sous domaines Sciences '!C35,0)</f>
        <v>Solide</v>
      </c>
      <c r="D33" s="228">
        <f>IF('Items sous domaines Sciences '!G35=6,'Items sous domaines Sciences '!D35,0)</f>
        <v>0</v>
      </c>
      <c r="E33" s="269" t="str">
        <f>IF('Items sous domaines Sciences '!G35=6,'Items sous domaines Sciences '!E35,0)</f>
        <v>Utiliser les moments d'inertie équivalents.</v>
      </c>
      <c r="F33" s="449"/>
      <c r="G33" s="272"/>
    </row>
    <row r="34" spans="1:7" s="2" customFormat="1" ht="17.399999999999999" hidden="1" customHeight="1" thickBot="1" x14ac:dyDescent="0.3">
      <c r="A34" s="494"/>
      <c r="B34">
        <f>IF('Items sous domaines Sciences '!G36=6,'Items sous domaines Sciences '!B36,0)</f>
        <v>0</v>
      </c>
      <c r="C34">
        <f>IF('Items sous domaines Sciences '!G36=6,'Items sous domaines Sciences '!C36,0)</f>
        <v>0</v>
      </c>
      <c r="D34">
        <f>IF('Items sous domaines Sciences '!G36=6,'Items sous domaines Sciences '!D36,0)</f>
        <v>0</v>
      </c>
      <c r="E34">
        <f>IF('Items sous domaines Sciences '!G36=6,'Items sous domaines Sciences '!E36,0)</f>
        <v>0</v>
      </c>
      <c r="F34" s="489"/>
    </row>
    <row r="35" spans="1:7" s="2" customFormat="1" ht="17.399999999999999" hidden="1" customHeight="1" thickBot="1" x14ac:dyDescent="0.3">
      <c r="A35" s="494"/>
      <c r="B35" s="8">
        <f>IF('Items sous domaines Sciences '!G37=6,'Items sous domaines Sciences '!B37,0)</f>
        <v>0</v>
      </c>
      <c r="C35" s="8">
        <f>IF('Items sous domaines Sciences '!G37=6,'Items sous domaines Sciences '!C37,0)</f>
        <v>0</v>
      </c>
      <c r="D35" s="8">
        <f>IF('Items sous domaines Sciences '!G37=6,'Items sous domaines Sciences '!D37,0)</f>
        <v>0</v>
      </c>
      <c r="E35" s="8">
        <f>IF('Items sous domaines Sciences '!G37=6,'Items sous domaines Sciences '!E37,0)</f>
        <v>0</v>
      </c>
      <c r="F35" s="489"/>
    </row>
    <row r="36" spans="1:7" s="2" customFormat="1" ht="17.399999999999999" hidden="1" customHeight="1" thickBot="1" x14ac:dyDescent="0.3">
      <c r="A36" s="494"/>
      <c r="B36" s="8">
        <f>IF('Items sous domaines Sciences '!G38=6,'Items sous domaines Sciences '!B38,0)</f>
        <v>0</v>
      </c>
      <c r="C36" s="8">
        <f>IF('Items sous domaines Sciences '!G38=6,'Items sous domaines Sciences '!C38,0)</f>
        <v>0</v>
      </c>
      <c r="D36" s="8">
        <f>IF('Items sous domaines Sciences '!G38=6,'Items sous domaines Sciences '!D38,0)</f>
        <v>0</v>
      </c>
      <c r="E36" s="8">
        <f>IF('Items sous domaines Sciences '!G38=6,'Items sous domaines Sciences '!E38,0)</f>
        <v>0</v>
      </c>
      <c r="F36" s="489"/>
    </row>
    <row r="37" spans="1:7" s="2" customFormat="1" ht="17.399999999999999" hidden="1" customHeight="1" thickBot="1" x14ac:dyDescent="0.3">
      <c r="A37" s="494"/>
      <c r="B37" s="8">
        <f>IF('Items sous domaines Sciences '!G39=6,'Items sous domaines Sciences '!B39,0)</f>
        <v>0</v>
      </c>
      <c r="C37" s="8">
        <f>IF('Items sous domaines Sciences '!G39=6,'Items sous domaines Sciences '!C39,0)</f>
        <v>0</v>
      </c>
      <c r="D37" s="8">
        <f>IF('Items sous domaines Sciences '!G39=6,'Items sous domaines Sciences '!D39,0)</f>
        <v>0</v>
      </c>
      <c r="E37" s="8">
        <f>IF('Items sous domaines Sciences '!G39=6,'Items sous domaines Sciences '!E39,0)</f>
        <v>0</v>
      </c>
      <c r="F37" s="489"/>
    </row>
    <row r="38" spans="1:7" customFormat="1" ht="17.399999999999999" hidden="1" customHeight="1" thickBot="1" x14ac:dyDescent="0.3">
      <c r="A38" s="494"/>
      <c r="B38" s="8">
        <f>IF('Items sous domaines Sciences '!G40=6,'Items sous domaines Sciences '!B40,0)</f>
        <v>0</v>
      </c>
      <c r="C38" s="8">
        <f>IF('Items sous domaines Sciences '!G40=6,'Items sous domaines Sciences '!C40,0)</f>
        <v>0</v>
      </c>
      <c r="D38" s="8">
        <f>IF('Items sous domaines Sciences '!G40=6,'Items sous domaines Sciences '!D40,0)</f>
        <v>0</v>
      </c>
      <c r="E38" s="8">
        <f>IF('Items sous domaines Sciences '!G40=6,'Items sous domaines Sciences '!E40,0)</f>
        <v>0</v>
      </c>
      <c r="F38" s="489"/>
    </row>
    <row r="39" spans="1:7" customFormat="1" ht="17.399999999999999" hidden="1" customHeight="1" thickBot="1" x14ac:dyDescent="0.3">
      <c r="A39" s="494"/>
      <c r="B39" s="8">
        <f>IF('Items sous domaines Sciences '!G41=6,'Items sous domaines Sciences '!B41,0)</f>
        <v>0</v>
      </c>
      <c r="C39" s="8">
        <f>IF('Items sous domaines Sciences '!G41=6,'Items sous domaines Sciences '!C41,0)</f>
        <v>0</v>
      </c>
      <c r="D39" s="8">
        <f>IF('Items sous domaines Sciences '!G41=6,'Items sous domaines Sciences '!D41,0)</f>
        <v>0</v>
      </c>
      <c r="E39" s="8">
        <f>IF('Items sous domaines Sciences '!G41=6,'Items sous domaines Sciences '!E41,0)</f>
        <v>0</v>
      </c>
      <c r="F39" s="489"/>
    </row>
    <row r="40" spans="1:7" customFormat="1" ht="17.399999999999999" hidden="1" customHeight="1" thickBot="1" x14ac:dyDescent="0.3">
      <c r="A40" s="494"/>
      <c r="B40" s="8">
        <f>IF('Items sous domaines Sciences '!G42=6,'Items sous domaines Sciences '!B42,0)</f>
        <v>0</v>
      </c>
      <c r="C40" s="8">
        <f>IF('Items sous domaines Sciences '!G42=6,'Items sous domaines Sciences '!C42,0)</f>
        <v>0</v>
      </c>
      <c r="D40" s="8">
        <f>IF('Items sous domaines Sciences '!G42=6,'Items sous domaines Sciences '!D42,0)</f>
        <v>0</v>
      </c>
      <c r="E40" s="8">
        <f>IF('Items sous domaines Sciences '!G42=6,'Items sous domaines Sciences '!E42,0)</f>
        <v>0</v>
      </c>
      <c r="F40" s="489"/>
    </row>
    <row r="41" spans="1:7" customFormat="1" ht="17.399999999999999" hidden="1" customHeight="1" thickBot="1" x14ac:dyDescent="0.3">
      <c r="A41" s="494"/>
      <c r="B41" s="8">
        <f>IF('Items sous domaines Sciences '!G43=6,'Items sous domaines Sciences '!B43,0)</f>
        <v>0</v>
      </c>
      <c r="C41" s="8">
        <f>IF('Items sous domaines Sciences '!G43=6,'Items sous domaines Sciences '!C43,0)</f>
        <v>0</v>
      </c>
      <c r="D41" s="8">
        <f>IF('Items sous domaines Sciences '!G43=6,'Items sous domaines Sciences '!D43,0)</f>
        <v>0</v>
      </c>
      <c r="E41" s="8">
        <f>IF('Items sous domaines Sciences '!G43=6,'Items sous domaines Sciences '!E43,0)</f>
        <v>0</v>
      </c>
      <c r="F41" s="489"/>
    </row>
    <row r="42" spans="1:7" customFormat="1" ht="17.399999999999999" hidden="1" customHeight="1" thickBot="1" x14ac:dyDescent="0.3">
      <c r="A42" s="494"/>
      <c r="B42" s="8">
        <f>IF('Items sous domaines Sciences '!G44=6,'Items sous domaines Sciences '!B44,0)</f>
        <v>0</v>
      </c>
      <c r="C42" s="8">
        <f>IF('Items sous domaines Sciences '!G44=6,'Items sous domaines Sciences '!C44,0)</f>
        <v>0</v>
      </c>
      <c r="D42" s="8">
        <f>IF('Items sous domaines Sciences '!G44=6,'Items sous domaines Sciences '!D44,0)</f>
        <v>0</v>
      </c>
      <c r="E42" s="8">
        <f>IF('Items sous domaines Sciences '!G44=6,'Items sous domaines Sciences '!E44,0)</f>
        <v>0</v>
      </c>
      <c r="F42" s="489"/>
    </row>
    <row r="43" spans="1:7" customFormat="1" ht="17.399999999999999" hidden="1" customHeight="1" thickBot="1" x14ac:dyDescent="0.3">
      <c r="A43" s="494"/>
      <c r="B43" s="8">
        <f>IF('Items sous domaines Sciences '!G45=6,'Items sous domaines Sciences '!B45,0)</f>
        <v>0</v>
      </c>
      <c r="C43" s="8">
        <f>IF('Items sous domaines Sciences '!G45=6,'Items sous domaines Sciences '!C45,0)</f>
        <v>0</v>
      </c>
      <c r="D43" s="8">
        <f>IF('Items sous domaines Sciences '!G45=6,'Items sous domaines Sciences '!D45,0)</f>
        <v>0</v>
      </c>
      <c r="E43" s="8">
        <f>IF('Items sous domaines Sciences '!G45=6,'Items sous domaines Sciences '!E45,0)</f>
        <v>0</v>
      </c>
      <c r="F43" s="489"/>
    </row>
    <row r="44" spans="1:7" customFormat="1" ht="17.399999999999999" hidden="1" customHeight="1" thickBot="1" x14ac:dyDescent="0.3">
      <c r="A44" s="494"/>
      <c r="B44" s="8">
        <f>IF('Items sous domaines Sciences '!G46=6,'Items sous domaines Sciences '!B46,0)</f>
        <v>0</v>
      </c>
      <c r="C44" s="8">
        <f>IF('Items sous domaines Sciences '!G46=6,'Items sous domaines Sciences '!C46,0)</f>
        <v>0</v>
      </c>
      <c r="D44" s="8">
        <f>IF('Items sous domaines Sciences '!G46=6,'Items sous domaines Sciences '!D46,0)</f>
        <v>0</v>
      </c>
      <c r="E44" s="8">
        <f>IF('Items sous domaines Sciences '!G46=6,'Items sous domaines Sciences '!E46,0)</f>
        <v>0</v>
      </c>
      <c r="F44" s="489"/>
    </row>
    <row r="45" spans="1:7" customFormat="1" ht="17.399999999999999" hidden="1" customHeight="1" thickBot="1" x14ac:dyDescent="0.3">
      <c r="A45" s="494"/>
      <c r="B45" s="8">
        <f>IF('Items sous domaines Sciences '!G47=6,'Items sous domaines Sciences '!B47,0)</f>
        <v>0</v>
      </c>
      <c r="C45" s="8">
        <f>IF('Items sous domaines Sciences '!G47=6,'Items sous domaines Sciences '!C47,0)</f>
        <v>0</v>
      </c>
      <c r="D45" s="8">
        <f>IF('Items sous domaines Sciences '!G47=6,'Items sous domaines Sciences '!D47,0)</f>
        <v>0</v>
      </c>
      <c r="E45" s="8">
        <f>IF('Items sous domaines Sciences '!G47=6,'Items sous domaines Sciences '!E47,0)</f>
        <v>0</v>
      </c>
      <c r="F45" s="489"/>
    </row>
    <row r="46" spans="1:7" customFormat="1" ht="27.6" hidden="1" customHeight="1" thickBot="1" x14ac:dyDescent="0.3">
      <c r="A46" s="494"/>
      <c r="B46" s="8">
        <f>IF('Items sous domaines Sciences '!G48=6,'Items sous domaines Sciences '!B48,0)</f>
        <v>0</v>
      </c>
      <c r="C46" s="8">
        <f>IF('Items sous domaines Sciences '!G48=6,'Items sous domaines Sciences '!C48,0)</f>
        <v>0</v>
      </c>
      <c r="D46" s="8">
        <f>IF('Items sous domaines Sciences '!G48=6,'Items sous domaines Sciences '!D48,0)</f>
        <v>0</v>
      </c>
      <c r="E46" s="8">
        <f>IF('Items sous domaines Sciences '!G48=6,'Items sous domaines Sciences '!E48,0)</f>
        <v>0</v>
      </c>
      <c r="F46" s="489"/>
    </row>
    <row r="47" spans="1:7" customFormat="1" ht="17.399999999999999" hidden="1" customHeight="1" thickBot="1" x14ac:dyDescent="0.3">
      <c r="A47" s="494"/>
      <c r="B47" s="8">
        <f>IF('Items sous domaines Sciences '!G49=6,'Items sous domaines Sciences '!B49,0)</f>
        <v>0</v>
      </c>
      <c r="C47" s="8">
        <f>IF('Items sous domaines Sciences '!G49=6,'Items sous domaines Sciences '!C49,0)</f>
        <v>0</v>
      </c>
      <c r="D47" s="8">
        <f>IF('Items sous domaines Sciences '!G49=6,'Items sous domaines Sciences '!D49,0)</f>
        <v>0</v>
      </c>
      <c r="E47" s="8">
        <f>IF('Items sous domaines Sciences '!G49=6,'Items sous domaines Sciences '!E49,0)</f>
        <v>0</v>
      </c>
      <c r="F47" s="489"/>
    </row>
    <row r="48" spans="1:7" customFormat="1" ht="17.399999999999999" hidden="1" customHeight="1" thickBot="1" x14ac:dyDescent="0.3">
      <c r="A48" s="494"/>
      <c r="B48" s="8">
        <f>IF('Items sous domaines Sciences '!G50=6,'Items sous domaines Sciences '!B50,0)</f>
        <v>0</v>
      </c>
      <c r="C48" s="8">
        <f>IF('Items sous domaines Sciences '!G50=6,'Items sous domaines Sciences '!C50,0)</f>
        <v>0</v>
      </c>
      <c r="D48" s="8">
        <f>IF('Items sous domaines Sciences '!G50=6,'Items sous domaines Sciences '!D50,0)</f>
        <v>0</v>
      </c>
      <c r="E48" s="8">
        <f>IF('Items sous domaines Sciences '!G50=6,'Items sous domaines Sciences '!E50,0)</f>
        <v>0</v>
      </c>
      <c r="F48" s="489"/>
    </row>
    <row r="49" spans="1:7" customFormat="1" ht="17.399999999999999" hidden="1" customHeight="1" thickBot="1" x14ac:dyDescent="0.3">
      <c r="A49" s="494"/>
      <c r="B49" s="8">
        <f>IF('Items sous domaines Sciences '!G51=6,'Items sous domaines Sciences '!B51,0)</f>
        <v>0</v>
      </c>
      <c r="C49" s="8">
        <f>IF('Items sous domaines Sciences '!G51=6,'Items sous domaines Sciences '!C51,0)</f>
        <v>0</v>
      </c>
      <c r="D49" s="8">
        <f>IF('Items sous domaines Sciences '!G51=6,'Items sous domaines Sciences '!D51,0)</f>
        <v>0</v>
      </c>
      <c r="E49" s="8">
        <f>IF('Items sous domaines Sciences '!G51=6,'Items sous domaines Sciences '!E51,0)</f>
        <v>0</v>
      </c>
      <c r="F49" s="489"/>
    </row>
    <row r="50" spans="1:7" customFormat="1" ht="17.399999999999999" hidden="1" customHeight="1" thickBot="1" x14ac:dyDescent="0.3">
      <c r="A50" s="494"/>
      <c r="B50" s="8">
        <f>IF('Items sous domaines Sciences '!G52=6,'Items sous domaines Sciences '!B52,0)</f>
        <v>0</v>
      </c>
      <c r="C50" s="8">
        <f>IF('Items sous domaines Sciences '!G52=6,'Items sous domaines Sciences '!C52,0)</f>
        <v>0</v>
      </c>
      <c r="D50" s="8">
        <f>IF('Items sous domaines Sciences '!G52=6,'Items sous domaines Sciences '!D52,0)</f>
        <v>0</v>
      </c>
      <c r="E50" s="8">
        <f>IF('Items sous domaines Sciences '!G52=6,'Items sous domaines Sciences '!E52,0)</f>
        <v>0</v>
      </c>
      <c r="F50" s="489"/>
    </row>
    <row r="51" spans="1:7" customFormat="1" ht="17.399999999999999" hidden="1" customHeight="1" thickBot="1" x14ac:dyDescent="0.3">
      <c r="A51" s="494"/>
      <c r="B51" s="8">
        <f>IF('Items sous domaines Sciences '!G53=6,'Items sous domaines Sciences '!B53,0)</f>
        <v>0</v>
      </c>
      <c r="C51" s="8">
        <f>IF('Items sous domaines Sciences '!G53=6,'Items sous domaines Sciences '!C53,0)</f>
        <v>0</v>
      </c>
      <c r="D51" s="8">
        <f>IF('Items sous domaines Sciences '!G53=6,'Items sous domaines Sciences '!D53,0)</f>
        <v>0</v>
      </c>
      <c r="E51" s="8">
        <f>IF('Items sous domaines Sciences '!G53=6,'Items sous domaines Sciences '!E53,0)</f>
        <v>0</v>
      </c>
      <c r="F51" s="489"/>
    </row>
    <row r="52" spans="1:7" customFormat="1" ht="27.6" hidden="1" customHeight="1" thickBot="1" x14ac:dyDescent="0.3">
      <c r="A52" s="494"/>
      <c r="B52" s="8">
        <f>IF('Items sous domaines Sciences '!G54=6,'Items sous domaines Sciences '!B54,0)</f>
        <v>0</v>
      </c>
      <c r="C52" s="8">
        <f>IF('Items sous domaines Sciences '!G54=6,'Items sous domaines Sciences '!C54,0)</f>
        <v>0</v>
      </c>
      <c r="D52" s="8">
        <f>IF('Items sous domaines Sciences '!G54=6,'Items sous domaines Sciences '!D54,0)</f>
        <v>0</v>
      </c>
      <c r="E52" s="8">
        <f>IF('Items sous domaines Sciences '!G54=6,'Items sous domaines Sciences '!E54,0)</f>
        <v>0</v>
      </c>
      <c r="F52" s="489"/>
    </row>
    <row r="53" spans="1:7" customFormat="1" ht="22.2" hidden="1" customHeight="1" thickBot="1" x14ac:dyDescent="0.3">
      <c r="A53" s="494"/>
      <c r="B53" s="8">
        <f>IF('Items sous domaines Sciences '!G55=6,'Items sous domaines Sciences '!B55,0)</f>
        <v>0</v>
      </c>
      <c r="C53" s="8">
        <f>IF('Items sous domaines Sciences '!G55=6,'Items sous domaines Sciences '!C55,0)</f>
        <v>0</v>
      </c>
      <c r="D53" s="8">
        <f>IF('Items sous domaines Sciences '!G55=6,'Items sous domaines Sciences '!D55,0)</f>
        <v>0</v>
      </c>
      <c r="E53" s="8">
        <f>IF('Items sous domaines Sciences '!G55=6,'Items sous domaines Sciences '!E55,0)</f>
        <v>0</v>
      </c>
      <c r="F53" s="489"/>
    </row>
    <row r="54" spans="1:7" s="3" customFormat="1" ht="27.6" hidden="1" customHeight="1" thickBot="1" x14ac:dyDescent="0.3">
      <c r="A54" s="494"/>
      <c r="B54" s="8">
        <f>IF('Items sous domaines Sciences '!G56=6,'Items sous domaines Sciences '!B56,0)</f>
        <v>0</v>
      </c>
      <c r="C54" s="8">
        <f>IF('Items sous domaines Sciences '!G56=6,'Items sous domaines Sciences '!C56,0)</f>
        <v>0</v>
      </c>
      <c r="D54" s="8">
        <f>IF('Items sous domaines Sciences '!G56=6,'Items sous domaines Sciences '!D56,0)</f>
        <v>0</v>
      </c>
      <c r="E54" s="8">
        <f>IF('Items sous domaines Sciences '!G56=6,'Items sous domaines Sciences '!E56,0)</f>
        <v>0</v>
      </c>
      <c r="F54" s="489"/>
    </row>
    <row r="55" spans="1:7" customFormat="1" ht="17.399999999999999" hidden="1" customHeight="1" thickBot="1" x14ac:dyDescent="0.3">
      <c r="A55" s="494"/>
      <c r="B55" s="8">
        <f>IF('Items sous domaines Sciences '!G57=6,'Items sous domaines Sciences '!B57,0)</f>
        <v>0</v>
      </c>
      <c r="C55" s="8">
        <f>IF('Items sous domaines Sciences '!G57=6,'Items sous domaines Sciences '!C57,0)</f>
        <v>0</v>
      </c>
      <c r="D55" s="8">
        <f>IF('Items sous domaines Sciences '!G57=6,'Items sous domaines Sciences '!D57,0)</f>
        <v>0</v>
      </c>
      <c r="E55" s="8">
        <f>IF('Items sous domaines Sciences '!G57=6,'Items sous domaines Sciences '!E57,0)</f>
        <v>0</v>
      </c>
      <c r="F55" s="489"/>
    </row>
    <row r="56" spans="1:7" customFormat="1" ht="17.399999999999999" hidden="1" customHeight="1" thickBot="1" x14ac:dyDescent="0.3">
      <c r="A56" s="494"/>
      <c r="B56" s="8">
        <f>IF('Items sous domaines Sciences '!G58=6,'Items sous domaines Sciences '!B58,0)</f>
        <v>0</v>
      </c>
      <c r="C56" s="8">
        <f>IF('Items sous domaines Sciences '!G58=6,'Items sous domaines Sciences '!C58,0)</f>
        <v>0</v>
      </c>
      <c r="D56" s="8">
        <f>IF('Items sous domaines Sciences '!G58=6,'Items sous domaines Sciences '!D58,0)</f>
        <v>0</v>
      </c>
      <c r="E56" s="8">
        <f>IF('Items sous domaines Sciences '!G58=6,'Items sous domaines Sciences '!E58,0)</f>
        <v>0</v>
      </c>
      <c r="F56" s="489"/>
    </row>
    <row r="57" spans="1:7" customFormat="1" ht="17.399999999999999" hidden="1" customHeight="1" thickBot="1" x14ac:dyDescent="0.3">
      <c r="A57" s="494"/>
      <c r="B57" s="8">
        <f>IF('Items sous domaines Sciences '!G59=6,'Items sous domaines Sciences '!B59,0)</f>
        <v>0</v>
      </c>
      <c r="C57" s="8">
        <f>IF('Items sous domaines Sciences '!G59=6,'Items sous domaines Sciences '!C59,0)</f>
        <v>0</v>
      </c>
      <c r="D57" s="8">
        <f>IF('Items sous domaines Sciences '!G59=6,'Items sous domaines Sciences '!D59,0)</f>
        <v>0</v>
      </c>
      <c r="E57" s="8">
        <f>IF('Items sous domaines Sciences '!G59=6,'Items sous domaines Sciences '!E59,0)</f>
        <v>0</v>
      </c>
      <c r="F57" s="489"/>
      <c r="G57" s="17"/>
    </row>
    <row r="58" spans="1:7" customFormat="1" ht="17.399999999999999" hidden="1" customHeight="1" thickBot="1" x14ac:dyDescent="0.3">
      <c r="A58" s="494"/>
      <c r="B58" s="8">
        <f>IF('Items sous domaines Sciences '!G60=6,'Items sous domaines Sciences '!B60,0)</f>
        <v>0</v>
      </c>
      <c r="C58" s="8">
        <f>IF('Items sous domaines Sciences '!G60=6,'Items sous domaines Sciences '!C60,0)</f>
        <v>0</v>
      </c>
      <c r="D58" s="8">
        <f>IF('Items sous domaines Sciences '!G60=6,'Items sous domaines Sciences '!D60,0)</f>
        <v>0</v>
      </c>
      <c r="E58" s="8">
        <f>IF('Items sous domaines Sciences '!G60=6,'Items sous domaines Sciences '!E60,0)</f>
        <v>0</v>
      </c>
      <c r="F58" s="489"/>
      <c r="G58" s="17"/>
    </row>
    <row r="59" spans="1:7" customFormat="1" ht="17.399999999999999" hidden="1" customHeight="1" thickBot="1" x14ac:dyDescent="0.3">
      <c r="A59" s="494"/>
      <c r="B59" s="8">
        <f>IF('Items sous domaines Sciences '!G61=6,'Items sous domaines Sciences '!B61,0)</f>
        <v>0</v>
      </c>
      <c r="C59" s="8">
        <f>IF('Items sous domaines Sciences '!G61=6,'Items sous domaines Sciences '!C61,0)</f>
        <v>0</v>
      </c>
      <c r="D59" s="8">
        <f>IF('Items sous domaines Sciences '!G61=6,'Items sous domaines Sciences '!D61,0)</f>
        <v>0</v>
      </c>
      <c r="E59" s="8">
        <f>IF('Items sous domaines Sciences '!G61=6,'Items sous domaines Sciences '!E61,0)</f>
        <v>0</v>
      </c>
      <c r="F59" s="489"/>
      <c r="G59" s="17"/>
    </row>
    <row r="60" spans="1:7" customFormat="1" ht="23.4" hidden="1" customHeight="1" thickBot="1" x14ac:dyDescent="0.3">
      <c r="A60" s="494"/>
      <c r="B60" s="8">
        <f>IF('Items sous domaines Sciences '!G62=6,'Items sous domaines Sciences '!B62,0)</f>
        <v>0</v>
      </c>
      <c r="C60" s="8">
        <f>IF('Items sous domaines Sciences '!G62=6,'Items sous domaines Sciences '!C62,0)</f>
        <v>0</v>
      </c>
      <c r="D60" s="8">
        <f>IF('Items sous domaines Sciences '!G62=6,'Items sous domaines Sciences '!D62,0)</f>
        <v>0</v>
      </c>
      <c r="E60" s="8">
        <f>IF('Items sous domaines Sciences '!G62=6,'Items sous domaines Sciences '!E62,0)</f>
        <v>0</v>
      </c>
      <c r="F60" s="489"/>
      <c r="G60" s="24" t="s">
        <v>396</v>
      </c>
    </row>
    <row r="61" spans="1:7" customFormat="1" ht="43.95" hidden="1" customHeight="1" thickBot="1" x14ac:dyDescent="0.3">
      <c r="A61" s="494"/>
      <c r="B61" s="8">
        <f>IF('Items sous domaines Sciences '!G63=6,'Items sous domaines Sciences '!B63,0)</f>
        <v>0</v>
      </c>
      <c r="C61" s="8">
        <f>IF('Items sous domaines Sciences '!G63=6,'Items sous domaines Sciences '!C63,0)</f>
        <v>0</v>
      </c>
      <c r="D61" s="8">
        <f>IF('Items sous domaines Sciences '!G63=6,'Items sous domaines Sciences '!D63,0)</f>
        <v>0</v>
      </c>
      <c r="E61" s="8">
        <f>IF('Items sous domaines Sciences '!G63=6,'Items sous domaines Sciences '!E63,0)</f>
        <v>0</v>
      </c>
      <c r="F61" s="489"/>
      <c r="G61" s="17"/>
    </row>
    <row r="62" spans="1:7" customFormat="1" ht="30" hidden="1" customHeight="1" thickBot="1" x14ac:dyDescent="0.3">
      <c r="A62" s="494"/>
      <c r="B62" s="8">
        <f>IF('Items sous domaines Sciences '!G64=6,'Items sous domaines Sciences '!B64,0)</f>
        <v>0</v>
      </c>
      <c r="C62" s="8">
        <f>IF('Items sous domaines Sciences '!G64=6,'Items sous domaines Sciences '!C64,0)</f>
        <v>0</v>
      </c>
      <c r="D62" s="8">
        <f>IF('Items sous domaines Sciences '!G64=6,'Items sous domaines Sciences '!D64,0)</f>
        <v>0</v>
      </c>
      <c r="E62" s="8">
        <f>IF('Items sous domaines Sciences '!G64=6,'Items sous domaines Sciences '!E64,0)</f>
        <v>0</v>
      </c>
      <c r="F62" s="489"/>
    </row>
    <row r="63" spans="1:7" customFormat="1" ht="17.399999999999999" hidden="1" customHeight="1" thickBot="1" x14ac:dyDescent="0.3">
      <c r="A63" s="494"/>
      <c r="B63" s="8">
        <f>IF('Items sous domaines Sciences '!G65=6,'Items sous domaines Sciences '!B65,0)</f>
        <v>0</v>
      </c>
      <c r="C63" s="8">
        <f>IF('Items sous domaines Sciences '!G65=6,'Items sous domaines Sciences '!C65,0)</f>
        <v>0</v>
      </c>
      <c r="D63" s="8">
        <f>IF('Items sous domaines Sciences '!G65=6,'Items sous domaines Sciences '!D65,0)</f>
        <v>0</v>
      </c>
      <c r="E63" s="8">
        <f>IF('Items sous domaines Sciences '!G65=6,'Items sous domaines Sciences '!E65,0)</f>
        <v>0</v>
      </c>
      <c r="F63" s="489"/>
    </row>
    <row r="64" spans="1:7" customFormat="1" ht="17.399999999999999" hidden="1" customHeight="1" thickBot="1" x14ac:dyDescent="0.3">
      <c r="A64" s="494"/>
      <c r="B64" s="8">
        <f>IF('Items sous domaines Sciences '!G66=6,'Items sous domaines Sciences '!B66,0)</f>
        <v>0</v>
      </c>
      <c r="C64" s="8">
        <f>IF('Items sous domaines Sciences '!G66=6,'Items sous domaines Sciences '!C66,0)</f>
        <v>0</v>
      </c>
      <c r="D64" s="8">
        <f>IF('Items sous domaines Sciences '!G66=6,'Items sous domaines Sciences '!D66,0)</f>
        <v>0</v>
      </c>
      <c r="E64" s="8">
        <f>IF('Items sous domaines Sciences '!G66=6,'Items sous domaines Sciences '!E66,0)</f>
        <v>0</v>
      </c>
      <c r="F64" s="489"/>
    </row>
    <row r="65" spans="1:6" customFormat="1" ht="17.399999999999999" hidden="1" customHeight="1" thickBot="1" x14ac:dyDescent="0.3">
      <c r="A65" s="494"/>
      <c r="B65" s="8">
        <f>IF('Items sous domaines Sciences '!G67=6,'Items sous domaines Sciences '!B67,0)</f>
        <v>0</v>
      </c>
      <c r="C65" s="8">
        <f>IF('Items sous domaines Sciences '!G67=6,'Items sous domaines Sciences '!C67,0)</f>
        <v>0</v>
      </c>
      <c r="D65" s="8">
        <f>IF('Items sous domaines Sciences '!G67=6,'Items sous domaines Sciences '!D67,0)</f>
        <v>0</v>
      </c>
      <c r="E65" s="8">
        <f>IF('Items sous domaines Sciences '!G67=6,'Items sous domaines Sciences '!E67,0)</f>
        <v>0</v>
      </c>
      <c r="F65" s="489"/>
    </row>
    <row r="66" spans="1:6" customFormat="1" ht="17.399999999999999" hidden="1" customHeight="1" thickBot="1" x14ac:dyDescent="0.3">
      <c r="A66" s="494"/>
      <c r="B66" s="8">
        <f>IF('Items sous domaines Sciences '!G68=6,'Items sous domaines Sciences '!B68,0)</f>
        <v>0</v>
      </c>
      <c r="C66" s="8">
        <f>IF('Items sous domaines Sciences '!G68=6,'Items sous domaines Sciences '!C68,0)</f>
        <v>0</v>
      </c>
      <c r="D66" s="8">
        <f>IF('Items sous domaines Sciences '!G68=6,'Items sous domaines Sciences '!D68,0)</f>
        <v>0</v>
      </c>
      <c r="E66" s="8">
        <f>IF('Items sous domaines Sciences '!G68=6,'Items sous domaines Sciences '!E68,0)</f>
        <v>0</v>
      </c>
      <c r="F66" s="489"/>
    </row>
    <row r="67" spans="1:6" customFormat="1" ht="17.399999999999999" hidden="1" customHeight="1" thickBot="1" x14ac:dyDescent="0.3">
      <c r="A67" s="494"/>
      <c r="B67" s="8">
        <f>IF('Items sous domaines Sciences '!G69=6,'Items sous domaines Sciences '!B69,0)</f>
        <v>0</v>
      </c>
      <c r="C67" s="8">
        <f>IF('Items sous domaines Sciences '!G69=6,'Items sous domaines Sciences '!C69,0)</f>
        <v>0</v>
      </c>
      <c r="D67" s="8">
        <f>IF('Items sous domaines Sciences '!G69=6,'Items sous domaines Sciences '!D69,0)</f>
        <v>0</v>
      </c>
      <c r="E67" s="8">
        <f>IF('Items sous domaines Sciences '!G69=6,'Items sous domaines Sciences '!E69,0)</f>
        <v>0</v>
      </c>
      <c r="F67" s="489"/>
    </row>
    <row r="68" spans="1:6" customFormat="1" ht="17.399999999999999" hidden="1" customHeight="1" thickBot="1" x14ac:dyDescent="0.3">
      <c r="A68" s="494"/>
      <c r="B68" s="8">
        <f>IF('Items sous domaines Sciences '!G70=6,'Items sous domaines Sciences '!B70,0)</f>
        <v>0</v>
      </c>
      <c r="C68" s="8">
        <f>IF('Items sous domaines Sciences '!G70=6,'Items sous domaines Sciences '!C70,0)</f>
        <v>0</v>
      </c>
      <c r="D68" s="8">
        <f>IF('Items sous domaines Sciences '!G70=6,'Items sous domaines Sciences '!D70,0)</f>
        <v>0</v>
      </c>
      <c r="E68" s="8">
        <f>IF('Items sous domaines Sciences '!G70=6,'Items sous domaines Sciences '!E70,0)</f>
        <v>0</v>
      </c>
      <c r="F68" s="489"/>
    </row>
    <row r="69" spans="1:6" customFormat="1" ht="22.2" hidden="1" customHeight="1" thickBot="1" x14ac:dyDescent="0.3">
      <c r="A69" s="494"/>
      <c r="B69" s="8">
        <f>IF('Items sous domaines Sciences '!G71=6,'Items sous domaines Sciences '!B71,0)</f>
        <v>0</v>
      </c>
      <c r="C69" s="8">
        <f>IF('Items sous domaines Sciences '!G71=6,'Items sous domaines Sciences '!C71,0)</f>
        <v>0</v>
      </c>
      <c r="D69" s="8">
        <f>IF('Items sous domaines Sciences '!G71=6,'Items sous domaines Sciences '!D71,0)</f>
        <v>0</v>
      </c>
      <c r="E69" s="8">
        <f>IF('Items sous domaines Sciences '!G71=6,'Items sous domaines Sciences '!E71,0)</f>
        <v>0</v>
      </c>
      <c r="F69" s="489"/>
    </row>
    <row r="70" spans="1:6" customFormat="1" ht="17.399999999999999" hidden="1" customHeight="1" thickBot="1" x14ac:dyDescent="0.3">
      <c r="A70" s="494"/>
      <c r="B70" s="8">
        <f>IF('Items sous domaines Sciences '!G72=6,'Items sous domaines Sciences '!B72,0)</f>
        <v>0</v>
      </c>
      <c r="C70" s="8">
        <f>IF('Items sous domaines Sciences '!G72=6,'Items sous domaines Sciences '!C72,0)</f>
        <v>0</v>
      </c>
      <c r="D70" s="8">
        <f>IF('Items sous domaines Sciences '!G72=6,'Items sous domaines Sciences '!D72,0)</f>
        <v>0</v>
      </c>
      <c r="E70" s="8">
        <f>IF('Items sous domaines Sciences '!G72=6,'Items sous domaines Sciences '!E72,0)</f>
        <v>0</v>
      </c>
      <c r="F70" s="489"/>
    </row>
    <row r="71" spans="1:6" customFormat="1" ht="27.6" hidden="1" customHeight="1" thickBot="1" x14ac:dyDescent="0.3">
      <c r="A71" s="494"/>
      <c r="B71" s="8">
        <f>IF('Items sous domaines Sciences '!G73=6,'Items sous domaines Sciences '!B73,0)</f>
        <v>0</v>
      </c>
      <c r="C71" s="8">
        <f>IF('Items sous domaines Sciences '!G73=6,'Items sous domaines Sciences '!C73,0)</f>
        <v>0</v>
      </c>
      <c r="D71" s="8">
        <f>IF('Items sous domaines Sciences '!G73=6,'Items sous domaines Sciences '!D73,0)</f>
        <v>0</v>
      </c>
      <c r="E71" s="8">
        <f>IF('Items sous domaines Sciences '!G73=6,'Items sous domaines Sciences '!E73,0)</f>
        <v>0</v>
      </c>
      <c r="F71" s="489"/>
    </row>
    <row r="72" spans="1:6" customFormat="1" ht="17.399999999999999" hidden="1" customHeight="1" thickBot="1" x14ac:dyDescent="0.3">
      <c r="A72" s="494"/>
      <c r="B72" s="8">
        <f>IF('Items sous domaines Sciences '!G74=6,'Items sous domaines Sciences '!B74,0)</f>
        <v>0</v>
      </c>
      <c r="C72" s="8">
        <f>IF('Items sous domaines Sciences '!G74=6,'Items sous domaines Sciences '!C74,0)</f>
        <v>0</v>
      </c>
      <c r="D72" s="8">
        <f>IF('Items sous domaines Sciences '!G74=6,'Items sous domaines Sciences '!D74,0)</f>
        <v>0</v>
      </c>
      <c r="E72" s="8">
        <f>IF('Items sous domaines Sciences '!G74=6,'Items sous domaines Sciences '!E74,0)</f>
        <v>0</v>
      </c>
      <c r="F72" s="489"/>
    </row>
    <row r="73" spans="1:6" customFormat="1" ht="17.399999999999999" hidden="1" customHeight="1" thickBot="1" x14ac:dyDescent="0.3">
      <c r="A73" s="494"/>
      <c r="B73" s="8">
        <f>IF('Items sous domaines Sciences '!G75=6,'Items sous domaines Sciences '!B75,0)</f>
        <v>0</v>
      </c>
      <c r="C73" s="8">
        <f>IF('Items sous domaines Sciences '!G75=6,'Items sous domaines Sciences '!C75,0)</f>
        <v>0</v>
      </c>
      <c r="D73" s="8">
        <f>IF('Items sous domaines Sciences '!G75=6,'Items sous domaines Sciences '!D75,0)</f>
        <v>0</v>
      </c>
      <c r="E73" s="8">
        <f>IF('Items sous domaines Sciences '!G75=6,'Items sous domaines Sciences '!E75,0)</f>
        <v>0</v>
      </c>
      <c r="F73" s="489"/>
    </row>
    <row r="74" spans="1:6" customFormat="1" ht="17.399999999999999" hidden="1" customHeight="1" thickBot="1" x14ac:dyDescent="0.3">
      <c r="A74" s="494"/>
      <c r="B74" s="8">
        <f>IF('Items sous domaines Sciences '!G76=6,'Items sous domaines Sciences '!B76,0)</f>
        <v>0</v>
      </c>
      <c r="C74" s="8">
        <f>IF('Items sous domaines Sciences '!G76=6,'Items sous domaines Sciences '!C76,0)</f>
        <v>0</v>
      </c>
      <c r="D74" s="8">
        <f>IF('Items sous domaines Sciences '!G76=6,'Items sous domaines Sciences '!D76,0)</f>
        <v>0</v>
      </c>
      <c r="E74" s="8">
        <f>IF('Items sous domaines Sciences '!G76=6,'Items sous domaines Sciences '!E76,0)</f>
        <v>0</v>
      </c>
      <c r="F74" s="489"/>
    </row>
    <row r="75" spans="1:6" customFormat="1" ht="17.399999999999999" hidden="1" customHeight="1" thickBot="1" x14ac:dyDescent="0.3">
      <c r="A75" s="494"/>
      <c r="B75" s="8">
        <f>IF('Items sous domaines Sciences '!G77=6,'Items sous domaines Sciences '!B77,0)</f>
        <v>0</v>
      </c>
      <c r="C75" s="8">
        <f>IF('Items sous domaines Sciences '!G77=6,'Items sous domaines Sciences '!C77,0)</f>
        <v>0</v>
      </c>
      <c r="D75" s="8">
        <f>IF('Items sous domaines Sciences '!G77=6,'Items sous domaines Sciences '!D77,0)</f>
        <v>0</v>
      </c>
      <c r="E75" s="8">
        <f>IF('Items sous domaines Sciences '!G77=6,'Items sous domaines Sciences '!E77,0)</f>
        <v>0</v>
      </c>
      <c r="F75" s="489"/>
    </row>
    <row r="76" spans="1:6" customFormat="1" ht="17.399999999999999" hidden="1" customHeight="1" thickBot="1" x14ac:dyDescent="0.3">
      <c r="A76" s="494"/>
      <c r="B76" s="8">
        <f>IF('Items sous domaines Sciences '!G78=6,'Items sous domaines Sciences '!B78,0)</f>
        <v>0</v>
      </c>
      <c r="C76" s="8">
        <f>IF('Items sous domaines Sciences '!G78=6,'Items sous domaines Sciences '!C78,0)</f>
        <v>0</v>
      </c>
      <c r="D76" s="8">
        <f>IF('Items sous domaines Sciences '!G78=6,'Items sous domaines Sciences '!D78,0)</f>
        <v>0</v>
      </c>
      <c r="E76" s="8">
        <f>IF('Items sous domaines Sciences '!G78=6,'Items sous domaines Sciences '!E78,0)</f>
        <v>0</v>
      </c>
      <c r="F76" s="489"/>
    </row>
    <row r="77" spans="1:6" customFormat="1" ht="17.399999999999999" hidden="1" customHeight="1" thickBot="1" x14ac:dyDescent="0.3">
      <c r="A77" s="494"/>
      <c r="B77" s="8">
        <f>IF('Items sous domaines Sciences '!G79=6,'Items sous domaines Sciences '!B79,0)</f>
        <v>0</v>
      </c>
      <c r="C77" s="8">
        <f>IF('Items sous domaines Sciences '!G79=6,'Items sous domaines Sciences '!C79,0)</f>
        <v>0</v>
      </c>
      <c r="D77" s="8">
        <f>IF('Items sous domaines Sciences '!G79=6,'Items sous domaines Sciences '!D79,0)</f>
        <v>0</v>
      </c>
      <c r="E77" s="8">
        <f>IF('Items sous domaines Sciences '!G79=6,'Items sous domaines Sciences '!E79,0)</f>
        <v>0</v>
      </c>
      <c r="F77" s="489"/>
    </row>
    <row r="78" spans="1:6" customFormat="1" ht="17.399999999999999" hidden="1" customHeight="1" thickBot="1" x14ac:dyDescent="0.3">
      <c r="A78" s="494"/>
      <c r="B78" s="8">
        <f>IF('Items sous domaines Sciences '!G80=6,'Items sous domaines Sciences '!B80,0)</f>
        <v>0</v>
      </c>
      <c r="C78" s="8">
        <f>IF('Items sous domaines Sciences '!G80=6,'Items sous domaines Sciences '!C80,0)</f>
        <v>0</v>
      </c>
      <c r="D78" s="8">
        <f>IF('Items sous domaines Sciences '!G80=6,'Items sous domaines Sciences '!D80,0)</f>
        <v>0</v>
      </c>
      <c r="E78" s="8">
        <f>IF('Items sous domaines Sciences '!G80=6,'Items sous domaines Sciences '!E80,0)</f>
        <v>0</v>
      </c>
      <c r="F78" s="489"/>
    </row>
    <row r="79" spans="1:6" customFormat="1" ht="17.399999999999999" hidden="1" customHeight="1" thickBot="1" x14ac:dyDescent="0.3">
      <c r="A79" s="494"/>
      <c r="B79" s="8">
        <f>IF('Items sous domaines Sciences '!G81=6,'Items sous domaines Sciences '!B81,0)</f>
        <v>0</v>
      </c>
      <c r="C79" s="8">
        <f>IF('Items sous domaines Sciences '!G81=6,'Items sous domaines Sciences '!C81,0)</f>
        <v>0</v>
      </c>
      <c r="D79" s="8">
        <f>IF('Items sous domaines Sciences '!G81=6,'Items sous domaines Sciences '!D81,0)</f>
        <v>0</v>
      </c>
      <c r="E79" s="8">
        <f>IF('Items sous domaines Sciences '!G81=6,'Items sous domaines Sciences '!E81,0)</f>
        <v>0</v>
      </c>
      <c r="F79" s="489"/>
    </row>
    <row r="80" spans="1:6" customFormat="1" ht="17.399999999999999" hidden="1" customHeight="1" thickBot="1" x14ac:dyDescent="0.3">
      <c r="A80" s="494"/>
      <c r="B80" s="8">
        <f>IF('Items sous domaines Sciences '!G82=6,'Items sous domaines Sciences '!B82,0)</f>
        <v>0</v>
      </c>
      <c r="C80" s="8">
        <f>IF('Items sous domaines Sciences '!G82=6,'Items sous domaines Sciences '!C82,0)</f>
        <v>0</v>
      </c>
      <c r="D80" s="8">
        <f>IF('Items sous domaines Sciences '!G82=6,'Items sous domaines Sciences '!D82,0)</f>
        <v>0</v>
      </c>
      <c r="E80" s="8">
        <f>IF('Items sous domaines Sciences '!G82=6,'Items sous domaines Sciences '!E82,0)</f>
        <v>0</v>
      </c>
      <c r="F80" s="489"/>
    </row>
    <row r="81" spans="1:7" customFormat="1" ht="17.399999999999999" hidden="1" customHeight="1" thickBot="1" x14ac:dyDescent="0.3">
      <c r="A81" s="494"/>
      <c r="B81" s="8">
        <f>IF('Items sous domaines Sciences '!G83=6,'Items sous domaines Sciences '!B83,0)</f>
        <v>0</v>
      </c>
      <c r="C81" s="8">
        <f>IF('Items sous domaines Sciences '!G83=6,'Items sous domaines Sciences '!C83,0)</f>
        <v>0</v>
      </c>
      <c r="D81" s="8">
        <f>IF('Items sous domaines Sciences '!G83=6,'Items sous domaines Sciences '!D83,0)</f>
        <v>0</v>
      </c>
      <c r="E81" s="8">
        <f>IF('Items sous domaines Sciences '!G83=6,'Items sous domaines Sciences '!E83,0)</f>
        <v>0</v>
      </c>
      <c r="F81" s="489"/>
    </row>
    <row r="82" spans="1:7" customFormat="1" ht="17.399999999999999" hidden="1" customHeight="1" thickBot="1" x14ac:dyDescent="0.3">
      <c r="A82" s="494"/>
      <c r="B82" s="8">
        <f>IF('Items sous domaines Sciences '!G84=6,'Items sous domaines Sciences '!B84,0)</f>
        <v>0</v>
      </c>
      <c r="C82" s="8">
        <f>IF('Items sous domaines Sciences '!G84=6,'Items sous domaines Sciences '!C84,0)</f>
        <v>0</v>
      </c>
      <c r="D82" s="8">
        <f>IF('Items sous domaines Sciences '!G84=6,'Items sous domaines Sciences '!D84,0)</f>
        <v>0</v>
      </c>
      <c r="E82" s="8">
        <f>IF('Items sous domaines Sciences '!G84=6,'Items sous domaines Sciences '!E84,0)</f>
        <v>0</v>
      </c>
      <c r="F82" s="489"/>
    </row>
    <row r="83" spans="1:7" customFormat="1" ht="17.399999999999999" hidden="1" customHeight="1" thickBot="1" x14ac:dyDescent="0.3">
      <c r="A83" s="494"/>
      <c r="B83" s="8">
        <f>IF('Items sous domaines Sciences '!G85=6,'Items sous domaines Sciences '!B85,0)</f>
        <v>0</v>
      </c>
      <c r="C83" s="8">
        <f>IF('Items sous domaines Sciences '!G85=6,'Items sous domaines Sciences '!C85,0)</f>
        <v>0</v>
      </c>
      <c r="D83" s="8">
        <f>IF('Items sous domaines Sciences '!G85=6,'Items sous domaines Sciences '!D85,0)</f>
        <v>0</v>
      </c>
      <c r="E83" s="8">
        <f>IF('Items sous domaines Sciences '!G85=6,'Items sous domaines Sciences '!E85,0)</f>
        <v>0</v>
      </c>
      <c r="F83" s="489"/>
    </row>
    <row r="84" spans="1:7" customFormat="1" ht="17.399999999999999" hidden="1" customHeight="1" thickBot="1" x14ac:dyDescent="0.3">
      <c r="A84" s="494"/>
      <c r="B84" s="8">
        <f>IF('Items sous domaines Sciences '!G86=6,'Items sous domaines Sciences '!B86,0)</f>
        <v>0</v>
      </c>
      <c r="C84" s="8">
        <f>IF('Items sous domaines Sciences '!G86=6,'Items sous domaines Sciences '!C86,0)</f>
        <v>0</v>
      </c>
      <c r="D84" s="8">
        <f>IF('Items sous domaines Sciences '!G86=6,'Items sous domaines Sciences '!D86,0)</f>
        <v>0</v>
      </c>
      <c r="E84" s="8">
        <f>IF('Items sous domaines Sciences '!G86=6,'Items sous domaines Sciences '!E86,0)</f>
        <v>0</v>
      </c>
      <c r="F84" s="489"/>
    </row>
    <row r="85" spans="1:7" customFormat="1" ht="17.399999999999999" hidden="1" customHeight="1" thickBot="1" x14ac:dyDescent="0.3">
      <c r="A85" s="494"/>
      <c r="B85" s="8">
        <f>IF('Items sous domaines Sciences '!G87=6,'Items sous domaines Sciences '!B87,0)</f>
        <v>0</v>
      </c>
      <c r="C85" s="8">
        <f>IF('Items sous domaines Sciences '!G87=6,'Items sous domaines Sciences '!C87,0)</f>
        <v>0</v>
      </c>
      <c r="D85" s="8">
        <f>IF('Items sous domaines Sciences '!G87=6,'Items sous domaines Sciences '!D87,0)</f>
        <v>0</v>
      </c>
      <c r="E85" s="8">
        <f>IF('Items sous domaines Sciences '!G87=6,'Items sous domaines Sciences '!E87,0)</f>
        <v>0</v>
      </c>
      <c r="F85" s="489"/>
    </row>
    <row r="86" spans="1:7" customFormat="1" ht="17.399999999999999" hidden="1" customHeight="1" thickBot="1" x14ac:dyDescent="0.3">
      <c r="A86" s="494"/>
      <c r="B86" s="8">
        <f>IF('Items sous domaines Sciences '!G88=6,'Items sous domaines Sciences '!B88,0)</f>
        <v>0</v>
      </c>
      <c r="C86" s="8">
        <f>IF('Items sous domaines Sciences '!G88=6,'Items sous domaines Sciences '!C88,0)</f>
        <v>0</v>
      </c>
      <c r="D86" s="8">
        <f>IF('Items sous domaines Sciences '!G88=6,'Items sous domaines Sciences '!D88,0)</f>
        <v>0</v>
      </c>
      <c r="E86" s="8">
        <f>IF('Items sous domaines Sciences '!G88=6,'Items sous domaines Sciences '!E88,0)</f>
        <v>0</v>
      </c>
      <c r="F86" s="489"/>
    </row>
    <row r="87" spans="1:7" customFormat="1" ht="17.399999999999999" hidden="1" customHeight="1" thickBot="1" x14ac:dyDescent="0.3">
      <c r="A87" s="494"/>
      <c r="B87" s="8">
        <f>IF('Items sous domaines Sciences '!G89=6,'Items sous domaines Sciences '!B89,0)</f>
        <v>0</v>
      </c>
      <c r="C87" s="8">
        <f>IF('Items sous domaines Sciences '!G89=6,'Items sous domaines Sciences '!C89,0)</f>
        <v>0</v>
      </c>
      <c r="D87" s="8">
        <f>IF('Items sous domaines Sciences '!G89=6,'Items sous domaines Sciences '!D89,0)</f>
        <v>0</v>
      </c>
      <c r="E87" s="8">
        <f>IF('Items sous domaines Sciences '!G89=6,'Items sous domaines Sciences '!E89,0)</f>
        <v>0</v>
      </c>
      <c r="F87" s="489"/>
    </row>
    <row r="88" spans="1:7" customFormat="1" ht="17.399999999999999" hidden="1" customHeight="1" thickBot="1" x14ac:dyDescent="0.3">
      <c r="A88" s="494"/>
      <c r="B88" s="8">
        <f>IF('Items sous domaines Sciences '!G90=6,'Items sous domaines Sciences '!B90,0)</f>
        <v>0</v>
      </c>
      <c r="C88" s="8">
        <f>IF('Items sous domaines Sciences '!G90=6,'Items sous domaines Sciences '!C90,0)</f>
        <v>0</v>
      </c>
      <c r="D88" s="8">
        <f>IF('Items sous domaines Sciences '!G90=6,'Items sous domaines Sciences '!D90,0)</f>
        <v>0</v>
      </c>
      <c r="E88" s="8">
        <f>IF('Items sous domaines Sciences '!G90=6,'Items sous domaines Sciences '!E90,0)</f>
        <v>0</v>
      </c>
      <c r="F88" s="489"/>
    </row>
    <row r="89" spans="1:7" customFormat="1" ht="17.399999999999999" hidden="1" customHeight="1" thickBot="1" x14ac:dyDescent="0.3">
      <c r="A89" s="494"/>
      <c r="B89" s="8">
        <f>IF('Items sous domaines Sciences '!G91=6,'Items sous domaines Sciences '!B91,0)</f>
        <v>0</v>
      </c>
      <c r="C89" s="8">
        <f>IF('Items sous domaines Sciences '!G91=6,'Items sous domaines Sciences '!C91,0)</f>
        <v>0</v>
      </c>
      <c r="D89" s="8">
        <f>IF('Items sous domaines Sciences '!G91=6,'Items sous domaines Sciences '!D91,0)</f>
        <v>0</v>
      </c>
      <c r="E89" s="8">
        <f>IF('Items sous domaines Sciences '!G91=6,'Items sous domaines Sciences '!E91,0)</f>
        <v>0</v>
      </c>
      <c r="F89" s="489"/>
    </row>
    <row r="90" spans="1:7" customFormat="1" ht="17.399999999999999" hidden="1" customHeight="1" thickBot="1" x14ac:dyDescent="0.3">
      <c r="A90" s="494"/>
      <c r="B90" s="8">
        <f>IF('Items sous domaines Sciences '!G92=6,'Items sous domaines Sciences '!B92,0)</f>
        <v>0</v>
      </c>
      <c r="C90" s="8">
        <f>IF('Items sous domaines Sciences '!G92=6,'Items sous domaines Sciences '!C92,0)</f>
        <v>0</v>
      </c>
      <c r="D90" s="8">
        <f>IF('Items sous domaines Sciences '!G92=6,'Items sous domaines Sciences '!D92,0)</f>
        <v>0</v>
      </c>
      <c r="E90" s="8">
        <f>IF('Items sous domaines Sciences '!G92=6,'Items sous domaines Sciences '!E92,0)</f>
        <v>0</v>
      </c>
      <c r="F90" s="489"/>
      <c r="G90" s="17"/>
    </row>
    <row r="91" spans="1:7" customFormat="1" ht="17.399999999999999" hidden="1" customHeight="1" thickBot="1" x14ac:dyDescent="0.3">
      <c r="A91" s="494"/>
      <c r="B91" s="8">
        <f>IF('Items sous domaines Sciences '!G93=6,'Items sous domaines Sciences '!B93,0)</f>
        <v>0</v>
      </c>
      <c r="C91" s="8">
        <f>IF('Items sous domaines Sciences '!G93=6,'Items sous domaines Sciences '!C93,0)</f>
        <v>0</v>
      </c>
      <c r="D91" s="8">
        <f>IF('Items sous domaines Sciences '!G93=6,'Items sous domaines Sciences '!D93,0)</f>
        <v>0</v>
      </c>
      <c r="E91" s="8">
        <f>IF('Items sous domaines Sciences '!G93=6,'Items sous domaines Sciences '!E93,0)</f>
        <v>0</v>
      </c>
      <c r="F91" s="489"/>
      <c r="G91" s="24" t="s">
        <v>483</v>
      </c>
    </row>
    <row r="92" spans="1:7" customFormat="1" ht="17.399999999999999" hidden="1" customHeight="1" thickBot="1" x14ac:dyDescent="0.3">
      <c r="A92" s="494"/>
      <c r="B92" s="8">
        <f>IF('Items sous domaines Sciences '!G94=6,'Items sous domaines Sciences '!B94,0)</f>
        <v>0</v>
      </c>
      <c r="C92" s="8">
        <f>IF('Items sous domaines Sciences '!G94=6,'Items sous domaines Sciences '!C94,0)</f>
        <v>0</v>
      </c>
      <c r="D92" s="8">
        <f>IF('Items sous domaines Sciences '!G94=6,'Items sous domaines Sciences '!D94,0)</f>
        <v>0</v>
      </c>
      <c r="E92" s="8">
        <f>IF('Items sous domaines Sciences '!G94=6,'Items sous domaines Sciences '!E94,0)</f>
        <v>0</v>
      </c>
      <c r="F92" s="489"/>
      <c r="G92" s="17"/>
    </row>
    <row r="93" spans="1:7" customFormat="1" ht="17.7" hidden="1" customHeight="1" thickBot="1" x14ac:dyDescent="0.3">
      <c r="A93" s="494"/>
      <c r="B93" s="8">
        <f>IF('Items sous domaines Sciences '!G95=6,'Items sous domaines Sciences '!B95,0)</f>
        <v>0</v>
      </c>
      <c r="C93" s="8">
        <f>IF('Items sous domaines Sciences '!G95=6,'Items sous domaines Sciences '!C95,0)</f>
        <v>0</v>
      </c>
      <c r="D93" s="8">
        <f>IF('Items sous domaines Sciences '!G95=6,'Items sous domaines Sciences '!D95,0)</f>
        <v>0</v>
      </c>
      <c r="E93" s="8">
        <f>IF('Items sous domaines Sciences '!G95=6,'Items sous domaines Sciences '!E95,0)</f>
        <v>0</v>
      </c>
      <c r="F93" s="489"/>
      <c r="G93" s="17"/>
    </row>
    <row r="94" spans="1:7" customFormat="1" ht="17.7" hidden="1" customHeight="1" thickBot="1" x14ac:dyDescent="0.3">
      <c r="A94" s="494"/>
      <c r="B94" s="8">
        <f>IF('Items sous domaines Sciences '!G96=6,'Items sous domaines Sciences '!B96,0)</f>
        <v>0</v>
      </c>
      <c r="C94" s="8">
        <f>IF('Items sous domaines Sciences '!G96=6,'Items sous domaines Sciences '!C96,0)</f>
        <v>0</v>
      </c>
      <c r="D94" s="8">
        <f>IF('Items sous domaines Sciences '!G96=6,'Items sous domaines Sciences '!D96,0)</f>
        <v>0</v>
      </c>
      <c r="E94" s="8">
        <f>IF('Items sous domaines Sciences '!G96=6,'Items sous domaines Sciences '!E96,0)</f>
        <v>0</v>
      </c>
      <c r="F94" s="489"/>
      <c r="G94" s="17"/>
    </row>
    <row r="95" spans="1:7" customFormat="1" ht="17.7" hidden="1" customHeight="1" thickBot="1" x14ac:dyDescent="0.3">
      <c r="A95" s="494"/>
      <c r="B95" s="8">
        <f>IF('Items sous domaines Sciences '!G97=6,'Items sous domaines Sciences '!B97,0)</f>
        <v>0</v>
      </c>
      <c r="C95" s="8">
        <f>IF('Items sous domaines Sciences '!G97=6,'Items sous domaines Sciences '!C97,0)</f>
        <v>0</v>
      </c>
      <c r="D95" s="8">
        <f>IF('Items sous domaines Sciences '!G97=6,'Items sous domaines Sciences '!D97,0)</f>
        <v>0</v>
      </c>
      <c r="E95" s="8">
        <f>IF('Items sous domaines Sciences '!G97=6,'Items sous domaines Sciences '!E97,0)</f>
        <v>0</v>
      </c>
      <c r="F95" s="489"/>
    </row>
    <row r="96" spans="1:7" customFormat="1" ht="17.7" hidden="1" customHeight="1" thickBot="1" x14ac:dyDescent="0.3">
      <c r="A96" s="494"/>
      <c r="B96" s="8">
        <f>IF('Items sous domaines Sciences '!G98=6,'Items sous domaines Sciences '!B98,0)</f>
        <v>0</v>
      </c>
      <c r="C96" s="8">
        <f>IF('Items sous domaines Sciences '!G98=6,'Items sous domaines Sciences '!C98,0)</f>
        <v>0</v>
      </c>
      <c r="D96" s="8">
        <f>IF('Items sous domaines Sciences '!G98=6,'Items sous domaines Sciences '!D98,0)</f>
        <v>0</v>
      </c>
      <c r="E96" s="8">
        <f>IF('Items sous domaines Sciences '!G98=6,'Items sous domaines Sciences '!E98,0)</f>
        <v>0</v>
      </c>
      <c r="F96" s="489"/>
    </row>
    <row r="97" spans="1:7" customFormat="1" ht="17.7" hidden="1" customHeight="1" thickBot="1" x14ac:dyDescent="0.3">
      <c r="A97" s="494"/>
      <c r="B97" s="8">
        <f>IF('Items sous domaines Sciences '!G99=6,'Items sous domaines Sciences '!B99,0)</f>
        <v>0</v>
      </c>
      <c r="C97" s="8">
        <f>IF('Items sous domaines Sciences '!G99=6,'Items sous domaines Sciences '!C99,0)</f>
        <v>0</v>
      </c>
      <c r="D97" s="8">
        <f>IF('Items sous domaines Sciences '!G99=6,'Items sous domaines Sciences '!D99,0)</f>
        <v>0</v>
      </c>
      <c r="E97" s="8">
        <f>IF('Items sous domaines Sciences '!G99=6,'Items sous domaines Sciences '!E99,0)</f>
        <v>0</v>
      </c>
      <c r="F97" s="489"/>
      <c r="G97" s="17"/>
    </row>
    <row r="98" spans="1:7" customFormat="1" ht="17.7" hidden="1" customHeight="1" thickBot="1" x14ac:dyDescent="0.3">
      <c r="A98" s="494"/>
      <c r="B98" s="8">
        <f>IF('Items sous domaines Sciences '!G100=6,'Items sous domaines Sciences '!B100,0)</f>
        <v>0</v>
      </c>
      <c r="C98" s="8">
        <f>IF('Items sous domaines Sciences '!G100=6,'Items sous domaines Sciences '!C100,0)</f>
        <v>0</v>
      </c>
      <c r="D98" s="8">
        <f>IF('Items sous domaines Sciences '!G100=6,'Items sous domaines Sciences '!D100,0)</f>
        <v>0</v>
      </c>
      <c r="E98" s="8">
        <f>IF('Items sous domaines Sciences '!G100=6,'Items sous domaines Sciences '!E100,0)</f>
        <v>0</v>
      </c>
      <c r="F98" s="489"/>
    </row>
    <row r="99" spans="1:7" customFormat="1" ht="17.7" hidden="1" customHeight="1" thickBot="1" x14ac:dyDescent="0.3">
      <c r="A99" s="494"/>
      <c r="B99" s="8">
        <f>IF('Items sous domaines Sciences '!G101=6,'Items sous domaines Sciences '!B101,0)</f>
        <v>0</v>
      </c>
      <c r="C99" s="8">
        <f>IF('Items sous domaines Sciences '!G101=6,'Items sous domaines Sciences '!C101,0)</f>
        <v>0</v>
      </c>
      <c r="D99" s="8">
        <f>IF('Items sous domaines Sciences '!G101=6,'Items sous domaines Sciences '!D101,0)</f>
        <v>0</v>
      </c>
      <c r="E99" s="8">
        <f>IF('Items sous domaines Sciences '!G101=6,'Items sous domaines Sciences '!E101,0)</f>
        <v>0</v>
      </c>
      <c r="F99" s="489"/>
    </row>
    <row r="100" spans="1:7" customFormat="1" ht="17.7" hidden="1" customHeight="1" thickBot="1" x14ac:dyDescent="0.3">
      <c r="A100" s="494"/>
      <c r="B100" s="8">
        <f>IF('Items sous domaines Sciences '!G102=6,'Items sous domaines Sciences '!B102,0)</f>
        <v>0</v>
      </c>
      <c r="C100" s="8">
        <f>IF('Items sous domaines Sciences '!G102=6,'Items sous domaines Sciences '!C102,0)</f>
        <v>0</v>
      </c>
      <c r="D100" s="8">
        <f>IF('Items sous domaines Sciences '!G102=6,'Items sous domaines Sciences '!D102,0)</f>
        <v>0</v>
      </c>
      <c r="E100" s="8">
        <f>IF('Items sous domaines Sciences '!G102=6,'Items sous domaines Sciences '!E102,0)</f>
        <v>0</v>
      </c>
      <c r="F100" s="489"/>
    </row>
    <row r="101" spans="1:7" customFormat="1" ht="17.7" hidden="1" customHeight="1" thickBot="1" x14ac:dyDescent="0.3">
      <c r="A101" s="494"/>
      <c r="B101" s="8">
        <f>IF('Items sous domaines Sciences '!G103=6,'Items sous domaines Sciences '!B103,0)</f>
        <v>0</v>
      </c>
      <c r="C101" s="8">
        <f>IF('Items sous domaines Sciences '!G103=6,'Items sous domaines Sciences '!C103,0)</f>
        <v>0</v>
      </c>
      <c r="D101" s="8">
        <f>IF('Items sous domaines Sciences '!G103=6,'Items sous domaines Sciences '!D103,0)</f>
        <v>0</v>
      </c>
      <c r="E101" s="8">
        <f>IF('Items sous domaines Sciences '!G103=6,'Items sous domaines Sciences '!E103,0)</f>
        <v>0</v>
      </c>
      <c r="F101" s="489"/>
    </row>
    <row r="102" spans="1:7" customFormat="1" ht="17.7" hidden="1" customHeight="1" thickBot="1" x14ac:dyDescent="0.3">
      <c r="A102" s="494"/>
      <c r="B102" s="8">
        <f>IF('Items sous domaines Sciences '!G104=6,'Items sous domaines Sciences '!B104,0)</f>
        <v>0</v>
      </c>
      <c r="C102" s="8">
        <f>IF('Items sous domaines Sciences '!G104=6,'Items sous domaines Sciences '!C104,0)</f>
        <v>0</v>
      </c>
      <c r="D102" s="8">
        <f>IF('Items sous domaines Sciences '!G104=6,'Items sous domaines Sciences '!D104,0)</f>
        <v>0</v>
      </c>
      <c r="E102" s="8">
        <f>IF('Items sous domaines Sciences '!G104=6,'Items sous domaines Sciences '!E104,0)</f>
        <v>0</v>
      </c>
      <c r="F102" s="489"/>
    </row>
    <row r="103" spans="1:7" customFormat="1" ht="17.7" hidden="1" customHeight="1" thickBot="1" x14ac:dyDescent="0.3">
      <c r="A103" s="494"/>
      <c r="B103" s="8">
        <f>IF('Items sous domaines Sciences '!G105=6,'Items sous domaines Sciences '!B105,0)</f>
        <v>0</v>
      </c>
      <c r="C103" s="8">
        <f>IF('Items sous domaines Sciences '!G105=6,'Items sous domaines Sciences '!C105,0)</f>
        <v>0</v>
      </c>
      <c r="D103" s="8">
        <f>IF('Items sous domaines Sciences '!G105=6,'Items sous domaines Sciences '!D105,0)</f>
        <v>0</v>
      </c>
      <c r="E103" s="8">
        <f>IF('Items sous domaines Sciences '!G105=6,'Items sous domaines Sciences '!E105,0)</f>
        <v>0</v>
      </c>
      <c r="F103" s="489"/>
    </row>
    <row r="104" spans="1:7" customFormat="1" ht="17.7" hidden="1" customHeight="1" thickBot="1" x14ac:dyDescent="0.3">
      <c r="A104" s="494"/>
      <c r="B104" s="8">
        <f>IF('Items sous domaines Sciences '!G106=6,'Items sous domaines Sciences '!B106,0)</f>
        <v>0</v>
      </c>
      <c r="C104" s="8">
        <f>IF('Items sous domaines Sciences '!G106=6,'Items sous domaines Sciences '!C106,0)</f>
        <v>0</v>
      </c>
      <c r="D104" s="8">
        <f>IF('Items sous domaines Sciences '!G106=6,'Items sous domaines Sciences '!D106,0)</f>
        <v>0</v>
      </c>
      <c r="E104" s="8">
        <f>IF('Items sous domaines Sciences '!G106=6,'Items sous domaines Sciences '!E106,0)</f>
        <v>0</v>
      </c>
      <c r="F104" s="489"/>
    </row>
    <row r="105" spans="1:7" customFormat="1" ht="17.7" hidden="1" customHeight="1" thickBot="1" x14ac:dyDescent="0.3">
      <c r="A105" s="494"/>
      <c r="B105" s="8">
        <f>IF('Items sous domaines Sciences '!G107=6,'Items sous domaines Sciences '!B107,0)</f>
        <v>0</v>
      </c>
      <c r="C105" s="8">
        <f>IF('Items sous domaines Sciences '!G107=6,'Items sous domaines Sciences '!C107,0)</f>
        <v>0</v>
      </c>
      <c r="D105" s="8">
        <f>IF('Items sous domaines Sciences '!G107=6,'Items sous domaines Sciences '!D107,0)</f>
        <v>0</v>
      </c>
      <c r="E105" s="8">
        <f>IF('Items sous domaines Sciences '!G107=6,'Items sous domaines Sciences '!E107,0)</f>
        <v>0</v>
      </c>
      <c r="F105" s="489"/>
    </row>
    <row r="106" spans="1:7" customFormat="1" ht="17.7" hidden="1" customHeight="1" thickBot="1" x14ac:dyDescent="0.3">
      <c r="A106" s="494"/>
      <c r="B106" s="8">
        <f>IF('Items sous domaines Sciences '!G108=6,'Items sous domaines Sciences '!B108,0)</f>
        <v>0</v>
      </c>
      <c r="C106" s="8">
        <f>IF('Items sous domaines Sciences '!G108=6,'Items sous domaines Sciences '!C108,0)</f>
        <v>0</v>
      </c>
      <c r="D106" s="8">
        <f>IF('Items sous domaines Sciences '!G108=6,'Items sous domaines Sciences '!D108,0)</f>
        <v>0</v>
      </c>
      <c r="E106" s="8">
        <f>IF('Items sous domaines Sciences '!G108=6,'Items sous domaines Sciences '!E108,0)</f>
        <v>0</v>
      </c>
      <c r="F106" s="489"/>
    </row>
    <row r="107" spans="1:7" customFormat="1" ht="17.7" hidden="1" customHeight="1" thickBot="1" x14ac:dyDescent="0.3">
      <c r="A107" s="494"/>
      <c r="B107" s="8">
        <f>IF('Items sous domaines Sciences '!G109=6,'Items sous domaines Sciences '!B109,0)</f>
        <v>0</v>
      </c>
      <c r="C107" s="8">
        <f>IF('Items sous domaines Sciences '!G109=6,'Items sous domaines Sciences '!C109,0)</f>
        <v>0</v>
      </c>
      <c r="D107" s="8">
        <f>IF('Items sous domaines Sciences '!G109=6,'Items sous domaines Sciences '!D109,0)</f>
        <v>0</v>
      </c>
      <c r="E107" s="8">
        <f>IF('Items sous domaines Sciences '!G109=6,'Items sous domaines Sciences '!E109,0)</f>
        <v>0</v>
      </c>
      <c r="F107" s="489"/>
    </row>
    <row r="108" spans="1:7" customFormat="1" ht="22.2" hidden="1" customHeight="1" thickBot="1" x14ac:dyDescent="0.3">
      <c r="A108" s="494"/>
      <c r="B108" s="8">
        <f>IF('Items sous domaines Sciences '!G110=6,'Items sous domaines Sciences '!B110,0)</f>
        <v>0</v>
      </c>
      <c r="C108" s="8">
        <f>IF('Items sous domaines Sciences '!G110=6,'Items sous domaines Sciences '!C110,0)</f>
        <v>0</v>
      </c>
      <c r="D108" s="8">
        <f>IF('Items sous domaines Sciences '!G110=6,'Items sous domaines Sciences '!D110,0)</f>
        <v>0</v>
      </c>
      <c r="E108" s="8">
        <f>IF('Items sous domaines Sciences '!G110=6,'Items sous domaines Sciences '!E110,0)</f>
        <v>0</v>
      </c>
      <c r="F108" s="489"/>
    </row>
    <row r="109" spans="1:7" customFormat="1" ht="17.7" hidden="1" customHeight="1" thickBot="1" x14ac:dyDescent="0.3">
      <c r="A109" s="494"/>
      <c r="B109" s="8">
        <f>IF('Items sous domaines Sciences '!G111=6,'Items sous domaines Sciences '!B111,0)</f>
        <v>0</v>
      </c>
      <c r="C109" s="8">
        <f>IF('Items sous domaines Sciences '!G111=6,'Items sous domaines Sciences '!C111,0)</f>
        <v>0</v>
      </c>
      <c r="D109" s="8">
        <f>IF('Items sous domaines Sciences '!G111=6,'Items sous domaines Sciences '!D111,0)</f>
        <v>0</v>
      </c>
      <c r="E109" s="8">
        <f>IF('Items sous domaines Sciences '!G111=6,'Items sous domaines Sciences '!E111,0)</f>
        <v>0</v>
      </c>
      <c r="F109" s="489"/>
    </row>
    <row r="110" spans="1:7" customFormat="1" ht="17.7" hidden="1" customHeight="1" thickBot="1" x14ac:dyDescent="0.3">
      <c r="A110" s="494"/>
      <c r="B110" s="8">
        <f>IF('Items sous domaines Sciences '!G112=6,'Items sous domaines Sciences '!B112,0)</f>
        <v>0</v>
      </c>
      <c r="C110" s="8">
        <f>IF('Items sous domaines Sciences '!G112=6,'Items sous domaines Sciences '!C112,0)</f>
        <v>0</v>
      </c>
      <c r="D110" s="8">
        <f>IF('Items sous domaines Sciences '!G112=6,'Items sous domaines Sciences '!D112,0)</f>
        <v>0</v>
      </c>
      <c r="E110" s="8">
        <f>IF('Items sous domaines Sciences '!G112=6,'Items sous domaines Sciences '!E112,0)</f>
        <v>0</v>
      </c>
      <c r="F110" s="489"/>
    </row>
    <row r="111" spans="1:7" ht="19.95" customHeight="1" thickTop="1" x14ac:dyDescent="0.3">
      <c r="A111" s="508"/>
      <c r="B111" s="251" t="str">
        <f>IF('Items sous domaines Sciences '!G113=6,'Items sous domaines Sciences '!B113,0)</f>
        <v>Electricité - Electromagnétisme</v>
      </c>
      <c r="C111" s="240" t="str">
        <f>IF('Items sous domaines Sciences '!G113=6,'Items sous domaines Sciences '!C113,0)</f>
        <v>Electricité</v>
      </c>
      <c r="D111" s="241" t="str">
        <f>IF('Items sous domaines Sciences '!G113=6,'Items sous domaines Sciences '!D113,0)</f>
        <v>Electricité - courant alternatif</v>
      </c>
      <c r="E111" s="208" t="str">
        <f>IF('Items sous domaines Sciences '!G113=6,'Items sous domaines Sciences '!E113,0)</f>
        <v>Calculer les grandeurs instantanées et efficaces du courant alternatif sinusoïdal.</v>
      </c>
      <c r="F111" s="430"/>
      <c r="G111" s="256"/>
    </row>
    <row r="112" spans="1:7" ht="19.95" customHeight="1" x14ac:dyDescent="0.3">
      <c r="A112" s="494"/>
      <c r="B112" s="57" t="str">
        <f>IF('Items sous domaines Sciences '!G114=6,'Items sous domaines Sciences '!B114,0)</f>
        <v>Electricité - Electromagnétisme</v>
      </c>
      <c r="C112" s="195" t="str">
        <f>IF('Items sous domaines Sciences '!G114=6,'Items sous domaines Sciences '!C114,0)</f>
        <v>Electricité</v>
      </c>
      <c r="D112" s="98">
        <f>IF('Items sous domaines Sciences '!G114=6,'Items sous domaines Sciences '!D114,0)</f>
        <v>0</v>
      </c>
      <c r="E112" s="209" t="str">
        <f>IF('Items sous domaines Sciences '!G114=6,'Items sous domaines Sciences '!E114,0)</f>
        <v>Schématiser les grandeurs instantanées et efficaces du courant alternatif sinusoïdal dans un diagramme temporel et de Fresnel.</v>
      </c>
      <c r="F112" s="431"/>
      <c r="G112" s="257"/>
    </row>
    <row r="113" spans="1:7" ht="19.95" customHeight="1" x14ac:dyDescent="0.3">
      <c r="A113" s="494"/>
      <c r="B113" s="57" t="str">
        <f>IF('Items sous domaines Sciences '!G115=6,'Items sous domaines Sciences '!B115,0)</f>
        <v>Electricité - Electromagnétisme</v>
      </c>
      <c r="C113" s="213" t="str">
        <f>IF('Items sous domaines Sciences '!G115=6,'Items sous domaines Sciences '!C115,0)</f>
        <v>Electricité</v>
      </c>
      <c r="D113" s="216">
        <f>IF('Items sous domaines Sciences '!G115=6,'Items sous domaines Sciences '!D115,0)</f>
        <v>0</v>
      </c>
      <c r="E113" s="254" t="str">
        <f>IF('Items sous domaines Sciences '!G115=6,'Items sous domaines Sciences '!E115,0)</f>
        <v>Calculer l'impédance équivalente à partir d'impédances de récepteurs en parallèle ou série (résistance, bobine et self).</v>
      </c>
      <c r="F113" s="431"/>
      <c r="G113" s="257"/>
    </row>
    <row r="114" spans="1:7" ht="19.95" customHeight="1" x14ac:dyDescent="0.3">
      <c r="A114" s="494"/>
      <c r="B114" s="57" t="str">
        <f>IF('Items sous domaines Sciences '!G116=6,'Items sous domaines Sciences '!B116,0)</f>
        <v>Electricité - Electromagnétisme</v>
      </c>
      <c r="C114" s="195" t="str">
        <f>IF('Items sous domaines Sciences '!G116=6,'Items sous domaines Sciences '!C116,0)</f>
        <v>Electricité</v>
      </c>
      <c r="D114" s="98">
        <f>IF('Items sous domaines Sciences '!G116=6,'Items sous domaines Sciences '!D116,0)</f>
        <v>0</v>
      </c>
      <c r="E114" s="209" t="str">
        <f>IF('Items sous domaines Sciences '!G116=6,'Items sous domaines Sciences '!E116,0)</f>
        <v>Calculer la somme de courants ou tensions dans un circuit en régime alternatif sinusoïdal.</v>
      </c>
      <c r="F114" s="431"/>
      <c r="G114" s="257"/>
    </row>
    <row r="115" spans="1:7" ht="19.95" customHeight="1" x14ac:dyDescent="0.3">
      <c r="A115" s="494"/>
      <c r="B115" s="57" t="str">
        <f>IF('Items sous domaines Sciences '!G117=6,'Items sous domaines Sciences '!B117,0)</f>
        <v>Electricité - Electromagnétisme</v>
      </c>
      <c r="C115" s="213" t="str">
        <f>IF('Items sous domaines Sciences '!G117=6,'Items sous domaines Sciences '!C117,0)</f>
        <v>Electricité</v>
      </c>
      <c r="D115" s="216">
        <f>IF('Items sous domaines Sciences '!G117=6,'Items sous domaines Sciences '!D117,0)</f>
        <v>0</v>
      </c>
      <c r="E115" s="254" t="str">
        <f>IF('Items sous domaines Sciences '!G117=6,'Items sous domaines Sciences '!E117,0)</f>
        <v>Calculer les puissances actives et réactives d'un récepteur alimenté en courant alternatif monophasé.</v>
      </c>
      <c r="F115" s="431"/>
      <c r="G115" s="273" t="s">
        <v>484</v>
      </c>
    </row>
    <row r="116" spans="1:7" ht="19.95" customHeight="1" x14ac:dyDescent="0.3">
      <c r="A116" s="494"/>
      <c r="B116" s="57" t="str">
        <f>IF('Items sous domaines Sciences '!G118=6,'Items sous domaines Sciences '!B118,0)</f>
        <v>Electricité - Electromagnétisme</v>
      </c>
      <c r="C116" s="195" t="str">
        <f>IF('Items sous domaines Sciences '!G118=6,'Items sous domaines Sciences '!C118,0)</f>
        <v>Electricité</v>
      </c>
      <c r="D116" s="98">
        <f>IF('Items sous domaines Sciences '!G118=6,'Items sous domaines Sciences '!D118,0)</f>
        <v>0</v>
      </c>
      <c r="E116" s="209" t="str">
        <f>IF('Items sous domaines Sciences '!G118=6,'Items sous domaines Sciences '!E118,0)</f>
        <v>Calculer une puissance apparente d'une installation en courant alternatif sinusoïdal monophasé.</v>
      </c>
      <c r="F116" s="431"/>
      <c r="G116" s="257"/>
    </row>
    <row r="117" spans="1:7" ht="19.95" customHeight="1" x14ac:dyDescent="0.3">
      <c r="A117" s="494"/>
      <c r="B117" s="57" t="str">
        <f>IF('Items sous domaines Sciences '!G119=6,'Items sous domaines Sciences '!B119,0)</f>
        <v>Electricité - Electromagnétisme</v>
      </c>
      <c r="C117" s="213" t="str">
        <f>IF('Items sous domaines Sciences '!G119=6,'Items sous domaines Sciences '!C119,0)</f>
        <v>Electricité</v>
      </c>
      <c r="D117" s="216">
        <f>IF('Items sous domaines Sciences '!G119=6,'Items sous domaines Sciences '!D119,0)</f>
        <v>0</v>
      </c>
      <c r="E117" s="254" t="str">
        <f>IF('Items sous domaines Sciences '!G119=6,'Items sous domaines Sciences '!E119,0)</f>
        <v>Utiliser les nombres complexes pour calculer les grandeurs en courant alternatif.</v>
      </c>
      <c r="F117" s="431"/>
      <c r="G117" s="273" t="s">
        <v>485</v>
      </c>
    </row>
    <row r="118" spans="1:7" ht="19.95" customHeight="1" x14ac:dyDescent="0.3">
      <c r="A118" s="494"/>
      <c r="B118" s="57" t="str">
        <f>IF('Items sous domaines Sciences '!G120=6,'Items sous domaines Sciences '!B120,0)</f>
        <v>Electricité - Electromagnétisme</v>
      </c>
      <c r="C118" s="195" t="str">
        <f>IF('Items sous domaines Sciences '!G120=6,'Items sous domaines Sciences '!C120,0)</f>
        <v>Electricité</v>
      </c>
      <c r="D118" s="98">
        <f>IF('Items sous domaines Sciences '!G120=6,'Items sous domaines Sciences '!D120,0)</f>
        <v>0</v>
      </c>
      <c r="E118" s="209" t="str">
        <f>IF('Items sous domaines Sciences '!G120=6,'Items sous domaines Sciences '!E120,0)</f>
        <v>Calculer les puissances actives et réactives d'un récepteur alimenté en courant alternatif monophasé ou triphasé.</v>
      </c>
      <c r="F118" s="431"/>
      <c r="G118" s="274"/>
    </row>
    <row r="119" spans="1:7" ht="19.95" customHeight="1" x14ac:dyDescent="0.3">
      <c r="A119" s="494"/>
      <c r="B119" s="57" t="str">
        <f>IF('Items sous domaines Sciences '!G121=6,'Items sous domaines Sciences '!B121,0)</f>
        <v>Electricité - Electromagnétisme</v>
      </c>
      <c r="C119" s="213" t="str">
        <f>IF('Items sous domaines Sciences '!G121=6,'Items sous domaines Sciences '!C121,0)</f>
        <v>Electricité</v>
      </c>
      <c r="D119" s="216">
        <f>IF('Items sous domaines Sciences '!G121=6,'Items sous domaines Sciences '!D121,0)</f>
        <v>0</v>
      </c>
      <c r="E119" s="254" t="str">
        <f>IF('Items sous domaines Sciences '!G121=6,'Items sous domaines Sciences '!E121,0)</f>
        <v>Calculer une puissance apparente d'une installation en courant alternatif sinusoïdal monophasé ou triphasé.</v>
      </c>
      <c r="F119" s="431"/>
      <c r="G119" s="275" t="s">
        <v>404</v>
      </c>
    </row>
    <row r="120" spans="1:7" ht="19.95" customHeight="1" x14ac:dyDescent="0.3">
      <c r="A120" s="494"/>
      <c r="B120" s="57" t="str">
        <f>IF('Items sous domaines Sciences '!G122=6,'Items sous domaines Sciences '!B122,0)</f>
        <v>Electricité - Electromagnétisme</v>
      </c>
      <c r="C120" s="195" t="str">
        <f>IF('Items sous domaines Sciences '!G122=6,'Items sous domaines Sciences '!C122,0)</f>
        <v>Electricité</v>
      </c>
      <c r="D120" s="98">
        <f>IF('Items sous domaines Sciences '!G122=6,'Items sous domaines Sciences '!D122,0)</f>
        <v>0</v>
      </c>
      <c r="E120" s="209" t="str">
        <f>IF('Items sous domaines Sciences '!G122=6,'Items sous domaines Sciences '!E122,0)</f>
        <v>Calculer le facteur de puissance d'un récepteur monophasé ou triphasé.</v>
      </c>
      <c r="F120" s="431"/>
      <c r="G120" s="274"/>
    </row>
    <row r="121" spans="1:7" ht="19.95" customHeight="1" x14ac:dyDescent="0.3">
      <c r="A121" s="494"/>
      <c r="B121" s="57" t="str">
        <f>IF('Items sous domaines Sciences '!G123=6,'Items sous domaines Sciences '!B123,0)</f>
        <v>Electricité - Electromagnétisme</v>
      </c>
      <c r="C121" s="213" t="str">
        <f>IF('Items sous domaines Sciences '!G123=6,'Items sous domaines Sciences '!C123,0)</f>
        <v>Electricité</v>
      </c>
      <c r="D121" s="216">
        <f>IF('Items sous domaines Sciences '!G123=6,'Items sous domaines Sciences '!D123,0)</f>
        <v>0</v>
      </c>
      <c r="E121" s="254" t="str">
        <f>IF('Items sous domaines Sciences '!G123=6,'Items sous domaines Sciences '!E123,0)</f>
        <v>Expliquer le fonctionnement d'une machine électromécanique par les lois électriques et mécaniques associées.</v>
      </c>
      <c r="F121" s="431"/>
      <c r="G121" s="274"/>
    </row>
    <row r="122" spans="1:7" ht="19.95" customHeight="1" x14ac:dyDescent="0.3">
      <c r="A122" s="494"/>
      <c r="B122" s="57" t="str">
        <f>IF('Items sous domaines Sciences '!G124=6,'Items sous domaines Sciences '!B124,0)</f>
        <v>Electricité - Electromagnétisme</v>
      </c>
      <c r="C122" s="195" t="str">
        <f>IF('Items sous domaines Sciences '!G124=6,'Items sous domaines Sciences '!C124,0)</f>
        <v>Electricité</v>
      </c>
      <c r="D122" s="98">
        <f>IF('Items sous domaines Sciences '!G124=6,'Items sous domaines Sciences '!D124,0)</f>
        <v>0</v>
      </c>
      <c r="E122" s="209" t="str">
        <f>IF('Items sous domaines Sciences '!G124=6,'Items sous domaines Sciences '!E124,0)</f>
        <v>Utiliser les différentes puissances et pertes d'une machine électromécanique.</v>
      </c>
      <c r="F122" s="431"/>
      <c r="G122" s="274"/>
    </row>
    <row r="123" spans="1:7" ht="19.95" customHeight="1" x14ac:dyDescent="0.3">
      <c r="A123" s="494"/>
      <c r="B123" s="57" t="str">
        <f>IF('Items sous domaines Sciences '!G125=6,'Items sous domaines Sciences '!B125,0)</f>
        <v>Electricité - Electromagnétisme</v>
      </c>
      <c r="C123" s="213" t="str">
        <f>IF('Items sous domaines Sciences '!G125=6,'Items sous domaines Sciences '!C125,0)</f>
        <v>Electricité</v>
      </c>
      <c r="D123" s="216">
        <f>IF('Items sous domaines Sciences '!G125=6,'Items sous domaines Sciences '!D125,0)</f>
        <v>0</v>
      </c>
      <c r="E123" s="254" t="str">
        <f>IF('Items sous domaines Sciences '!G125=6,'Items sous domaines Sciences '!E125,0)</f>
        <v>Utiliser le rendement d'une machine électromécanique fonctionnant en moteur ou en génératrice.</v>
      </c>
      <c r="F123" s="431"/>
      <c r="G123" s="257"/>
    </row>
    <row r="124" spans="1:7" ht="19.95" customHeight="1" x14ac:dyDescent="0.3">
      <c r="A124" s="494"/>
      <c r="B124" s="57" t="str">
        <f>IF('Items sous domaines Sciences '!G126=6,'Items sous domaines Sciences '!B126,0)</f>
        <v>Electricité - Electromagnétisme</v>
      </c>
      <c r="C124" s="195" t="str">
        <f>IF('Items sous domaines Sciences '!G126=6,'Items sous domaines Sciences '!C126,0)</f>
        <v>Electricité</v>
      </c>
      <c r="D124" s="98">
        <f>IF('Items sous domaines Sciences '!G126=6,'Items sous domaines Sciences '!D126,0)</f>
        <v>0</v>
      </c>
      <c r="E124" s="209" t="str">
        <f>IF('Items sous domaines Sciences '!G126=6,'Items sous domaines Sciences '!E126,0)</f>
        <v>Corréler la conversion de l'énergie électrique en énergie mécanique.</v>
      </c>
      <c r="F124" s="431"/>
      <c r="G124" s="257"/>
    </row>
    <row r="125" spans="1:7" ht="19.95" customHeight="1" thickBot="1" x14ac:dyDescent="0.35">
      <c r="A125" s="509"/>
      <c r="B125" s="244" t="str">
        <f>IF('Items sous domaines Sciences '!G127=6,'Items sous domaines Sciences '!B127,0)</f>
        <v>Electricité - Electromagnétisme</v>
      </c>
      <c r="C125" s="227" t="str">
        <f>IF('Items sous domaines Sciences '!G127=6,'Items sous domaines Sciences '!C127,0)</f>
        <v>Electricité</v>
      </c>
      <c r="D125" s="228">
        <f>IF('Items sous domaines Sciences '!G127=6,'Items sous domaines Sciences '!D127,0)</f>
        <v>0</v>
      </c>
      <c r="E125" s="269" t="str">
        <f>IF('Items sous domaines Sciences '!G127=6,'Items sous domaines Sciences '!E127,0)</f>
        <v>Analyser le fonctionnement d'un convertisseur d'énergie.</v>
      </c>
      <c r="F125" s="449"/>
      <c r="G125" s="276"/>
    </row>
    <row r="126" spans="1:7" customFormat="1" ht="17.7" hidden="1" customHeight="1" thickBot="1" x14ac:dyDescent="0.3">
      <c r="A126" s="494"/>
      <c r="B126" s="245">
        <f>IF('Items sous domaines Sciences '!G128=6,'Items sous domaines Sciences '!B128,0)</f>
        <v>0</v>
      </c>
      <c r="C126">
        <f>IF('Items sous domaines Sciences '!G128=6,'Items sous domaines Sciences '!C128,0)</f>
        <v>0</v>
      </c>
      <c r="D126">
        <f>IF('Items sous domaines Sciences '!G128=6,'Items sous domaines Sciences '!D128,0)</f>
        <v>0</v>
      </c>
      <c r="E126">
        <f>IF('Items sous domaines Sciences '!G128=6,'Items sous domaines Sciences '!E128,0)</f>
        <v>0</v>
      </c>
      <c r="F126" s="489"/>
      <c r="G126" s="17"/>
    </row>
    <row r="127" spans="1:7" customFormat="1" ht="17.7" hidden="1" customHeight="1" thickBot="1" x14ac:dyDescent="0.3">
      <c r="A127" s="494"/>
      <c r="B127" s="251">
        <f>IF('Items sous domaines Sciences '!G129=6,'Items sous domaines Sciences '!B129,0)</f>
        <v>0</v>
      </c>
      <c r="C127" s="8">
        <f>IF('Items sous domaines Sciences '!G129=6,'Items sous domaines Sciences '!C129,0)</f>
        <v>0</v>
      </c>
      <c r="D127" s="8">
        <f>IF('Items sous domaines Sciences '!G129=6,'Items sous domaines Sciences '!D129,0)</f>
        <v>0</v>
      </c>
      <c r="E127" s="8">
        <f>IF('Items sous domaines Sciences '!G129=6,'Items sous domaines Sciences '!E129,0)</f>
        <v>0</v>
      </c>
      <c r="F127" s="489"/>
      <c r="G127" s="17"/>
    </row>
    <row r="128" spans="1:7" ht="19.95" customHeight="1" thickTop="1" x14ac:dyDescent="0.3">
      <c r="A128" s="508"/>
      <c r="B128" s="251" t="str">
        <f>IF('Items sous domaines Sciences '!G130=6,'Items sous domaines Sciences '!B130,0)</f>
        <v>Electricité - Electromagnétisme</v>
      </c>
      <c r="C128" s="240" t="str">
        <f>IF('Items sous domaines Sciences '!G130=6,'Items sous domaines Sciences '!C130,0)</f>
        <v>Electromagnétisme</v>
      </c>
      <c r="D128" s="241" t="str">
        <f>IF('Items sous domaines Sciences '!G130=6,'Items sous domaines Sciences '!D130,0)</f>
        <v>Electromagnétisme</v>
      </c>
      <c r="E128" s="208" t="str">
        <f>IF('Items sous domaines Sciences '!G130=6,'Items sous domaines Sciences '!E130,0)</f>
        <v>Utiliser le théorème d'Ampère pour décrire et exprimer le champ magnétique créé par un courant circulant dans des circuits rectilignes ou circulaires.</v>
      </c>
      <c r="F128" s="430"/>
      <c r="G128" s="256"/>
    </row>
    <row r="129" spans="1:7" ht="19.95" customHeight="1" x14ac:dyDescent="0.3">
      <c r="A129" s="494"/>
      <c r="B129" s="57" t="str">
        <f>IF('Items sous domaines Sciences '!G131=6,'Items sous domaines Sciences '!B131,0)</f>
        <v>Electricité - Electromagnétisme</v>
      </c>
      <c r="C129" s="195" t="str">
        <f>IF('Items sous domaines Sciences '!G131=6,'Items sous domaines Sciences '!C131,0)</f>
        <v>Electromagnétisme</v>
      </c>
      <c r="D129" s="98">
        <f>IF('Items sous domaines Sciences '!G131=6,'Items sous domaines Sciences '!D131,0)</f>
        <v>0</v>
      </c>
      <c r="E129" s="209" t="str">
        <f>IF('Items sous domaines Sciences '!G131=6,'Items sous domaines Sciences '!E131,0)</f>
        <v>Décrire/Interpréter/Expliquer le fonctionnement global d'un circuit magnétique.</v>
      </c>
      <c r="F129" s="431"/>
      <c r="G129" s="257"/>
    </row>
    <row r="130" spans="1:7" ht="19.95" customHeight="1" thickBot="1" x14ac:dyDescent="0.35">
      <c r="A130" s="509"/>
      <c r="B130" s="244" t="str">
        <f>IF('Items sous domaines Sciences '!G132=6,'Items sous domaines Sciences '!B132,0)</f>
        <v>Electricité - Electromagnétisme</v>
      </c>
      <c r="C130" s="227" t="str">
        <f>IF('Items sous domaines Sciences '!G132=6,'Items sous domaines Sciences '!C132,0)</f>
        <v>Electromagnétisme</v>
      </c>
      <c r="D130" s="228">
        <f>IF('Items sous domaines Sciences '!G132=6,'Items sous domaines Sciences '!D132,0)</f>
        <v>0</v>
      </c>
      <c r="E130" s="269" t="str">
        <f>IF('Items sous domaines Sciences '!G132=6,'Items sous domaines Sciences '!E132,0)</f>
        <v>Calculer une force créée par un champ magnétique.</v>
      </c>
      <c r="F130" s="449"/>
      <c r="G130" s="272"/>
    </row>
    <row r="131" spans="1:7" customFormat="1" ht="17.7" hidden="1" customHeight="1" thickBot="1" x14ac:dyDescent="0.3">
      <c r="A131" s="494"/>
      <c r="B131">
        <f>IF('Items sous domaines Sciences '!G133=6,'Items sous domaines Sciences '!B133,0)</f>
        <v>0</v>
      </c>
      <c r="C131">
        <f>IF('Items sous domaines Sciences '!G133=6,'Items sous domaines Sciences '!C133,0)</f>
        <v>0</v>
      </c>
      <c r="D131">
        <f>IF('Items sous domaines Sciences '!G133=6,'Items sous domaines Sciences '!D133,0)</f>
        <v>0</v>
      </c>
      <c r="E131">
        <f>IF('Items sous domaines Sciences '!G133=6,'Items sous domaines Sciences '!E133,0)</f>
        <v>0</v>
      </c>
      <c r="F131" s="489"/>
    </row>
    <row r="132" spans="1:7" customFormat="1" ht="17.7" hidden="1" customHeight="1" thickBot="1" x14ac:dyDescent="0.3">
      <c r="A132" s="494"/>
      <c r="B132" s="8">
        <f>IF('Items sous domaines Sciences '!G134=6,'Items sous domaines Sciences '!B134,0)</f>
        <v>0</v>
      </c>
      <c r="C132" s="8">
        <f>IF('Items sous domaines Sciences '!G134=6,'Items sous domaines Sciences '!C134,0)</f>
        <v>0</v>
      </c>
      <c r="D132" s="8">
        <f>IF('Items sous domaines Sciences '!G134=6,'Items sous domaines Sciences '!D134,0)</f>
        <v>0</v>
      </c>
      <c r="E132" s="8">
        <f>IF('Items sous domaines Sciences '!G134=6,'Items sous domaines Sciences '!E134,0)</f>
        <v>0</v>
      </c>
      <c r="F132" s="489"/>
    </row>
    <row r="133" spans="1:7" customFormat="1" ht="17.7" hidden="1" customHeight="1" thickBot="1" x14ac:dyDescent="0.3">
      <c r="A133" s="494"/>
      <c r="B133" s="8">
        <f>IF('Items sous domaines Sciences '!G135=6,'Items sous domaines Sciences '!B135,0)</f>
        <v>0</v>
      </c>
      <c r="C133" s="8">
        <f>IF('Items sous domaines Sciences '!G135=6,'Items sous domaines Sciences '!C135,0)</f>
        <v>0</v>
      </c>
      <c r="D133" s="8">
        <f>IF('Items sous domaines Sciences '!G135=6,'Items sous domaines Sciences '!D135,0)</f>
        <v>0</v>
      </c>
      <c r="E133" s="8">
        <f>IF('Items sous domaines Sciences '!G135=6,'Items sous domaines Sciences '!E135,0)</f>
        <v>0</v>
      </c>
      <c r="F133" s="489"/>
    </row>
    <row r="134" spans="1:7" customFormat="1" ht="17.7" hidden="1" customHeight="1" thickBot="1" x14ac:dyDescent="0.3">
      <c r="A134" s="494"/>
      <c r="B134" s="8">
        <f>IF('Items sous domaines Sciences '!G136=6,'Items sous domaines Sciences '!B136,0)</f>
        <v>0</v>
      </c>
      <c r="C134" s="8">
        <f>IF('Items sous domaines Sciences '!G136=6,'Items sous domaines Sciences '!C136,0)</f>
        <v>0</v>
      </c>
      <c r="D134" s="8">
        <f>IF('Items sous domaines Sciences '!G136=6,'Items sous domaines Sciences '!D136,0)</f>
        <v>0</v>
      </c>
      <c r="E134" s="8">
        <f>IF('Items sous domaines Sciences '!G136=6,'Items sous domaines Sciences '!E136,0)</f>
        <v>0</v>
      </c>
      <c r="F134" s="489"/>
    </row>
    <row r="135" spans="1:7" customFormat="1" ht="17.7" hidden="1" customHeight="1" thickBot="1" x14ac:dyDescent="0.3">
      <c r="A135" s="494"/>
      <c r="B135" s="8">
        <f>IF('Items sous domaines Sciences '!G137=6,'Items sous domaines Sciences '!B137,0)</f>
        <v>0</v>
      </c>
      <c r="C135" s="8">
        <f>IF('Items sous domaines Sciences '!G137=6,'Items sous domaines Sciences '!C137,0)</f>
        <v>0</v>
      </c>
      <c r="D135" s="8">
        <f>IF('Items sous domaines Sciences '!G137=6,'Items sous domaines Sciences '!D137,0)</f>
        <v>0</v>
      </c>
      <c r="E135" s="8">
        <f>IF('Items sous domaines Sciences '!G137=6,'Items sous domaines Sciences '!E137,0)</f>
        <v>0</v>
      </c>
      <c r="F135" s="489"/>
    </row>
    <row r="136" spans="1:7" customFormat="1" ht="17.7" hidden="1" customHeight="1" thickBot="1" x14ac:dyDescent="0.3">
      <c r="A136" s="494"/>
      <c r="B136" s="8">
        <f>IF('Items sous domaines Sciences '!G138=6,'Items sous domaines Sciences '!B138,0)</f>
        <v>0</v>
      </c>
      <c r="C136" s="8">
        <f>IF('Items sous domaines Sciences '!G138=6,'Items sous domaines Sciences '!C138,0)</f>
        <v>0</v>
      </c>
      <c r="D136" s="8">
        <f>IF('Items sous domaines Sciences '!G138=6,'Items sous domaines Sciences '!D138,0)</f>
        <v>0</v>
      </c>
      <c r="E136" s="8">
        <f>IF('Items sous domaines Sciences '!G138=6,'Items sous domaines Sciences '!E138,0)</f>
        <v>0</v>
      </c>
      <c r="F136" s="489"/>
    </row>
    <row r="137" spans="1:7" customFormat="1" ht="17.7" hidden="1" customHeight="1" thickBot="1" x14ac:dyDescent="0.3">
      <c r="A137" s="494"/>
      <c r="B137" s="8">
        <f>IF('Items sous domaines Sciences '!G139=6,'Items sous domaines Sciences '!B139,0)</f>
        <v>0</v>
      </c>
      <c r="C137" s="8">
        <f>IF('Items sous domaines Sciences '!G139=6,'Items sous domaines Sciences '!C139,0)</f>
        <v>0</v>
      </c>
      <c r="D137" s="8">
        <f>IF('Items sous domaines Sciences '!G139=6,'Items sous domaines Sciences '!D139,0)</f>
        <v>0</v>
      </c>
      <c r="E137" s="8">
        <f>IF('Items sous domaines Sciences '!G139=6,'Items sous domaines Sciences '!E139,0)</f>
        <v>0</v>
      </c>
      <c r="F137" s="489"/>
    </row>
    <row r="138" spans="1:7" customFormat="1" ht="17.7" hidden="1" customHeight="1" thickBot="1" x14ac:dyDescent="0.3">
      <c r="A138" s="494"/>
      <c r="B138" s="8">
        <f>IF('Items sous domaines Sciences '!G140=6,'Items sous domaines Sciences '!B140,0)</f>
        <v>0</v>
      </c>
      <c r="C138" s="8">
        <f>IF('Items sous domaines Sciences '!G140=6,'Items sous domaines Sciences '!C140,0)</f>
        <v>0</v>
      </c>
      <c r="D138" s="8">
        <f>IF('Items sous domaines Sciences '!G140=6,'Items sous domaines Sciences '!D140,0)</f>
        <v>0</v>
      </c>
      <c r="E138" s="8">
        <f>IF('Items sous domaines Sciences '!G140=6,'Items sous domaines Sciences '!E140,0)</f>
        <v>0</v>
      </c>
      <c r="F138" s="489"/>
    </row>
    <row r="139" spans="1:7" customFormat="1" ht="17.7" hidden="1" customHeight="1" thickBot="1" x14ac:dyDescent="0.3">
      <c r="A139" s="494"/>
      <c r="B139" s="8">
        <f>IF('Items sous domaines Sciences '!G141=6,'Items sous domaines Sciences '!B141,0)</f>
        <v>0</v>
      </c>
      <c r="C139" s="8">
        <f>IF('Items sous domaines Sciences '!G141=6,'Items sous domaines Sciences '!C141,0)</f>
        <v>0</v>
      </c>
      <c r="D139" s="8">
        <f>IF('Items sous domaines Sciences '!G141=6,'Items sous domaines Sciences '!D141,0)</f>
        <v>0</v>
      </c>
      <c r="E139" s="8">
        <f>IF('Items sous domaines Sciences '!G141=6,'Items sous domaines Sciences '!E141,0)</f>
        <v>0</v>
      </c>
      <c r="F139" s="489"/>
    </row>
    <row r="140" spans="1:7" customFormat="1" ht="17.7" hidden="1" customHeight="1" thickBot="1" x14ac:dyDescent="0.3">
      <c r="A140" s="494"/>
      <c r="B140" s="8">
        <f>IF('Items sous domaines Sciences '!G142=6,'Items sous domaines Sciences '!B142,0)</f>
        <v>0</v>
      </c>
      <c r="C140" s="8">
        <f>IF('Items sous domaines Sciences '!G142=6,'Items sous domaines Sciences '!C142,0)</f>
        <v>0</v>
      </c>
      <c r="D140" s="8">
        <f>IF('Items sous domaines Sciences '!G142=6,'Items sous domaines Sciences '!D142,0)</f>
        <v>0</v>
      </c>
      <c r="E140" s="8">
        <f>IF('Items sous domaines Sciences '!G142=6,'Items sous domaines Sciences '!E142,0)</f>
        <v>0</v>
      </c>
      <c r="F140" s="489"/>
    </row>
    <row r="141" spans="1:7" customFormat="1" ht="17.7" hidden="1" customHeight="1" thickBot="1" x14ac:dyDescent="0.3">
      <c r="A141" s="494"/>
      <c r="B141" s="8">
        <f>IF('Items sous domaines Sciences '!G143=6,'Items sous domaines Sciences '!B143,0)</f>
        <v>0</v>
      </c>
      <c r="C141" s="8">
        <f>IF('Items sous domaines Sciences '!G143=6,'Items sous domaines Sciences '!C143,0)</f>
        <v>0</v>
      </c>
      <c r="D141" s="8">
        <f>IF('Items sous domaines Sciences '!G143=6,'Items sous domaines Sciences '!D143,0)</f>
        <v>0</v>
      </c>
      <c r="E141" s="8">
        <f>IF('Items sous domaines Sciences '!G143=6,'Items sous domaines Sciences '!E143,0)</f>
        <v>0</v>
      </c>
      <c r="F141" s="489"/>
    </row>
    <row r="142" spans="1:7" customFormat="1" ht="17.7" hidden="1" customHeight="1" thickBot="1" x14ac:dyDescent="0.3">
      <c r="A142" s="494"/>
      <c r="B142" s="8">
        <f>IF('Items sous domaines Sciences '!G144=6,'Items sous domaines Sciences '!B144,0)</f>
        <v>0</v>
      </c>
      <c r="C142" s="8">
        <f>IF('Items sous domaines Sciences '!G144=6,'Items sous domaines Sciences '!C144,0)</f>
        <v>0</v>
      </c>
      <c r="D142" s="8">
        <f>IF('Items sous domaines Sciences '!G144=6,'Items sous domaines Sciences '!D144,0)</f>
        <v>0</v>
      </c>
      <c r="E142" s="8">
        <f>IF('Items sous domaines Sciences '!G144=6,'Items sous domaines Sciences '!E144,0)</f>
        <v>0</v>
      </c>
      <c r="F142" s="489"/>
    </row>
    <row r="143" spans="1:7" customFormat="1" ht="17.7" hidden="1" customHeight="1" thickBot="1" x14ac:dyDescent="0.3">
      <c r="A143" s="494"/>
      <c r="B143" s="8">
        <f>IF('Items sous domaines Sciences '!G145=6,'Items sous domaines Sciences '!B145,0)</f>
        <v>0</v>
      </c>
      <c r="C143" s="8">
        <f>IF('Items sous domaines Sciences '!G145=6,'Items sous domaines Sciences '!C145,0)</f>
        <v>0</v>
      </c>
      <c r="D143" s="8">
        <f>IF('Items sous domaines Sciences '!G145=6,'Items sous domaines Sciences '!D145,0)</f>
        <v>0</v>
      </c>
      <c r="E143" s="8">
        <f>IF('Items sous domaines Sciences '!G145=6,'Items sous domaines Sciences '!E145,0)</f>
        <v>0</v>
      </c>
      <c r="F143" s="489"/>
    </row>
    <row r="144" spans="1:7" customFormat="1" ht="17.7" hidden="1" customHeight="1" thickBot="1" x14ac:dyDescent="0.3">
      <c r="A144" s="494"/>
      <c r="B144" s="8">
        <f>IF('Items sous domaines Sciences '!G146=6,'Items sous domaines Sciences '!B146,0)</f>
        <v>0</v>
      </c>
      <c r="C144" s="8">
        <f>IF('Items sous domaines Sciences '!G146=6,'Items sous domaines Sciences '!C146,0)</f>
        <v>0</v>
      </c>
      <c r="D144" s="8">
        <f>IF('Items sous domaines Sciences '!G146=6,'Items sous domaines Sciences '!D146,0)</f>
        <v>0</v>
      </c>
      <c r="E144" s="8">
        <f>IF('Items sous domaines Sciences '!G146=6,'Items sous domaines Sciences '!E146,0)</f>
        <v>0</v>
      </c>
      <c r="F144" s="489"/>
    </row>
    <row r="145" spans="1:6" customFormat="1" ht="17.7" hidden="1" customHeight="1" thickBot="1" x14ac:dyDescent="0.3">
      <c r="A145" s="494"/>
      <c r="B145" s="8">
        <f>IF('Items sous domaines Sciences '!G147=6,'Items sous domaines Sciences '!B147,0)</f>
        <v>0</v>
      </c>
      <c r="C145" s="8">
        <f>IF('Items sous domaines Sciences '!G147=6,'Items sous domaines Sciences '!C147,0)</f>
        <v>0</v>
      </c>
      <c r="D145" s="8">
        <f>IF('Items sous domaines Sciences '!G147=6,'Items sous domaines Sciences '!D147,0)</f>
        <v>0</v>
      </c>
      <c r="E145" s="8">
        <f>IF('Items sous domaines Sciences '!G147=6,'Items sous domaines Sciences '!E147,0)</f>
        <v>0</v>
      </c>
      <c r="F145" s="489"/>
    </row>
    <row r="146" spans="1:6" customFormat="1" ht="17.7" hidden="1" customHeight="1" thickBot="1" x14ac:dyDescent="0.3">
      <c r="A146" s="494"/>
      <c r="B146" s="8">
        <f>IF('Items sous domaines Sciences '!G148=6,'Items sous domaines Sciences '!B148,0)</f>
        <v>0</v>
      </c>
      <c r="C146" s="8">
        <f>IF('Items sous domaines Sciences '!G148=6,'Items sous domaines Sciences '!C148,0)</f>
        <v>0</v>
      </c>
      <c r="D146" s="8">
        <f>IF('Items sous domaines Sciences '!G148=6,'Items sous domaines Sciences '!D148,0)</f>
        <v>0</v>
      </c>
      <c r="E146" s="8">
        <f>IF('Items sous domaines Sciences '!G148=6,'Items sous domaines Sciences '!E148,0)</f>
        <v>0</v>
      </c>
      <c r="F146" s="489"/>
    </row>
    <row r="147" spans="1:6" customFormat="1" ht="17.7" hidden="1" customHeight="1" thickBot="1" x14ac:dyDescent="0.3">
      <c r="A147" s="494"/>
      <c r="B147" s="8">
        <f>IF('Items sous domaines Sciences '!G149=6,'Items sous domaines Sciences '!B149,0)</f>
        <v>0</v>
      </c>
      <c r="C147" s="8">
        <f>IF('Items sous domaines Sciences '!G149=6,'Items sous domaines Sciences '!C149,0)</f>
        <v>0</v>
      </c>
      <c r="D147" s="8">
        <f>IF('Items sous domaines Sciences '!G149=6,'Items sous domaines Sciences '!D149,0)</f>
        <v>0</v>
      </c>
      <c r="E147" s="8">
        <f>IF('Items sous domaines Sciences '!G149=6,'Items sous domaines Sciences '!E149,0)</f>
        <v>0</v>
      </c>
      <c r="F147" s="489"/>
    </row>
    <row r="148" spans="1:6" customFormat="1" ht="17.7" hidden="1" customHeight="1" thickBot="1" x14ac:dyDescent="0.3">
      <c r="A148" s="494"/>
      <c r="B148" s="8">
        <f>IF('Items sous domaines Sciences '!G150=6,'Items sous domaines Sciences '!B150,0)</f>
        <v>0</v>
      </c>
      <c r="C148" s="8">
        <f>IF('Items sous domaines Sciences '!G150=6,'Items sous domaines Sciences '!C150,0)</f>
        <v>0</v>
      </c>
      <c r="D148" s="8">
        <f>IF('Items sous domaines Sciences '!G150=6,'Items sous domaines Sciences '!D150,0)</f>
        <v>0</v>
      </c>
      <c r="E148" s="8">
        <f>IF('Items sous domaines Sciences '!G150=6,'Items sous domaines Sciences '!E150,0)</f>
        <v>0</v>
      </c>
      <c r="F148" s="489"/>
    </row>
    <row r="149" spans="1:6" customFormat="1" ht="17.7" hidden="1" customHeight="1" thickBot="1" x14ac:dyDescent="0.3">
      <c r="A149" s="494"/>
      <c r="B149" s="8">
        <f>IF('Items sous domaines Sciences '!G151=6,'Items sous domaines Sciences '!B151,0)</f>
        <v>0</v>
      </c>
      <c r="C149" s="8">
        <f>IF('Items sous domaines Sciences '!G151=6,'Items sous domaines Sciences '!C151,0)</f>
        <v>0</v>
      </c>
      <c r="D149" s="8">
        <f>IF('Items sous domaines Sciences '!G151=6,'Items sous domaines Sciences '!D151,0)</f>
        <v>0</v>
      </c>
      <c r="E149" s="8">
        <f>IF('Items sous domaines Sciences '!G151=6,'Items sous domaines Sciences '!E151,0)</f>
        <v>0</v>
      </c>
      <c r="F149" s="489"/>
    </row>
    <row r="150" spans="1:6" customFormat="1" ht="17.7" hidden="1" customHeight="1" thickBot="1" x14ac:dyDescent="0.3">
      <c r="A150" s="494"/>
      <c r="B150" s="8">
        <f>IF('Items sous domaines Sciences '!G152=6,'Items sous domaines Sciences '!B152,0)</f>
        <v>0</v>
      </c>
      <c r="C150" s="8">
        <f>IF('Items sous domaines Sciences '!G152=6,'Items sous domaines Sciences '!C152,0)</f>
        <v>0</v>
      </c>
      <c r="D150" s="8">
        <f>IF('Items sous domaines Sciences '!G152=6,'Items sous domaines Sciences '!D152,0)</f>
        <v>0</v>
      </c>
      <c r="E150" s="8">
        <f>IF('Items sous domaines Sciences '!G152=6,'Items sous domaines Sciences '!E152,0)</f>
        <v>0</v>
      </c>
      <c r="F150" s="489"/>
    </row>
    <row r="151" spans="1:6" customFormat="1" ht="17.7" hidden="1" customHeight="1" thickBot="1" x14ac:dyDescent="0.3">
      <c r="A151" s="494"/>
      <c r="B151" s="8">
        <f>IF('Items sous domaines Sciences '!G153=6,'Items sous domaines Sciences '!B153,0)</f>
        <v>0</v>
      </c>
      <c r="C151" s="8">
        <f>IF('Items sous domaines Sciences '!G153=6,'Items sous domaines Sciences '!C153,0)</f>
        <v>0</v>
      </c>
      <c r="D151" s="8">
        <f>IF('Items sous domaines Sciences '!G153=6,'Items sous domaines Sciences '!D153,0)</f>
        <v>0</v>
      </c>
      <c r="E151" s="8">
        <f>IF('Items sous domaines Sciences '!G153=6,'Items sous domaines Sciences '!E153,0)</f>
        <v>0</v>
      </c>
      <c r="F151" s="489"/>
    </row>
    <row r="152" spans="1:6" customFormat="1" ht="17.7" hidden="1" customHeight="1" thickBot="1" x14ac:dyDescent="0.3">
      <c r="A152" s="494"/>
      <c r="B152" s="8">
        <f>IF('Items sous domaines Sciences '!G154=6,'Items sous domaines Sciences '!B154,0)</f>
        <v>0</v>
      </c>
      <c r="C152" s="8">
        <f>IF('Items sous domaines Sciences '!G154=6,'Items sous domaines Sciences '!C154,0)</f>
        <v>0</v>
      </c>
      <c r="D152" s="8">
        <f>IF('Items sous domaines Sciences '!G154=6,'Items sous domaines Sciences '!D154,0)</f>
        <v>0</v>
      </c>
      <c r="E152" s="8">
        <f>IF('Items sous domaines Sciences '!G154=6,'Items sous domaines Sciences '!E154,0)</f>
        <v>0</v>
      </c>
      <c r="F152" s="489"/>
    </row>
    <row r="153" spans="1:6" customFormat="1" ht="17.7" hidden="1" customHeight="1" thickBot="1" x14ac:dyDescent="0.3">
      <c r="A153" s="494"/>
      <c r="B153" s="8">
        <f>IF('Items sous domaines Sciences '!G155=6,'Items sous domaines Sciences '!B155,0)</f>
        <v>0</v>
      </c>
      <c r="C153" s="8">
        <f>IF('Items sous domaines Sciences '!G155=6,'Items sous domaines Sciences '!C155,0)</f>
        <v>0</v>
      </c>
      <c r="D153" s="8">
        <f>IF('Items sous domaines Sciences '!G155=6,'Items sous domaines Sciences '!D155,0)</f>
        <v>0</v>
      </c>
      <c r="E153" s="8">
        <f>IF('Items sous domaines Sciences '!G155=6,'Items sous domaines Sciences '!E155,0)</f>
        <v>0</v>
      </c>
      <c r="F153" s="489"/>
    </row>
    <row r="154" spans="1:6" customFormat="1" ht="17.7" hidden="1" customHeight="1" thickBot="1" x14ac:dyDescent="0.3">
      <c r="A154" s="494"/>
      <c r="B154" s="8">
        <f>IF('Items sous domaines Sciences '!G156=6,'Items sous domaines Sciences '!B156,0)</f>
        <v>0</v>
      </c>
      <c r="C154" s="8">
        <f>IF('Items sous domaines Sciences '!G156=6,'Items sous domaines Sciences '!C156,0)</f>
        <v>0</v>
      </c>
      <c r="D154" s="8">
        <f>IF('Items sous domaines Sciences '!G156=6,'Items sous domaines Sciences '!D156,0)</f>
        <v>0</v>
      </c>
      <c r="E154" s="8">
        <f>IF('Items sous domaines Sciences '!G156=6,'Items sous domaines Sciences '!E156,0)</f>
        <v>0</v>
      </c>
      <c r="F154" s="489"/>
    </row>
    <row r="155" spans="1:6" customFormat="1" ht="17.7" hidden="1" customHeight="1" thickBot="1" x14ac:dyDescent="0.3">
      <c r="A155" s="494"/>
      <c r="B155" s="8">
        <f>IF('Items sous domaines Sciences '!G157=6,'Items sous domaines Sciences '!B157,0)</f>
        <v>0</v>
      </c>
      <c r="C155" s="8">
        <f>IF('Items sous domaines Sciences '!G157=6,'Items sous domaines Sciences '!C157,0)</f>
        <v>0</v>
      </c>
      <c r="D155" s="8">
        <f>IF('Items sous domaines Sciences '!G157=6,'Items sous domaines Sciences '!D157,0)</f>
        <v>0</v>
      </c>
      <c r="E155" s="8">
        <f>IF('Items sous domaines Sciences '!G157=6,'Items sous domaines Sciences '!E157,0)</f>
        <v>0</v>
      </c>
      <c r="F155" s="489"/>
    </row>
    <row r="156" spans="1:6" customFormat="1" ht="17.7" hidden="1" customHeight="1" thickBot="1" x14ac:dyDescent="0.3">
      <c r="A156" s="494"/>
      <c r="B156" s="8">
        <f>IF('Items sous domaines Sciences '!G158=6,'Items sous domaines Sciences '!B158,0)</f>
        <v>0</v>
      </c>
      <c r="C156" s="8">
        <f>IF('Items sous domaines Sciences '!G158=6,'Items sous domaines Sciences '!C158,0)</f>
        <v>0</v>
      </c>
      <c r="D156" s="8">
        <f>IF('Items sous domaines Sciences '!G158=6,'Items sous domaines Sciences '!D158,0)</f>
        <v>0</v>
      </c>
      <c r="E156" s="8">
        <f>IF('Items sous domaines Sciences '!G158=6,'Items sous domaines Sciences '!E158,0)</f>
        <v>0</v>
      </c>
      <c r="F156" s="489"/>
    </row>
    <row r="157" spans="1:6" customFormat="1" ht="17.7" hidden="1" customHeight="1" thickBot="1" x14ac:dyDescent="0.3">
      <c r="A157" s="494"/>
      <c r="B157" s="8">
        <f>IF('Items sous domaines Sciences '!G159=6,'Items sous domaines Sciences '!B159,0)</f>
        <v>0</v>
      </c>
      <c r="C157" s="8">
        <f>IF('Items sous domaines Sciences '!G159=6,'Items sous domaines Sciences '!C159,0)</f>
        <v>0</v>
      </c>
      <c r="D157" s="8">
        <f>IF('Items sous domaines Sciences '!G159=6,'Items sous domaines Sciences '!D159,0)</f>
        <v>0</v>
      </c>
      <c r="E157" s="8">
        <f>IF('Items sous domaines Sciences '!G159=6,'Items sous domaines Sciences '!E159,0)</f>
        <v>0</v>
      </c>
      <c r="F157" s="489"/>
    </row>
    <row r="158" spans="1:6" customFormat="1" ht="17.7" hidden="1" customHeight="1" thickBot="1" x14ac:dyDescent="0.3">
      <c r="A158" s="494"/>
      <c r="B158" s="8">
        <f>IF('Items sous domaines Sciences '!G160=6,'Items sous domaines Sciences '!B160,0)</f>
        <v>0</v>
      </c>
      <c r="C158" s="8">
        <f>IF('Items sous domaines Sciences '!G160=6,'Items sous domaines Sciences '!C160,0)</f>
        <v>0</v>
      </c>
      <c r="D158" s="8">
        <f>IF('Items sous domaines Sciences '!G160=6,'Items sous domaines Sciences '!D160,0)</f>
        <v>0</v>
      </c>
      <c r="E158" s="8">
        <f>IF('Items sous domaines Sciences '!G160=6,'Items sous domaines Sciences '!E160,0)</f>
        <v>0</v>
      </c>
      <c r="F158" s="489"/>
    </row>
    <row r="159" spans="1:6" customFormat="1" ht="17.7" hidden="1" customHeight="1" thickBot="1" x14ac:dyDescent="0.3">
      <c r="A159" s="494"/>
      <c r="B159" s="8">
        <f>IF('Items sous domaines Sciences '!G161=6,'Items sous domaines Sciences '!B161,0)</f>
        <v>0</v>
      </c>
      <c r="C159" s="8">
        <f>IF('Items sous domaines Sciences '!G161=6,'Items sous domaines Sciences '!C161,0)</f>
        <v>0</v>
      </c>
      <c r="D159" s="8">
        <f>IF('Items sous domaines Sciences '!G161=6,'Items sous domaines Sciences '!D161,0)</f>
        <v>0</v>
      </c>
      <c r="E159" s="8">
        <f>IF('Items sous domaines Sciences '!G161=6,'Items sous domaines Sciences '!E161,0)</f>
        <v>0</v>
      </c>
      <c r="F159" s="489"/>
    </row>
    <row r="160" spans="1:6" customFormat="1" ht="17.7" hidden="1" customHeight="1" thickBot="1" x14ac:dyDescent="0.3">
      <c r="A160" s="494"/>
      <c r="B160" s="8">
        <f>IF('Items sous domaines Sciences '!G162=6,'Items sous domaines Sciences '!B162,0)</f>
        <v>0</v>
      </c>
      <c r="C160" s="8">
        <f>IF('Items sous domaines Sciences '!G162=6,'Items sous domaines Sciences '!C162,0)</f>
        <v>0</v>
      </c>
      <c r="D160" s="8">
        <f>IF('Items sous domaines Sciences '!G162=6,'Items sous domaines Sciences '!D162,0)</f>
        <v>0</v>
      </c>
      <c r="E160" s="8">
        <f>IF('Items sous domaines Sciences '!G162=6,'Items sous domaines Sciences '!E162,0)</f>
        <v>0</v>
      </c>
      <c r="F160" s="489"/>
    </row>
    <row r="161" spans="1:7" customFormat="1" ht="17.7" hidden="1" customHeight="1" thickBot="1" x14ac:dyDescent="0.3">
      <c r="A161" s="494"/>
      <c r="B161" s="8">
        <f>IF('Items sous domaines Sciences '!G163=6,'Items sous domaines Sciences '!B163,0)</f>
        <v>0</v>
      </c>
      <c r="C161" s="8">
        <f>IF('Items sous domaines Sciences '!G163=6,'Items sous domaines Sciences '!C163,0)</f>
        <v>0</v>
      </c>
      <c r="D161" s="8">
        <f>IF('Items sous domaines Sciences '!G163=6,'Items sous domaines Sciences '!D163,0)</f>
        <v>0</v>
      </c>
      <c r="E161" s="8">
        <f>IF('Items sous domaines Sciences '!G163=6,'Items sous domaines Sciences '!E163,0)</f>
        <v>0</v>
      </c>
      <c r="F161" s="489"/>
    </row>
    <row r="162" spans="1:7" customFormat="1" ht="17.7" hidden="1" customHeight="1" thickBot="1" x14ac:dyDescent="0.3">
      <c r="A162" s="494"/>
      <c r="B162" s="8">
        <f>IF('Items sous domaines Sciences '!G164=6,'Items sous domaines Sciences '!B164,0)</f>
        <v>0</v>
      </c>
      <c r="C162" s="8">
        <f>IF('Items sous domaines Sciences '!G164=6,'Items sous domaines Sciences '!C164,0)</f>
        <v>0</v>
      </c>
      <c r="D162" s="8">
        <f>IF('Items sous domaines Sciences '!G164=6,'Items sous domaines Sciences '!D164,0)</f>
        <v>0</v>
      </c>
      <c r="E162" s="8">
        <f>IF('Items sous domaines Sciences '!G164=6,'Items sous domaines Sciences '!E164,0)</f>
        <v>0</v>
      </c>
      <c r="F162" s="489"/>
    </row>
    <row r="163" spans="1:7" customFormat="1" ht="17.7" hidden="1" customHeight="1" thickBot="1" x14ac:dyDescent="0.3">
      <c r="A163" s="494"/>
      <c r="B163" s="8">
        <f>IF('Items sous domaines Sciences '!G165=6,'Items sous domaines Sciences '!B165,0)</f>
        <v>0</v>
      </c>
      <c r="C163" s="8">
        <f>IF('Items sous domaines Sciences '!G165=6,'Items sous domaines Sciences '!C165,0)</f>
        <v>0</v>
      </c>
      <c r="D163" s="8">
        <f>IF('Items sous domaines Sciences '!G165=6,'Items sous domaines Sciences '!D165,0)</f>
        <v>0</v>
      </c>
      <c r="E163" s="8">
        <f>IF('Items sous domaines Sciences '!G165=6,'Items sous domaines Sciences '!E165,0)</f>
        <v>0</v>
      </c>
      <c r="F163" s="489"/>
    </row>
    <row r="164" spans="1:7" customFormat="1" ht="17.7" hidden="1" customHeight="1" thickBot="1" x14ac:dyDescent="0.3">
      <c r="A164" s="494"/>
      <c r="B164" s="8">
        <f>IF('Items sous domaines Sciences '!G166=6,'Items sous domaines Sciences '!B166,0)</f>
        <v>0</v>
      </c>
      <c r="C164" s="8">
        <f>IF('Items sous domaines Sciences '!G166=6,'Items sous domaines Sciences '!C166,0)</f>
        <v>0</v>
      </c>
      <c r="D164" s="8">
        <f>IF('Items sous domaines Sciences '!G166=6,'Items sous domaines Sciences '!D166,0)</f>
        <v>0</v>
      </c>
      <c r="E164" s="8">
        <f>IF('Items sous domaines Sciences '!G166=6,'Items sous domaines Sciences '!E166,0)</f>
        <v>0</v>
      </c>
      <c r="F164" s="489"/>
    </row>
    <row r="165" spans="1:7" customFormat="1" ht="17.7" hidden="1" customHeight="1" thickBot="1" x14ac:dyDescent="0.3">
      <c r="A165" s="494"/>
      <c r="B165" s="8">
        <f>IF('Items sous domaines Sciences '!G167=6,'Items sous domaines Sciences '!B167,0)</f>
        <v>0</v>
      </c>
      <c r="C165" s="8">
        <f>IF('Items sous domaines Sciences '!G167=6,'Items sous domaines Sciences '!C167,0)</f>
        <v>0</v>
      </c>
      <c r="D165" s="8">
        <f>IF('Items sous domaines Sciences '!G167=6,'Items sous domaines Sciences '!D167,0)</f>
        <v>0</v>
      </c>
      <c r="E165" s="8">
        <f>IF('Items sous domaines Sciences '!G167=6,'Items sous domaines Sciences '!E167,0)</f>
        <v>0</v>
      </c>
      <c r="F165" s="489"/>
    </row>
    <row r="166" spans="1:7" customFormat="1" ht="17.7" hidden="1" customHeight="1" thickBot="1" x14ac:dyDescent="0.3">
      <c r="A166" s="494"/>
      <c r="B166" s="8">
        <f>IF('Items sous domaines Sciences '!G168=6,'Items sous domaines Sciences '!B168,0)</f>
        <v>0</v>
      </c>
      <c r="C166" s="8">
        <f>IF('Items sous domaines Sciences '!G168=6,'Items sous domaines Sciences '!C168,0)</f>
        <v>0</v>
      </c>
      <c r="D166" s="8">
        <f>IF('Items sous domaines Sciences '!G168=6,'Items sous domaines Sciences '!D168,0)</f>
        <v>0</v>
      </c>
      <c r="E166" s="8">
        <f>IF('Items sous domaines Sciences '!G168=6,'Items sous domaines Sciences '!E168,0)</f>
        <v>0</v>
      </c>
      <c r="F166" s="489"/>
    </row>
    <row r="167" spans="1:7" customFormat="1" ht="17.7" hidden="1" customHeight="1" thickBot="1" x14ac:dyDescent="0.3">
      <c r="A167" s="494"/>
      <c r="B167" s="8">
        <f>IF('Items sous domaines Sciences '!G169=6,'Items sous domaines Sciences '!B169,0)</f>
        <v>0</v>
      </c>
      <c r="C167" s="8">
        <f>IF('Items sous domaines Sciences '!G169=6,'Items sous domaines Sciences '!C169,0)</f>
        <v>0</v>
      </c>
      <c r="D167" s="8">
        <f>IF('Items sous domaines Sciences '!G169=6,'Items sous domaines Sciences '!D169,0)</f>
        <v>0</v>
      </c>
      <c r="E167" s="8">
        <f>IF('Items sous domaines Sciences '!G169=6,'Items sous domaines Sciences '!E169,0)</f>
        <v>0</v>
      </c>
      <c r="F167" s="489"/>
    </row>
    <row r="168" spans="1:7" customFormat="1" ht="17.7" hidden="1" customHeight="1" thickBot="1" x14ac:dyDescent="0.3">
      <c r="A168" s="494"/>
      <c r="B168" s="8">
        <f>IF('Items sous domaines Sciences '!G170=6,'Items sous domaines Sciences '!B170,0)</f>
        <v>0</v>
      </c>
      <c r="C168" s="8">
        <f>IF('Items sous domaines Sciences '!G170=6,'Items sous domaines Sciences '!C170,0)</f>
        <v>0</v>
      </c>
      <c r="D168" s="8">
        <f>IF('Items sous domaines Sciences '!G170=6,'Items sous domaines Sciences '!D170,0)</f>
        <v>0</v>
      </c>
      <c r="E168" s="8">
        <f>IF('Items sous domaines Sciences '!G170=6,'Items sous domaines Sciences '!E170,0)</f>
        <v>0</v>
      </c>
      <c r="F168" s="489"/>
      <c r="G168" s="17"/>
    </row>
    <row r="169" spans="1:7" customFormat="1" ht="17.7" hidden="1" customHeight="1" thickBot="1" x14ac:dyDescent="0.3">
      <c r="A169" s="494"/>
      <c r="B169" s="8">
        <f>IF('Items sous domaines Sciences '!G171=6,'Items sous domaines Sciences '!B171,0)</f>
        <v>0</v>
      </c>
      <c r="C169" s="8">
        <f>IF('Items sous domaines Sciences '!G171=6,'Items sous domaines Sciences '!C171,0)</f>
        <v>0</v>
      </c>
      <c r="D169" s="8">
        <f>IF('Items sous domaines Sciences '!G171=6,'Items sous domaines Sciences '!D171,0)</f>
        <v>0</v>
      </c>
      <c r="E169" s="8">
        <f>IF('Items sous domaines Sciences '!G171=6,'Items sous domaines Sciences '!E171,0)</f>
        <v>0</v>
      </c>
      <c r="F169" s="489"/>
      <c r="G169" s="17"/>
    </row>
    <row r="170" spans="1:7" customFormat="1" ht="17.7" hidden="1" customHeight="1" thickBot="1" x14ac:dyDescent="0.3">
      <c r="A170" s="494"/>
      <c r="B170" s="8">
        <f>IF('Items sous domaines Sciences '!G172=6,'Items sous domaines Sciences '!B172,0)</f>
        <v>0</v>
      </c>
      <c r="C170" s="8">
        <f>IF('Items sous domaines Sciences '!G172=6,'Items sous domaines Sciences '!C172,0)</f>
        <v>0</v>
      </c>
      <c r="D170" s="8">
        <f>IF('Items sous domaines Sciences '!G172=6,'Items sous domaines Sciences '!D172,0)</f>
        <v>0</v>
      </c>
      <c r="E170" s="8">
        <f>IF('Items sous domaines Sciences '!G172=6,'Items sous domaines Sciences '!E172,0)</f>
        <v>0</v>
      </c>
      <c r="F170" s="489"/>
    </row>
    <row r="171" spans="1:7" customFormat="1" ht="17.7" hidden="1" customHeight="1" thickBot="1" x14ac:dyDescent="0.3">
      <c r="A171" s="494"/>
      <c r="B171" s="8">
        <f>IF('Items sous domaines Sciences '!G173=6,'Items sous domaines Sciences '!B173,0)</f>
        <v>0</v>
      </c>
      <c r="C171" s="8">
        <f>IF('Items sous domaines Sciences '!G173=6,'Items sous domaines Sciences '!C173,0)</f>
        <v>0</v>
      </c>
      <c r="D171" s="8">
        <f>IF('Items sous domaines Sciences '!G173=6,'Items sous domaines Sciences '!D173,0)</f>
        <v>0</v>
      </c>
      <c r="E171" s="8">
        <f>IF('Items sous domaines Sciences '!G173=6,'Items sous domaines Sciences '!E173,0)</f>
        <v>0</v>
      </c>
      <c r="F171" s="489"/>
    </row>
    <row r="172" spans="1:7" customFormat="1" ht="17.7" hidden="1" customHeight="1" thickBot="1" x14ac:dyDescent="0.3">
      <c r="A172" s="494"/>
      <c r="B172" s="8">
        <f>IF('Items sous domaines Sciences '!G174=6,'Items sous domaines Sciences '!B174,0)</f>
        <v>0</v>
      </c>
      <c r="C172" s="8">
        <f>IF('Items sous domaines Sciences '!G174=6,'Items sous domaines Sciences '!C174,0)</f>
        <v>0</v>
      </c>
      <c r="D172" s="8">
        <f>IF('Items sous domaines Sciences '!G174=6,'Items sous domaines Sciences '!D174,0)</f>
        <v>0</v>
      </c>
      <c r="E172" s="8">
        <f>IF('Items sous domaines Sciences '!G174=6,'Items sous domaines Sciences '!E174,0)</f>
        <v>0</v>
      </c>
      <c r="F172" s="489"/>
    </row>
    <row r="173" spans="1:7" customFormat="1" ht="17.7" hidden="1" customHeight="1" thickBot="1" x14ac:dyDescent="0.3">
      <c r="A173" s="494"/>
      <c r="B173" s="8">
        <f>IF('Items sous domaines Sciences '!G175=6,'Items sous domaines Sciences '!B175,0)</f>
        <v>0</v>
      </c>
      <c r="C173" s="8">
        <f>IF('Items sous domaines Sciences '!G175=6,'Items sous domaines Sciences '!C175,0)</f>
        <v>0</v>
      </c>
      <c r="D173" s="8">
        <f>IF('Items sous domaines Sciences '!G175=6,'Items sous domaines Sciences '!D175,0)</f>
        <v>0</v>
      </c>
      <c r="E173" s="8">
        <f>IF('Items sous domaines Sciences '!G175=6,'Items sous domaines Sciences '!E175,0)</f>
        <v>0</v>
      </c>
      <c r="F173" s="489"/>
    </row>
    <row r="174" spans="1:7" customFormat="1" ht="17.7" hidden="1" customHeight="1" thickBot="1" x14ac:dyDescent="0.3">
      <c r="A174" s="494"/>
      <c r="B174" s="8">
        <f>IF('Items sous domaines Sciences '!G176=6,'Items sous domaines Sciences '!B176,0)</f>
        <v>0</v>
      </c>
      <c r="C174" s="8">
        <f>IF('Items sous domaines Sciences '!G176=6,'Items sous domaines Sciences '!C176,0)</f>
        <v>0</v>
      </c>
      <c r="D174" s="8">
        <f>IF('Items sous domaines Sciences '!G176=6,'Items sous domaines Sciences '!D176,0)</f>
        <v>0</v>
      </c>
      <c r="E174" s="8">
        <f>IF('Items sous domaines Sciences '!G176=6,'Items sous domaines Sciences '!E176,0)</f>
        <v>0</v>
      </c>
      <c r="F174" s="489"/>
    </row>
    <row r="175" spans="1:7" customFormat="1" ht="17.7" hidden="1" customHeight="1" thickBot="1" x14ac:dyDescent="0.3">
      <c r="A175" s="494"/>
      <c r="B175" s="8">
        <f>IF('Items sous domaines Sciences '!G177=6,'Items sous domaines Sciences '!B177,0)</f>
        <v>0</v>
      </c>
      <c r="C175" s="8">
        <f>IF('Items sous domaines Sciences '!G177=6,'Items sous domaines Sciences '!C177,0)</f>
        <v>0</v>
      </c>
      <c r="D175" s="8">
        <f>IF('Items sous domaines Sciences '!G177=6,'Items sous domaines Sciences '!D177,0)</f>
        <v>0</v>
      </c>
      <c r="E175" s="8">
        <f>IF('Items sous domaines Sciences '!G177=6,'Items sous domaines Sciences '!E177,0)</f>
        <v>0</v>
      </c>
      <c r="F175" s="489"/>
    </row>
    <row r="176" spans="1:7" customFormat="1" ht="17.7" hidden="1" customHeight="1" thickBot="1" x14ac:dyDescent="0.3">
      <c r="A176" s="494"/>
      <c r="B176" s="8">
        <f>IF('Items sous domaines Sciences '!G178=6,'Items sous domaines Sciences '!B178,0)</f>
        <v>0</v>
      </c>
      <c r="C176" s="8">
        <f>IF('Items sous domaines Sciences '!G178=6,'Items sous domaines Sciences '!C178,0)</f>
        <v>0</v>
      </c>
      <c r="D176" s="8">
        <f>IF('Items sous domaines Sciences '!G178=6,'Items sous domaines Sciences '!D178,0)</f>
        <v>0</v>
      </c>
      <c r="E176" s="8">
        <f>IF('Items sous domaines Sciences '!G178=6,'Items sous domaines Sciences '!E178,0)</f>
        <v>0</v>
      </c>
      <c r="F176" s="489"/>
      <c r="G176" s="17"/>
    </row>
    <row r="177" spans="1:7" customFormat="1" ht="17.7" hidden="1" customHeight="1" thickBot="1" x14ac:dyDescent="0.3">
      <c r="A177" s="494"/>
      <c r="B177" s="8">
        <f>IF('Items sous domaines Sciences '!G179=6,'Items sous domaines Sciences '!B179,0)</f>
        <v>0</v>
      </c>
      <c r="C177" s="8">
        <f>IF('Items sous domaines Sciences '!G179=6,'Items sous domaines Sciences '!C179,0)</f>
        <v>0</v>
      </c>
      <c r="D177" s="8">
        <f>IF('Items sous domaines Sciences '!G179=6,'Items sous domaines Sciences '!D179,0)</f>
        <v>0</v>
      </c>
      <c r="E177" s="8">
        <f>IF('Items sous domaines Sciences '!G179=6,'Items sous domaines Sciences '!E179,0)</f>
        <v>0</v>
      </c>
      <c r="F177" s="489"/>
      <c r="G177" s="17"/>
    </row>
    <row r="178" spans="1:7" customFormat="1" ht="17.7" hidden="1" customHeight="1" thickBot="1" x14ac:dyDescent="0.3">
      <c r="A178" s="494"/>
      <c r="B178" s="8">
        <f>IF('Items sous domaines Sciences '!G180=6,'Items sous domaines Sciences '!B180,0)</f>
        <v>0</v>
      </c>
      <c r="C178" s="8">
        <f>IF('Items sous domaines Sciences '!G180=6,'Items sous domaines Sciences '!C180,0)</f>
        <v>0</v>
      </c>
      <c r="D178" s="8">
        <f>IF('Items sous domaines Sciences '!G180=6,'Items sous domaines Sciences '!D180,0)</f>
        <v>0</v>
      </c>
      <c r="E178" s="8">
        <f>IF('Items sous domaines Sciences '!G180=6,'Items sous domaines Sciences '!E180,0)</f>
        <v>0</v>
      </c>
      <c r="F178" s="489"/>
      <c r="G178" s="17"/>
    </row>
    <row r="179" spans="1:7" customFormat="1" ht="17.7" hidden="1" customHeight="1" thickBot="1" x14ac:dyDescent="0.3">
      <c r="A179" s="494"/>
      <c r="B179" s="8">
        <f>IF('Items sous domaines Sciences '!G181=6,'Items sous domaines Sciences '!B181,0)</f>
        <v>0</v>
      </c>
      <c r="C179" s="8">
        <f>IF('Items sous domaines Sciences '!G181=6,'Items sous domaines Sciences '!C181,0)</f>
        <v>0</v>
      </c>
      <c r="D179" s="8">
        <f>IF('Items sous domaines Sciences '!G181=6,'Items sous domaines Sciences '!D181,0)</f>
        <v>0</v>
      </c>
      <c r="E179" s="8">
        <f>IF('Items sous domaines Sciences '!G181=6,'Items sous domaines Sciences '!E181,0)</f>
        <v>0</v>
      </c>
      <c r="F179" s="489"/>
      <c r="G179" s="17"/>
    </row>
    <row r="180" spans="1:7" customFormat="1" ht="17.7" hidden="1" customHeight="1" thickBot="1" x14ac:dyDescent="0.3">
      <c r="A180" s="494"/>
      <c r="B180" s="8">
        <f>IF('Items sous domaines Sciences '!G182=6,'Items sous domaines Sciences '!B182,0)</f>
        <v>0</v>
      </c>
      <c r="C180" s="8">
        <f>IF('Items sous domaines Sciences '!G182=6,'Items sous domaines Sciences '!C182,0)</f>
        <v>0</v>
      </c>
      <c r="D180" s="8">
        <f>IF('Items sous domaines Sciences '!G182=6,'Items sous domaines Sciences '!D182,0)</f>
        <v>0</v>
      </c>
      <c r="E180" s="8">
        <f>IF('Items sous domaines Sciences '!G182=6,'Items sous domaines Sciences '!E182,0)</f>
        <v>0</v>
      </c>
      <c r="F180" s="489"/>
    </row>
    <row r="181" spans="1:7" customFormat="1" ht="17.7" hidden="1" customHeight="1" thickBot="1" x14ac:dyDescent="0.3">
      <c r="A181" s="494"/>
      <c r="B181" s="8">
        <f>IF('Items sous domaines Sciences '!G183=6,'Items sous domaines Sciences '!B183,0)</f>
        <v>0</v>
      </c>
      <c r="C181" s="8">
        <f>IF('Items sous domaines Sciences '!G183=6,'Items sous domaines Sciences '!C183,0)</f>
        <v>0</v>
      </c>
      <c r="D181" s="8">
        <f>IF('Items sous domaines Sciences '!G183=6,'Items sous domaines Sciences '!D183,0)</f>
        <v>0</v>
      </c>
      <c r="E181" s="8">
        <f>IF('Items sous domaines Sciences '!G183=6,'Items sous domaines Sciences '!E183,0)</f>
        <v>0</v>
      </c>
      <c r="F181" s="489"/>
    </row>
    <row r="182" spans="1:7" customFormat="1" ht="17.7" hidden="1" customHeight="1" thickBot="1" x14ac:dyDescent="0.3">
      <c r="A182" s="494"/>
      <c r="B182" s="8">
        <f>IF('Items sous domaines Sciences '!G184=6,'Items sous domaines Sciences '!B184,0)</f>
        <v>0</v>
      </c>
      <c r="C182" s="8">
        <f>IF('Items sous domaines Sciences '!G184=6,'Items sous domaines Sciences '!C184,0)</f>
        <v>0</v>
      </c>
      <c r="D182" s="8">
        <f>IF('Items sous domaines Sciences '!G184=6,'Items sous domaines Sciences '!D184,0)</f>
        <v>0</v>
      </c>
      <c r="E182" s="8">
        <f>IF('Items sous domaines Sciences '!G184=6,'Items sous domaines Sciences '!E184,0)</f>
        <v>0</v>
      </c>
      <c r="F182" s="489"/>
    </row>
    <row r="183" spans="1:7" customFormat="1" ht="17.7" hidden="1" customHeight="1" thickBot="1" x14ac:dyDescent="0.3">
      <c r="A183" s="494"/>
      <c r="B183" s="8">
        <f>IF('Items sous domaines Sciences '!G185=6,'Items sous domaines Sciences '!B185,0)</f>
        <v>0</v>
      </c>
      <c r="C183" s="8">
        <f>IF('Items sous domaines Sciences '!G185=6,'Items sous domaines Sciences '!C185,0)</f>
        <v>0</v>
      </c>
      <c r="D183" s="8">
        <f>IF('Items sous domaines Sciences '!G185=6,'Items sous domaines Sciences '!D185,0)</f>
        <v>0</v>
      </c>
      <c r="E183" s="8">
        <f>IF('Items sous domaines Sciences '!G185=6,'Items sous domaines Sciences '!E185,0)</f>
        <v>0</v>
      </c>
      <c r="F183" s="489"/>
      <c r="G183" s="17"/>
    </row>
    <row r="184" spans="1:7" customFormat="1" ht="17.7" hidden="1" customHeight="1" thickBot="1" x14ac:dyDescent="0.3">
      <c r="A184" s="494"/>
      <c r="B184" s="8">
        <f>IF('Items sous domaines Sciences '!G186=6,'Items sous domaines Sciences '!B186,0)</f>
        <v>0</v>
      </c>
      <c r="C184" s="8">
        <f>IF('Items sous domaines Sciences '!G186=6,'Items sous domaines Sciences '!C186,0)</f>
        <v>0</v>
      </c>
      <c r="D184" s="8">
        <f>IF('Items sous domaines Sciences '!G186=6,'Items sous domaines Sciences '!D186,0)</f>
        <v>0</v>
      </c>
      <c r="E184" s="8">
        <f>IF('Items sous domaines Sciences '!G186=6,'Items sous domaines Sciences '!E186,0)</f>
        <v>0</v>
      </c>
      <c r="F184" s="489"/>
      <c r="G184" s="17"/>
    </row>
    <row r="185" spans="1:7" customFormat="1" ht="17.7" hidden="1" customHeight="1" thickBot="1" x14ac:dyDescent="0.3">
      <c r="A185" s="494"/>
      <c r="B185" s="8">
        <f>IF('Items sous domaines Sciences '!G187=6,'Items sous domaines Sciences '!B187,0)</f>
        <v>0</v>
      </c>
      <c r="C185" s="8">
        <f>IF('Items sous domaines Sciences '!G187=6,'Items sous domaines Sciences '!C187,0)</f>
        <v>0</v>
      </c>
      <c r="D185" s="8">
        <f>IF('Items sous domaines Sciences '!G187=6,'Items sous domaines Sciences '!D187,0)</f>
        <v>0</v>
      </c>
      <c r="E185" s="8">
        <f>IF('Items sous domaines Sciences '!G187=6,'Items sous domaines Sciences '!E187,0)</f>
        <v>0</v>
      </c>
      <c r="F185" t="e">
        <f>IF('Items sous domaines Sciences '!#REF!=6,'Items sous domaines Sciences '!#REF!,0)</f>
        <v>#REF!</v>
      </c>
    </row>
    <row r="186" spans="1:7" customFormat="1" ht="17.399999999999999" hidden="1" customHeight="1" thickBot="1" x14ac:dyDescent="0.3">
      <c r="A186" s="494"/>
      <c r="B186" s="8">
        <f>IF('Items sous domaines Sciences '!G188=6,'Items sous domaines Sciences '!B188,0)</f>
        <v>0</v>
      </c>
      <c r="C186" s="8">
        <f>IF('Items sous domaines Sciences '!G188=6,'Items sous domaines Sciences '!C188,0)</f>
        <v>0</v>
      </c>
      <c r="D186" s="8">
        <f>IF('Items sous domaines Sciences '!G188=6,'Items sous domaines Sciences '!D188,0)</f>
        <v>0</v>
      </c>
      <c r="E186" s="8">
        <f>IF('Items sous domaines Sciences '!G188=6,'Items sous domaines Sciences '!E188,0)</f>
        <v>0</v>
      </c>
      <c r="F186" t="e">
        <f>IF('Items sous domaines Sciences '!#REF!=6,'Items sous domaines Sciences '!#REF!,0)</f>
        <v>#REF!</v>
      </c>
    </row>
    <row r="187" spans="1:7" customFormat="1" ht="17.399999999999999" hidden="1" customHeight="1" thickBot="1" x14ac:dyDescent="0.3">
      <c r="A187" s="494"/>
      <c r="B187" s="8">
        <f>IF('Items sous domaines Sciences '!G189=6,'Items sous domaines Sciences '!B189,0)</f>
        <v>0</v>
      </c>
      <c r="C187" s="8">
        <f>IF('Items sous domaines Sciences '!G189=6,'Items sous domaines Sciences '!C189,0)</f>
        <v>0</v>
      </c>
      <c r="D187" s="8">
        <f>IF('Items sous domaines Sciences '!G189=6,'Items sous domaines Sciences '!D189,0)</f>
        <v>0</v>
      </c>
      <c r="E187" s="8">
        <f>IF('Items sous domaines Sciences '!G189=6,'Items sous domaines Sciences '!E189,0)</f>
        <v>0</v>
      </c>
      <c r="F187" t="e">
        <f>IF('Items sous domaines Sciences '!#REF!=6,'Items sous domaines Sciences '!#REF!,0)</f>
        <v>#REF!</v>
      </c>
    </row>
    <row r="188" spans="1:7" customFormat="1" ht="17.399999999999999" hidden="1" customHeight="1" thickBot="1" x14ac:dyDescent="0.3">
      <c r="A188" s="494"/>
      <c r="B188" s="8">
        <f>IF('Items sous domaines Sciences '!G190=6,'Items sous domaines Sciences '!B190,0)</f>
        <v>0</v>
      </c>
      <c r="C188" s="8">
        <f>IF('Items sous domaines Sciences '!G190=6,'Items sous domaines Sciences '!C190,0)</f>
        <v>0</v>
      </c>
      <c r="D188" s="8">
        <f>IF('Items sous domaines Sciences '!G190=6,'Items sous domaines Sciences '!D190,0)</f>
        <v>0</v>
      </c>
      <c r="E188" s="8">
        <f>IF('Items sous domaines Sciences '!G190=6,'Items sous domaines Sciences '!E190,0)</f>
        <v>0</v>
      </c>
      <c r="F188" t="e">
        <f>IF('Items sous domaines Sciences '!#REF!=6,'Items sous domaines Sciences '!#REF!,0)</f>
        <v>#REF!</v>
      </c>
    </row>
    <row r="189" spans="1:7" customFormat="1" ht="17.399999999999999" hidden="1" customHeight="1" thickBot="1" x14ac:dyDescent="0.3">
      <c r="A189" s="494"/>
      <c r="B189" s="8">
        <f>IF('Items sous domaines Sciences '!G191=6,'Items sous domaines Sciences '!B191,0)</f>
        <v>0</v>
      </c>
      <c r="C189" s="8">
        <f>IF('Items sous domaines Sciences '!G191=6,'Items sous domaines Sciences '!C191,0)</f>
        <v>0</v>
      </c>
      <c r="D189" s="8">
        <f>IF('Items sous domaines Sciences '!G191=6,'Items sous domaines Sciences '!D191,0)</f>
        <v>0</v>
      </c>
      <c r="E189" s="8">
        <f>IF('Items sous domaines Sciences '!G191=6,'Items sous domaines Sciences '!E191,0)</f>
        <v>0</v>
      </c>
      <c r="F189" t="e">
        <f>IF('Items sous domaines Sciences '!#REF!=6,'Items sous domaines Sciences '!#REF!,0)</f>
        <v>#REF!</v>
      </c>
    </row>
    <row r="190" spans="1:7" customFormat="1" ht="17.399999999999999" hidden="1" customHeight="1" thickBot="1" x14ac:dyDescent="0.3">
      <c r="A190" s="494"/>
      <c r="B190" s="8">
        <f>IF('Items sous domaines Sciences '!G192=6,'Items sous domaines Sciences '!B192,0)</f>
        <v>0</v>
      </c>
      <c r="C190" s="8">
        <f>IF('Items sous domaines Sciences '!G192=6,'Items sous domaines Sciences '!C192,0)</f>
        <v>0</v>
      </c>
      <c r="D190" s="8">
        <f>IF('Items sous domaines Sciences '!G192=6,'Items sous domaines Sciences '!D192,0)</f>
        <v>0</v>
      </c>
      <c r="E190" s="8">
        <f>IF('Items sous domaines Sciences '!G192=6,'Items sous domaines Sciences '!E192,0)</f>
        <v>0</v>
      </c>
      <c r="F190" t="e">
        <f>IF('Items sous domaines Sciences '!#REF!=6,'Items sous domaines Sciences '!#REF!,0)</f>
        <v>#REF!</v>
      </c>
    </row>
    <row r="191" spans="1:7" customFormat="1" ht="17.399999999999999" hidden="1" customHeight="1" thickBot="1" x14ac:dyDescent="0.3">
      <c r="A191" s="494"/>
      <c r="B191" s="8">
        <f>IF('Items sous domaines Sciences '!G193=6,'Items sous domaines Sciences '!B193,0)</f>
        <v>0</v>
      </c>
      <c r="C191" s="8">
        <f>IF('Items sous domaines Sciences '!G193=6,'Items sous domaines Sciences '!C193,0)</f>
        <v>0</v>
      </c>
      <c r="D191" s="8">
        <f>IF('Items sous domaines Sciences '!G193=6,'Items sous domaines Sciences '!D193,0)</f>
        <v>0</v>
      </c>
      <c r="E191" s="8">
        <f>IF('Items sous domaines Sciences '!G193=6,'Items sous domaines Sciences '!E193,0)</f>
        <v>0</v>
      </c>
      <c r="F191" t="e">
        <f>IF('Items sous domaines Sciences '!#REF!=6,'Items sous domaines Sciences '!#REF!,0)</f>
        <v>#REF!</v>
      </c>
    </row>
    <row r="192" spans="1:7" customFormat="1" ht="17.399999999999999" hidden="1" customHeight="1" thickBot="1" x14ac:dyDescent="0.3">
      <c r="A192" s="494"/>
      <c r="B192" s="8">
        <f>IF('Items sous domaines Sciences '!G194=6,'Items sous domaines Sciences '!B194,0)</f>
        <v>0</v>
      </c>
      <c r="C192" s="8">
        <f>IF('Items sous domaines Sciences '!G194=6,'Items sous domaines Sciences '!C194,0)</f>
        <v>0</v>
      </c>
      <c r="D192" s="8">
        <f>IF('Items sous domaines Sciences '!G194=6,'Items sous domaines Sciences '!D194,0)</f>
        <v>0</v>
      </c>
      <c r="E192" s="8">
        <f>IF('Items sous domaines Sciences '!G194=6,'Items sous domaines Sciences '!E194,0)</f>
        <v>0</v>
      </c>
      <c r="F192" t="e">
        <f>IF('Items sous domaines Sciences '!#REF!=6,'Items sous domaines Sciences '!#REF!,0)</f>
        <v>#REF!</v>
      </c>
    </row>
    <row r="193" spans="1:6" customFormat="1" ht="17.399999999999999" hidden="1" customHeight="1" thickBot="1" x14ac:dyDescent="0.3">
      <c r="A193" s="494"/>
      <c r="B193" s="8">
        <f>IF('Items sous domaines Sciences '!G195=6,'Items sous domaines Sciences '!B195,0)</f>
        <v>0</v>
      </c>
      <c r="C193" s="8">
        <f>IF('Items sous domaines Sciences '!G195=6,'Items sous domaines Sciences '!C195,0)</f>
        <v>0</v>
      </c>
      <c r="D193" s="8">
        <f>IF('Items sous domaines Sciences '!G195=6,'Items sous domaines Sciences '!D195,0)</f>
        <v>0</v>
      </c>
      <c r="E193" s="8">
        <f>IF('Items sous domaines Sciences '!G195=6,'Items sous domaines Sciences '!E195,0)</f>
        <v>0</v>
      </c>
      <c r="F193" t="e">
        <f>IF('Items sous domaines Sciences '!#REF!=6,'Items sous domaines Sciences '!#REF!,0)</f>
        <v>#REF!</v>
      </c>
    </row>
    <row r="194" spans="1:6" customFormat="1" ht="17.399999999999999" hidden="1" customHeight="1" thickBot="1" x14ac:dyDescent="0.3">
      <c r="A194" s="494"/>
      <c r="B194" s="8">
        <f>IF('Items sous domaines Sciences '!G196=6,'Items sous domaines Sciences '!B196,0)</f>
        <v>0</v>
      </c>
      <c r="C194" s="8">
        <f>IF('Items sous domaines Sciences '!G196=6,'Items sous domaines Sciences '!C196,0)</f>
        <v>0</v>
      </c>
      <c r="D194" s="8">
        <f>IF('Items sous domaines Sciences '!G196=6,'Items sous domaines Sciences '!D196,0)</f>
        <v>0</v>
      </c>
      <c r="E194" s="8">
        <f>IF('Items sous domaines Sciences '!G196=6,'Items sous domaines Sciences '!E196,0)</f>
        <v>0</v>
      </c>
      <c r="F194" t="e">
        <f>IF('Items sous domaines Sciences '!#REF!=6,'Items sous domaines Sciences '!#REF!,0)</f>
        <v>#REF!</v>
      </c>
    </row>
    <row r="195" spans="1:6" customFormat="1" ht="17.399999999999999" hidden="1" customHeight="1" thickBot="1" x14ac:dyDescent="0.3">
      <c r="A195" s="494"/>
      <c r="B195" s="8">
        <f>IF('Items sous domaines Sciences '!G197=6,'Items sous domaines Sciences '!B197,0)</f>
        <v>0</v>
      </c>
      <c r="C195" s="8">
        <f>IF('Items sous domaines Sciences '!G197=6,'Items sous domaines Sciences '!C197,0)</f>
        <v>0</v>
      </c>
      <c r="D195" s="8">
        <f>IF('Items sous domaines Sciences '!G197=6,'Items sous domaines Sciences '!D197,0)</f>
        <v>0</v>
      </c>
      <c r="E195" s="8">
        <f>IF('Items sous domaines Sciences '!G197=6,'Items sous domaines Sciences '!E197,0)</f>
        <v>0</v>
      </c>
      <c r="F195" t="e">
        <f>IF('Items sous domaines Sciences '!#REF!=6,'Items sous domaines Sciences '!#REF!,0)</f>
        <v>#REF!</v>
      </c>
    </row>
    <row r="196" spans="1:6" customFormat="1" ht="17.399999999999999" hidden="1" customHeight="1" thickBot="1" x14ac:dyDescent="0.3">
      <c r="A196" s="494"/>
      <c r="B196" s="8">
        <f>IF('Items sous domaines Sciences '!G198=6,'Items sous domaines Sciences '!B198,0)</f>
        <v>0</v>
      </c>
      <c r="C196" s="8">
        <f>IF('Items sous domaines Sciences '!G198=6,'Items sous domaines Sciences '!C198,0)</f>
        <v>0</v>
      </c>
      <c r="D196" s="8">
        <f>IF('Items sous domaines Sciences '!G198=6,'Items sous domaines Sciences '!D198,0)</f>
        <v>0</v>
      </c>
      <c r="E196" s="8">
        <f>IF('Items sous domaines Sciences '!G198=6,'Items sous domaines Sciences '!E198,0)</f>
        <v>0</v>
      </c>
      <c r="F196" t="e">
        <f>IF('Items sous domaines Sciences '!#REF!=6,'Items sous domaines Sciences '!#REF!,0)</f>
        <v>#REF!</v>
      </c>
    </row>
    <row r="197" spans="1:6" customFormat="1" ht="17.399999999999999" hidden="1" customHeight="1" thickBot="1" x14ac:dyDescent="0.3">
      <c r="A197" s="494"/>
      <c r="B197" s="8">
        <f>IF('Items sous domaines Sciences '!G199=6,'Items sous domaines Sciences '!B199,0)</f>
        <v>0</v>
      </c>
      <c r="C197" s="8">
        <f>IF('Items sous domaines Sciences '!G199=6,'Items sous domaines Sciences '!C199,0)</f>
        <v>0</v>
      </c>
      <c r="D197" s="8">
        <f>IF('Items sous domaines Sciences '!G199=6,'Items sous domaines Sciences '!D199,0)</f>
        <v>0</v>
      </c>
      <c r="E197" s="8">
        <f>IF('Items sous domaines Sciences '!G199=6,'Items sous domaines Sciences '!E199,0)</f>
        <v>0</v>
      </c>
      <c r="F197" t="e">
        <f>IF('Items sous domaines Sciences '!#REF!=6,'Items sous domaines Sciences '!#REF!,0)</f>
        <v>#REF!</v>
      </c>
    </row>
    <row r="198" spans="1:6" customFormat="1" ht="17.399999999999999" hidden="1" customHeight="1" thickBot="1" x14ac:dyDescent="0.3">
      <c r="A198" s="494"/>
      <c r="B198" s="8">
        <f>IF('Items sous domaines Sciences '!G200=6,'Items sous domaines Sciences '!B200,0)</f>
        <v>0</v>
      </c>
      <c r="C198" s="8">
        <f>IF('Items sous domaines Sciences '!G200=6,'Items sous domaines Sciences '!C200,0)</f>
        <v>0</v>
      </c>
      <c r="D198" s="8">
        <f>IF('Items sous domaines Sciences '!G200=6,'Items sous domaines Sciences '!D200,0)</f>
        <v>0</v>
      </c>
      <c r="E198" s="8">
        <f>IF('Items sous domaines Sciences '!G200=6,'Items sous domaines Sciences '!E200,0)</f>
        <v>0</v>
      </c>
      <c r="F198" t="e">
        <f>IF('Items sous domaines Sciences '!#REF!=6,'Items sous domaines Sciences '!#REF!,0)</f>
        <v>#REF!</v>
      </c>
    </row>
    <row r="199" spans="1:6" customFormat="1" ht="17.399999999999999" hidden="1" customHeight="1" thickBot="1" x14ac:dyDescent="0.3">
      <c r="A199" s="494"/>
      <c r="B199" s="8">
        <f>IF('Items sous domaines Sciences '!G201=6,'Items sous domaines Sciences '!B201,0)</f>
        <v>0</v>
      </c>
      <c r="C199" s="8">
        <f>IF('Items sous domaines Sciences '!G201=6,'Items sous domaines Sciences '!C201,0)</f>
        <v>0</v>
      </c>
      <c r="D199" s="8">
        <f>IF('Items sous domaines Sciences '!G201=6,'Items sous domaines Sciences '!D201,0)</f>
        <v>0</v>
      </c>
      <c r="E199" s="8">
        <f>IF('Items sous domaines Sciences '!G201=6,'Items sous domaines Sciences '!E201,0)</f>
        <v>0</v>
      </c>
      <c r="F199" t="e">
        <f>IF('Items sous domaines Sciences '!#REF!=6,'Items sous domaines Sciences '!#REF!,0)</f>
        <v>#REF!</v>
      </c>
    </row>
    <row r="200" spans="1:6" customFormat="1" ht="17.399999999999999" hidden="1" customHeight="1" thickBot="1" x14ac:dyDescent="0.3">
      <c r="A200" s="494"/>
      <c r="B200" s="8">
        <f>IF('Items sous domaines Sciences '!G202=6,'Items sous domaines Sciences '!B202,0)</f>
        <v>0</v>
      </c>
      <c r="C200" s="8">
        <f>IF('Items sous domaines Sciences '!G202=6,'Items sous domaines Sciences '!C202,0)</f>
        <v>0</v>
      </c>
      <c r="D200" s="8">
        <f>IF('Items sous domaines Sciences '!G202=6,'Items sous domaines Sciences '!D202,0)</f>
        <v>0</v>
      </c>
      <c r="E200" s="8">
        <f>IF('Items sous domaines Sciences '!G202=6,'Items sous domaines Sciences '!E202,0)</f>
        <v>0</v>
      </c>
      <c r="F200" t="e">
        <f>IF('Items sous domaines Sciences '!#REF!=6,'Items sous domaines Sciences '!#REF!,0)</f>
        <v>#REF!</v>
      </c>
    </row>
    <row r="201" spans="1:6" customFormat="1" ht="17.399999999999999" hidden="1" customHeight="1" thickBot="1" x14ac:dyDescent="0.3">
      <c r="A201" s="494"/>
      <c r="B201" s="8">
        <f>IF('Items sous domaines Sciences '!G203=6,'Items sous domaines Sciences '!B203,0)</f>
        <v>0</v>
      </c>
      <c r="C201" s="8">
        <f>IF('Items sous domaines Sciences '!G203=6,'Items sous domaines Sciences '!C203,0)</f>
        <v>0</v>
      </c>
      <c r="D201" s="8">
        <f>IF('Items sous domaines Sciences '!G203=6,'Items sous domaines Sciences '!D203,0)</f>
        <v>0</v>
      </c>
      <c r="E201" s="8">
        <f>IF('Items sous domaines Sciences '!G203=6,'Items sous domaines Sciences '!E203,0)</f>
        <v>0</v>
      </c>
      <c r="F201" t="e">
        <f>IF('Items sous domaines Sciences '!#REF!=6,'Items sous domaines Sciences '!#REF!,0)</f>
        <v>#REF!</v>
      </c>
    </row>
    <row r="202" spans="1:6" customFormat="1" ht="17.399999999999999" hidden="1" customHeight="1" thickBot="1" x14ac:dyDescent="0.3">
      <c r="A202" s="494"/>
      <c r="B202" s="8">
        <f>IF('Items sous domaines Sciences '!G204=6,'Items sous domaines Sciences '!B204,0)</f>
        <v>0</v>
      </c>
      <c r="C202" s="8">
        <f>IF('Items sous domaines Sciences '!G204=6,'Items sous domaines Sciences '!C204,0)</f>
        <v>0</v>
      </c>
      <c r="D202" s="8">
        <f>IF('Items sous domaines Sciences '!G204=6,'Items sous domaines Sciences '!D204,0)</f>
        <v>0</v>
      </c>
      <c r="E202" s="8">
        <f>IF('Items sous domaines Sciences '!G204=6,'Items sous domaines Sciences '!E204,0)</f>
        <v>0</v>
      </c>
      <c r="F202" t="e">
        <f>IF('Items sous domaines Sciences '!#REF!=6,'Items sous domaines Sciences '!#REF!,0)</f>
        <v>#REF!</v>
      </c>
    </row>
    <row r="203" spans="1:6" customFormat="1" ht="17.399999999999999" hidden="1" customHeight="1" thickBot="1" x14ac:dyDescent="0.3">
      <c r="A203" s="494"/>
      <c r="B203" s="8">
        <f>IF('Items sous domaines Sciences '!G205=6,'Items sous domaines Sciences '!B205,0)</f>
        <v>0</v>
      </c>
      <c r="C203" s="8">
        <f>IF('Items sous domaines Sciences '!G205=6,'Items sous domaines Sciences '!C205,0)</f>
        <v>0</v>
      </c>
      <c r="D203" s="8">
        <f>IF('Items sous domaines Sciences '!G205=6,'Items sous domaines Sciences '!D205,0)</f>
        <v>0</v>
      </c>
      <c r="E203" s="8">
        <f>IF('Items sous domaines Sciences '!G205=6,'Items sous domaines Sciences '!E205,0)</f>
        <v>0</v>
      </c>
      <c r="F203" t="e">
        <f>IF('Items sous domaines Sciences '!#REF!=6,'Items sous domaines Sciences '!#REF!,0)</f>
        <v>#REF!</v>
      </c>
    </row>
    <row r="204" spans="1:6" customFormat="1" ht="17.399999999999999" hidden="1" customHeight="1" thickBot="1" x14ac:dyDescent="0.3">
      <c r="A204" s="494"/>
      <c r="B204" s="8">
        <f>IF('Items sous domaines Sciences '!G206=6,'Items sous domaines Sciences '!B206,0)</f>
        <v>0</v>
      </c>
      <c r="C204" s="8">
        <f>IF('Items sous domaines Sciences '!G206=6,'Items sous domaines Sciences '!C206,0)</f>
        <v>0</v>
      </c>
      <c r="D204" s="8">
        <f>IF('Items sous domaines Sciences '!G206=6,'Items sous domaines Sciences '!D206,0)</f>
        <v>0</v>
      </c>
      <c r="E204" s="8">
        <f>IF('Items sous domaines Sciences '!G206=6,'Items sous domaines Sciences '!E206,0)</f>
        <v>0</v>
      </c>
      <c r="F204" t="e">
        <f>IF('Items sous domaines Sciences '!#REF!=6,'Items sous domaines Sciences '!#REF!,0)</f>
        <v>#REF!</v>
      </c>
    </row>
    <row r="205" spans="1:6" customFormat="1" ht="17.399999999999999" hidden="1" customHeight="1" thickBot="1" x14ac:dyDescent="0.3">
      <c r="A205" s="494"/>
      <c r="B205" s="8">
        <f>IF('Items sous domaines Sciences '!G207=6,'Items sous domaines Sciences '!B207,0)</f>
        <v>0</v>
      </c>
      <c r="C205" s="8">
        <f>IF('Items sous domaines Sciences '!G207=6,'Items sous domaines Sciences '!C207,0)</f>
        <v>0</v>
      </c>
      <c r="D205" s="8">
        <f>IF('Items sous domaines Sciences '!G207=6,'Items sous domaines Sciences '!D207,0)</f>
        <v>0</v>
      </c>
      <c r="E205" s="8">
        <f>IF('Items sous domaines Sciences '!G207=6,'Items sous domaines Sciences '!E207,0)</f>
        <v>0</v>
      </c>
      <c r="F205" t="e">
        <f>IF('Items sous domaines Sciences '!#REF!=6,'Items sous domaines Sciences '!#REF!,0)</f>
        <v>#REF!</v>
      </c>
    </row>
    <row r="206" spans="1:6" customFormat="1" ht="17.399999999999999" hidden="1" customHeight="1" thickBot="1" x14ac:dyDescent="0.3">
      <c r="A206" s="494"/>
      <c r="B206" s="8">
        <f>IF('Items sous domaines Sciences '!G208=6,'Items sous domaines Sciences '!B208,0)</f>
        <v>0</v>
      </c>
      <c r="C206" s="8">
        <f>IF('Items sous domaines Sciences '!G208=6,'Items sous domaines Sciences '!C208,0)</f>
        <v>0</v>
      </c>
      <c r="D206" s="8">
        <f>IF('Items sous domaines Sciences '!G208=6,'Items sous domaines Sciences '!D208,0)</f>
        <v>0</v>
      </c>
      <c r="E206" s="8">
        <f>IF('Items sous domaines Sciences '!G208=6,'Items sous domaines Sciences '!E208,0)</f>
        <v>0</v>
      </c>
      <c r="F206" t="e">
        <f>IF('Items sous domaines Sciences '!#REF!=6,'Items sous domaines Sciences '!#REF!,0)</f>
        <v>#REF!</v>
      </c>
    </row>
    <row r="207" spans="1:6" customFormat="1" ht="17.399999999999999" hidden="1" customHeight="1" thickBot="1" x14ac:dyDescent="0.3">
      <c r="A207" s="494"/>
      <c r="B207" s="8">
        <f>IF('Items sous domaines Sciences '!G209=6,'Items sous domaines Sciences '!B209,0)</f>
        <v>0</v>
      </c>
      <c r="C207" s="8">
        <f>IF('Items sous domaines Sciences '!G209=6,'Items sous domaines Sciences '!C209,0)</f>
        <v>0</v>
      </c>
      <c r="D207" s="8">
        <f>IF('Items sous domaines Sciences '!G209=6,'Items sous domaines Sciences '!D209,0)</f>
        <v>0</v>
      </c>
      <c r="E207" s="8">
        <f>IF('Items sous domaines Sciences '!G209=6,'Items sous domaines Sciences '!E209,0)</f>
        <v>0</v>
      </c>
      <c r="F207" t="e">
        <f>IF('Items sous domaines Sciences '!#REF!=6,'Items sous domaines Sciences '!#REF!,0)</f>
        <v>#REF!</v>
      </c>
    </row>
    <row r="208" spans="1:6" customFormat="1" ht="17.399999999999999" hidden="1" customHeight="1" thickBot="1" x14ac:dyDescent="0.3">
      <c r="A208" s="494"/>
      <c r="B208" s="8">
        <f>IF('Items sous domaines Sciences '!G210=6,'Items sous domaines Sciences '!B210,0)</f>
        <v>0</v>
      </c>
      <c r="C208" s="8">
        <f>IF('Items sous domaines Sciences '!G210=6,'Items sous domaines Sciences '!C210,0)</f>
        <v>0</v>
      </c>
      <c r="D208" s="8">
        <f>IF('Items sous domaines Sciences '!G210=6,'Items sous domaines Sciences '!D210,0)</f>
        <v>0</v>
      </c>
      <c r="E208" s="8">
        <f>IF('Items sous domaines Sciences '!G210=6,'Items sous domaines Sciences '!E210,0)</f>
        <v>0</v>
      </c>
      <c r="F208" t="e">
        <f>IF('Items sous domaines Sciences '!#REF!=6,'Items sous domaines Sciences '!#REF!,0)</f>
        <v>#REF!</v>
      </c>
    </row>
    <row r="209" spans="1:7" customFormat="1" ht="17.399999999999999" hidden="1" customHeight="1" thickBot="1" x14ac:dyDescent="0.3">
      <c r="A209" s="494"/>
      <c r="B209" s="8">
        <f>IF('Items sous domaines Sciences '!G211=6,'Items sous domaines Sciences '!B211,0)</f>
        <v>0</v>
      </c>
      <c r="C209" s="8">
        <f>IF('Items sous domaines Sciences '!G211=6,'Items sous domaines Sciences '!C211,0)</f>
        <v>0</v>
      </c>
      <c r="D209" s="8">
        <f>IF('Items sous domaines Sciences '!G211=6,'Items sous domaines Sciences '!D211,0)</f>
        <v>0</v>
      </c>
      <c r="E209" s="8">
        <f>IF('Items sous domaines Sciences '!G211=6,'Items sous domaines Sciences '!E211,0)</f>
        <v>0</v>
      </c>
      <c r="F209" t="e">
        <f>IF('Items sous domaines Sciences '!#REF!=6,'Items sous domaines Sciences '!#REF!,0)</f>
        <v>#REF!</v>
      </c>
    </row>
    <row r="210" spans="1:7" customFormat="1" ht="17.399999999999999" hidden="1" customHeight="1" thickBot="1" x14ac:dyDescent="0.3">
      <c r="A210" s="494"/>
      <c r="B210" s="8">
        <f>IF('Items sous domaines Sciences '!G212=6,'Items sous domaines Sciences '!B212,0)</f>
        <v>0</v>
      </c>
      <c r="C210" s="8">
        <f>IF('Items sous domaines Sciences '!G212=6,'Items sous domaines Sciences '!C212,0)</f>
        <v>0</v>
      </c>
      <c r="D210" s="8">
        <f>IF('Items sous domaines Sciences '!G212=6,'Items sous domaines Sciences '!D212,0)</f>
        <v>0</v>
      </c>
      <c r="E210" s="8">
        <f>IF('Items sous domaines Sciences '!G212=6,'Items sous domaines Sciences '!E212,0)</f>
        <v>0</v>
      </c>
      <c r="F210" t="e">
        <f>IF('Items sous domaines Sciences '!#REF!=6,'Items sous domaines Sciences '!#REF!,0)</f>
        <v>#REF!</v>
      </c>
    </row>
    <row r="211" spans="1:7" customFormat="1" ht="17.399999999999999" hidden="1" customHeight="1" thickBot="1" x14ac:dyDescent="0.3">
      <c r="A211" s="494"/>
      <c r="B211" s="8">
        <f>IF('Items sous domaines Sciences '!G213=6,'Items sous domaines Sciences '!B213,0)</f>
        <v>0</v>
      </c>
      <c r="C211" s="8">
        <f>IF('Items sous domaines Sciences '!G213=6,'Items sous domaines Sciences '!C213,0)</f>
        <v>0</v>
      </c>
      <c r="D211" s="8">
        <f>IF('Items sous domaines Sciences '!G213=6,'Items sous domaines Sciences '!D213,0)</f>
        <v>0</v>
      </c>
      <c r="E211" s="8">
        <f>IF('Items sous domaines Sciences '!G213=6,'Items sous domaines Sciences '!E213,0)</f>
        <v>0</v>
      </c>
      <c r="F211" t="e">
        <f>IF('Items sous domaines Sciences '!#REF!=6,'Items sous domaines Sciences '!#REF!,0)</f>
        <v>#REF!</v>
      </c>
    </row>
    <row r="212" spans="1:7" customFormat="1" ht="17.399999999999999" hidden="1" customHeight="1" thickBot="1" x14ac:dyDescent="0.3">
      <c r="A212" s="494"/>
      <c r="B212" s="8">
        <f>IF('Items sous domaines Sciences '!G214=6,'Items sous domaines Sciences '!B214,0)</f>
        <v>0</v>
      </c>
      <c r="C212" s="8">
        <f>IF('Items sous domaines Sciences '!G214=6,'Items sous domaines Sciences '!C214,0)</f>
        <v>0</v>
      </c>
      <c r="D212" s="8">
        <f>IF('Items sous domaines Sciences '!G214=6,'Items sous domaines Sciences '!D214,0)</f>
        <v>0</v>
      </c>
      <c r="E212" s="8">
        <f>IF('Items sous domaines Sciences '!G214=6,'Items sous domaines Sciences '!E214,0)</f>
        <v>0</v>
      </c>
      <c r="F212" t="e">
        <f>IF('Items sous domaines Sciences '!#REF!=6,'Items sous domaines Sciences '!#REF!,0)</f>
        <v>#REF!</v>
      </c>
    </row>
    <row r="213" spans="1:7" customFormat="1" ht="17.399999999999999" hidden="1" customHeight="1" thickBot="1" x14ac:dyDescent="0.3">
      <c r="A213" s="494"/>
      <c r="B213" s="8">
        <f>IF('Items sous domaines Sciences '!G215=6,'Items sous domaines Sciences '!B215,0)</f>
        <v>0</v>
      </c>
      <c r="C213" s="8">
        <f>IF('Items sous domaines Sciences '!G215=6,'Items sous domaines Sciences '!C215,0)</f>
        <v>0</v>
      </c>
      <c r="D213" s="8">
        <f>IF('Items sous domaines Sciences '!G215=6,'Items sous domaines Sciences '!D215,0)</f>
        <v>0</v>
      </c>
      <c r="E213" s="8">
        <f>IF('Items sous domaines Sciences '!G215=6,'Items sous domaines Sciences '!E215,0)</f>
        <v>0</v>
      </c>
      <c r="F213" s="339" t="s">
        <v>486</v>
      </c>
      <c r="G213" s="17"/>
    </row>
    <row r="214" spans="1:7" customFormat="1" ht="17.399999999999999" hidden="1" customHeight="1" thickBot="1" x14ac:dyDescent="0.3">
      <c r="A214" s="494"/>
      <c r="B214" s="8">
        <f>IF('Items sous domaines Sciences '!G216=6,'Items sous domaines Sciences '!B216,0)</f>
        <v>0</v>
      </c>
      <c r="C214" s="8">
        <f>IF('Items sous domaines Sciences '!G216=6,'Items sous domaines Sciences '!C216,0)</f>
        <v>0</v>
      </c>
      <c r="D214" s="8">
        <f>IF('Items sous domaines Sciences '!G216=6,'Items sous domaines Sciences '!D216,0)</f>
        <v>0</v>
      </c>
      <c r="E214" s="8">
        <f>IF('Items sous domaines Sciences '!G216=6,'Items sous domaines Sciences '!E216,0)</f>
        <v>0</v>
      </c>
      <c r="F214" s="341"/>
      <c r="G214" s="23" t="s">
        <v>487</v>
      </c>
    </row>
    <row r="215" spans="1:7" customFormat="1" ht="17.399999999999999" hidden="1" customHeight="1" thickBot="1" x14ac:dyDescent="0.3">
      <c r="A215" s="494"/>
      <c r="B215" s="8">
        <f>IF('Items sous domaines Sciences '!G217=6,'Items sous domaines Sciences '!B217,0)</f>
        <v>0</v>
      </c>
      <c r="C215" s="8">
        <f>IF('Items sous domaines Sciences '!G217=6,'Items sous domaines Sciences '!C217,0)</f>
        <v>0</v>
      </c>
      <c r="D215" s="8">
        <f>IF('Items sous domaines Sciences '!G217=6,'Items sous domaines Sciences '!D217,0)</f>
        <v>0</v>
      </c>
      <c r="E215" s="8">
        <f>IF('Items sous domaines Sciences '!G217=6,'Items sous domaines Sciences '!E217,0)</f>
        <v>0</v>
      </c>
      <c r="F215" s="411"/>
    </row>
    <row r="216" spans="1:7" customFormat="1" ht="17.399999999999999" hidden="1" customHeight="1" thickBot="1" x14ac:dyDescent="0.3">
      <c r="A216" s="494"/>
      <c r="B216" s="8">
        <f>IF('Items sous domaines Sciences '!G218=6,'Items sous domaines Sciences '!B218,0)</f>
        <v>0</v>
      </c>
      <c r="C216" s="8">
        <f>IF('Items sous domaines Sciences '!G218=6,'Items sous domaines Sciences '!C218,0)</f>
        <v>0</v>
      </c>
      <c r="D216" s="8">
        <f>IF('Items sous domaines Sciences '!G218=6,'Items sous domaines Sciences '!D218,0)</f>
        <v>0</v>
      </c>
      <c r="E216" s="8">
        <f>IF('Items sous domaines Sciences '!G218=6,'Items sous domaines Sciences '!E218,0)</f>
        <v>0</v>
      </c>
      <c r="F216" s="411"/>
    </row>
    <row r="217" spans="1:7" customFormat="1" ht="17.399999999999999" hidden="1" customHeight="1" thickBot="1" x14ac:dyDescent="0.3">
      <c r="A217" s="494"/>
      <c r="B217" s="8">
        <f>IF('Items sous domaines Sciences '!G219=6,'Items sous domaines Sciences '!B219,0)</f>
        <v>0</v>
      </c>
      <c r="C217" s="8">
        <f>IF('Items sous domaines Sciences '!G219=6,'Items sous domaines Sciences '!C219,0)</f>
        <v>0</v>
      </c>
      <c r="D217" s="8">
        <f>IF('Items sous domaines Sciences '!G219=6,'Items sous domaines Sciences '!D219,0)</f>
        <v>0</v>
      </c>
      <c r="E217" s="8">
        <f>IF('Items sous domaines Sciences '!G219=6,'Items sous domaines Sciences '!E219,0)</f>
        <v>0</v>
      </c>
      <c r="F217" s="411"/>
    </row>
    <row r="218" spans="1:7" customFormat="1" ht="17.399999999999999" hidden="1" customHeight="1" thickBot="1" x14ac:dyDescent="0.3">
      <c r="A218" s="494"/>
      <c r="B218" s="8">
        <f>IF('Items sous domaines Sciences '!G220=6,'Items sous domaines Sciences '!B220,0)</f>
        <v>0</v>
      </c>
      <c r="C218" s="8">
        <f>IF('Items sous domaines Sciences '!G220=6,'Items sous domaines Sciences '!C220,0)</f>
        <v>0</v>
      </c>
      <c r="D218" s="8">
        <f>IF('Items sous domaines Sciences '!G220=6,'Items sous domaines Sciences '!D220,0)</f>
        <v>0</v>
      </c>
      <c r="E218" s="8">
        <f>IF('Items sous domaines Sciences '!G220=6,'Items sous domaines Sciences '!E220,0)</f>
        <v>0</v>
      </c>
      <c r="F218" s="411"/>
    </row>
    <row r="219" spans="1:7" customFormat="1" ht="17.399999999999999" hidden="1" customHeight="1" thickBot="1" x14ac:dyDescent="0.3">
      <c r="A219" s="494"/>
      <c r="B219" s="8">
        <f>IF('Items sous domaines Sciences '!G221=6,'Items sous domaines Sciences '!B221,0)</f>
        <v>0</v>
      </c>
      <c r="C219" s="8">
        <f>IF('Items sous domaines Sciences '!G221=6,'Items sous domaines Sciences '!C221,0)</f>
        <v>0</v>
      </c>
      <c r="D219" s="8">
        <f>IF('Items sous domaines Sciences '!G221=6,'Items sous domaines Sciences '!D221,0)</f>
        <v>0</v>
      </c>
      <c r="E219" s="8">
        <f>IF('Items sous domaines Sciences '!G221=6,'Items sous domaines Sciences '!E221,0)</f>
        <v>0</v>
      </c>
      <c r="F219" s="411"/>
    </row>
    <row r="220" spans="1:7" customFormat="1" ht="17.399999999999999" hidden="1" customHeight="1" thickBot="1" x14ac:dyDescent="0.3">
      <c r="A220" s="494"/>
      <c r="B220" s="8">
        <f>IF('Items sous domaines Sciences '!G222=6,'Items sous domaines Sciences '!B222,0)</f>
        <v>0</v>
      </c>
      <c r="C220" s="8">
        <f>IF('Items sous domaines Sciences '!G222=6,'Items sous domaines Sciences '!C222,0)</f>
        <v>0</v>
      </c>
      <c r="D220" s="8">
        <f>IF('Items sous domaines Sciences '!G222=6,'Items sous domaines Sciences '!D222,0)</f>
        <v>0</v>
      </c>
      <c r="E220" s="8">
        <f>IF('Items sous domaines Sciences '!G222=6,'Items sous domaines Sciences '!E222,0)</f>
        <v>0</v>
      </c>
      <c r="F220" s="411"/>
    </row>
    <row r="221" spans="1:7" customFormat="1" ht="17.399999999999999" hidden="1" customHeight="1" thickBot="1" x14ac:dyDescent="0.3">
      <c r="A221" s="494"/>
      <c r="B221" s="8">
        <f>IF('Items sous domaines Sciences '!G223=6,'Items sous domaines Sciences '!B223,0)</f>
        <v>0</v>
      </c>
      <c r="C221" s="8">
        <f>IF('Items sous domaines Sciences '!G223=6,'Items sous domaines Sciences '!C223,0)</f>
        <v>0</v>
      </c>
      <c r="D221" s="8">
        <f>IF('Items sous domaines Sciences '!G223=6,'Items sous domaines Sciences '!D223,0)</f>
        <v>0</v>
      </c>
      <c r="E221" s="8">
        <f>IF('Items sous domaines Sciences '!G223=6,'Items sous domaines Sciences '!E223,0)</f>
        <v>0</v>
      </c>
      <c r="F221" s="411"/>
    </row>
    <row r="222" spans="1:7" customFormat="1" ht="17.399999999999999" hidden="1" customHeight="1" thickBot="1" x14ac:dyDescent="0.3">
      <c r="A222" s="494"/>
      <c r="B222" s="8">
        <f>IF('Items sous domaines Sciences '!G224=6,'Items sous domaines Sciences '!B224,0)</f>
        <v>0</v>
      </c>
      <c r="C222" s="8">
        <f>IF('Items sous domaines Sciences '!G224=6,'Items sous domaines Sciences '!C224,0)</f>
        <v>0</v>
      </c>
      <c r="D222" s="8">
        <f>IF('Items sous domaines Sciences '!G224=6,'Items sous domaines Sciences '!D224,0)</f>
        <v>0</v>
      </c>
      <c r="E222" s="8">
        <f>IF('Items sous domaines Sciences '!G224=6,'Items sous domaines Sciences '!E224,0)</f>
        <v>0</v>
      </c>
      <c r="F222" s="411"/>
    </row>
    <row r="223" spans="1:7" customFormat="1" ht="17.399999999999999" hidden="1" customHeight="1" thickBot="1" x14ac:dyDescent="0.3">
      <c r="A223" s="494"/>
      <c r="B223" s="8">
        <f>IF('Items sous domaines Sciences '!G225=6,'Items sous domaines Sciences '!B225,0)</f>
        <v>0</v>
      </c>
      <c r="C223" s="8">
        <f>IF('Items sous domaines Sciences '!G225=6,'Items sous domaines Sciences '!C225,0)</f>
        <v>0</v>
      </c>
      <c r="D223" s="8">
        <f>IF('Items sous domaines Sciences '!G225=6,'Items sous domaines Sciences '!D225,0)</f>
        <v>0</v>
      </c>
      <c r="E223" s="8">
        <f>IF('Items sous domaines Sciences '!G225=6,'Items sous domaines Sciences '!E225,0)</f>
        <v>0</v>
      </c>
      <c r="F223" s="505"/>
      <c r="G223" s="17"/>
    </row>
    <row r="224" spans="1:7" customFormat="1" ht="17.399999999999999" hidden="1" customHeight="1" thickBot="1" x14ac:dyDescent="0.3">
      <c r="A224" s="494"/>
      <c r="B224" s="8">
        <f>IF('Items sous domaines Sciences '!G226=6,'Items sous domaines Sciences '!B226,0)</f>
        <v>0</v>
      </c>
      <c r="C224" s="8">
        <f>IF('Items sous domaines Sciences '!G226=6,'Items sous domaines Sciences '!C226,0)</f>
        <v>0</v>
      </c>
      <c r="D224" s="8">
        <f>IF('Items sous domaines Sciences '!G226=6,'Items sous domaines Sciences '!D226,0)</f>
        <v>0</v>
      </c>
      <c r="E224" s="8">
        <f>IF('Items sous domaines Sciences '!G226=6,'Items sous domaines Sciences '!E226,0)</f>
        <v>0</v>
      </c>
      <c r="F224" s="411"/>
    </row>
    <row r="225" spans="1:7" customFormat="1" ht="17.399999999999999" hidden="1" customHeight="1" thickBot="1" x14ac:dyDescent="0.3">
      <c r="A225" s="494"/>
      <c r="B225" s="8">
        <f>IF('Items sous domaines Sciences '!G227=6,'Items sous domaines Sciences '!B227,0)</f>
        <v>0</v>
      </c>
      <c r="C225" s="8">
        <f>IF('Items sous domaines Sciences '!G227=6,'Items sous domaines Sciences '!C227,0)</f>
        <v>0</v>
      </c>
      <c r="D225" s="8">
        <f>IF('Items sous domaines Sciences '!G227=6,'Items sous domaines Sciences '!D227,0)</f>
        <v>0</v>
      </c>
      <c r="E225" s="8">
        <f>IF('Items sous domaines Sciences '!G227=6,'Items sous domaines Sciences '!E227,0)</f>
        <v>0</v>
      </c>
      <c r="F225" s="411"/>
    </row>
    <row r="226" spans="1:7" customFormat="1" ht="17.399999999999999" hidden="1" customHeight="1" thickBot="1" x14ac:dyDescent="0.3">
      <c r="A226" s="494"/>
      <c r="B226" s="8">
        <f>IF('Items sous domaines Sciences '!G228=6,'Items sous domaines Sciences '!B228,0)</f>
        <v>0</v>
      </c>
      <c r="C226" s="8">
        <f>IF('Items sous domaines Sciences '!G228=6,'Items sous domaines Sciences '!C228,0)</f>
        <v>0</v>
      </c>
      <c r="D226" s="8">
        <f>IF('Items sous domaines Sciences '!G228=6,'Items sous domaines Sciences '!D228,0)</f>
        <v>0</v>
      </c>
      <c r="E226" s="8">
        <f>IF('Items sous domaines Sciences '!G228=6,'Items sous domaines Sciences '!E228,0)</f>
        <v>0</v>
      </c>
      <c r="F226" s="339"/>
      <c r="G226" s="17"/>
    </row>
    <row r="227" spans="1:7" customFormat="1" ht="17.399999999999999" hidden="1" customHeight="1" thickBot="1" x14ac:dyDescent="0.3">
      <c r="A227" s="494"/>
      <c r="B227" s="8">
        <f>IF('Items sous domaines Sciences '!G229=6,'Items sous domaines Sciences '!B229,0)</f>
        <v>0</v>
      </c>
      <c r="C227" s="8">
        <f>IF('Items sous domaines Sciences '!G229=6,'Items sous domaines Sciences '!C229,0)</f>
        <v>0</v>
      </c>
      <c r="D227" s="8">
        <f>IF('Items sous domaines Sciences '!G229=6,'Items sous domaines Sciences '!D229,0)</f>
        <v>0</v>
      </c>
      <c r="E227" s="8">
        <f>IF('Items sous domaines Sciences '!G229=6,'Items sous domaines Sciences '!E229,0)</f>
        <v>0</v>
      </c>
      <c r="F227" s="341"/>
      <c r="G227" s="17"/>
    </row>
    <row r="228" spans="1:7" customFormat="1" ht="17.399999999999999" hidden="1" customHeight="1" thickBot="1" x14ac:dyDescent="0.3">
      <c r="A228" s="494"/>
      <c r="B228" s="8">
        <f>IF('Items sous domaines Sciences '!G230=6,'Items sous domaines Sciences '!B230,0)</f>
        <v>0</v>
      </c>
      <c r="C228" s="8">
        <f>IF('Items sous domaines Sciences '!G230=6,'Items sous domaines Sciences '!C230,0)</f>
        <v>0</v>
      </c>
      <c r="D228" s="8">
        <f>IF('Items sous domaines Sciences '!G230=6,'Items sous domaines Sciences '!D230,0)</f>
        <v>0</v>
      </c>
      <c r="E228" s="8">
        <f>IF('Items sous domaines Sciences '!G230=6,'Items sous domaines Sciences '!E230,0)</f>
        <v>0</v>
      </c>
      <c r="F228" t="e">
        <f>IF('Items sous domaines Sciences '!#REF!=6,'Items sous domaines Sciences '!#REF!,0)</f>
        <v>#REF!</v>
      </c>
    </row>
    <row r="229" spans="1:7" customFormat="1" ht="17.399999999999999" hidden="1" customHeight="1" thickBot="1" x14ac:dyDescent="0.3">
      <c r="A229" s="494"/>
      <c r="B229" s="8">
        <f>IF('Items sous domaines Sciences '!G231=6,'Items sous domaines Sciences '!B231,0)</f>
        <v>0</v>
      </c>
      <c r="C229" s="8">
        <f>IF('Items sous domaines Sciences '!G231=6,'Items sous domaines Sciences '!C231,0)</f>
        <v>0</v>
      </c>
      <c r="D229" s="8">
        <f>IF('Items sous domaines Sciences '!G231=6,'Items sous domaines Sciences '!D231,0)</f>
        <v>0</v>
      </c>
      <c r="E229" s="8">
        <f>IF('Items sous domaines Sciences '!G231=6,'Items sous domaines Sciences '!E231,0)</f>
        <v>0</v>
      </c>
      <c r="F229" t="e">
        <f>IF('Items sous domaines Sciences '!#REF!=6,'Items sous domaines Sciences '!#REF!,0)</f>
        <v>#REF!</v>
      </c>
    </row>
    <row r="230" spans="1:7" customFormat="1" ht="17.399999999999999" hidden="1" customHeight="1" thickBot="1" x14ac:dyDescent="0.3">
      <c r="A230" s="494"/>
      <c r="B230" s="8">
        <f>IF('Items sous domaines Sciences '!G232=6,'Items sous domaines Sciences '!B232,0)</f>
        <v>0</v>
      </c>
      <c r="C230" s="8">
        <f>IF('Items sous domaines Sciences '!G232=6,'Items sous domaines Sciences '!C232,0)</f>
        <v>0</v>
      </c>
      <c r="D230" s="8">
        <f>IF('Items sous domaines Sciences '!G232=6,'Items sous domaines Sciences '!D232,0)</f>
        <v>0</v>
      </c>
      <c r="E230" s="8">
        <f>IF('Items sous domaines Sciences '!G232=6,'Items sous domaines Sciences '!E232,0)</f>
        <v>0</v>
      </c>
      <c r="F230" t="e">
        <f>IF('Items sous domaines Sciences '!#REF!=6,'Items sous domaines Sciences '!#REF!,0)</f>
        <v>#REF!</v>
      </c>
    </row>
    <row r="231" spans="1:7" customFormat="1" ht="17.399999999999999" hidden="1" customHeight="1" thickBot="1" x14ac:dyDescent="0.3">
      <c r="A231" s="494"/>
      <c r="B231" s="8">
        <f>IF('Items sous domaines Sciences '!G233=6,'Items sous domaines Sciences '!B233,0)</f>
        <v>0</v>
      </c>
      <c r="C231" s="8">
        <f>IF('Items sous domaines Sciences '!G233=6,'Items sous domaines Sciences '!C233,0)</f>
        <v>0</v>
      </c>
      <c r="D231" s="8">
        <f>IF('Items sous domaines Sciences '!G233=6,'Items sous domaines Sciences '!D233,0)</f>
        <v>0</v>
      </c>
      <c r="E231" s="8">
        <f>IF('Items sous domaines Sciences '!G233=6,'Items sous domaines Sciences '!E233,0)</f>
        <v>0</v>
      </c>
      <c r="F231" t="e">
        <f>IF('Items sous domaines Sciences '!#REF!=6,'Items sous domaines Sciences '!#REF!,0)</f>
        <v>#REF!</v>
      </c>
    </row>
    <row r="232" spans="1:7" customFormat="1" ht="17.399999999999999" hidden="1" customHeight="1" thickBot="1" x14ac:dyDescent="0.3">
      <c r="A232" s="494"/>
      <c r="B232" s="8">
        <f>IF('Items sous domaines Sciences '!G234=6,'Items sous domaines Sciences '!B234,0)</f>
        <v>0</v>
      </c>
      <c r="C232" s="8">
        <f>IF('Items sous domaines Sciences '!G234=6,'Items sous domaines Sciences '!C234,0)</f>
        <v>0</v>
      </c>
      <c r="D232" s="8">
        <f>IF('Items sous domaines Sciences '!G234=6,'Items sous domaines Sciences '!D234,0)</f>
        <v>0</v>
      </c>
      <c r="E232" s="8">
        <f>IF('Items sous domaines Sciences '!G234=6,'Items sous domaines Sciences '!E234,0)</f>
        <v>0</v>
      </c>
      <c r="F232" t="e">
        <f>IF('Items sous domaines Sciences '!#REF!=6,'Items sous domaines Sciences '!#REF!,0)</f>
        <v>#REF!</v>
      </c>
    </row>
    <row r="233" spans="1:7" customFormat="1" ht="17.399999999999999" hidden="1" customHeight="1" thickBot="1" x14ac:dyDescent="0.3">
      <c r="A233" s="494"/>
      <c r="B233" s="8">
        <f>IF('Items sous domaines Sciences '!G235=6,'Items sous domaines Sciences '!B235,0)</f>
        <v>0</v>
      </c>
      <c r="C233" s="8">
        <f>IF('Items sous domaines Sciences '!G235=6,'Items sous domaines Sciences '!C235,0)</f>
        <v>0</v>
      </c>
      <c r="D233" s="8">
        <f>IF('Items sous domaines Sciences '!G235=6,'Items sous domaines Sciences '!D235,0)</f>
        <v>0</v>
      </c>
      <c r="E233" s="8">
        <f>IF('Items sous domaines Sciences '!G235=6,'Items sous domaines Sciences '!E235,0)</f>
        <v>0</v>
      </c>
      <c r="F233" t="e">
        <f>IF('Items sous domaines Sciences '!#REF!=6,'Items sous domaines Sciences '!#REF!,0)</f>
        <v>#REF!</v>
      </c>
    </row>
    <row r="234" spans="1:7" customFormat="1" ht="17.399999999999999" hidden="1" customHeight="1" thickBot="1" x14ac:dyDescent="0.3">
      <c r="A234" s="494"/>
      <c r="B234" s="8">
        <f>IF('Items sous domaines Sciences '!G236=6,'Items sous domaines Sciences '!B236,0)</f>
        <v>0</v>
      </c>
      <c r="C234" s="8">
        <f>IF('Items sous domaines Sciences '!G236=6,'Items sous domaines Sciences '!C236,0)</f>
        <v>0</v>
      </c>
      <c r="D234" s="8">
        <f>IF('Items sous domaines Sciences '!G236=6,'Items sous domaines Sciences '!D236,0)</f>
        <v>0</v>
      </c>
      <c r="E234" s="8">
        <f>IF('Items sous domaines Sciences '!G236=6,'Items sous domaines Sciences '!E236,0)</f>
        <v>0</v>
      </c>
      <c r="F234" t="e">
        <f>IF('Items sous domaines Sciences '!#REF!=6,'Items sous domaines Sciences '!#REF!,0)</f>
        <v>#REF!</v>
      </c>
    </row>
    <row r="235" spans="1:7" customFormat="1" ht="17.399999999999999" hidden="1" customHeight="1" thickBot="1" x14ac:dyDescent="0.3">
      <c r="A235" s="494"/>
      <c r="B235" s="8">
        <f>IF('Items sous domaines Sciences '!G237=6,'Items sous domaines Sciences '!B237,0)</f>
        <v>0</v>
      </c>
      <c r="C235" s="8">
        <f>IF('Items sous domaines Sciences '!G237=6,'Items sous domaines Sciences '!C237,0)</f>
        <v>0</v>
      </c>
      <c r="D235" s="8">
        <f>IF('Items sous domaines Sciences '!G237=6,'Items sous domaines Sciences '!D237,0)</f>
        <v>0</v>
      </c>
      <c r="E235" s="8">
        <f>IF('Items sous domaines Sciences '!G237=6,'Items sous domaines Sciences '!E237,0)</f>
        <v>0</v>
      </c>
      <c r="F235" t="e">
        <f>IF('Items sous domaines Sciences '!#REF!=6,'Items sous domaines Sciences '!#REF!,0)</f>
        <v>#REF!</v>
      </c>
    </row>
    <row r="236" spans="1:7" customFormat="1" ht="17.399999999999999" hidden="1" customHeight="1" thickBot="1" x14ac:dyDescent="0.3">
      <c r="A236" s="494"/>
      <c r="B236" s="8">
        <f>IF('Items sous domaines Sciences '!G238=6,'Items sous domaines Sciences '!B238,0)</f>
        <v>0</v>
      </c>
      <c r="C236" s="8">
        <f>IF('Items sous domaines Sciences '!G238=6,'Items sous domaines Sciences '!C238,0)</f>
        <v>0</v>
      </c>
      <c r="D236" s="8">
        <f>IF('Items sous domaines Sciences '!G238=6,'Items sous domaines Sciences '!D238,0)</f>
        <v>0</v>
      </c>
      <c r="E236" s="8">
        <f>IF('Items sous domaines Sciences '!G238=6,'Items sous domaines Sciences '!E238,0)</f>
        <v>0</v>
      </c>
      <c r="F236" t="e">
        <f>IF('Items sous domaines Sciences '!#REF!=6,'Items sous domaines Sciences '!#REF!,0)</f>
        <v>#REF!</v>
      </c>
    </row>
    <row r="237" spans="1:7" customFormat="1" ht="17.399999999999999" hidden="1" customHeight="1" thickBot="1" x14ac:dyDescent="0.3">
      <c r="A237" s="494"/>
      <c r="B237" s="8">
        <f>IF('Items sous domaines Sciences '!G239=6,'Items sous domaines Sciences '!B239,0)</f>
        <v>0</v>
      </c>
      <c r="C237" s="8">
        <f>IF('Items sous domaines Sciences '!G239=6,'Items sous domaines Sciences '!C239,0)</f>
        <v>0</v>
      </c>
      <c r="D237" s="8">
        <f>IF('Items sous domaines Sciences '!G239=6,'Items sous domaines Sciences '!D239,0)</f>
        <v>0</v>
      </c>
      <c r="E237" s="8">
        <f>IF('Items sous domaines Sciences '!G239=6,'Items sous domaines Sciences '!E239,0)</f>
        <v>0</v>
      </c>
      <c r="F237" t="e">
        <f>IF('Items sous domaines Sciences '!#REF!=6,'Items sous domaines Sciences '!#REF!,0)</f>
        <v>#REF!</v>
      </c>
    </row>
    <row r="238" spans="1:7" customFormat="1" ht="17.399999999999999" hidden="1" customHeight="1" thickBot="1" x14ac:dyDescent="0.3">
      <c r="A238" s="494"/>
      <c r="B238" s="8">
        <f>IF('Items sous domaines Sciences '!G240=6,'Items sous domaines Sciences '!B240,0)</f>
        <v>0</v>
      </c>
      <c r="C238" s="8">
        <f>IF('Items sous domaines Sciences '!G240=6,'Items sous domaines Sciences '!C240,0)</f>
        <v>0</v>
      </c>
      <c r="D238" s="8">
        <f>IF('Items sous domaines Sciences '!G240=6,'Items sous domaines Sciences '!D240,0)</f>
        <v>0</v>
      </c>
      <c r="E238" s="8">
        <f>IF('Items sous domaines Sciences '!G240=6,'Items sous domaines Sciences '!E240,0)</f>
        <v>0</v>
      </c>
      <c r="F238" t="e">
        <f>IF('Items sous domaines Sciences '!#REF!=6,'Items sous domaines Sciences '!#REF!,0)</f>
        <v>#REF!</v>
      </c>
    </row>
    <row r="239" spans="1:7" customFormat="1" ht="17.399999999999999" hidden="1" customHeight="1" thickBot="1" x14ac:dyDescent="0.3">
      <c r="A239" s="494"/>
      <c r="B239" s="8">
        <f>IF('Items sous domaines Sciences '!G241=6,'Items sous domaines Sciences '!B241,0)</f>
        <v>0</v>
      </c>
      <c r="C239" s="8">
        <f>IF('Items sous domaines Sciences '!G241=6,'Items sous domaines Sciences '!C241,0)</f>
        <v>0</v>
      </c>
      <c r="D239" s="8">
        <f>IF('Items sous domaines Sciences '!G241=6,'Items sous domaines Sciences '!D241,0)</f>
        <v>0</v>
      </c>
      <c r="E239" s="8">
        <f>IF('Items sous domaines Sciences '!G241=6,'Items sous domaines Sciences '!E241,0)</f>
        <v>0</v>
      </c>
      <c r="F239" t="e">
        <f>IF('Items sous domaines Sciences '!#REF!=6,'Items sous domaines Sciences '!#REF!,0)</f>
        <v>#REF!</v>
      </c>
    </row>
    <row r="240" spans="1:7" customFormat="1" ht="17.399999999999999" hidden="1" customHeight="1" thickBot="1" x14ac:dyDescent="0.3">
      <c r="A240" s="494"/>
      <c r="B240" s="8">
        <f>IF('Items sous domaines Sciences '!G242=6,'Items sous domaines Sciences '!B242,0)</f>
        <v>0</v>
      </c>
      <c r="C240" s="8">
        <f>IF('Items sous domaines Sciences '!G242=6,'Items sous domaines Sciences '!C242,0)</f>
        <v>0</v>
      </c>
      <c r="D240" s="8">
        <f>IF('Items sous domaines Sciences '!G242=6,'Items sous domaines Sciences '!D242,0)</f>
        <v>0</v>
      </c>
      <c r="E240" s="8">
        <f>IF('Items sous domaines Sciences '!G242=6,'Items sous domaines Sciences '!E242,0)</f>
        <v>0</v>
      </c>
      <c r="F240" t="e">
        <f>IF('Items sous domaines Sciences '!#REF!=6,'Items sous domaines Sciences '!#REF!,0)</f>
        <v>#REF!</v>
      </c>
    </row>
    <row r="241" spans="1:7" customFormat="1" ht="17.399999999999999" hidden="1" customHeight="1" thickBot="1" x14ac:dyDescent="0.3">
      <c r="A241" s="494"/>
      <c r="B241" s="8">
        <f>IF('Items sous domaines Sciences '!G243=6,'Items sous domaines Sciences '!B243,0)</f>
        <v>0</v>
      </c>
      <c r="C241" s="8">
        <f>IF('Items sous domaines Sciences '!G243=6,'Items sous domaines Sciences '!C243,0)</f>
        <v>0</v>
      </c>
      <c r="D241" s="8">
        <f>IF('Items sous domaines Sciences '!G243=6,'Items sous domaines Sciences '!D243,0)</f>
        <v>0</v>
      </c>
      <c r="E241" s="8">
        <f>IF('Items sous domaines Sciences '!G243=6,'Items sous domaines Sciences '!E243,0)</f>
        <v>0</v>
      </c>
      <c r="F241" t="e">
        <f>IF('Items sous domaines Sciences '!#REF!=6,'Items sous domaines Sciences '!#REF!,0)</f>
        <v>#REF!</v>
      </c>
    </row>
    <row r="242" spans="1:7" customFormat="1" ht="17.399999999999999" hidden="1" customHeight="1" thickBot="1" x14ac:dyDescent="0.3">
      <c r="A242" s="494"/>
      <c r="B242" s="8">
        <f>IF('Items sous domaines Sciences '!G244=6,'Items sous domaines Sciences '!B244,0)</f>
        <v>0</v>
      </c>
      <c r="C242" s="8">
        <f>IF('Items sous domaines Sciences '!G244=6,'Items sous domaines Sciences '!C244,0)</f>
        <v>0</v>
      </c>
      <c r="D242" s="8">
        <f>IF('Items sous domaines Sciences '!G244=6,'Items sous domaines Sciences '!D244,0)</f>
        <v>0</v>
      </c>
      <c r="E242" s="8">
        <f>IF('Items sous domaines Sciences '!G244=6,'Items sous domaines Sciences '!E244,0)</f>
        <v>0</v>
      </c>
      <c r="F242" t="e">
        <f>IF('Items sous domaines Sciences '!#REF!=6,'Items sous domaines Sciences '!#REF!,0)</f>
        <v>#REF!</v>
      </c>
    </row>
    <row r="243" spans="1:7" customFormat="1" ht="17.399999999999999" hidden="1" customHeight="1" thickBot="1" x14ac:dyDescent="0.3">
      <c r="A243" s="494"/>
      <c r="B243" s="8">
        <f>IF('Items sous domaines Sciences '!G245=6,'Items sous domaines Sciences '!B245,0)</f>
        <v>0</v>
      </c>
      <c r="C243" s="8">
        <f>IF('Items sous domaines Sciences '!G245=6,'Items sous domaines Sciences '!C245,0)</f>
        <v>0</v>
      </c>
      <c r="D243" s="8">
        <f>IF('Items sous domaines Sciences '!G245=6,'Items sous domaines Sciences '!D245,0)</f>
        <v>0</v>
      </c>
      <c r="E243" s="8">
        <f>IF('Items sous domaines Sciences '!G245=6,'Items sous domaines Sciences '!E245,0)</f>
        <v>0</v>
      </c>
      <c r="F243" s="339" t="s">
        <v>488</v>
      </c>
      <c r="G243" s="17"/>
    </row>
    <row r="244" spans="1:7" customFormat="1" ht="26.25" hidden="1" customHeight="1" thickBot="1" x14ac:dyDescent="0.3">
      <c r="A244" s="494"/>
      <c r="B244" s="8">
        <f>IF('Items sous domaines Sciences '!G246=6,'Items sous domaines Sciences '!B246,0)</f>
        <v>0</v>
      </c>
      <c r="C244" s="8">
        <f>IF('Items sous domaines Sciences '!G246=6,'Items sous domaines Sciences '!C246,0)</f>
        <v>0</v>
      </c>
      <c r="D244" s="8">
        <f>IF('Items sous domaines Sciences '!G246=6,'Items sous domaines Sciences '!D246,0)</f>
        <v>0</v>
      </c>
      <c r="E244" s="8">
        <f>IF('Items sous domaines Sciences '!G246=6,'Items sous domaines Sciences '!E246,0)</f>
        <v>0</v>
      </c>
      <c r="F244" s="341"/>
      <c r="G244" s="24" t="s">
        <v>489</v>
      </c>
    </row>
    <row r="245" spans="1:7" customFormat="1" ht="13.5" hidden="1" customHeight="1" thickBot="1" x14ac:dyDescent="0.3">
      <c r="A245" s="494"/>
      <c r="B245" s="8">
        <f>IF('Items sous domaines Sciences '!G247=6,'Items sous domaines Sciences '!B247,0)</f>
        <v>0</v>
      </c>
      <c r="C245" s="8">
        <f>IF('Items sous domaines Sciences '!G247=6,'Items sous domaines Sciences '!C247,0)</f>
        <v>0</v>
      </c>
      <c r="D245" s="8">
        <f>IF('Items sous domaines Sciences '!G247=6,'Items sous domaines Sciences '!D247,0)</f>
        <v>0</v>
      </c>
      <c r="E245" s="8">
        <f>IF('Items sous domaines Sciences '!G247=6,'Items sous domaines Sciences '!E247,0)</f>
        <v>0</v>
      </c>
      <c r="F245" s="411"/>
    </row>
    <row r="246" spans="1:7" customFormat="1" ht="13.5" hidden="1" customHeight="1" thickBot="1" x14ac:dyDescent="0.3">
      <c r="A246" s="494"/>
      <c r="B246" s="8">
        <f>IF('Items sous domaines Sciences '!G248=6,'Items sous domaines Sciences '!B248,0)</f>
        <v>0</v>
      </c>
      <c r="C246" s="8">
        <f>IF('Items sous domaines Sciences '!G248=6,'Items sous domaines Sciences '!C248,0)</f>
        <v>0</v>
      </c>
      <c r="D246" s="8">
        <f>IF('Items sous domaines Sciences '!G248=6,'Items sous domaines Sciences '!D248,0)</f>
        <v>0</v>
      </c>
      <c r="E246" s="8">
        <f>IF('Items sous domaines Sciences '!G248=6,'Items sous domaines Sciences '!E248,0)</f>
        <v>0</v>
      </c>
      <c r="F246" s="411"/>
    </row>
    <row r="247" spans="1:7" customFormat="1" ht="13.5" hidden="1" customHeight="1" thickBot="1" x14ac:dyDescent="0.3">
      <c r="A247" s="494"/>
      <c r="B247" s="8">
        <f>IF('Items sous domaines Sciences '!G249=6,'Items sous domaines Sciences '!B249,0)</f>
        <v>0</v>
      </c>
      <c r="C247" s="8">
        <f>IF('Items sous domaines Sciences '!G249=6,'Items sous domaines Sciences '!C249,0)</f>
        <v>0</v>
      </c>
      <c r="D247" s="8">
        <f>IF('Items sous domaines Sciences '!G249=6,'Items sous domaines Sciences '!D249,0)</f>
        <v>0</v>
      </c>
      <c r="E247" s="8">
        <f>IF('Items sous domaines Sciences '!G249=6,'Items sous domaines Sciences '!E249,0)</f>
        <v>0</v>
      </c>
      <c r="F247" s="505"/>
      <c r="G247" s="17"/>
    </row>
    <row r="248" spans="1:7" customFormat="1" ht="13.5" hidden="1" customHeight="1" thickBot="1" x14ac:dyDescent="0.3">
      <c r="A248" s="494"/>
      <c r="B248" s="8">
        <f>IF('Items sous domaines Sciences '!G250=6,'Items sous domaines Sciences '!B250,0)</f>
        <v>0</v>
      </c>
      <c r="C248" s="8">
        <f>IF('Items sous domaines Sciences '!G250=6,'Items sous domaines Sciences '!C250,0)</f>
        <v>0</v>
      </c>
      <c r="D248" s="8">
        <f>IF('Items sous domaines Sciences '!G250=6,'Items sous domaines Sciences '!D250,0)</f>
        <v>0</v>
      </c>
      <c r="E248" s="8">
        <f>IF('Items sous domaines Sciences '!G250=6,'Items sous domaines Sciences '!E250,0)</f>
        <v>0</v>
      </c>
      <c r="F248" t="e">
        <f>IF('Items sous domaines Sciences '!#REF!=6,'Items sous domaines Sciences '!#REF!,0)</f>
        <v>#REF!</v>
      </c>
    </row>
    <row r="249" spans="1:7" customFormat="1" ht="13.5" hidden="1" customHeight="1" thickBot="1" x14ac:dyDescent="0.3">
      <c r="A249" s="494"/>
      <c r="B249" s="8">
        <f>IF('Items sous domaines Sciences '!G251=6,'Items sous domaines Sciences '!B251,0)</f>
        <v>0</v>
      </c>
      <c r="C249" s="8">
        <f>IF('Items sous domaines Sciences '!G251=6,'Items sous domaines Sciences '!C251,0)</f>
        <v>0</v>
      </c>
      <c r="D249" s="8">
        <f>IF('Items sous domaines Sciences '!G251=6,'Items sous domaines Sciences '!D251,0)</f>
        <v>0</v>
      </c>
      <c r="E249" s="8">
        <f>IF('Items sous domaines Sciences '!G251=6,'Items sous domaines Sciences '!E251,0)</f>
        <v>0</v>
      </c>
      <c r="F249" t="e">
        <f>IF('Items sous domaines Sciences '!#REF!=6,'Items sous domaines Sciences '!#REF!,0)</f>
        <v>#REF!</v>
      </c>
    </row>
    <row r="250" spans="1:7" customFormat="1" ht="13.5" hidden="1" customHeight="1" thickBot="1" x14ac:dyDescent="0.3">
      <c r="A250" s="494"/>
      <c r="B250" s="8">
        <f>IF('Items sous domaines Sciences '!G252=6,'Items sous domaines Sciences '!B252,0)</f>
        <v>0</v>
      </c>
      <c r="C250" s="8">
        <f>IF('Items sous domaines Sciences '!G252=6,'Items sous domaines Sciences '!C252,0)</f>
        <v>0</v>
      </c>
      <c r="D250" s="8">
        <f>IF('Items sous domaines Sciences '!G252=6,'Items sous domaines Sciences '!D252,0)</f>
        <v>0</v>
      </c>
      <c r="E250" s="8">
        <f>IF('Items sous domaines Sciences '!G252=6,'Items sous domaines Sciences '!E252,0)</f>
        <v>0</v>
      </c>
      <c r="F250" t="e">
        <f>IF('Items sous domaines Sciences '!#REF!=6,'Items sous domaines Sciences '!#REF!,0)</f>
        <v>#REF!</v>
      </c>
    </row>
    <row r="251" spans="1:7" customFormat="1" ht="13.5" hidden="1" customHeight="1" thickBot="1" x14ac:dyDescent="0.3">
      <c r="A251" s="494"/>
      <c r="B251" s="8">
        <f>IF('Items sous domaines Sciences '!G253=6,'Items sous domaines Sciences '!B253,0)</f>
        <v>0</v>
      </c>
      <c r="C251" s="8">
        <f>IF('Items sous domaines Sciences '!G253=6,'Items sous domaines Sciences '!C253,0)</f>
        <v>0</v>
      </c>
      <c r="D251" s="8">
        <f>IF('Items sous domaines Sciences '!G253=6,'Items sous domaines Sciences '!D253,0)</f>
        <v>0</v>
      </c>
      <c r="E251" s="8">
        <f>IF('Items sous domaines Sciences '!G253=6,'Items sous domaines Sciences '!E253,0)</f>
        <v>0</v>
      </c>
      <c r="F251" t="e">
        <f>IF('Items sous domaines Sciences '!#REF!=6,'Items sous domaines Sciences '!#REF!,0)</f>
        <v>#REF!</v>
      </c>
    </row>
    <row r="252" spans="1:7" customFormat="1" ht="13.5" hidden="1" customHeight="1" thickBot="1" x14ac:dyDescent="0.3">
      <c r="A252" s="494"/>
      <c r="B252" s="8">
        <f>IF('Items sous domaines Sciences '!G254=6,'Items sous domaines Sciences '!B254,0)</f>
        <v>0</v>
      </c>
      <c r="C252" s="8">
        <f>IF('Items sous domaines Sciences '!G254=6,'Items sous domaines Sciences '!C254,0)</f>
        <v>0</v>
      </c>
      <c r="D252" s="8">
        <f>IF('Items sous domaines Sciences '!G254=6,'Items sous domaines Sciences '!D254,0)</f>
        <v>0</v>
      </c>
      <c r="E252" s="8">
        <f>IF('Items sous domaines Sciences '!G254=6,'Items sous domaines Sciences '!E254,0)</f>
        <v>0</v>
      </c>
      <c r="F252" t="e">
        <f>IF('Items sous domaines Sciences '!#REF!=6,'Items sous domaines Sciences '!#REF!,0)</f>
        <v>#REF!</v>
      </c>
    </row>
    <row r="253" spans="1:7" customFormat="1" ht="13.5" hidden="1" customHeight="1" thickBot="1" x14ac:dyDescent="0.3">
      <c r="A253" s="494"/>
      <c r="B253" s="8">
        <f>IF('Items sous domaines Sciences '!G255=6,'Items sous domaines Sciences '!B255,0)</f>
        <v>0</v>
      </c>
      <c r="C253" s="8">
        <f>IF('Items sous domaines Sciences '!G255=6,'Items sous domaines Sciences '!C255,0)</f>
        <v>0</v>
      </c>
      <c r="D253" s="8">
        <f>IF('Items sous domaines Sciences '!G255=6,'Items sous domaines Sciences '!D255,0)</f>
        <v>0</v>
      </c>
      <c r="E253" s="8">
        <f>IF('Items sous domaines Sciences '!G255=6,'Items sous domaines Sciences '!E255,0)</f>
        <v>0</v>
      </c>
      <c r="F253" t="e">
        <f>IF('Items sous domaines Sciences '!#REF!=6,'Items sous domaines Sciences '!#REF!,0)</f>
        <v>#REF!</v>
      </c>
    </row>
    <row r="254" spans="1:7" customFormat="1" ht="13.5" hidden="1" customHeight="1" thickBot="1" x14ac:dyDescent="0.3">
      <c r="A254" s="494"/>
      <c r="B254" s="8">
        <f>IF('Items sous domaines Sciences '!G256=6,'Items sous domaines Sciences '!B256,0)</f>
        <v>0</v>
      </c>
      <c r="C254" s="8">
        <f>IF('Items sous domaines Sciences '!G256=6,'Items sous domaines Sciences '!C256,0)</f>
        <v>0</v>
      </c>
      <c r="D254" s="8">
        <f>IF('Items sous domaines Sciences '!G256=6,'Items sous domaines Sciences '!D256,0)</f>
        <v>0</v>
      </c>
      <c r="E254" s="8">
        <f>IF('Items sous domaines Sciences '!G256=6,'Items sous domaines Sciences '!E256,0)</f>
        <v>0</v>
      </c>
      <c r="F254" t="e">
        <f>IF('Items sous domaines Sciences '!#REF!=6,'Items sous domaines Sciences '!#REF!,0)</f>
        <v>#REF!</v>
      </c>
    </row>
    <row r="255" spans="1:7" customFormat="1" ht="13.5" hidden="1" customHeight="1" thickBot="1" x14ac:dyDescent="0.3">
      <c r="A255" s="494"/>
      <c r="B255" s="8">
        <f>IF('Items sous domaines Sciences '!G257=6,'Items sous domaines Sciences '!B257,0)</f>
        <v>0</v>
      </c>
      <c r="C255" s="8">
        <f>IF('Items sous domaines Sciences '!G257=6,'Items sous domaines Sciences '!C257,0)</f>
        <v>0</v>
      </c>
      <c r="D255" s="8">
        <f>IF('Items sous domaines Sciences '!G257=6,'Items sous domaines Sciences '!D257,0)</f>
        <v>0</v>
      </c>
      <c r="E255" s="8">
        <f>IF('Items sous domaines Sciences '!G257=6,'Items sous domaines Sciences '!E257,0)</f>
        <v>0</v>
      </c>
      <c r="F255" t="e">
        <f>IF('Items sous domaines Sciences '!#REF!=6,'Items sous domaines Sciences '!#REF!,0)</f>
        <v>#REF!</v>
      </c>
    </row>
    <row r="256" spans="1:7" customFormat="1" ht="12.75" hidden="1" customHeight="1" thickBot="1" x14ac:dyDescent="0.3">
      <c r="A256" s="494"/>
      <c r="B256" s="8">
        <f>IF('Items sous domaines Sciences '!G258=6,'Items sous domaines Sciences '!B258,0)</f>
        <v>0</v>
      </c>
      <c r="C256" s="8">
        <f>IF('Items sous domaines Sciences '!G258=6,'Items sous domaines Sciences '!C258,0)</f>
        <v>0</v>
      </c>
      <c r="D256" s="8">
        <f>IF('Items sous domaines Sciences '!G258=6,'Items sous domaines Sciences '!D258,0)</f>
        <v>0</v>
      </c>
      <c r="E256" s="8">
        <f>IF('Items sous domaines Sciences '!G258=6,'Items sous domaines Sciences '!E258,0)</f>
        <v>0</v>
      </c>
      <c r="F256" t="e">
        <f>IF('Items sous domaines Sciences '!#REF!=6,'Items sous domaines Sciences '!#REF!,0)</f>
        <v>#REF!</v>
      </c>
    </row>
    <row r="257" spans="1:7" customFormat="1" ht="16.95" hidden="1" customHeight="1" thickBot="1" x14ac:dyDescent="0.3">
      <c r="A257" s="494"/>
      <c r="B257" s="8">
        <f>IF('Items sous domaines Sciences '!G259=6,'Items sous domaines Sciences '!B259,0)</f>
        <v>0</v>
      </c>
      <c r="C257" s="8">
        <f>IF('Items sous domaines Sciences '!G259=6,'Items sous domaines Sciences '!C259,0)</f>
        <v>0</v>
      </c>
      <c r="D257" s="8">
        <f>IF('Items sous domaines Sciences '!G259=6,'Items sous domaines Sciences '!D259,0)</f>
        <v>0</v>
      </c>
      <c r="E257" s="8">
        <f>IF('Items sous domaines Sciences '!G259=6,'Items sous domaines Sciences '!E259,0)</f>
        <v>0</v>
      </c>
      <c r="F257" t="e">
        <f>IF('Items sous domaines Sciences '!#REF!=6,'Items sous domaines Sciences '!#REF!,0)</f>
        <v>#REF!</v>
      </c>
    </row>
    <row r="258" spans="1:7" customFormat="1" ht="13.5" hidden="1" customHeight="1" thickBot="1" x14ac:dyDescent="0.3">
      <c r="A258" s="494"/>
      <c r="B258" s="8">
        <f>IF('Items sous domaines Sciences '!G260=6,'Items sous domaines Sciences '!B260,0)</f>
        <v>0</v>
      </c>
      <c r="C258" s="8">
        <f>IF('Items sous domaines Sciences '!G260=6,'Items sous domaines Sciences '!C260,0)</f>
        <v>0</v>
      </c>
      <c r="D258" s="8">
        <f>IF('Items sous domaines Sciences '!G260=6,'Items sous domaines Sciences '!D260,0)</f>
        <v>0</v>
      </c>
      <c r="E258" s="8">
        <f>IF('Items sous domaines Sciences '!G260=6,'Items sous domaines Sciences '!E260,0)</f>
        <v>0</v>
      </c>
      <c r="F258" t="e">
        <f>IF('Items sous domaines Sciences '!#REF!=6,'Items sous domaines Sciences '!#REF!,0)</f>
        <v>#REF!</v>
      </c>
    </row>
    <row r="259" spans="1:7" customFormat="1" ht="13.5" hidden="1" customHeight="1" thickBot="1" x14ac:dyDescent="0.3">
      <c r="A259" s="494"/>
      <c r="B259" s="8">
        <f>IF('Items sous domaines Sciences '!G261=6,'Items sous domaines Sciences '!B261,0)</f>
        <v>0</v>
      </c>
      <c r="C259" s="8">
        <f>IF('Items sous domaines Sciences '!G261=6,'Items sous domaines Sciences '!C261,0)</f>
        <v>0</v>
      </c>
      <c r="D259" s="8">
        <f>IF('Items sous domaines Sciences '!G261=6,'Items sous domaines Sciences '!D261,0)</f>
        <v>0</v>
      </c>
      <c r="E259" s="8">
        <f>IF('Items sous domaines Sciences '!G261=6,'Items sous domaines Sciences '!E261,0)</f>
        <v>0</v>
      </c>
      <c r="F259" t="e">
        <f>IF('Items sous domaines Sciences '!#REF!=6,'Items sous domaines Sciences '!#REF!,0)</f>
        <v>#REF!</v>
      </c>
    </row>
    <row r="260" spans="1:7" customFormat="1" ht="13.5" hidden="1" customHeight="1" thickBot="1" x14ac:dyDescent="0.3">
      <c r="A260" s="494"/>
      <c r="B260" s="8">
        <f>IF('Items sous domaines Sciences '!G262=6,'Items sous domaines Sciences '!B262,0)</f>
        <v>0</v>
      </c>
      <c r="C260" s="8">
        <f>IF('Items sous domaines Sciences '!G262=6,'Items sous domaines Sciences '!C262,0)</f>
        <v>0</v>
      </c>
      <c r="D260" s="8">
        <f>IF('Items sous domaines Sciences '!G262=6,'Items sous domaines Sciences '!D262,0)</f>
        <v>0</v>
      </c>
      <c r="E260" s="8">
        <f>IF('Items sous domaines Sciences '!G262=6,'Items sous domaines Sciences '!E262,0)</f>
        <v>0</v>
      </c>
      <c r="F260" t="e">
        <f>IF('Items sous domaines Sciences '!#REF!=6,'Items sous domaines Sciences '!#REF!,0)</f>
        <v>#REF!</v>
      </c>
    </row>
    <row r="261" spans="1:7" customFormat="1" ht="13.5" hidden="1" customHeight="1" thickBot="1" x14ac:dyDescent="0.3">
      <c r="A261" s="494"/>
      <c r="B261" s="8">
        <f>IF('Items sous domaines Sciences '!G263=6,'Items sous domaines Sciences '!B263,0)</f>
        <v>0</v>
      </c>
      <c r="C261" s="8">
        <f>IF('Items sous domaines Sciences '!G263=6,'Items sous domaines Sciences '!C263,0)</f>
        <v>0</v>
      </c>
      <c r="D261" s="8">
        <f>IF('Items sous domaines Sciences '!G263=6,'Items sous domaines Sciences '!D263,0)</f>
        <v>0</v>
      </c>
      <c r="E261" s="8">
        <f>IF('Items sous domaines Sciences '!G263=6,'Items sous domaines Sciences '!E263,0)</f>
        <v>0</v>
      </c>
      <c r="F261" s="339" t="s">
        <v>486</v>
      </c>
      <c r="G261" s="17"/>
    </row>
    <row r="262" spans="1:7" customFormat="1" ht="39" hidden="1" customHeight="1" thickBot="1" x14ac:dyDescent="0.3">
      <c r="A262" s="494"/>
      <c r="B262" s="8">
        <f>IF('Items sous domaines Sciences '!G264=6,'Items sous domaines Sciences '!B264,0)</f>
        <v>0</v>
      </c>
      <c r="C262" s="8">
        <f>IF('Items sous domaines Sciences '!G264=6,'Items sous domaines Sciences '!C264,0)</f>
        <v>0</v>
      </c>
      <c r="D262" s="8">
        <f>IF('Items sous domaines Sciences '!G264=6,'Items sous domaines Sciences '!D264,0)</f>
        <v>0</v>
      </c>
      <c r="E262" s="8">
        <f>IF('Items sous domaines Sciences '!G264=6,'Items sous domaines Sciences '!E264,0)</f>
        <v>0</v>
      </c>
      <c r="F262" s="340"/>
      <c r="G262" s="17" t="s">
        <v>447</v>
      </c>
    </row>
    <row r="263" spans="1:7" customFormat="1" ht="13.5" hidden="1" customHeight="1" thickBot="1" x14ac:dyDescent="0.3">
      <c r="A263" s="494"/>
      <c r="B263" s="8">
        <f>IF('Items sous domaines Sciences '!G265=6,'Items sous domaines Sciences '!B265,0)</f>
        <v>0</v>
      </c>
      <c r="C263" s="8">
        <f>IF('Items sous domaines Sciences '!G265=6,'Items sous domaines Sciences '!C265,0)</f>
        <v>0</v>
      </c>
      <c r="D263" s="8">
        <f>IF('Items sous domaines Sciences '!G265=6,'Items sous domaines Sciences '!D265,0)</f>
        <v>0</v>
      </c>
      <c r="E263" s="8">
        <f>IF('Items sous domaines Sciences '!G265=6,'Items sous domaines Sciences '!E265,0)</f>
        <v>0</v>
      </c>
      <c r="F263" s="340"/>
      <c r="G263" s="17"/>
    </row>
    <row r="264" spans="1:7" customFormat="1" ht="13.5" hidden="1" customHeight="1" thickBot="1" x14ac:dyDescent="0.3">
      <c r="A264" s="494"/>
      <c r="B264" s="8">
        <f>IF('Items sous domaines Sciences '!G266=6,'Items sous domaines Sciences '!B266,0)</f>
        <v>0</v>
      </c>
      <c r="C264" s="8">
        <f>IF('Items sous domaines Sciences '!G266=6,'Items sous domaines Sciences '!C266,0)</f>
        <v>0</v>
      </c>
      <c r="D264" s="8">
        <f>IF('Items sous domaines Sciences '!G266=6,'Items sous domaines Sciences '!D266,0)</f>
        <v>0</v>
      </c>
      <c r="E264" s="8">
        <f>IF('Items sous domaines Sciences '!G266=6,'Items sous domaines Sciences '!E266,0)</f>
        <v>0</v>
      </c>
      <c r="F264" s="340"/>
      <c r="G264" s="17"/>
    </row>
    <row r="265" spans="1:7" customFormat="1" ht="13.5" hidden="1" customHeight="1" thickBot="1" x14ac:dyDescent="0.3">
      <c r="A265" s="494"/>
      <c r="B265" s="8">
        <f>IF('Items sous domaines Sciences '!G267=6,'Items sous domaines Sciences '!B267,0)</f>
        <v>0</v>
      </c>
      <c r="C265" s="8">
        <f>IF('Items sous domaines Sciences '!G267=6,'Items sous domaines Sciences '!C267,0)</f>
        <v>0</v>
      </c>
      <c r="D265" s="8">
        <f>IF('Items sous domaines Sciences '!G267=6,'Items sous domaines Sciences '!D267,0)</f>
        <v>0</v>
      </c>
      <c r="E265" s="8">
        <f>IF('Items sous domaines Sciences '!G267=6,'Items sous domaines Sciences '!E267,0)</f>
        <v>0</v>
      </c>
      <c r="F265" s="340"/>
      <c r="G265" s="17"/>
    </row>
    <row r="266" spans="1:7" customFormat="1" ht="13.5" hidden="1" customHeight="1" thickBot="1" x14ac:dyDescent="0.3">
      <c r="A266" s="494"/>
      <c r="B266" s="8">
        <f>IF('Items sous domaines Sciences '!G268=6,'Items sous domaines Sciences '!B268,0)</f>
        <v>0</v>
      </c>
      <c r="C266" s="8">
        <f>IF('Items sous domaines Sciences '!G268=6,'Items sous domaines Sciences '!C268,0)</f>
        <v>0</v>
      </c>
      <c r="D266" s="8">
        <f>IF('Items sous domaines Sciences '!G268=6,'Items sous domaines Sciences '!D268,0)</f>
        <v>0</v>
      </c>
      <c r="E266" s="8">
        <f>IF('Items sous domaines Sciences '!G268=6,'Items sous domaines Sciences '!E268,0)</f>
        <v>0</v>
      </c>
      <c r="F266" s="341"/>
      <c r="G266" s="17"/>
    </row>
    <row r="267" spans="1:7" customFormat="1" ht="13.5" hidden="1" customHeight="1" thickBot="1" x14ac:dyDescent="0.3">
      <c r="A267" s="494"/>
      <c r="B267" s="8">
        <f>IF('Items sous domaines Sciences '!G269=6,'Items sous domaines Sciences '!B269,0)</f>
        <v>0</v>
      </c>
      <c r="C267" s="8">
        <f>IF('Items sous domaines Sciences '!G269=6,'Items sous domaines Sciences '!C269,0)</f>
        <v>0</v>
      </c>
      <c r="D267" s="8">
        <f>IF('Items sous domaines Sciences '!G269=6,'Items sous domaines Sciences '!D269,0)</f>
        <v>0</v>
      </c>
      <c r="E267" s="8">
        <f>IF('Items sous domaines Sciences '!G269=6,'Items sous domaines Sciences '!E269,0)</f>
        <v>0</v>
      </c>
      <c r="F267" s="411"/>
    </row>
    <row r="268" spans="1:7" customFormat="1" ht="13.5" hidden="1" customHeight="1" thickBot="1" x14ac:dyDescent="0.3">
      <c r="A268" s="494"/>
      <c r="B268" s="8">
        <f>IF('Items sous domaines Sciences '!G270=6,'Items sous domaines Sciences '!B270,0)</f>
        <v>0</v>
      </c>
      <c r="C268" s="8">
        <f>IF('Items sous domaines Sciences '!G270=6,'Items sous domaines Sciences '!C270,0)</f>
        <v>0</v>
      </c>
      <c r="D268" s="8">
        <f>IF('Items sous domaines Sciences '!G270=6,'Items sous domaines Sciences '!D270,0)</f>
        <v>0</v>
      </c>
      <c r="E268" s="8">
        <f>IF('Items sous domaines Sciences '!G270=6,'Items sous domaines Sciences '!E270,0)</f>
        <v>0</v>
      </c>
      <c r="F268" s="411"/>
    </row>
    <row r="269" spans="1:7" customFormat="1" ht="13.5" hidden="1" customHeight="1" thickBot="1" x14ac:dyDescent="0.3">
      <c r="A269" s="494"/>
      <c r="B269" s="8">
        <f>IF('Items sous domaines Sciences '!G271=6,'Items sous domaines Sciences '!B271,0)</f>
        <v>0</v>
      </c>
      <c r="C269" s="8">
        <f>IF('Items sous domaines Sciences '!G271=6,'Items sous domaines Sciences '!C271,0)</f>
        <v>0</v>
      </c>
      <c r="D269" s="8">
        <f>IF('Items sous domaines Sciences '!G271=6,'Items sous domaines Sciences '!D271,0)</f>
        <v>0</v>
      </c>
      <c r="E269" s="8">
        <f>IF('Items sous domaines Sciences '!G271=6,'Items sous domaines Sciences '!E271,0)</f>
        <v>0</v>
      </c>
      <c r="F269" s="411"/>
    </row>
    <row r="270" spans="1:7" customFormat="1" ht="13.5" hidden="1" customHeight="1" thickBot="1" x14ac:dyDescent="0.3">
      <c r="A270" s="494"/>
      <c r="B270" s="8">
        <f>IF('Items sous domaines Sciences '!G272=6,'Items sous domaines Sciences '!B272,0)</f>
        <v>0</v>
      </c>
      <c r="C270" s="8">
        <f>IF('Items sous domaines Sciences '!G272=6,'Items sous domaines Sciences '!C272,0)</f>
        <v>0</v>
      </c>
      <c r="D270" s="8">
        <f>IF('Items sous domaines Sciences '!G272=6,'Items sous domaines Sciences '!D272,0)</f>
        <v>0</v>
      </c>
      <c r="E270" s="8">
        <f>IF('Items sous domaines Sciences '!G272=6,'Items sous domaines Sciences '!E272,0)</f>
        <v>0</v>
      </c>
      <c r="F270" s="411"/>
    </row>
    <row r="271" spans="1:7" customFormat="1" ht="13.5" hidden="1" customHeight="1" thickBot="1" x14ac:dyDescent="0.3">
      <c r="A271" s="494"/>
      <c r="B271" s="8">
        <f>IF('Items sous domaines Sciences '!G273=6,'Items sous domaines Sciences '!B273,0)</f>
        <v>0</v>
      </c>
      <c r="C271" s="8">
        <f>IF('Items sous domaines Sciences '!G273=6,'Items sous domaines Sciences '!C273,0)</f>
        <v>0</v>
      </c>
      <c r="D271" s="8">
        <f>IF('Items sous domaines Sciences '!G273=6,'Items sous domaines Sciences '!D273,0)</f>
        <v>0</v>
      </c>
      <c r="E271" s="8">
        <f>IF('Items sous domaines Sciences '!G273=6,'Items sous domaines Sciences '!E273,0)</f>
        <v>0</v>
      </c>
      <c r="F271" s="339"/>
      <c r="G271" s="17"/>
    </row>
    <row r="272" spans="1:7" customFormat="1" ht="13.5" hidden="1" customHeight="1" thickBot="1" x14ac:dyDescent="0.3">
      <c r="A272" s="494"/>
      <c r="B272" s="8">
        <f>IF('Items sous domaines Sciences '!G274=6,'Items sous domaines Sciences '!B274,0)</f>
        <v>0</v>
      </c>
      <c r="C272" s="8">
        <f>IF('Items sous domaines Sciences '!G274=6,'Items sous domaines Sciences '!C274,0)</f>
        <v>0</v>
      </c>
      <c r="D272" s="8">
        <f>IF('Items sous domaines Sciences '!G274=6,'Items sous domaines Sciences '!D274,0)</f>
        <v>0</v>
      </c>
      <c r="E272" s="8">
        <f>IF('Items sous domaines Sciences '!G274=6,'Items sous domaines Sciences '!E274,0)</f>
        <v>0</v>
      </c>
      <c r="F272" s="341"/>
      <c r="G272" s="17"/>
    </row>
    <row r="273" spans="1:7" customFormat="1" ht="13.5" hidden="1" customHeight="1" thickBot="1" x14ac:dyDescent="0.3">
      <c r="A273" s="494"/>
      <c r="B273" s="8">
        <f>IF('Items sous domaines Sciences '!G275=6,'Items sous domaines Sciences '!B275,0)</f>
        <v>0</v>
      </c>
      <c r="C273" s="8">
        <f>IF('Items sous domaines Sciences '!G275=6,'Items sous domaines Sciences '!C275,0)</f>
        <v>0</v>
      </c>
      <c r="D273" s="8">
        <f>IF('Items sous domaines Sciences '!G275=6,'Items sous domaines Sciences '!D275,0)</f>
        <v>0</v>
      </c>
      <c r="E273" s="8">
        <f>IF('Items sous domaines Sciences '!G275=6,'Items sous domaines Sciences '!E275,0)</f>
        <v>0</v>
      </c>
      <c r="F273" s="411"/>
    </row>
    <row r="274" spans="1:7" customFormat="1" ht="13.5" hidden="1" customHeight="1" thickBot="1" x14ac:dyDescent="0.3">
      <c r="A274" s="494"/>
      <c r="B274" s="8">
        <f>IF('Items sous domaines Sciences '!G276=6,'Items sous domaines Sciences '!B276,0)</f>
        <v>0</v>
      </c>
      <c r="C274" s="8">
        <f>IF('Items sous domaines Sciences '!G276=6,'Items sous domaines Sciences '!C276,0)</f>
        <v>0</v>
      </c>
      <c r="D274" s="8">
        <f>IF('Items sous domaines Sciences '!G276=6,'Items sous domaines Sciences '!D276,0)</f>
        <v>0</v>
      </c>
      <c r="E274" s="8">
        <f>IF('Items sous domaines Sciences '!G276=6,'Items sous domaines Sciences '!E276,0)</f>
        <v>0</v>
      </c>
      <c r="F274" s="411"/>
    </row>
    <row r="275" spans="1:7" customFormat="1" ht="13.5" hidden="1" customHeight="1" thickBot="1" x14ac:dyDescent="0.3">
      <c r="A275" s="494"/>
      <c r="B275" s="8">
        <f>IF('Items sous domaines Sciences '!G277=6,'Items sous domaines Sciences '!B277,0)</f>
        <v>0</v>
      </c>
      <c r="C275" s="8">
        <f>IF('Items sous domaines Sciences '!G277=6,'Items sous domaines Sciences '!C277,0)</f>
        <v>0</v>
      </c>
      <c r="D275" s="8">
        <f>IF('Items sous domaines Sciences '!G277=6,'Items sous domaines Sciences '!D277,0)</f>
        <v>0</v>
      </c>
      <c r="E275" s="8">
        <f>IF('Items sous domaines Sciences '!G277=6,'Items sous domaines Sciences '!E277,0)</f>
        <v>0</v>
      </c>
      <c r="F275" s="339"/>
      <c r="G275" s="17"/>
    </row>
    <row r="276" spans="1:7" customFormat="1" ht="13.5" hidden="1" customHeight="1" thickBot="1" x14ac:dyDescent="0.3">
      <c r="A276" s="494"/>
      <c r="B276" s="8">
        <f>IF('Items sous domaines Sciences '!G278=6,'Items sous domaines Sciences '!B278,0)</f>
        <v>0</v>
      </c>
      <c r="C276" s="8">
        <f>IF('Items sous domaines Sciences '!G278=6,'Items sous domaines Sciences '!C278,0)</f>
        <v>0</v>
      </c>
      <c r="D276" s="8">
        <f>IF('Items sous domaines Sciences '!G278=6,'Items sous domaines Sciences '!D278,0)</f>
        <v>0</v>
      </c>
      <c r="E276" s="8">
        <f>IF('Items sous domaines Sciences '!G278=6,'Items sous domaines Sciences '!E278,0)</f>
        <v>0</v>
      </c>
      <c r="F276" s="340"/>
      <c r="G276" s="17"/>
    </row>
    <row r="277" spans="1:7" customFormat="1" ht="13.5" hidden="1" customHeight="1" thickBot="1" x14ac:dyDescent="0.3">
      <c r="A277" s="494"/>
      <c r="B277" s="8">
        <f>IF('Items sous domaines Sciences '!G279=6,'Items sous domaines Sciences '!B279,0)</f>
        <v>0</v>
      </c>
      <c r="C277" s="8">
        <f>IF('Items sous domaines Sciences '!G279=6,'Items sous domaines Sciences '!C279,0)</f>
        <v>0</v>
      </c>
      <c r="D277" s="8">
        <f>IF('Items sous domaines Sciences '!G279=6,'Items sous domaines Sciences '!D279,0)</f>
        <v>0</v>
      </c>
      <c r="E277" s="8">
        <f>IF('Items sous domaines Sciences '!G279=6,'Items sous domaines Sciences '!E279,0)</f>
        <v>0</v>
      </c>
      <c r="F277" s="340"/>
      <c r="G277" s="17"/>
    </row>
    <row r="278" spans="1:7" customFormat="1" ht="13.5" hidden="1" customHeight="1" thickBot="1" x14ac:dyDescent="0.3">
      <c r="A278" s="494"/>
      <c r="B278" s="8">
        <f>IF('Items sous domaines Sciences '!G280=6,'Items sous domaines Sciences '!B280,0)</f>
        <v>0</v>
      </c>
      <c r="C278" s="8">
        <f>IF('Items sous domaines Sciences '!G280=6,'Items sous domaines Sciences '!C280,0)</f>
        <v>0</v>
      </c>
      <c r="D278" s="8">
        <f>IF('Items sous domaines Sciences '!G280=6,'Items sous domaines Sciences '!D280,0)</f>
        <v>0</v>
      </c>
      <c r="E278" s="8">
        <f>IF('Items sous domaines Sciences '!G280=6,'Items sous domaines Sciences '!E280,0)</f>
        <v>0</v>
      </c>
      <c r="F278" s="341"/>
      <c r="G278" s="17"/>
    </row>
    <row r="279" spans="1:7" customFormat="1" ht="13.5" hidden="1" customHeight="1" thickBot="1" x14ac:dyDescent="0.3">
      <c r="A279" s="494"/>
      <c r="B279" s="8">
        <f>IF('Items sous domaines Sciences '!G281=6,'Items sous domaines Sciences '!B281,0)</f>
        <v>0</v>
      </c>
      <c r="C279" s="8">
        <f>IF('Items sous domaines Sciences '!G281=6,'Items sous domaines Sciences '!C281,0)</f>
        <v>0</v>
      </c>
      <c r="D279" s="8">
        <f>IF('Items sous domaines Sciences '!G281=6,'Items sous domaines Sciences '!D281,0)</f>
        <v>0</v>
      </c>
      <c r="E279" s="8">
        <f>IF('Items sous domaines Sciences '!G281=6,'Items sous domaines Sciences '!E281,0)</f>
        <v>0</v>
      </c>
      <c r="F279" t="e">
        <f>IF('Items sous domaines Sciences '!#REF!=6,'Items sous domaines Sciences '!#REF!,0)</f>
        <v>#REF!</v>
      </c>
    </row>
    <row r="280" spans="1:7" customFormat="1" ht="13.5" hidden="1" customHeight="1" thickBot="1" x14ac:dyDescent="0.3">
      <c r="A280" s="494"/>
      <c r="B280" s="8">
        <f>IF('Items sous domaines Sciences '!G282=6,'Items sous domaines Sciences '!B282,0)</f>
        <v>0</v>
      </c>
      <c r="C280" s="8">
        <f>IF('Items sous domaines Sciences '!G282=6,'Items sous domaines Sciences '!C282,0)</f>
        <v>0</v>
      </c>
      <c r="D280" s="8">
        <f>IF('Items sous domaines Sciences '!G282=6,'Items sous domaines Sciences '!D282,0)</f>
        <v>0</v>
      </c>
      <c r="E280" s="8">
        <f>IF('Items sous domaines Sciences '!G282=6,'Items sous domaines Sciences '!E282,0)</f>
        <v>0</v>
      </c>
      <c r="F280" t="e">
        <f>IF('Items sous domaines Sciences '!#REF!=6,'Items sous domaines Sciences '!#REF!,0)</f>
        <v>#REF!</v>
      </c>
    </row>
    <row r="281" spans="1:7" customFormat="1" ht="13.5" hidden="1" customHeight="1" thickBot="1" x14ac:dyDescent="0.3">
      <c r="A281" s="494"/>
      <c r="B281" s="8">
        <f>IF('Items sous domaines Sciences '!G283=6,'Items sous domaines Sciences '!B283,0)</f>
        <v>0</v>
      </c>
      <c r="C281" s="8">
        <f>IF('Items sous domaines Sciences '!G283=6,'Items sous domaines Sciences '!C283,0)</f>
        <v>0</v>
      </c>
      <c r="D281" s="8">
        <f>IF('Items sous domaines Sciences '!G283=6,'Items sous domaines Sciences '!D283,0)</f>
        <v>0</v>
      </c>
      <c r="E281" s="8">
        <f>IF('Items sous domaines Sciences '!G283=6,'Items sous domaines Sciences '!E283,0)</f>
        <v>0</v>
      </c>
      <c r="F281" t="e">
        <f>IF('Items sous domaines Sciences '!#REF!=6,'Items sous domaines Sciences '!#REF!,0)</f>
        <v>#REF!</v>
      </c>
    </row>
    <row r="282" spans="1:7" customFormat="1" ht="13.5" hidden="1" customHeight="1" thickBot="1" x14ac:dyDescent="0.3">
      <c r="A282" s="494"/>
      <c r="B282" s="8">
        <f>IF('Items sous domaines Sciences '!G284=6,'Items sous domaines Sciences '!B284,0)</f>
        <v>0</v>
      </c>
      <c r="C282" s="8">
        <f>IF('Items sous domaines Sciences '!G284=6,'Items sous domaines Sciences '!C284,0)</f>
        <v>0</v>
      </c>
      <c r="D282" s="8">
        <f>IF('Items sous domaines Sciences '!G284=6,'Items sous domaines Sciences '!D284,0)</f>
        <v>0</v>
      </c>
      <c r="E282" s="8">
        <f>IF('Items sous domaines Sciences '!G284=6,'Items sous domaines Sciences '!E284,0)</f>
        <v>0</v>
      </c>
      <c r="F282" t="e">
        <f>IF('Items sous domaines Sciences '!#REF!=6,'Items sous domaines Sciences '!#REF!,0)</f>
        <v>#REF!</v>
      </c>
    </row>
    <row r="283" spans="1:7" customFormat="1" ht="13.5" hidden="1" customHeight="1" thickBot="1" x14ac:dyDescent="0.3">
      <c r="A283" s="494"/>
      <c r="B283" s="8">
        <f>IF('Items sous domaines Sciences '!G285=6,'Items sous domaines Sciences '!B285,0)</f>
        <v>0</v>
      </c>
      <c r="C283" s="8">
        <f>IF('Items sous domaines Sciences '!G285=6,'Items sous domaines Sciences '!C285,0)</f>
        <v>0</v>
      </c>
      <c r="D283" s="8">
        <f>IF('Items sous domaines Sciences '!G285=6,'Items sous domaines Sciences '!D285,0)</f>
        <v>0</v>
      </c>
      <c r="E283" s="8">
        <f>IF('Items sous domaines Sciences '!G285=6,'Items sous domaines Sciences '!E285,0)</f>
        <v>0</v>
      </c>
      <c r="F283" t="e">
        <f>IF('Items sous domaines Sciences '!#REF!=6,'Items sous domaines Sciences '!#REF!,0)</f>
        <v>#REF!</v>
      </c>
    </row>
    <row r="284" spans="1:7" customFormat="1" ht="13.5" hidden="1" customHeight="1" thickBot="1" x14ac:dyDescent="0.3">
      <c r="A284" s="494"/>
      <c r="B284" s="8">
        <f>IF('Items sous domaines Sciences '!G286=6,'Items sous domaines Sciences '!B286,0)</f>
        <v>0</v>
      </c>
      <c r="C284" s="8">
        <f>IF('Items sous domaines Sciences '!G286=6,'Items sous domaines Sciences '!C286,0)</f>
        <v>0</v>
      </c>
      <c r="D284" s="8">
        <f>IF('Items sous domaines Sciences '!G286=6,'Items sous domaines Sciences '!D286,0)</f>
        <v>0</v>
      </c>
      <c r="E284" s="8">
        <f>IF('Items sous domaines Sciences '!G286=6,'Items sous domaines Sciences '!E286,0)</f>
        <v>0</v>
      </c>
      <c r="F284" t="e">
        <f>IF('Items sous domaines Sciences '!#REF!=6,'Items sous domaines Sciences '!#REF!,0)</f>
        <v>#REF!</v>
      </c>
    </row>
    <row r="285" spans="1:7" customFormat="1" ht="17.399999999999999" hidden="1" customHeight="1" thickBot="1" x14ac:dyDescent="0.3">
      <c r="A285" s="494"/>
      <c r="B285" s="8">
        <f>IF('Items sous domaines Sciences '!G287=6,'Items sous domaines Sciences '!B287,0)</f>
        <v>0</v>
      </c>
      <c r="C285" s="8">
        <f>IF('Items sous domaines Sciences '!G287=6,'Items sous domaines Sciences '!C287,0)</f>
        <v>0</v>
      </c>
      <c r="D285" s="8">
        <f>IF('Items sous domaines Sciences '!G287=6,'Items sous domaines Sciences '!D287,0)</f>
        <v>0</v>
      </c>
      <c r="E285" s="8">
        <f>IF('Items sous domaines Sciences '!G287=6,'Items sous domaines Sciences '!E287,0)</f>
        <v>0</v>
      </c>
      <c r="F285" t="e">
        <f>IF('Items sous domaines Sciences '!#REF!=6,'Items sous domaines Sciences '!#REF!,0)</f>
        <v>#REF!</v>
      </c>
    </row>
    <row r="286" spans="1:7" customFormat="1" ht="17.399999999999999" hidden="1" customHeight="1" thickBot="1" x14ac:dyDescent="0.3">
      <c r="A286" s="494"/>
      <c r="B286" s="8">
        <f>IF('Items sous domaines Sciences '!G288=6,'Items sous domaines Sciences '!B288,0)</f>
        <v>0</v>
      </c>
      <c r="C286" s="8">
        <f>IF('Items sous domaines Sciences '!G288=6,'Items sous domaines Sciences '!C288,0)</f>
        <v>0</v>
      </c>
      <c r="D286" s="8">
        <f>IF('Items sous domaines Sciences '!G288=6,'Items sous domaines Sciences '!D288,0)</f>
        <v>0</v>
      </c>
      <c r="E286" s="8">
        <f>IF('Items sous domaines Sciences '!G288=6,'Items sous domaines Sciences '!E288,0)</f>
        <v>0</v>
      </c>
      <c r="F286" t="e">
        <f>IF('Items sous domaines Sciences '!#REF!=6,'Items sous domaines Sciences '!#REF!,0)</f>
        <v>#REF!</v>
      </c>
    </row>
    <row r="287" spans="1:7" customFormat="1" ht="17.399999999999999" hidden="1" customHeight="1" thickBot="1" x14ac:dyDescent="0.3">
      <c r="A287" s="494"/>
      <c r="B287" s="8">
        <f>IF('Items sous domaines Sciences '!G289=6,'Items sous domaines Sciences '!B289,0)</f>
        <v>0</v>
      </c>
      <c r="C287" s="8">
        <f>IF('Items sous domaines Sciences '!G289=6,'Items sous domaines Sciences '!C289,0)</f>
        <v>0</v>
      </c>
      <c r="D287" s="8">
        <f>IF('Items sous domaines Sciences '!G289=6,'Items sous domaines Sciences '!D289,0)</f>
        <v>0</v>
      </c>
      <c r="E287" s="8">
        <f>IF('Items sous domaines Sciences '!G289=6,'Items sous domaines Sciences '!E289,0)</f>
        <v>0</v>
      </c>
      <c r="F287" t="e">
        <f>IF('Items sous domaines Sciences '!#REF!=6,'Items sous domaines Sciences '!#REF!,0)</f>
        <v>#REF!</v>
      </c>
    </row>
    <row r="288" spans="1:7" customFormat="1" ht="17.399999999999999" hidden="1" customHeight="1" thickBot="1" x14ac:dyDescent="0.3">
      <c r="A288" s="494"/>
      <c r="B288" s="8">
        <f>IF('Items sous domaines Sciences '!G290=6,'Items sous domaines Sciences '!B290,0)</f>
        <v>0</v>
      </c>
      <c r="C288" s="8">
        <f>IF('Items sous domaines Sciences '!G290=6,'Items sous domaines Sciences '!C290,0)</f>
        <v>0</v>
      </c>
      <c r="D288" s="8">
        <f>IF('Items sous domaines Sciences '!G290=6,'Items sous domaines Sciences '!D290,0)</f>
        <v>0</v>
      </c>
      <c r="E288" s="8">
        <f>IF('Items sous domaines Sciences '!G290=6,'Items sous domaines Sciences '!E290,0)</f>
        <v>0</v>
      </c>
      <c r="F288" t="e">
        <f>IF('Items sous domaines Sciences '!#REF!=6,'Items sous domaines Sciences '!#REF!,0)</f>
        <v>#REF!</v>
      </c>
    </row>
    <row r="289" spans="1:7" customFormat="1" ht="17.399999999999999" hidden="1" customHeight="1" thickBot="1" x14ac:dyDescent="0.3">
      <c r="A289" s="494"/>
      <c r="B289" s="8">
        <f>IF('Items sous domaines Sciences '!G291=6,'Items sous domaines Sciences '!B291,0)</f>
        <v>0</v>
      </c>
      <c r="C289" s="8">
        <f>IF('Items sous domaines Sciences '!G291=6,'Items sous domaines Sciences '!C291,0)</f>
        <v>0</v>
      </c>
      <c r="D289" s="8">
        <f>IF('Items sous domaines Sciences '!G291=6,'Items sous domaines Sciences '!D291,0)</f>
        <v>0</v>
      </c>
      <c r="E289" s="8">
        <f>IF('Items sous domaines Sciences '!G291=6,'Items sous domaines Sciences '!E291,0)</f>
        <v>0</v>
      </c>
      <c r="F289" t="e">
        <f>IF('Items sous domaines Sciences '!#REF!=6,'Items sous domaines Sciences '!#REF!,0)</f>
        <v>#REF!</v>
      </c>
    </row>
    <row r="290" spans="1:7" customFormat="1" ht="17.399999999999999" hidden="1" customHeight="1" thickBot="1" x14ac:dyDescent="0.3">
      <c r="A290" s="494"/>
      <c r="B290" s="8">
        <f>IF('Items sous domaines Sciences '!G292=6,'Items sous domaines Sciences '!B292,0)</f>
        <v>0</v>
      </c>
      <c r="C290" s="8">
        <f>IF('Items sous domaines Sciences '!G292=6,'Items sous domaines Sciences '!C292,0)</f>
        <v>0</v>
      </c>
      <c r="D290" s="8">
        <f>IF('Items sous domaines Sciences '!G292=6,'Items sous domaines Sciences '!D292,0)</f>
        <v>0</v>
      </c>
      <c r="E290" s="8">
        <f>IF('Items sous domaines Sciences '!G292=6,'Items sous domaines Sciences '!E292,0)</f>
        <v>0</v>
      </c>
      <c r="F290" t="e">
        <f>IF('Items sous domaines Sciences '!#REF!=6,'Items sous domaines Sciences '!#REF!,0)</f>
        <v>#REF!</v>
      </c>
    </row>
    <row r="291" spans="1:7" customFormat="1" ht="17.399999999999999" hidden="1" customHeight="1" thickBot="1" x14ac:dyDescent="0.3">
      <c r="A291" s="494"/>
      <c r="B291" s="8">
        <f>IF('Items sous domaines Sciences '!G293=6,'Items sous domaines Sciences '!B293,0)</f>
        <v>0</v>
      </c>
      <c r="C291" s="8">
        <f>IF('Items sous domaines Sciences '!G293=6,'Items sous domaines Sciences '!C293,0)</f>
        <v>0</v>
      </c>
      <c r="D291" s="8">
        <f>IF('Items sous domaines Sciences '!G293=6,'Items sous domaines Sciences '!D293,0)</f>
        <v>0</v>
      </c>
      <c r="E291" s="8">
        <f>IF('Items sous domaines Sciences '!G293=6,'Items sous domaines Sciences '!E293,0)</f>
        <v>0</v>
      </c>
      <c r="F291" s="505" t="s">
        <v>490</v>
      </c>
      <c r="G291" s="17" t="s">
        <v>491</v>
      </c>
    </row>
    <row r="292" spans="1:7" customFormat="1" ht="17.399999999999999" hidden="1" customHeight="1" thickBot="1" x14ac:dyDescent="0.3">
      <c r="A292" s="494"/>
      <c r="B292" s="8">
        <f>IF('Items sous domaines Sciences '!G294=6,'Items sous domaines Sciences '!B294,0)</f>
        <v>0</v>
      </c>
      <c r="C292" s="8">
        <f>IF('Items sous domaines Sciences '!G294=6,'Items sous domaines Sciences '!C294,0)</f>
        <v>0</v>
      </c>
      <c r="D292" s="8">
        <f>IF('Items sous domaines Sciences '!G294=6,'Items sous domaines Sciences '!D294,0)</f>
        <v>0</v>
      </c>
      <c r="E292" s="8">
        <f>IF('Items sous domaines Sciences '!G294=6,'Items sous domaines Sciences '!E294,0)</f>
        <v>0</v>
      </c>
      <c r="F292" s="411"/>
    </row>
    <row r="293" spans="1:7" customFormat="1" ht="17.399999999999999" hidden="1" customHeight="1" thickBot="1" x14ac:dyDescent="0.3">
      <c r="A293" s="494"/>
      <c r="B293" s="8">
        <f>IF('Items sous domaines Sciences '!G295=6,'Items sous domaines Sciences '!B295,0)</f>
        <v>0</v>
      </c>
      <c r="C293" s="8">
        <f>IF('Items sous domaines Sciences '!G295=6,'Items sous domaines Sciences '!C295,0)</f>
        <v>0</v>
      </c>
      <c r="D293" s="8">
        <f>IF('Items sous domaines Sciences '!G295=6,'Items sous domaines Sciences '!D295,0)</f>
        <v>0</v>
      </c>
      <c r="E293" s="8">
        <f>IF('Items sous domaines Sciences '!G295=6,'Items sous domaines Sciences '!E295,0)</f>
        <v>0</v>
      </c>
      <c r="F293" s="411"/>
    </row>
    <row r="294" spans="1:7" customFormat="1" ht="17.399999999999999" hidden="1" customHeight="1" thickBot="1" x14ac:dyDescent="0.3">
      <c r="A294" s="494"/>
      <c r="B294" s="8">
        <f>IF('Items sous domaines Sciences '!G296=6,'Items sous domaines Sciences '!B296,0)</f>
        <v>0</v>
      </c>
      <c r="C294" s="8">
        <f>IF('Items sous domaines Sciences '!G296=6,'Items sous domaines Sciences '!C296,0)</f>
        <v>0</v>
      </c>
      <c r="D294" s="8">
        <f>IF('Items sous domaines Sciences '!G296=6,'Items sous domaines Sciences '!D296,0)</f>
        <v>0</v>
      </c>
      <c r="E294" s="8">
        <f>IF('Items sous domaines Sciences '!G296=6,'Items sous domaines Sciences '!E296,0)</f>
        <v>0</v>
      </c>
      <c r="F294" s="411"/>
    </row>
    <row r="295" spans="1:7" customFormat="1" ht="17.399999999999999" hidden="1" customHeight="1" thickBot="1" x14ac:dyDescent="0.3">
      <c r="A295" s="494"/>
      <c r="B295" s="8">
        <f>IF('Items sous domaines Sciences '!G297=6,'Items sous domaines Sciences '!B297,0)</f>
        <v>0</v>
      </c>
      <c r="C295" s="8">
        <f>IF('Items sous domaines Sciences '!G297=6,'Items sous domaines Sciences '!C297,0)</f>
        <v>0</v>
      </c>
      <c r="D295" s="8">
        <f>IF('Items sous domaines Sciences '!G297=6,'Items sous domaines Sciences '!D297,0)</f>
        <v>0</v>
      </c>
      <c r="E295" s="8">
        <f>IF('Items sous domaines Sciences '!G297=6,'Items sous domaines Sciences '!E297,0)</f>
        <v>0</v>
      </c>
      <c r="F295" s="411"/>
    </row>
    <row r="296" spans="1:7" customFormat="1" ht="17.399999999999999" hidden="1" customHeight="1" thickBot="1" x14ac:dyDescent="0.3">
      <c r="A296" s="494"/>
      <c r="B296" s="8">
        <f>IF('Items sous domaines Sciences '!G298=6,'Items sous domaines Sciences '!B298,0)</f>
        <v>0</v>
      </c>
      <c r="C296" s="8">
        <f>IF('Items sous domaines Sciences '!G298=6,'Items sous domaines Sciences '!C298,0)</f>
        <v>0</v>
      </c>
      <c r="D296" s="8">
        <f>IF('Items sous domaines Sciences '!G298=6,'Items sous domaines Sciences '!D298,0)</f>
        <v>0</v>
      </c>
      <c r="E296" s="8">
        <f>IF('Items sous domaines Sciences '!G298=6,'Items sous domaines Sciences '!E298,0)</f>
        <v>0</v>
      </c>
      <c r="F296" s="411"/>
    </row>
    <row r="297" spans="1:7" customFormat="1" ht="17.399999999999999" hidden="1" customHeight="1" thickBot="1" x14ac:dyDescent="0.3">
      <c r="A297" s="494"/>
      <c r="B297" s="8">
        <f>IF('Items sous domaines Sciences '!G299=6,'Items sous domaines Sciences '!B299,0)</f>
        <v>0</v>
      </c>
      <c r="C297" s="8">
        <f>IF('Items sous domaines Sciences '!G299=6,'Items sous domaines Sciences '!C299,0)</f>
        <v>0</v>
      </c>
      <c r="D297" s="8">
        <f>IF('Items sous domaines Sciences '!G299=6,'Items sous domaines Sciences '!D299,0)</f>
        <v>0</v>
      </c>
      <c r="E297" s="8">
        <f>IF('Items sous domaines Sciences '!G299=6,'Items sous domaines Sciences '!E299,0)</f>
        <v>0</v>
      </c>
      <c r="F297" s="411"/>
    </row>
    <row r="298" spans="1:7" customFormat="1" ht="17.399999999999999" hidden="1" customHeight="1" thickBot="1" x14ac:dyDescent="0.3">
      <c r="A298" s="494"/>
      <c r="B298" s="8">
        <f>IF('Items sous domaines Sciences '!G300=6,'Items sous domaines Sciences '!B300,0)</f>
        <v>0</v>
      </c>
      <c r="C298" s="8">
        <f>IF('Items sous domaines Sciences '!G300=6,'Items sous domaines Sciences '!C300,0)</f>
        <v>0</v>
      </c>
      <c r="D298" s="8">
        <f>IF('Items sous domaines Sciences '!G300=6,'Items sous domaines Sciences '!D300,0)</f>
        <v>0</v>
      </c>
      <c r="E298" s="8">
        <f>IF('Items sous domaines Sciences '!G300=6,'Items sous domaines Sciences '!E300,0)</f>
        <v>0</v>
      </c>
      <c r="F298" s="411"/>
    </row>
    <row r="299" spans="1:7" customFormat="1" ht="17.399999999999999" hidden="1" customHeight="1" thickBot="1" x14ac:dyDescent="0.3">
      <c r="A299" s="494"/>
      <c r="B299" s="8">
        <f>IF('Items sous domaines Sciences '!G301=6,'Items sous domaines Sciences '!B301,0)</f>
        <v>0</v>
      </c>
      <c r="C299" s="8">
        <f>IF('Items sous domaines Sciences '!G301=6,'Items sous domaines Sciences '!C301,0)</f>
        <v>0</v>
      </c>
      <c r="D299" s="8">
        <f>IF('Items sous domaines Sciences '!G301=6,'Items sous domaines Sciences '!D301,0)</f>
        <v>0</v>
      </c>
      <c r="E299" s="8">
        <f>IF('Items sous domaines Sciences '!G301=6,'Items sous domaines Sciences '!E301,0)</f>
        <v>0</v>
      </c>
      <c r="F299" s="505"/>
      <c r="G299" s="17"/>
    </row>
    <row r="300" spans="1:7" customFormat="1" ht="17.399999999999999" hidden="1" customHeight="1" thickBot="1" x14ac:dyDescent="0.3">
      <c r="A300" s="494"/>
      <c r="B300" s="8">
        <f>IF('Items sous domaines Sciences '!G302=6,'Items sous domaines Sciences '!B302,0)</f>
        <v>0</v>
      </c>
      <c r="C300" s="8">
        <f>IF('Items sous domaines Sciences '!G302=6,'Items sous domaines Sciences '!C302,0)</f>
        <v>0</v>
      </c>
      <c r="D300" s="8">
        <f>IF('Items sous domaines Sciences '!G302=6,'Items sous domaines Sciences '!D302,0)</f>
        <v>0</v>
      </c>
      <c r="E300" s="8">
        <f>IF('Items sous domaines Sciences '!G302=6,'Items sous domaines Sciences '!E302,0)</f>
        <v>0</v>
      </c>
      <c r="F300" s="379" t="s">
        <v>492</v>
      </c>
      <c r="G300" s="17"/>
    </row>
    <row r="301" spans="1:7" customFormat="1" ht="17.399999999999999" hidden="1" customHeight="1" thickBot="1" x14ac:dyDescent="0.3">
      <c r="A301" s="494"/>
      <c r="B301" s="8">
        <f>IF('Items sous domaines Sciences '!G303=6,'Items sous domaines Sciences '!B303,0)</f>
        <v>0</v>
      </c>
      <c r="C301" s="8">
        <f>IF('Items sous domaines Sciences '!G303=6,'Items sous domaines Sciences '!C303,0)</f>
        <v>0</v>
      </c>
      <c r="D301" s="8">
        <f>IF('Items sous domaines Sciences '!G303=6,'Items sous domaines Sciences '!D303,0)</f>
        <v>0</v>
      </c>
      <c r="E301" s="8">
        <f>IF('Items sous domaines Sciences '!G303=6,'Items sous domaines Sciences '!E303,0)</f>
        <v>0</v>
      </c>
      <c r="F301" s="380"/>
      <c r="G301" s="333"/>
    </row>
    <row r="302" spans="1:7" customFormat="1" ht="17.399999999999999" hidden="1" customHeight="1" thickBot="1" x14ac:dyDescent="0.3">
      <c r="A302" s="494"/>
      <c r="B302" s="8">
        <f>IF('Items sous domaines Sciences '!G304=6,'Items sous domaines Sciences '!B304,0)</f>
        <v>0</v>
      </c>
      <c r="C302" s="8">
        <f>IF('Items sous domaines Sciences '!G304=6,'Items sous domaines Sciences '!C304,0)</f>
        <v>0</v>
      </c>
      <c r="D302" s="8">
        <f>IF('Items sous domaines Sciences '!G304=6,'Items sous domaines Sciences '!D304,0)</f>
        <v>0</v>
      </c>
      <c r="E302" s="8">
        <f>IF('Items sous domaines Sciences '!G304=6,'Items sous domaines Sciences '!E304,0)</f>
        <v>0</v>
      </c>
      <c r="F302" s="380"/>
      <c r="G302" s="333"/>
    </row>
    <row r="303" spans="1:7" ht="19.95" customHeight="1" thickTop="1" x14ac:dyDescent="0.3">
      <c r="A303" s="508"/>
      <c r="B303" s="270" t="str">
        <f>IF('Items sous domaines Sciences '!G305=6,'Items sous domaines Sciences '!B305,0)</f>
        <v>Chimie</v>
      </c>
      <c r="C303" s="240" t="str">
        <f>IF('Items sous domaines Sciences '!G305=6,'Items sous domaines Sciences '!C305,0)</f>
        <v>Chimie</v>
      </c>
      <c r="D303" s="241">
        <f>IF('Items sous domaines Sciences '!G305=6,'Items sous domaines Sciences '!D305,0)</f>
        <v>0</v>
      </c>
      <c r="E303" s="208" t="str">
        <f>IF('Items sous domaines Sciences '!G305=6,'Items sous domaines Sciences '!E305,0)</f>
        <v>Déterminer les coefficients stoechiométriques d'une une réaction chimique.</v>
      </c>
      <c r="F303" s="430"/>
      <c r="G303" s="417"/>
    </row>
    <row r="304" spans="1:7" ht="19.95" customHeight="1" x14ac:dyDescent="0.3">
      <c r="A304" s="494"/>
      <c r="B304" s="255" t="str">
        <f>IF('Items sous domaines Sciences '!G306=6,'Items sous domaines Sciences '!B306,0)</f>
        <v>Chimie</v>
      </c>
      <c r="C304" s="195" t="str">
        <f>IF('Items sous domaines Sciences '!G306=6,'Items sous domaines Sciences '!C306,0)</f>
        <v>Chimie</v>
      </c>
      <c r="D304" s="98">
        <f>IF('Items sous domaines Sciences '!G306=6,'Items sous domaines Sciences '!D306,0)</f>
        <v>0</v>
      </c>
      <c r="E304" s="209" t="str">
        <f>IF('Items sous domaines Sciences '!G306=6,'Items sous domaines Sciences '!E306,0)</f>
        <v>Établir le bilan réactionnel d’une réaction irréversible (proportions stoechiométriques, réactif en excès, quantité de produits formés)</v>
      </c>
      <c r="F304" s="431"/>
      <c r="G304" s="419"/>
    </row>
    <row r="305" spans="1:7" ht="19.95" customHeight="1" x14ac:dyDescent="0.3">
      <c r="A305" s="494"/>
      <c r="B305" s="255" t="str">
        <f>IF('Items sous domaines Sciences '!G307=6,'Items sous domaines Sciences '!B307,0)</f>
        <v>Chimie</v>
      </c>
      <c r="C305" s="213" t="str">
        <f>IF('Items sous domaines Sciences '!G307=6,'Items sous domaines Sciences '!C307,0)</f>
        <v>Chimie</v>
      </c>
      <c r="D305" s="216">
        <f>IF('Items sous domaines Sciences '!G307=6,'Items sous domaines Sciences '!D307,0)</f>
        <v>0</v>
      </c>
      <c r="E305" s="254" t="str">
        <f>IF('Items sous domaines Sciences '!G307=6,'Items sous domaines Sciences '!E307,0)</f>
        <v>Décrire le principe d'une réaction acido-basique (couple acide/base, pH,Ka,pKa...).</v>
      </c>
      <c r="F305" s="431"/>
      <c r="G305" s="419"/>
    </row>
    <row r="306" spans="1:7" ht="19.95" customHeight="1" x14ac:dyDescent="0.3">
      <c r="A306" s="494"/>
      <c r="B306" s="255" t="str">
        <f>IF('Items sous domaines Sciences '!G308=6,'Items sous domaines Sciences '!B308,0)</f>
        <v>Chimie</v>
      </c>
      <c r="C306" s="195" t="str">
        <f>IF('Items sous domaines Sciences '!G308=6,'Items sous domaines Sciences '!C308,0)</f>
        <v>Chimie</v>
      </c>
      <c r="D306" s="98">
        <f>IF('Items sous domaines Sciences '!G308=6,'Items sous domaines Sciences '!D308,0)</f>
        <v>0</v>
      </c>
      <c r="E306" s="209" t="str">
        <f>IF('Items sous domaines Sciences '!G308=6,'Items sous domaines Sciences '!E308,0)</f>
        <v>Déterminer l’espèce majoritaire d’un couple acido-basique en fonction du pH.</v>
      </c>
      <c r="F306" s="431"/>
      <c r="G306" s="419"/>
    </row>
    <row r="307" spans="1:7" ht="19.95" customHeight="1" x14ac:dyDescent="0.3">
      <c r="A307" s="494"/>
      <c r="B307" s="255" t="str">
        <f>IF('Items sous domaines Sciences '!G309=6,'Items sous domaines Sciences '!B309,0)</f>
        <v>Chimie</v>
      </c>
      <c r="C307" s="213" t="str">
        <f>IF('Items sous domaines Sciences '!G309=6,'Items sous domaines Sciences '!C309,0)</f>
        <v>Chimie</v>
      </c>
      <c r="D307" s="216">
        <f>IF('Items sous domaines Sciences '!G309=6,'Items sous domaines Sciences '!D309,0)</f>
        <v>0</v>
      </c>
      <c r="E307" s="254" t="str">
        <f>IF('Items sous domaines Sciences '!G309=6,'Items sous domaines Sciences '!E309,0)</f>
        <v>Déterminer les conditions de précipitation d’un composé en solution.</v>
      </c>
      <c r="F307" s="431"/>
      <c r="G307" s="257"/>
    </row>
    <row r="308" spans="1:7" ht="19.95" customHeight="1" thickBot="1" x14ac:dyDescent="0.35">
      <c r="A308" s="509"/>
      <c r="B308" s="82" t="str">
        <f>IF('Items sous domaines Sciences '!G310=6,'Items sous domaines Sciences '!B310,0)</f>
        <v>Chimie</v>
      </c>
      <c r="C308" s="229" t="str">
        <f>IF('Items sous domaines Sciences '!G310=6,'Items sous domaines Sciences '!C310,0)</f>
        <v>Chimie</v>
      </c>
      <c r="D308" s="230">
        <f>IF('Items sous domaines Sciences '!G310=6,'Items sous domaines Sciences '!D310,0)</f>
        <v>0</v>
      </c>
      <c r="E308" s="231" t="str">
        <f>IF('Items sous domaines Sciences '!G310=6,'Items sous domaines Sciences '!E310,0)</f>
        <v>Analyser les conditions de saturation d'une solution.</v>
      </c>
      <c r="F308" s="449"/>
      <c r="G308" s="277"/>
    </row>
    <row r="309" spans="1:7" customFormat="1" ht="13.5" hidden="1" customHeight="1" thickBot="1" x14ac:dyDescent="0.3">
      <c r="A309" s="494"/>
      <c r="B309">
        <f>IF('Items sous domaines Sciences '!G311=6,'Items sous domaines Sciences '!B311,0)</f>
        <v>0</v>
      </c>
      <c r="C309">
        <f>IF('Items sous domaines Sciences '!G311=6,'Items sous domaines Sciences '!C311,0)</f>
        <v>0</v>
      </c>
      <c r="D309">
        <f>IF('Items sous domaines Sciences '!G311=6,'Items sous domaines Sciences '!D311,0)</f>
        <v>0</v>
      </c>
      <c r="E309">
        <f>IF('Items sous domaines Sciences '!G311=6,'Items sous domaines Sciences '!E311,0)</f>
        <v>0</v>
      </c>
      <c r="F309" s="380"/>
      <c r="G309" s="17"/>
    </row>
    <row r="310" spans="1:7" customFormat="1" ht="13.5" hidden="1" customHeight="1" thickBot="1" x14ac:dyDescent="0.3">
      <c r="B310" s="8">
        <f>IF('Items sous domaines Sciences '!G312=6,'Items sous domaines Sciences '!B312,0)</f>
        <v>0</v>
      </c>
      <c r="C310" s="8">
        <f>IF('Items sous domaines Sciences '!G312=6,'Items sous domaines Sciences '!C312,0)</f>
        <v>0</v>
      </c>
      <c r="D310" s="8">
        <f>IF('Items sous domaines Sciences '!G312=6,'Items sous domaines Sciences '!D312,0)</f>
        <v>0</v>
      </c>
      <c r="E310" s="8">
        <f>IF('Items sous domaines Sciences '!G312=6,'Items sous domaines Sciences '!E312,0)</f>
        <v>0</v>
      </c>
      <c r="F310" s="381"/>
    </row>
    <row r="311" spans="1:7" customFormat="1" ht="13.5" hidden="1" customHeight="1" thickBot="1" x14ac:dyDescent="0.3">
      <c r="A311" s="510" t="s">
        <v>479</v>
      </c>
      <c r="B311" s="8">
        <f>IF('Items sous domaines Sciences '!G313=6,'Items sous domaines Sciences '!B313,0)</f>
        <v>0</v>
      </c>
      <c r="C311" s="8">
        <f>IF('Items sous domaines Sciences '!G313=6,'Items sous domaines Sciences '!C313,0)</f>
        <v>0</v>
      </c>
      <c r="D311" s="8">
        <f>IF('Items sous domaines Sciences '!G313=6,'Items sous domaines Sciences '!D313,0)</f>
        <v>0</v>
      </c>
      <c r="E311" s="8">
        <f>IF('Items sous domaines Sciences '!G313=6,'Items sous domaines Sciences '!E313,0)</f>
        <v>0</v>
      </c>
      <c r="F311" s="379"/>
    </row>
    <row r="312" spans="1:7" customFormat="1" ht="13.5" hidden="1" customHeight="1" thickBot="1" x14ac:dyDescent="0.3">
      <c r="A312" s="511"/>
      <c r="B312" s="8">
        <f>IF('Items sous domaines Sciences '!G314=6,'Items sous domaines Sciences '!B314,0)</f>
        <v>0</v>
      </c>
      <c r="C312" s="8">
        <f>IF('Items sous domaines Sciences '!G314=6,'Items sous domaines Sciences '!C314,0)</f>
        <v>0</v>
      </c>
      <c r="D312" s="8">
        <f>IF('Items sous domaines Sciences '!G314=6,'Items sous domaines Sciences '!D314,0)</f>
        <v>0</v>
      </c>
      <c r="E312" s="8">
        <f>IF('Items sous domaines Sciences '!G314=6,'Items sous domaines Sciences '!E314,0)</f>
        <v>0</v>
      </c>
      <c r="F312" s="380"/>
    </row>
    <row r="313" spans="1:7" customFormat="1" ht="13.5" hidden="1" customHeight="1" thickBot="1" x14ac:dyDescent="0.3">
      <c r="A313" s="511"/>
      <c r="B313" s="8">
        <f>IF('Items sous domaines Sciences '!G315=6,'Items sous domaines Sciences '!B315,0)</f>
        <v>0</v>
      </c>
      <c r="C313" s="8">
        <f>IF('Items sous domaines Sciences '!G315=6,'Items sous domaines Sciences '!C315,0)</f>
        <v>0</v>
      </c>
      <c r="D313" s="8">
        <f>IF('Items sous domaines Sciences '!G315=6,'Items sous domaines Sciences '!D315,0)</f>
        <v>0</v>
      </c>
      <c r="E313" s="8">
        <f>IF('Items sous domaines Sciences '!G315=6,'Items sous domaines Sciences '!E315,0)</f>
        <v>0</v>
      </c>
      <c r="F313" s="380"/>
    </row>
    <row r="314" spans="1:7" customFormat="1" ht="13.5" hidden="1" customHeight="1" thickBot="1" x14ac:dyDescent="0.3">
      <c r="A314" s="511"/>
      <c r="B314" s="8">
        <f>IF('Items sous domaines Sciences '!G316=6,'Items sous domaines Sciences '!B316,0)</f>
        <v>0</v>
      </c>
      <c r="C314" s="8">
        <f>IF('Items sous domaines Sciences '!G316=6,'Items sous domaines Sciences '!C316,0)</f>
        <v>0</v>
      </c>
      <c r="D314" s="8">
        <f>IF('Items sous domaines Sciences '!G316=6,'Items sous domaines Sciences '!D316,0)</f>
        <v>0</v>
      </c>
      <c r="E314" s="8">
        <f>IF('Items sous domaines Sciences '!G316=6,'Items sous domaines Sciences '!E316,0)</f>
        <v>0</v>
      </c>
      <c r="F314" s="380"/>
    </row>
    <row r="315" spans="1:7" customFormat="1" ht="13.5" hidden="1" customHeight="1" thickBot="1" x14ac:dyDescent="0.3">
      <c r="A315" s="511"/>
      <c r="B315" s="8">
        <f>IF('Items sous domaines Sciences '!G317=6,'Items sous domaines Sciences '!B317,0)</f>
        <v>0</v>
      </c>
      <c r="C315" s="8">
        <f>IF('Items sous domaines Sciences '!G317=6,'Items sous domaines Sciences '!C317,0)</f>
        <v>0</v>
      </c>
      <c r="D315" s="8">
        <f>IF('Items sous domaines Sciences '!G317=6,'Items sous domaines Sciences '!D317,0)</f>
        <v>0</v>
      </c>
      <c r="E315" s="8">
        <f>IF('Items sous domaines Sciences '!G317=6,'Items sous domaines Sciences '!E317,0)</f>
        <v>0</v>
      </c>
      <c r="F315" s="380"/>
    </row>
    <row r="316" spans="1:7" customFormat="1" ht="13.5" hidden="1" customHeight="1" thickBot="1" x14ac:dyDescent="0.3">
      <c r="A316" s="511"/>
      <c r="B316" s="8">
        <f>IF('Items sous domaines Sciences '!G318=6,'Items sous domaines Sciences '!B318,0)</f>
        <v>0</v>
      </c>
      <c r="C316" s="8">
        <f>IF('Items sous domaines Sciences '!G318=6,'Items sous domaines Sciences '!C318,0)</f>
        <v>0</v>
      </c>
      <c r="D316" s="8">
        <f>IF('Items sous domaines Sciences '!G318=6,'Items sous domaines Sciences '!D318,0)</f>
        <v>0</v>
      </c>
      <c r="E316" s="8">
        <f>IF('Items sous domaines Sciences '!G318=6,'Items sous domaines Sciences '!E318,0)</f>
        <v>0</v>
      </c>
      <c r="F316" s="199"/>
    </row>
    <row r="317" spans="1:7" customFormat="1" ht="13.5" hidden="1" customHeight="1" thickBot="1" x14ac:dyDescent="0.3">
      <c r="A317" s="511"/>
      <c r="B317" s="8">
        <f>IF('Items sous domaines Sciences '!G319=6,'Items sous domaines Sciences '!B319,0)</f>
        <v>0</v>
      </c>
      <c r="C317" s="8">
        <f>IF('Items sous domaines Sciences '!G319=6,'Items sous domaines Sciences '!C319,0)</f>
        <v>0</v>
      </c>
      <c r="D317" s="8">
        <f>IF('Items sous domaines Sciences '!G319=6,'Items sous domaines Sciences '!D319,0)</f>
        <v>0</v>
      </c>
      <c r="E317" s="8">
        <f>IF('Items sous domaines Sciences '!G319=6,'Items sous domaines Sciences '!E319,0)</f>
        <v>0</v>
      </c>
      <c r="F317" s="199"/>
    </row>
    <row r="318" spans="1:7" customFormat="1" ht="13.5" hidden="1" customHeight="1" thickBot="1" x14ac:dyDescent="0.3">
      <c r="A318" s="511"/>
      <c r="B318" s="8">
        <f>IF('Items sous domaines Sciences '!G320=6,'Items sous domaines Sciences '!B320,0)</f>
        <v>0</v>
      </c>
      <c r="C318" s="8">
        <f>IF('Items sous domaines Sciences '!G320=6,'Items sous domaines Sciences '!C320,0)</f>
        <v>0</v>
      </c>
      <c r="D318" s="8">
        <f>IF('Items sous domaines Sciences '!G320=6,'Items sous domaines Sciences '!D320,0)</f>
        <v>0</v>
      </c>
      <c r="E318" s="8">
        <f>IF('Items sous domaines Sciences '!G320=6,'Items sous domaines Sciences '!E320,0)</f>
        <v>0</v>
      </c>
      <c r="F318" s="199"/>
    </row>
    <row r="319" spans="1:7" customFormat="1" ht="13.5" hidden="1" customHeight="1" thickBot="1" x14ac:dyDescent="0.3">
      <c r="A319" s="511"/>
      <c r="B319" s="8">
        <f>IF('Items sous domaines Sciences '!G321=6,'Items sous domaines Sciences '!B321,0)</f>
        <v>0</v>
      </c>
      <c r="C319" s="8">
        <f>IF('Items sous domaines Sciences '!G321=6,'Items sous domaines Sciences '!C321,0)</f>
        <v>0</v>
      </c>
      <c r="D319" s="8">
        <f>IF('Items sous domaines Sciences '!G321=6,'Items sous domaines Sciences '!D321,0)</f>
        <v>0</v>
      </c>
      <c r="E319" s="8">
        <f>IF('Items sous domaines Sciences '!G321=6,'Items sous domaines Sciences '!E321,0)</f>
        <v>0</v>
      </c>
      <c r="F319" s="199"/>
    </row>
    <row r="320" spans="1:7" customFormat="1" ht="13.5" hidden="1" customHeight="1" thickBot="1" x14ac:dyDescent="0.3">
      <c r="A320" s="511"/>
      <c r="B320" s="8">
        <f>IF('Items sous domaines Sciences '!G322=6,'Items sous domaines Sciences '!B322,0)</f>
        <v>0</v>
      </c>
      <c r="C320" s="8">
        <f>IF('Items sous domaines Sciences '!G322=6,'Items sous domaines Sciences '!C322,0)</f>
        <v>0</v>
      </c>
      <c r="D320" s="8">
        <f>IF('Items sous domaines Sciences '!G322=6,'Items sous domaines Sciences '!D322,0)</f>
        <v>0</v>
      </c>
      <c r="E320" s="8">
        <f>IF('Items sous domaines Sciences '!G322=6,'Items sous domaines Sciences '!E322,0)</f>
        <v>0</v>
      </c>
      <c r="F320" s="199"/>
    </row>
    <row r="321" spans="1:7" customFormat="1" ht="13.5" hidden="1" customHeight="1" thickBot="1" x14ac:dyDescent="0.3">
      <c r="A321" s="512"/>
      <c r="B321" s="8">
        <f>IF('Items sous domaines Sciences '!G323=6,'Items sous domaines Sciences '!B323,0)</f>
        <v>0</v>
      </c>
      <c r="C321" s="8">
        <f>IF('Items sous domaines Sciences '!G323=6,'Items sous domaines Sciences '!C323,0)</f>
        <v>0</v>
      </c>
      <c r="D321" s="8">
        <f>IF('Items sous domaines Sciences '!G323=6,'Items sous domaines Sciences '!D323,0)</f>
        <v>0</v>
      </c>
      <c r="E321" s="8">
        <f>IF('Items sous domaines Sciences '!G323=6,'Items sous domaines Sciences '!E323,0)</f>
        <v>0</v>
      </c>
      <c r="F321" s="200"/>
    </row>
    <row r="322" spans="1:7" customFormat="1" ht="13.5" hidden="1" customHeight="1" thickBot="1" x14ac:dyDescent="0.3">
      <c r="A322" s="15"/>
      <c r="B322" s="8">
        <f>IF('Items sous domaines Sciences '!G324=6,'Items sous domaines Sciences '!B324,0)</f>
        <v>0</v>
      </c>
      <c r="C322" s="8">
        <f>IF('Items sous domaines Sciences '!G324=6,'Items sous domaines Sciences '!C324,0)</f>
        <v>0</v>
      </c>
      <c r="D322" s="8">
        <f>IF('Items sous domaines Sciences '!G324=6,'Items sous domaines Sciences '!D324,0)</f>
        <v>0</v>
      </c>
      <c r="E322" s="8">
        <f>IF('Items sous domaines Sciences '!G324=6,'Items sous domaines Sciences '!E324,0)</f>
        <v>0</v>
      </c>
      <c r="F322" s="379"/>
    </row>
    <row r="323" spans="1:7" customFormat="1" ht="13.5" hidden="1" customHeight="1" thickBot="1" x14ac:dyDescent="0.3">
      <c r="A323" s="498" t="s">
        <v>493</v>
      </c>
      <c r="B323" s="8">
        <f>IF('Items sous domaines Sciences '!G325=6,'Items sous domaines Sciences '!B325,0)</f>
        <v>0</v>
      </c>
      <c r="C323" s="8">
        <f>IF('Items sous domaines Sciences '!G325=6,'Items sous domaines Sciences '!C325,0)</f>
        <v>0</v>
      </c>
      <c r="D323" s="8">
        <f>IF('Items sous domaines Sciences '!G325=6,'Items sous domaines Sciences '!D325,0)</f>
        <v>0</v>
      </c>
      <c r="E323" s="8">
        <f>IF('Items sous domaines Sciences '!G325=6,'Items sous domaines Sciences '!E325,0)</f>
        <v>0</v>
      </c>
      <c r="F323" s="380"/>
      <c r="G323" s="17"/>
    </row>
    <row r="324" spans="1:7" customFormat="1" ht="13.5" hidden="1" customHeight="1" thickBot="1" x14ac:dyDescent="0.3">
      <c r="A324" s="499"/>
      <c r="B324" s="8">
        <f>IF('Items sous domaines Sciences '!G326=6,'Items sous domaines Sciences '!B326,0)</f>
        <v>0</v>
      </c>
      <c r="C324" s="8">
        <f>IF('Items sous domaines Sciences '!G326=6,'Items sous domaines Sciences '!C326,0)</f>
        <v>0</v>
      </c>
      <c r="D324" s="8">
        <f>IF('Items sous domaines Sciences '!G326=6,'Items sous domaines Sciences '!D326,0)</f>
        <v>0</v>
      </c>
      <c r="E324" s="8">
        <f>IF('Items sous domaines Sciences '!G326=6,'Items sous domaines Sciences '!E326,0)</f>
        <v>0</v>
      </c>
      <c r="F324" s="380"/>
      <c r="G324" s="24" t="s">
        <v>494</v>
      </c>
    </row>
    <row r="325" spans="1:7" customFormat="1" ht="13.5" hidden="1" customHeight="1" thickBot="1" x14ac:dyDescent="0.3">
      <c r="A325" s="499"/>
      <c r="B325" s="8">
        <f>IF('Items sous domaines Sciences '!G327=6,'Items sous domaines Sciences '!B327,0)</f>
        <v>0</v>
      </c>
      <c r="C325" s="8">
        <f>IF('Items sous domaines Sciences '!G327=6,'Items sous domaines Sciences '!C327,0)</f>
        <v>0</v>
      </c>
      <c r="D325" s="8">
        <f>IF('Items sous domaines Sciences '!G327=6,'Items sous domaines Sciences '!D327,0)</f>
        <v>0</v>
      </c>
      <c r="E325" s="8">
        <f>IF('Items sous domaines Sciences '!G327=6,'Items sous domaines Sciences '!E327,0)</f>
        <v>0</v>
      </c>
      <c r="F325" s="380"/>
      <c r="G325" s="17"/>
    </row>
    <row r="326" spans="1:7" customFormat="1" ht="13.5" hidden="1" customHeight="1" thickBot="1" x14ac:dyDescent="0.3">
      <c r="A326" s="499"/>
      <c r="B326" s="8">
        <f>IF('Items sous domaines Sciences '!G328=6,'Items sous domaines Sciences '!B328,0)</f>
        <v>0</v>
      </c>
      <c r="C326" s="8">
        <f>IF('Items sous domaines Sciences '!G328=6,'Items sous domaines Sciences '!C328,0)</f>
        <v>0</v>
      </c>
      <c r="D326" s="8">
        <f>IF('Items sous domaines Sciences '!G328=6,'Items sous domaines Sciences '!D328,0)</f>
        <v>0</v>
      </c>
      <c r="E326" s="8">
        <f>IF('Items sous domaines Sciences '!G328=6,'Items sous domaines Sciences '!E328,0)</f>
        <v>0</v>
      </c>
      <c r="F326" s="380"/>
      <c r="G326" s="17"/>
    </row>
    <row r="327" spans="1:7" customFormat="1" ht="13.5" hidden="1" customHeight="1" thickBot="1" x14ac:dyDescent="0.3">
      <c r="A327" s="499"/>
      <c r="B327" s="8">
        <f>IF('Items sous domaines Sciences '!G329=6,'Items sous domaines Sciences '!B329,0)</f>
        <v>0</v>
      </c>
      <c r="C327" s="8">
        <f>IF('Items sous domaines Sciences '!G329=6,'Items sous domaines Sciences '!C329,0)</f>
        <v>0</v>
      </c>
      <c r="D327" s="8">
        <f>IF('Items sous domaines Sciences '!G329=6,'Items sous domaines Sciences '!D329,0)</f>
        <v>0</v>
      </c>
      <c r="E327" s="8">
        <f>IF('Items sous domaines Sciences '!G329=6,'Items sous domaines Sciences '!E329,0)</f>
        <v>0</v>
      </c>
      <c r="F327" s="380"/>
      <c r="G327" s="17"/>
    </row>
    <row r="328" spans="1:7" customFormat="1" ht="13.5" hidden="1" customHeight="1" thickBot="1" x14ac:dyDescent="0.3">
      <c r="A328" s="499"/>
      <c r="B328" s="8">
        <f>IF('Items sous domaines Sciences '!G330=6,'Items sous domaines Sciences '!B330,0)</f>
        <v>0</v>
      </c>
      <c r="C328" s="8">
        <f>IF('Items sous domaines Sciences '!G330=6,'Items sous domaines Sciences '!C330,0)</f>
        <v>0</v>
      </c>
      <c r="D328" s="8">
        <f>IF('Items sous domaines Sciences '!G330=6,'Items sous domaines Sciences '!D330,0)</f>
        <v>0</v>
      </c>
      <c r="E328" s="8">
        <f>IF('Items sous domaines Sciences '!G330=6,'Items sous domaines Sciences '!E330,0)</f>
        <v>0</v>
      </c>
      <c r="F328" s="380"/>
      <c r="G328" s="17"/>
    </row>
    <row r="329" spans="1:7" customFormat="1" ht="13.5" hidden="1" customHeight="1" thickBot="1" x14ac:dyDescent="0.3">
      <c r="A329" s="499"/>
      <c r="B329" s="8">
        <f>IF('Items sous domaines Sciences '!G331=6,'Items sous domaines Sciences '!B331,0)</f>
        <v>0</v>
      </c>
      <c r="C329" s="8">
        <f>IF('Items sous domaines Sciences '!G331=6,'Items sous domaines Sciences '!C331,0)</f>
        <v>0</v>
      </c>
      <c r="D329" s="8">
        <f>IF('Items sous domaines Sciences '!G331=6,'Items sous domaines Sciences '!D331,0)</f>
        <v>0</v>
      </c>
      <c r="E329" s="8">
        <f>IF('Items sous domaines Sciences '!G331=6,'Items sous domaines Sciences '!E331,0)</f>
        <v>0</v>
      </c>
      <c r="F329" s="380"/>
      <c r="G329" s="17"/>
    </row>
    <row r="330" spans="1:7" customFormat="1" ht="13.5" hidden="1" customHeight="1" thickBot="1" x14ac:dyDescent="0.3">
      <c r="A330" s="499"/>
      <c r="B330" s="8">
        <f>IF('Items sous domaines Sciences '!G332=6,'Items sous domaines Sciences '!B332,0)</f>
        <v>0</v>
      </c>
      <c r="C330" s="8">
        <f>IF('Items sous domaines Sciences '!G332=6,'Items sous domaines Sciences '!C332,0)</f>
        <v>0</v>
      </c>
      <c r="D330" s="8">
        <f>IF('Items sous domaines Sciences '!G332=6,'Items sous domaines Sciences '!D332,0)</f>
        <v>0</v>
      </c>
      <c r="E330" s="8">
        <f>IF('Items sous domaines Sciences '!G332=6,'Items sous domaines Sciences '!E332,0)</f>
        <v>0</v>
      </c>
      <c r="F330" s="380"/>
      <c r="G330" s="17"/>
    </row>
    <row r="331" spans="1:7" customFormat="1" ht="13.5" hidden="1" customHeight="1" thickBot="1" x14ac:dyDescent="0.3">
      <c r="A331" s="15"/>
      <c r="B331" s="8">
        <f>IF('Items sous domaines Sciences '!G333=6,'Items sous domaines Sciences '!B333,0)</f>
        <v>0</v>
      </c>
      <c r="C331" s="8">
        <f>IF('Items sous domaines Sciences '!G333=6,'Items sous domaines Sciences '!C333,0)</f>
        <v>0</v>
      </c>
      <c r="D331" s="8">
        <f>IF('Items sous domaines Sciences '!G333=6,'Items sous domaines Sciences '!D333,0)</f>
        <v>0</v>
      </c>
      <c r="E331" s="8">
        <f>IF('Items sous domaines Sciences '!G333=6,'Items sous domaines Sciences '!E333,0)</f>
        <v>0</v>
      </c>
      <c r="F331" s="380"/>
    </row>
    <row r="332" spans="1:7" customFormat="1" ht="13.5" hidden="1" customHeight="1" thickBot="1" x14ac:dyDescent="0.3">
      <c r="A332" s="15"/>
      <c r="B332" s="8">
        <f>IF('Items sous domaines Sciences '!G334=6,'Items sous domaines Sciences '!B334,0)</f>
        <v>0</v>
      </c>
      <c r="C332" s="8">
        <f>IF('Items sous domaines Sciences '!G334=6,'Items sous domaines Sciences '!C334,0)</f>
        <v>0</v>
      </c>
      <c r="D332" s="8">
        <f>IF('Items sous domaines Sciences '!G334=6,'Items sous domaines Sciences '!D334,0)</f>
        <v>0</v>
      </c>
      <c r="E332" s="8">
        <f>IF('Items sous domaines Sciences '!G334=6,'Items sous domaines Sciences '!E334,0)</f>
        <v>0</v>
      </c>
      <c r="F332" s="381"/>
    </row>
    <row r="333" spans="1:7" customFormat="1" ht="13.5" hidden="1" customHeight="1" thickBot="1" x14ac:dyDescent="0.3">
      <c r="A333" s="498" t="s">
        <v>495</v>
      </c>
      <c r="B333" s="8">
        <f>IF('Items sous domaines Sciences '!G335=6,'Items sous domaines Sciences '!B335,0)</f>
        <v>0</v>
      </c>
      <c r="C333" s="8">
        <f>IF('Items sous domaines Sciences '!G335=6,'Items sous domaines Sciences '!C335,0)</f>
        <v>0</v>
      </c>
      <c r="D333" s="8">
        <f>IF('Items sous domaines Sciences '!G335=6,'Items sous domaines Sciences '!D335,0)</f>
        <v>0</v>
      </c>
      <c r="E333" s="8">
        <f>IF('Items sous domaines Sciences '!G335=6,'Items sous domaines Sciences '!E335,0)</f>
        <v>0</v>
      </c>
      <c r="F333" s="379"/>
      <c r="G333" s="17"/>
    </row>
    <row r="334" spans="1:7" customFormat="1" ht="13.5" hidden="1" customHeight="1" thickBot="1" x14ac:dyDescent="0.3">
      <c r="A334" s="499"/>
      <c r="B334" s="8">
        <f>IF('Items sous domaines Sciences '!G336=6,'Items sous domaines Sciences '!B336,0)</f>
        <v>0</v>
      </c>
      <c r="C334" s="8">
        <f>IF('Items sous domaines Sciences '!G336=6,'Items sous domaines Sciences '!C336,0)</f>
        <v>0</v>
      </c>
      <c r="D334" s="8">
        <f>IF('Items sous domaines Sciences '!G336=6,'Items sous domaines Sciences '!D336,0)</f>
        <v>0</v>
      </c>
      <c r="E334" s="8">
        <f>IF('Items sous domaines Sciences '!G336=6,'Items sous domaines Sciences '!E336,0)</f>
        <v>0</v>
      </c>
      <c r="F334" s="380"/>
      <c r="G334" s="17"/>
    </row>
    <row r="335" spans="1:7" customFormat="1" ht="13.5" hidden="1" customHeight="1" thickBot="1" x14ac:dyDescent="0.3">
      <c r="A335" s="499"/>
      <c r="B335" s="8">
        <f>IF('Items sous domaines Sciences '!G337=6,'Items sous domaines Sciences '!B337,0)</f>
        <v>0</v>
      </c>
      <c r="C335" s="8">
        <f>IF('Items sous domaines Sciences '!G337=6,'Items sous domaines Sciences '!C337,0)</f>
        <v>0</v>
      </c>
      <c r="D335" s="8">
        <f>IF('Items sous domaines Sciences '!G337=6,'Items sous domaines Sciences '!D337,0)</f>
        <v>0</v>
      </c>
      <c r="E335" s="8">
        <f>IF('Items sous domaines Sciences '!G337=6,'Items sous domaines Sciences '!E337,0)</f>
        <v>0</v>
      </c>
      <c r="F335" s="380"/>
      <c r="G335" s="17"/>
    </row>
    <row r="336" spans="1:7" customFormat="1" ht="13.5" hidden="1" customHeight="1" thickBot="1" x14ac:dyDescent="0.3">
      <c r="A336" s="499"/>
      <c r="B336" s="8">
        <f>IF('Items sous domaines Sciences '!G338=6,'Items sous domaines Sciences '!B338,0)</f>
        <v>0</v>
      </c>
      <c r="C336" s="8">
        <f>IF('Items sous domaines Sciences '!G338=6,'Items sous domaines Sciences '!C338,0)</f>
        <v>0</v>
      </c>
      <c r="D336" s="8">
        <f>IF('Items sous domaines Sciences '!G338=6,'Items sous domaines Sciences '!D338,0)</f>
        <v>0</v>
      </c>
      <c r="E336" s="8">
        <f>IF('Items sous domaines Sciences '!G338=6,'Items sous domaines Sciences '!E338,0)</f>
        <v>0</v>
      </c>
      <c r="F336" s="380"/>
      <c r="G336" s="17"/>
    </row>
    <row r="337" spans="1:7" customFormat="1" ht="17.399999999999999" hidden="1" customHeight="1" thickBot="1" x14ac:dyDescent="0.3">
      <c r="A337" s="499"/>
      <c r="B337" s="8">
        <f>IF('Items sous domaines Sciences '!G339=6,'Items sous domaines Sciences '!B339,0)</f>
        <v>0</v>
      </c>
      <c r="C337" s="8">
        <f>IF('Items sous domaines Sciences '!G339=6,'Items sous domaines Sciences '!C339,0)</f>
        <v>0</v>
      </c>
      <c r="D337" s="8">
        <f>IF('Items sous domaines Sciences '!G339=6,'Items sous domaines Sciences '!D339,0)</f>
        <v>0</v>
      </c>
      <c r="E337" s="8">
        <f>IF('Items sous domaines Sciences '!G339=6,'Items sous domaines Sciences '!E339,0)</f>
        <v>0</v>
      </c>
      <c r="F337" s="380"/>
      <c r="G337" s="17"/>
    </row>
    <row r="338" spans="1:7" customFormat="1" ht="17.399999999999999" hidden="1" customHeight="1" thickBot="1" x14ac:dyDescent="0.3">
      <c r="A338" s="499"/>
      <c r="B338" s="8">
        <f>IF('Items sous domaines Sciences '!G340=6,'Items sous domaines Sciences '!B340,0)</f>
        <v>0</v>
      </c>
      <c r="C338" s="8">
        <f>IF('Items sous domaines Sciences '!G340=6,'Items sous domaines Sciences '!C340,0)</f>
        <v>0</v>
      </c>
      <c r="D338" s="8">
        <f>IF('Items sous domaines Sciences '!G340=6,'Items sous domaines Sciences '!D340,0)</f>
        <v>0</v>
      </c>
      <c r="E338" s="8">
        <f>IF('Items sous domaines Sciences '!G340=6,'Items sous domaines Sciences '!E340,0)</f>
        <v>0</v>
      </c>
      <c r="F338" s="199"/>
      <c r="G338" s="17"/>
    </row>
    <row r="339" spans="1:7" customFormat="1" ht="17.399999999999999" hidden="1" customHeight="1" thickBot="1" x14ac:dyDescent="0.3">
      <c r="A339" s="499"/>
      <c r="B339" s="8">
        <f>IF('Items sous domaines Sciences '!G341=6,'Items sous domaines Sciences '!B341,0)</f>
        <v>0</v>
      </c>
      <c r="C339" s="8">
        <f>IF('Items sous domaines Sciences '!G341=6,'Items sous domaines Sciences '!C341,0)</f>
        <v>0</v>
      </c>
      <c r="D339" s="8">
        <f>IF('Items sous domaines Sciences '!G341=6,'Items sous domaines Sciences '!D341,0)</f>
        <v>0</v>
      </c>
      <c r="E339" s="8">
        <f>IF('Items sous domaines Sciences '!G341=6,'Items sous domaines Sciences '!E341,0)</f>
        <v>0</v>
      </c>
      <c r="F339" s="199"/>
      <c r="G339" s="17"/>
    </row>
    <row r="340" spans="1:7" customFormat="1" ht="17.399999999999999" hidden="1" customHeight="1" thickBot="1" x14ac:dyDescent="0.3">
      <c r="A340" s="499"/>
      <c r="B340" s="8">
        <f>IF('Items sous domaines Sciences '!G342=6,'Items sous domaines Sciences '!B342,0)</f>
        <v>0</v>
      </c>
      <c r="C340" s="8">
        <f>IF('Items sous domaines Sciences '!G342=6,'Items sous domaines Sciences '!C342,0)</f>
        <v>0</v>
      </c>
      <c r="D340" s="8">
        <f>IF('Items sous domaines Sciences '!G342=6,'Items sous domaines Sciences '!D342,0)</f>
        <v>0</v>
      </c>
      <c r="E340" s="8">
        <f>IF('Items sous domaines Sciences '!G342=6,'Items sous domaines Sciences '!E342,0)</f>
        <v>0</v>
      </c>
      <c r="F340" s="199"/>
      <c r="G340" s="17"/>
    </row>
    <row r="341" spans="1:7" customFormat="1" ht="17.399999999999999" hidden="1" customHeight="1" thickBot="1" x14ac:dyDescent="0.3">
      <c r="A341" s="499"/>
      <c r="B341" s="8">
        <f>IF('Items sous domaines Sciences '!G343=6,'Items sous domaines Sciences '!B343,0)</f>
        <v>0</v>
      </c>
      <c r="C341" s="8">
        <f>IF('Items sous domaines Sciences '!G343=6,'Items sous domaines Sciences '!C343,0)</f>
        <v>0</v>
      </c>
      <c r="D341" s="8">
        <f>IF('Items sous domaines Sciences '!G343=6,'Items sous domaines Sciences '!D343,0)</f>
        <v>0</v>
      </c>
      <c r="E341" s="8">
        <f>IF('Items sous domaines Sciences '!G343=6,'Items sous domaines Sciences '!E343,0)</f>
        <v>0</v>
      </c>
      <c r="F341" s="199"/>
      <c r="G341" s="17"/>
    </row>
    <row r="342" spans="1:7" customFormat="1" ht="17.399999999999999" hidden="1" customHeight="1" thickBot="1" x14ac:dyDescent="0.3">
      <c r="A342" s="15"/>
      <c r="B342" s="8">
        <f>IF('Items sous domaines Sciences '!G344=6,'Items sous domaines Sciences '!B344,0)</f>
        <v>0</v>
      </c>
      <c r="C342" s="8">
        <f>IF('Items sous domaines Sciences '!G344=6,'Items sous domaines Sciences '!C344,0)</f>
        <v>0</v>
      </c>
      <c r="D342" s="8">
        <f>IF('Items sous domaines Sciences '!G344=6,'Items sous domaines Sciences '!D344,0)</f>
        <v>0</v>
      </c>
      <c r="E342" s="8">
        <f>IF('Items sous domaines Sciences '!G344=6,'Items sous domaines Sciences '!E344,0)</f>
        <v>0</v>
      </c>
      <c r="F342" t="e">
        <f>IF('Items sous domaines Sciences '!#REF!=6,'Items sous domaines Sciences '!#REF!,0)</f>
        <v>#REF!</v>
      </c>
    </row>
    <row r="343" spans="1:7" customFormat="1" ht="17.399999999999999" hidden="1" customHeight="1" thickBot="1" x14ac:dyDescent="0.3">
      <c r="A343" s="14"/>
      <c r="B343" s="8">
        <f>IF('Items sous domaines Sciences '!G345=6,'Items sous domaines Sciences '!B345,0)</f>
        <v>0</v>
      </c>
      <c r="C343" s="8">
        <f>IF('Items sous domaines Sciences '!G345=6,'Items sous domaines Sciences '!C345,0)</f>
        <v>0</v>
      </c>
      <c r="D343" s="8">
        <f>IF('Items sous domaines Sciences '!G345=6,'Items sous domaines Sciences '!D345,0)</f>
        <v>0</v>
      </c>
      <c r="E343" s="8">
        <f>IF('Items sous domaines Sciences '!G345=6,'Items sous domaines Sciences '!E345,0)</f>
        <v>0</v>
      </c>
      <c r="F343" t="e">
        <f>IF('Items sous domaines Sciences '!#REF!=6,'Items sous domaines Sciences '!#REF!,0)</f>
        <v>#REF!</v>
      </c>
    </row>
    <row r="344" spans="1:7" customFormat="1" ht="17.399999999999999" hidden="1" customHeight="1" thickBot="1" x14ac:dyDescent="0.3">
      <c r="A344" s="19"/>
      <c r="B344" s="8">
        <f>IF('Items sous domaines Sciences '!G346=6,'Items sous domaines Sciences '!B346,0)</f>
        <v>0</v>
      </c>
      <c r="C344" s="8">
        <f>IF('Items sous domaines Sciences '!G346=6,'Items sous domaines Sciences '!C346,0)</f>
        <v>0</v>
      </c>
      <c r="D344" s="8">
        <f>IF('Items sous domaines Sciences '!G346=6,'Items sous domaines Sciences '!D346,0)</f>
        <v>0</v>
      </c>
      <c r="E344" s="8">
        <f>IF('Items sous domaines Sciences '!G346=6,'Items sous domaines Sciences '!E346,0)</f>
        <v>0</v>
      </c>
      <c r="F344" t="e">
        <f>IF('Items sous domaines Sciences '!#REF!=6,'Items sous domaines Sciences '!#REF!,0)</f>
        <v>#REF!</v>
      </c>
    </row>
    <row r="345" spans="1:7" customFormat="1" ht="17.399999999999999" hidden="1" customHeight="1" thickBot="1" x14ac:dyDescent="0.3">
      <c r="A345" s="19"/>
      <c r="B345" s="8">
        <f>IF('Items sous domaines Sciences '!G347=6,'Items sous domaines Sciences '!B347,0)</f>
        <v>0</v>
      </c>
      <c r="C345" s="8">
        <f>IF('Items sous domaines Sciences '!G347=6,'Items sous domaines Sciences '!C347,0)</f>
        <v>0</v>
      </c>
      <c r="D345" s="8">
        <f>IF('Items sous domaines Sciences '!G347=6,'Items sous domaines Sciences '!D347,0)</f>
        <v>0</v>
      </c>
      <c r="E345" s="8">
        <f>IF('Items sous domaines Sciences '!G347=6,'Items sous domaines Sciences '!E347,0)</f>
        <v>0</v>
      </c>
      <c r="F345" t="e">
        <f>IF('Items sous domaines Sciences '!#REF!=6,'Items sous domaines Sciences '!#REF!,0)</f>
        <v>#REF!</v>
      </c>
    </row>
    <row r="346" spans="1:7" customFormat="1" ht="17.399999999999999" hidden="1" customHeight="1" thickBot="1" x14ac:dyDescent="0.3">
      <c r="A346" s="19"/>
      <c r="B346" s="8">
        <f>IF('Items sous domaines Sciences '!G348=6,'Items sous domaines Sciences '!B348,0)</f>
        <v>0</v>
      </c>
      <c r="C346" s="8">
        <f>IF('Items sous domaines Sciences '!G348=6,'Items sous domaines Sciences '!C348,0)</f>
        <v>0</v>
      </c>
      <c r="D346" s="8">
        <f>IF('Items sous domaines Sciences '!G348=6,'Items sous domaines Sciences '!D348,0)</f>
        <v>0</v>
      </c>
      <c r="E346" s="8">
        <f>IF('Items sous domaines Sciences '!G348=6,'Items sous domaines Sciences '!E348,0)</f>
        <v>0</v>
      </c>
      <c r="F346" t="e">
        <f>IF('Items sous domaines Sciences '!#REF!=6,'Items sous domaines Sciences '!#REF!,0)</f>
        <v>#REF!</v>
      </c>
    </row>
    <row r="347" spans="1:7" customFormat="1" ht="17.399999999999999" hidden="1" customHeight="1" thickBot="1" x14ac:dyDescent="0.3">
      <c r="A347" s="19"/>
      <c r="B347" s="8">
        <f>IF('Items sous domaines Sciences '!G349=6,'Items sous domaines Sciences '!B349,0)</f>
        <v>0</v>
      </c>
      <c r="C347" s="8">
        <f>IF('Items sous domaines Sciences '!G349=6,'Items sous domaines Sciences '!C349,0)</f>
        <v>0</v>
      </c>
      <c r="D347" s="8">
        <f>IF('Items sous domaines Sciences '!G349=6,'Items sous domaines Sciences '!D349,0)</f>
        <v>0</v>
      </c>
      <c r="E347" s="8">
        <f>IF('Items sous domaines Sciences '!G349=6,'Items sous domaines Sciences '!E349,0)</f>
        <v>0</v>
      </c>
      <c r="F347" t="e">
        <f>IF('Items sous domaines Sciences '!#REF!=6,'Items sous domaines Sciences '!#REF!,0)</f>
        <v>#REF!</v>
      </c>
    </row>
    <row r="348" spans="1:7" customFormat="1" ht="13.2" hidden="1" x14ac:dyDescent="0.25">
      <c r="A348" s="19"/>
      <c r="B348" s="8">
        <f>IF('Items sous domaines Sciences '!G350=6,'Items sous domaines Sciences '!B350,0)</f>
        <v>0</v>
      </c>
      <c r="C348" s="8">
        <f>IF('Items sous domaines Sciences '!G350=6,'Items sous domaines Sciences '!C350,0)</f>
        <v>0</v>
      </c>
      <c r="D348" s="8">
        <f>IF('Items sous domaines Sciences '!G350=6,'Items sous domaines Sciences '!D350,0)</f>
        <v>0</v>
      </c>
      <c r="E348" s="8">
        <f>IF('Items sous domaines Sciences '!G350=6,'Items sous domaines Sciences '!E350,0)</f>
        <v>0</v>
      </c>
      <c r="F348" t="e">
        <f>IF('Items sous domaines Sciences '!#REF!=6,'Items sous domaines Sciences '!#REF!,0)</f>
        <v>#REF!</v>
      </c>
    </row>
    <row r="349" spans="1:7" customFormat="1" ht="13.2" hidden="1" x14ac:dyDescent="0.25">
      <c r="A349" s="19"/>
      <c r="B349" s="8">
        <f>IF('Items sous domaines Sciences '!G351=6,'Items sous domaines Sciences '!B351,0)</f>
        <v>0</v>
      </c>
      <c r="C349" s="8">
        <f>IF('Items sous domaines Sciences '!G351=6,'Items sous domaines Sciences '!C351,0)</f>
        <v>0</v>
      </c>
      <c r="D349" s="8">
        <f>IF('Items sous domaines Sciences '!G351=6,'Items sous domaines Sciences '!D351,0)</f>
        <v>0</v>
      </c>
      <c r="E349" s="8">
        <f>IF('Items sous domaines Sciences '!G351=6,'Items sous domaines Sciences '!E351,0)</f>
        <v>0</v>
      </c>
      <c r="F349" t="e">
        <f>IF('Items sous domaines Sciences '!#REF!=6,'Items sous domaines Sciences '!#REF!,0)</f>
        <v>#REF!</v>
      </c>
    </row>
    <row r="350" spans="1:7" customFormat="1" ht="13.2" hidden="1" x14ac:dyDescent="0.25">
      <c r="A350" s="19"/>
      <c r="B350" s="8">
        <f>IF('Items sous domaines Sciences '!G352=6,'Items sous domaines Sciences '!B352,0)</f>
        <v>0</v>
      </c>
      <c r="C350" s="8">
        <f>IF('Items sous domaines Sciences '!G352=6,'Items sous domaines Sciences '!C352,0)</f>
        <v>0</v>
      </c>
      <c r="D350" s="8">
        <f>IF('Items sous domaines Sciences '!G352=6,'Items sous domaines Sciences '!D352,0)</f>
        <v>0</v>
      </c>
      <c r="E350" s="8">
        <f>IF('Items sous domaines Sciences '!G352=6,'Items sous domaines Sciences '!E352,0)</f>
        <v>0</v>
      </c>
      <c r="F350" t="e">
        <f>IF('Items sous domaines Sciences '!#REF!=6,'Items sous domaines Sciences '!#REF!,0)</f>
        <v>#REF!</v>
      </c>
    </row>
    <row r="351" spans="1:7" customFormat="1" ht="13.2" hidden="1" x14ac:dyDescent="0.25">
      <c r="A351" s="19"/>
      <c r="B351" s="8">
        <f>IF('Items sous domaines Sciences '!G353=6,'Items sous domaines Sciences '!B353,0)</f>
        <v>0</v>
      </c>
      <c r="C351" s="8">
        <f>IF('Items sous domaines Sciences '!G353=6,'Items sous domaines Sciences '!C353,0)</f>
        <v>0</v>
      </c>
      <c r="D351" s="8">
        <f>IF('Items sous domaines Sciences '!G353=6,'Items sous domaines Sciences '!D353,0)</f>
        <v>0</v>
      </c>
      <c r="E351" s="8">
        <f>IF('Items sous domaines Sciences '!G353=6,'Items sous domaines Sciences '!E353,0)</f>
        <v>0</v>
      </c>
      <c r="F351" t="e">
        <f>IF('Items sous domaines Sciences '!#REF!=6,'Items sous domaines Sciences '!#REF!,0)</f>
        <v>#REF!</v>
      </c>
    </row>
    <row r="352" spans="1:7" customFormat="1" ht="13.2" hidden="1" x14ac:dyDescent="0.25">
      <c r="A352" s="19"/>
      <c r="B352" s="8">
        <f>IF('Items sous domaines Sciences '!G354=6,'Items sous domaines Sciences '!B354,0)</f>
        <v>0</v>
      </c>
      <c r="C352" s="8">
        <f>IF('Items sous domaines Sciences '!G354=6,'Items sous domaines Sciences '!C354,0)</f>
        <v>0</v>
      </c>
      <c r="D352" s="8">
        <f>IF('Items sous domaines Sciences '!G354=6,'Items sous domaines Sciences '!D354,0)</f>
        <v>0</v>
      </c>
      <c r="E352" s="8">
        <f>IF('Items sous domaines Sciences '!G354=6,'Items sous domaines Sciences '!E354,0)</f>
        <v>0</v>
      </c>
      <c r="F352" t="e">
        <f>IF('Items sous domaines Sciences '!#REF!=6,'Items sous domaines Sciences '!#REF!,0)</f>
        <v>#REF!</v>
      </c>
    </row>
    <row r="353" spans="1:7" customFormat="1" ht="13.2" hidden="1" x14ac:dyDescent="0.25">
      <c r="A353" s="19"/>
      <c r="B353" s="8">
        <f>IF('Items sous domaines Sciences '!G355=6,'Items sous domaines Sciences '!B355,0)</f>
        <v>0</v>
      </c>
      <c r="C353" s="8">
        <f>IF('Items sous domaines Sciences '!G355=6,'Items sous domaines Sciences '!C355,0)</f>
        <v>0</v>
      </c>
      <c r="D353" s="8">
        <f>IF('Items sous domaines Sciences '!G355=6,'Items sous domaines Sciences '!D355,0)</f>
        <v>0</v>
      </c>
      <c r="E353" s="8">
        <f>IF('Items sous domaines Sciences '!G355=6,'Items sous domaines Sciences '!E355,0)</f>
        <v>0</v>
      </c>
      <c r="F353" t="e">
        <f>IF('Items sous domaines Sciences '!#REF!=6,'Items sous domaines Sciences '!#REF!,0)</f>
        <v>#REF!</v>
      </c>
    </row>
    <row r="354" spans="1:7" customFormat="1" ht="13.2" hidden="1" x14ac:dyDescent="0.25">
      <c r="A354" s="19"/>
      <c r="B354" s="8">
        <f>IF('Items sous domaines Sciences '!G356=6,'Items sous domaines Sciences '!B356,0)</f>
        <v>0</v>
      </c>
      <c r="C354" s="8">
        <f>IF('Items sous domaines Sciences '!G356=6,'Items sous domaines Sciences '!C356,0)</f>
        <v>0</v>
      </c>
      <c r="D354" s="8">
        <f>IF('Items sous domaines Sciences '!G356=6,'Items sous domaines Sciences '!D356,0)</f>
        <v>0</v>
      </c>
      <c r="E354" s="8">
        <f>IF('Items sous domaines Sciences '!G356=6,'Items sous domaines Sciences '!E356,0)</f>
        <v>0</v>
      </c>
      <c r="F354" t="e">
        <f>IF('Items sous domaines Sciences '!#REF!=6,'Items sous domaines Sciences '!#REF!,0)</f>
        <v>#REF!</v>
      </c>
    </row>
    <row r="355" spans="1:7" customFormat="1" ht="13.2" hidden="1" x14ac:dyDescent="0.25">
      <c r="A355" s="19"/>
      <c r="B355" s="8">
        <f>IF('Items sous domaines Sciences '!G357=6,'Items sous domaines Sciences '!B357,0)</f>
        <v>0</v>
      </c>
      <c r="C355" s="8">
        <f>IF('Items sous domaines Sciences '!G357=6,'Items sous domaines Sciences '!C357,0)</f>
        <v>0</v>
      </c>
      <c r="D355" s="8">
        <f>IF('Items sous domaines Sciences '!G357=6,'Items sous domaines Sciences '!D357,0)</f>
        <v>0</v>
      </c>
      <c r="E355" s="8">
        <f>IF('Items sous domaines Sciences '!G357=6,'Items sous domaines Sciences '!E357,0)</f>
        <v>0</v>
      </c>
      <c r="F355" t="e">
        <f>IF('Items sous domaines Sciences '!#REF!=6,'Items sous domaines Sciences '!#REF!,0)</f>
        <v>#REF!</v>
      </c>
    </row>
    <row r="356" spans="1:7" customFormat="1" ht="13.5" hidden="1" customHeight="1" thickBot="1" x14ac:dyDescent="0.3">
      <c r="A356" s="500" t="s">
        <v>450</v>
      </c>
      <c r="B356" s="8">
        <f>IF('Items sous domaines Sciences '!G358=6,'Items sous domaines Sciences '!B358,0)</f>
        <v>0</v>
      </c>
      <c r="C356" s="8">
        <f>IF('Items sous domaines Sciences '!G358=6,'Items sous domaines Sciences '!C358,0)</f>
        <v>0</v>
      </c>
      <c r="D356" s="8">
        <f>IF('Items sous domaines Sciences '!G358=6,'Items sous domaines Sciences '!D358,0)</f>
        <v>0</v>
      </c>
      <c r="E356" s="8">
        <f>IF('Items sous domaines Sciences '!G358=6,'Items sous domaines Sciences '!E358,0)</f>
        <v>0</v>
      </c>
      <c r="F356" s="339" t="s">
        <v>496</v>
      </c>
      <c r="G356" s="450" t="s">
        <v>452</v>
      </c>
    </row>
    <row r="357" spans="1:7" customFormat="1" ht="13.2" hidden="1" x14ac:dyDescent="0.25">
      <c r="A357" s="500"/>
      <c r="B357" s="8">
        <f>IF('Items sous domaines Sciences '!G359=6,'Items sous domaines Sciences '!B359,0)</f>
        <v>0</v>
      </c>
      <c r="C357" s="8">
        <f>IF('Items sous domaines Sciences '!G359=6,'Items sous domaines Sciences '!C359,0)</f>
        <v>0</v>
      </c>
      <c r="D357" s="8">
        <f>IF('Items sous domaines Sciences '!G359=6,'Items sous domaines Sciences '!D359,0)</f>
        <v>0</v>
      </c>
      <c r="E357" s="8">
        <f>IF('Items sous domaines Sciences '!G359=6,'Items sous domaines Sciences '!E359,0)</f>
        <v>0</v>
      </c>
      <c r="F357" s="340"/>
      <c r="G357" s="450"/>
    </row>
    <row r="358" spans="1:7" customFormat="1" ht="13.2" hidden="1" x14ac:dyDescent="0.25">
      <c r="A358" s="500"/>
      <c r="B358" s="8">
        <f>IF('Items sous domaines Sciences '!G360=6,'Items sous domaines Sciences '!B360,0)</f>
        <v>0</v>
      </c>
      <c r="C358" s="8">
        <f>IF('Items sous domaines Sciences '!G360=6,'Items sous domaines Sciences '!C360,0)</f>
        <v>0</v>
      </c>
      <c r="D358" s="8">
        <f>IF('Items sous domaines Sciences '!G360=6,'Items sous domaines Sciences '!D360,0)</f>
        <v>0</v>
      </c>
      <c r="E358" s="8">
        <f>IF('Items sous domaines Sciences '!G360=6,'Items sous domaines Sciences '!E360,0)</f>
        <v>0</v>
      </c>
      <c r="F358" s="340"/>
      <c r="G358" s="450"/>
    </row>
    <row r="359" spans="1:7" customFormat="1" ht="13.2" hidden="1" x14ac:dyDescent="0.25">
      <c r="A359" s="500"/>
      <c r="B359" s="8">
        <f>IF('Items sous domaines Sciences '!G361=6,'Items sous domaines Sciences '!B361,0)</f>
        <v>0</v>
      </c>
      <c r="C359" s="8">
        <f>IF('Items sous domaines Sciences '!G361=6,'Items sous domaines Sciences '!C361,0)</f>
        <v>0</v>
      </c>
      <c r="D359" s="8">
        <f>IF('Items sous domaines Sciences '!G361=6,'Items sous domaines Sciences '!D361,0)</f>
        <v>0</v>
      </c>
      <c r="E359" s="8">
        <f>IF('Items sous domaines Sciences '!G361=6,'Items sous domaines Sciences '!E361,0)</f>
        <v>0</v>
      </c>
      <c r="F359" s="340"/>
      <c r="G359" s="450"/>
    </row>
    <row r="360" spans="1:7" customFormat="1" ht="13.2" hidden="1" x14ac:dyDescent="0.25">
      <c r="A360" s="500"/>
      <c r="B360" s="8">
        <f>IF('Items sous domaines Sciences '!G362=6,'Items sous domaines Sciences '!B362,0)</f>
        <v>0</v>
      </c>
      <c r="C360" s="8">
        <f>IF('Items sous domaines Sciences '!G362=6,'Items sous domaines Sciences '!C362,0)</f>
        <v>0</v>
      </c>
      <c r="D360" s="8">
        <f>IF('Items sous domaines Sciences '!G362=6,'Items sous domaines Sciences '!D362,0)</f>
        <v>0</v>
      </c>
      <c r="E360" s="8">
        <f>IF('Items sous domaines Sciences '!G362=6,'Items sous domaines Sciences '!E362,0)</f>
        <v>0</v>
      </c>
      <c r="F360" s="340"/>
      <c r="G360" s="450"/>
    </row>
    <row r="361" spans="1:7" customFormat="1" ht="13.8" hidden="1" thickBot="1" x14ac:dyDescent="0.3">
      <c r="A361" s="501"/>
      <c r="B361" s="8">
        <f>IF('Items sous domaines Sciences '!G363=6,'Items sous domaines Sciences '!B363,0)</f>
        <v>0</v>
      </c>
      <c r="C361" s="8">
        <f>IF('Items sous domaines Sciences '!G363=6,'Items sous domaines Sciences '!C363,0)</f>
        <v>0</v>
      </c>
      <c r="D361" s="8">
        <f>IF('Items sous domaines Sciences '!G363=6,'Items sous domaines Sciences '!D363,0)</f>
        <v>0</v>
      </c>
      <c r="E361" s="8">
        <f>IF('Items sous domaines Sciences '!G363=6,'Items sous domaines Sciences '!E363,0)</f>
        <v>0</v>
      </c>
      <c r="F361" s="340"/>
      <c r="G361" s="450"/>
    </row>
    <row r="362" spans="1:7" customFormat="1" ht="12.75" hidden="1" customHeight="1" thickBot="1" x14ac:dyDescent="0.3">
      <c r="A362" s="18" t="s">
        <v>497</v>
      </c>
      <c r="B362" s="8">
        <f>IF('Items sous domaines Sciences '!G364=6,'Items sous domaines Sciences '!B364,0)</f>
        <v>0</v>
      </c>
      <c r="C362" s="8">
        <f>IF('Items sous domaines Sciences '!G364=6,'Items sous domaines Sciences '!C364,0)</f>
        <v>0</v>
      </c>
      <c r="D362" s="8">
        <f>IF('Items sous domaines Sciences '!G364=6,'Items sous domaines Sciences '!D364,0)</f>
        <v>0</v>
      </c>
      <c r="E362" s="8">
        <f>IF('Items sous domaines Sciences '!G364=6,'Items sous domaines Sciences '!E364,0)</f>
        <v>0</v>
      </c>
      <c r="F362" s="341"/>
      <c r="G362" s="450"/>
    </row>
    <row r="363" spans="1:7" customFormat="1" ht="13.5" hidden="1" customHeight="1" thickBot="1" x14ac:dyDescent="0.3">
      <c r="A363" s="16" t="s">
        <v>498</v>
      </c>
      <c r="B363" s="8">
        <f>IF('Items sous domaines Sciences '!G365=6,'Items sous domaines Sciences '!B365,0)</f>
        <v>0</v>
      </c>
      <c r="C363" s="8">
        <f>IF('Items sous domaines Sciences '!G365=6,'Items sous domaines Sciences '!C365,0)</f>
        <v>0</v>
      </c>
      <c r="D363" s="8">
        <f>IF('Items sous domaines Sciences '!G365=6,'Items sous domaines Sciences '!D365,0)</f>
        <v>0</v>
      </c>
      <c r="E363" s="8">
        <f>IF('Items sous domaines Sciences '!G365=6,'Items sous domaines Sciences '!E365,0)</f>
        <v>0</v>
      </c>
      <c r="F363" s="411"/>
      <c r="G363" s="450"/>
    </row>
    <row r="364" spans="1:7" customFormat="1" ht="13.5" hidden="1" customHeight="1" thickBot="1" x14ac:dyDescent="0.3">
      <c r="A364" s="16"/>
      <c r="B364" s="8">
        <f>IF('Items sous domaines Sciences '!G366=6,'Items sous domaines Sciences '!B366,0)</f>
        <v>0</v>
      </c>
      <c r="C364" s="8">
        <f>IF('Items sous domaines Sciences '!G366=6,'Items sous domaines Sciences '!C366,0)</f>
        <v>0</v>
      </c>
      <c r="D364" s="8">
        <f>IF('Items sous domaines Sciences '!G366=6,'Items sous domaines Sciences '!D366,0)</f>
        <v>0</v>
      </c>
      <c r="E364" s="8">
        <f>IF('Items sous domaines Sciences '!G366=6,'Items sous domaines Sciences '!E366,0)</f>
        <v>0</v>
      </c>
      <c r="F364" s="411"/>
      <c r="G364" s="450"/>
    </row>
    <row r="365" spans="1:7" customFormat="1" ht="13.5" hidden="1" customHeight="1" thickBot="1" x14ac:dyDescent="0.3">
      <c r="A365" s="16"/>
      <c r="B365" s="8">
        <f>IF('Items sous domaines Sciences '!G367=6,'Items sous domaines Sciences '!B367,0)</f>
        <v>0</v>
      </c>
      <c r="C365" s="8">
        <f>IF('Items sous domaines Sciences '!G367=6,'Items sous domaines Sciences '!C367,0)</f>
        <v>0</v>
      </c>
      <c r="D365" s="8">
        <f>IF('Items sous domaines Sciences '!G367=6,'Items sous domaines Sciences '!D367,0)</f>
        <v>0</v>
      </c>
      <c r="E365" s="8">
        <f>IF('Items sous domaines Sciences '!G367=6,'Items sous domaines Sciences '!E367,0)</f>
        <v>0</v>
      </c>
      <c r="F365" s="411"/>
      <c r="G365" s="450"/>
    </row>
    <row r="366" spans="1:7" customFormat="1" ht="13.5" hidden="1" customHeight="1" thickBot="1" x14ac:dyDescent="0.3">
      <c r="A366" s="16"/>
      <c r="B366" s="8">
        <f>IF('Items sous domaines Sciences '!G368=6,'Items sous domaines Sciences '!B368,0)</f>
        <v>0</v>
      </c>
      <c r="C366" s="8">
        <f>IF('Items sous domaines Sciences '!G368=6,'Items sous domaines Sciences '!C368,0)</f>
        <v>0</v>
      </c>
      <c r="D366" s="8">
        <f>IF('Items sous domaines Sciences '!G368=6,'Items sous domaines Sciences '!D368,0)</f>
        <v>0</v>
      </c>
      <c r="E366" s="8">
        <f>IF('Items sous domaines Sciences '!G368=6,'Items sous domaines Sciences '!E368,0)</f>
        <v>0</v>
      </c>
      <c r="F366" s="411"/>
      <c r="G366" s="450"/>
    </row>
    <row r="367" spans="1:7" customFormat="1" ht="13.5" hidden="1" customHeight="1" thickBot="1" x14ac:dyDescent="0.3">
      <c r="A367" s="16"/>
      <c r="B367" s="8">
        <f>IF('Items sous domaines Sciences '!G369=6,'Items sous domaines Sciences '!B369,0)</f>
        <v>0</v>
      </c>
      <c r="C367" s="8">
        <f>IF('Items sous domaines Sciences '!G369=6,'Items sous domaines Sciences '!C369,0)</f>
        <v>0</v>
      </c>
      <c r="D367" s="8">
        <f>IF('Items sous domaines Sciences '!G369=6,'Items sous domaines Sciences '!D369,0)</f>
        <v>0</v>
      </c>
      <c r="E367" s="8">
        <f>IF('Items sous domaines Sciences '!G369=6,'Items sous domaines Sciences '!E369,0)</f>
        <v>0</v>
      </c>
      <c r="F367" s="411"/>
      <c r="G367" s="450"/>
    </row>
    <row r="368" spans="1:7" customFormat="1" ht="13.5" hidden="1" customHeight="1" thickBot="1" x14ac:dyDescent="0.3">
      <c r="A368" s="16"/>
      <c r="B368" s="8">
        <f>IF('Items sous domaines Sciences '!G370=6,'Items sous domaines Sciences '!B370,0)</f>
        <v>0</v>
      </c>
      <c r="C368" s="8">
        <f>IF('Items sous domaines Sciences '!G370=6,'Items sous domaines Sciences '!C370,0)</f>
        <v>0</v>
      </c>
      <c r="D368" s="8">
        <f>IF('Items sous domaines Sciences '!G370=6,'Items sous domaines Sciences '!D370,0)</f>
        <v>0</v>
      </c>
      <c r="E368" s="8">
        <f>IF('Items sous domaines Sciences '!G370=6,'Items sous domaines Sciences '!E370,0)</f>
        <v>0</v>
      </c>
      <c r="F368" s="411"/>
      <c r="G368" s="450"/>
    </row>
    <row r="369" spans="1:7" customFormat="1" ht="13.5" hidden="1" customHeight="1" thickBot="1" x14ac:dyDescent="0.3">
      <c r="A369" s="16"/>
      <c r="B369" s="8">
        <f>IF('Items sous domaines Sciences '!G371=6,'Items sous domaines Sciences '!B371,0)</f>
        <v>0</v>
      </c>
      <c r="C369" s="8">
        <f>IF('Items sous domaines Sciences '!G371=6,'Items sous domaines Sciences '!C371,0)</f>
        <v>0</v>
      </c>
      <c r="D369" s="8">
        <f>IF('Items sous domaines Sciences '!G371=6,'Items sous domaines Sciences '!D371,0)</f>
        <v>0</v>
      </c>
      <c r="E369" s="8">
        <f>IF('Items sous domaines Sciences '!G371=6,'Items sous domaines Sciences '!E371,0)</f>
        <v>0</v>
      </c>
      <c r="F369" s="411"/>
      <c r="G369" s="450"/>
    </row>
    <row r="370" spans="1:7" customFormat="1" ht="13.5" hidden="1" customHeight="1" thickBot="1" x14ac:dyDescent="0.3">
      <c r="A370" s="16"/>
      <c r="B370" s="8">
        <f>IF('Items sous domaines Sciences '!G372=6,'Items sous domaines Sciences '!B372,0)</f>
        <v>0</v>
      </c>
      <c r="C370" s="8">
        <f>IF('Items sous domaines Sciences '!G372=6,'Items sous domaines Sciences '!C372,0)</f>
        <v>0</v>
      </c>
      <c r="D370" s="8">
        <f>IF('Items sous domaines Sciences '!G372=6,'Items sous domaines Sciences '!D372,0)</f>
        <v>0</v>
      </c>
      <c r="E370" s="8">
        <f>IF('Items sous domaines Sciences '!G372=6,'Items sous domaines Sciences '!E372,0)</f>
        <v>0</v>
      </c>
      <c r="F370" s="411"/>
      <c r="G370" s="450"/>
    </row>
    <row r="371" spans="1:7" customFormat="1" ht="13.5" hidden="1" customHeight="1" thickBot="1" x14ac:dyDescent="0.3">
      <c r="A371" s="16"/>
      <c r="B371" s="8">
        <f>IF('Items sous domaines Sciences '!G373=6,'Items sous domaines Sciences '!B373,0)</f>
        <v>0</v>
      </c>
      <c r="C371" s="8">
        <f>IF('Items sous domaines Sciences '!G373=6,'Items sous domaines Sciences '!C373,0)</f>
        <v>0</v>
      </c>
      <c r="D371" s="8">
        <f>IF('Items sous domaines Sciences '!G373=6,'Items sous domaines Sciences '!D373,0)</f>
        <v>0</v>
      </c>
      <c r="E371" s="8">
        <f>IF('Items sous domaines Sciences '!G373=6,'Items sous domaines Sciences '!E373,0)</f>
        <v>0</v>
      </c>
      <c r="F371" s="411"/>
      <c r="G371" s="450"/>
    </row>
    <row r="372" spans="1:7" customFormat="1" ht="13.5" hidden="1" customHeight="1" thickBot="1" x14ac:dyDescent="0.3">
      <c r="A372" s="460" t="s">
        <v>498</v>
      </c>
      <c r="B372" s="8">
        <f>IF('Items sous domaines Sciences '!G374=6,'Items sous domaines Sciences '!B374,0)</f>
        <v>0</v>
      </c>
      <c r="C372" s="8">
        <f>IF('Items sous domaines Sciences '!G374=6,'Items sous domaines Sciences '!C374,0)</f>
        <v>0</v>
      </c>
      <c r="D372" s="8">
        <f>IF('Items sous domaines Sciences '!G374=6,'Items sous domaines Sciences '!D374,0)</f>
        <v>0</v>
      </c>
      <c r="E372" s="8">
        <f>IF('Items sous domaines Sciences '!G374=6,'Items sous domaines Sciences '!E374,0)</f>
        <v>0</v>
      </c>
      <c r="F372" s="411"/>
      <c r="G372" s="450"/>
    </row>
    <row r="373" spans="1:7" customFormat="1" ht="13.2" hidden="1" x14ac:dyDescent="0.25">
      <c r="A373" s="399"/>
      <c r="B373" s="8">
        <f>IF('Items sous domaines Sciences '!G375=6,'Items sous domaines Sciences '!B375,0)</f>
        <v>0</v>
      </c>
      <c r="C373" s="8">
        <f>IF('Items sous domaines Sciences '!G375=6,'Items sous domaines Sciences '!C375,0)</f>
        <v>0</v>
      </c>
      <c r="D373" s="8">
        <f>IF('Items sous domaines Sciences '!G375=6,'Items sous domaines Sciences '!D375,0)</f>
        <v>0</v>
      </c>
      <c r="E373" s="8">
        <f>IF('Items sous domaines Sciences '!G375=6,'Items sous domaines Sciences '!E375,0)</f>
        <v>0</v>
      </c>
      <c r="F373" s="339"/>
      <c r="G373" s="450"/>
    </row>
    <row r="374" spans="1:7" customFormat="1" ht="13.2" hidden="1" x14ac:dyDescent="0.25">
      <c r="A374" s="400"/>
      <c r="B374" s="8">
        <f>IF('Items sous domaines Sciences '!G376=6,'Items sous domaines Sciences '!B376,0)</f>
        <v>0</v>
      </c>
      <c r="C374" s="8">
        <f>IF('Items sous domaines Sciences '!G376=6,'Items sous domaines Sciences '!C376,0)</f>
        <v>0</v>
      </c>
      <c r="D374" s="8">
        <f>IF('Items sous domaines Sciences '!G376=6,'Items sous domaines Sciences '!D376,0)</f>
        <v>0</v>
      </c>
      <c r="E374" s="8">
        <f>IF('Items sous domaines Sciences '!G376=6,'Items sous domaines Sciences '!E376,0)</f>
        <v>0</v>
      </c>
      <c r="F374" s="340"/>
      <c r="G374" s="450"/>
    </row>
    <row r="375" spans="1:7" customFormat="1" ht="13.2" hidden="1" x14ac:dyDescent="0.25">
      <c r="A375" s="400"/>
      <c r="B375" s="8">
        <f>IF('Items sous domaines Sciences '!G377=6,'Items sous domaines Sciences '!B377,0)</f>
        <v>0</v>
      </c>
      <c r="C375" s="8">
        <f>IF('Items sous domaines Sciences '!G377=6,'Items sous domaines Sciences '!C377,0)</f>
        <v>0</v>
      </c>
      <c r="D375" s="8">
        <f>IF('Items sous domaines Sciences '!G377=6,'Items sous domaines Sciences '!D377,0)</f>
        <v>0</v>
      </c>
      <c r="E375" s="8">
        <f>IF('Items sous domaines Sciences '!G377=6,'Items sous domaines Sciences '!E377,0)</f>
        <v>0</v>
      </c>
      <c r="F375" s="340"/>
      <c r="G375" s="450"/>
    </row>
    <row r="376" spans="1:7" customFormat="1" ht="13.2" hidden="1" x14ac:dyDescent="0.25">
      <c r="A376" s="400"/>
      <c r="B376" s="8">
        <f>IF('Items sous domaines Sciences '!G378=6,'Items sous domaines Sciences '!B378,0)</f>
        <v>0</v>
      </c>
      <c r="C376" s="8">
        <f>IF('Items sous domaines Sciences '!G378=6,'Items sous domaines Sciences '!C378,0)</f>
        <v>0</v>
      </c>
      <c r="D376" s="8">
        <f>IF('Items sous domaines Sciences '!G378=6,'Items sous domaines Sciences '!D378,0)</f>
        <v>0</v>
      </c>
      <c r="E376" s="8">
        <f>IF('Items sous domaines Sciences '!G378=6,'Items sous domaines Sciences '!E378,0)</f>
        <v>0</v>
      </c>
      <c r="F376" s="340"/>
      <c r="G376" s="450"/>
    </row>
    <row r="377" spans="1:7" customFormat="1" ht="13.2" hidden="1" x14ac:dyDescent="0.25">
      <c r="A377" s="400"/>
      <c r="B377" s="8">
        <f>IF('Items sous domaines Sciences '!G379=6,'Items sous domaines Sciences '!B379,0)</f>
        <v>0</v>
      </c>
      <c r="C377" s="8">
        <f>IF('Items sous domaines Sciences '!G379=6,'Items sous domaines Sciences '!C379,0)</f>
        <v>0</v>
      </c>
      <c r="D377" s="8">
        <f>IF('Items sous domaines Sciences '!G379=6,'Items sous domaines Sciences '!D379,0)</f>
        <v>0</v>
      </c>
      <c r="E377" s="8">
        <f>IF('Items sous domaines Sciences '!G379=6,'Items sous domaines Sciences '!E379,0)</f>
        <v>0</v>
      </c>
      <c r="F377" s="340"/>
      <c r="G377" s="450"/>
    </row>
    <row r="378" spans="1:7" customFormat="1" ht="13.5" hidden="1" customHeight="1" thickBot="1" x14ac:dyDescent="0.3">
      <c r="A378" s="401"/>
      <c r="B378" s="8">
        <f>IF('Items sous domaines Sciences '!G380=6,'Items sous domaines Sciences '!B380,0)</f>
        <v>0</v>
      </c>
      <c r="C378" s="8">
        <f>IF('Items sous domaines Sciences '!G380=6,'Items sous domaines Sciences '!C380,0)</f>
        <v>0</v>
      </c>
      <c r="D378" s="8">
        <f>IF('Items sous domaines Sciences '!G380=6,'Items sous domaines Sciences '!D380,0)</f>
        <v>0</v>
      </c>
      <c r="E378" s="8">
        <f>IF('Items sous domaines Sciences '!G380=6,'Items sous domaines Sciences '!E380,0)</f>
        <v>0</v>
      </c>
      <c r="F378" s="341"/>
      <c r="G378" s="450"/>
    </row>
    <row r="379" spans="1:7" customFormat="1" ht="13.5" hidden="1" customHeight="1" thickBot="1" x14ac:dyDescent="0.3">
      <c r="A379" s="460"/>
      <c r="B379" s="8">
        <f>IF('Items sous domaines Sciences '!G381=6,'Items sous domaines Sciences '!B381,0)</f>
        <v>0</v>
      </c>
      <c r="C379" s="8">
        <f>IF('Items sous domaines Sciences '!G381=6,'Items sous domaines Sciences '!C381,0)</f>
        <v>0</v>
      </c>
      <c r="D379" s="8">
        <f>IF('Items sous domaines Sciences '!G381=6,'Items sous domaines Sciences '!D381,0)</f>
        <v>0</v>
      </c>
      <c r="E379" s="8">
        <f>IF('Items sous domaines Sciences '!G381=6,'Items sous domaines Sciences '!E381,0)</f>
        <v>0</v>
      </c>
      <c r="F379" s="411"/>
      <c r="G379" s="450"/>
    </row>
    <row r="380" spans="1:7" customFormat="1" ht="13.5" hidden="1" customHeight="1" thickBot="1" x14ac:dyDescent="0.3">
      <c r="A380" s="460"/>
      <c r="B380" s="8">
        <f>IF('Items sous domaines Sciences '!G382=6,'Items sous domaines Sciences '!B382,0)</f>
        <v>0</v>
      </c>
      <c r="C380" s="8">
        <f>IF('Items sous domaines Sciences '!G382=6,'Items sous domaines Sciences '!C382,0)</f>
        <v>0</v>
      </c>
      <c r="D380" s="8">
        <f>IF('Items sous domaines Sciences '!G382=6,'Items sous domaines Sciences '!D382,0)</f>
        <v>0</v>
      </c>
      <c r="E380" s="8">
        <f>IF('Items sous domaines Sciences '!G382=6,'Items sous domaines Sciences '!E382,0)</f>
        <v>0</v>
      </c>
      <c r="F380" s="411"/>
      <c r="G380" s="450"/>
    </row>
    <row r="381" spans="1:7" customFormat="1" ht="13.2" hidden="1" x14ac:dyDescent="0.25">
      <c r="A381" s="399"/>
      <c r="B381" s="8">
        <f>IF('Items sous domaines Sciences '!G383=6,'Items sous domaines Sciences '!B383,0)</f>
        <v>0</v>
      </c>
      <c r="C381" s="8">
        <f>IF('Items sous domaines Sciences '!G383=6,'Items sous domaines Sciences '!C383,0)</f>
        <v>0</v>
      </c>
      <c r="D381" s="8">
        <f>IF('Items sous domaines Sciences '!G383=6,'Items sous domaines Sciences '!D383,0)</f>
        <v>0</v>
      </c>
      <c r="E381" s="8">
        <f>IF('Items sous domaines Sciences '!G383=6,'Items sous domaines Sciences '!E383,0)</f>
        <v>0</v>
      </c>
      <c r="F381" s="339"/>
      <c r="G381" s="450"/>
    </row>
    <row r="382" spans="1:7" customFormat="1" ht="13.2" hidden="1" x14ac:dyDescent="0.25">
      <c r="A382" s="400"/>
      <c r="B382" s="8">
        <f>IF('Items sous domaines Sciences '!G384=6,'Items sous domaines Sciences '!B384,0)</f>
        <v>0</v>
      </c>
      <c r="C382" s="8">
        <f>IF('Items sous domaines Sciences '!G384=6,'Items sous domaines Sciences '!C384,0)</f>
        <v>0</v>
      </c>
      <c r="D382" s="8">
        <f>IF('Items sous domaines Sciences '!G384=6,'Items sous domaines Sciences '!D384,0)</f>
        <v>0</v>
      </c>
      <c r="E382" s="8">
        <f>IF('Items sous domaines Sciences '!G384=6,'Items sous domaines Sciences '!E384,0)</f>
        <v>0</v>
      </c>
      <c r="F382" s="340"/>
      <c r="G382" s="450"/>
    </row>
    <row r="383" spans="1:7" customFormat="1" ht="13.2" hidden="1" x14ac:dyDescent="0.25">
      <c r="A383" s="400"/>
      <c r="B383" s="8">
        <f>IF('Items sous domaines Sciences '!G385=6,'Items sous domaines Sciences '!B385,0)</f>
        <v>0</v>
      </c>
      <c r="C383" s="8">
        <f>IF('Items sous domaines Sciences '!G385=6,'Items sous domaines Sciences '!C385,0)</f>
        <v>0</v>
      </c>
      <c r="D383" s="8">
        <f>IF('Items sous domaines Sciences '!G385=6,'Items sous domaines Sciences '!D385,0)</f>
        <v>0</v>
      </c>
      <c r="E383" s="8">
        <f>IF('Items sous domaines Sciences '!G385=6,'Items sous domaines Sciences '!E385,0)</f>
        <v>0</v>
      </c>
      <c r="F383" s="340"/>
      <c r="G383" s="450"/>
    </row>
    <row r="384" spans="1:7" customFormat="1" ht="13.2" hidden="1" x14ac:dyDescent="0.25">
      <c r="A384" s="399" t="s">
        <v>499</v>
      </c>
      <c r="B384" s="8">
        <f>IF('Items sous domaines Sciences '!G386=6,'Items sous domaines Sciences '!B386,0)</f>
        <v>0</v>
      </c>
      <c r="C384" s="8">
        <f>IF('Items sous domaines Sciences '!G386=6,'Items sous domaines Sciences '!C386,0)</f>
        <v>0</v>
      </c>
      <c r="D384" s="8">
        <f>IF('Items sous domaines Sciences '!G386=6,'Items sous domaines Sciences '!D386,0)</f>
        <v>0</v>
      </c>
      <c r="E384" s="8">
        <f>IF('Items sous domaines Sciences '!G386=6,'Items sous domaines Sciences '!E386,0)</f>
        <v>0</v>
      </c>
      <c r="F384" s="340"/>
      <c r="G384" s="450"/>
    </row>
    <row r="385" spans="1:7" customFormat="1" ht="13.2" hidden="1" x14ac:dyDescent="0.25">
      <c r="A385" s="400"/>
      <c r="B385" s="8">
        <f>IF('Items sous domaines Sciences '!G387=6,'Items sous domaines Sciences '!B387,0)</f>
        <v>0</v>
      </c>
      <c r="C385" s="8">
        <f>IF('Items sous domaines Sciences '!G387=6,'Items sous domaines Sciences '!C387,0)</f>
        <v>0</v>
      </c>
      <c r="D385" s="8">
        <f>IF('Items sous domaines Sciences '!G387=6,'Items sous domaines Sciences '!D387,0)</f>
        <v>0</v>
      </c>
      <c r="E385" s="8">
        <f>IF('Items sous domaines Sciences '!G387=6,'Items sous domaines Sciences '!E387,0)</f>
        <v>0</v>
      </c>
      <c r="F385" s="340"/>
      <c r="G385" s="450"/>
    </row>
    <row r="386" spans="1:7" customFormat="1" ht="13.2" hidden="1" x14ac:dyDescent="0.25">
      <c r="A386" s="400"/>
      <c r="B386" s="8">
        <f>IF('Items sous domaines Sciences '!G388=6,'Items sous domaines Sciences '!B388,0)</f>
        <v>0</v>
      </c>
      <c r="C386" s="8">
        <f>IF('Items sous domaines Sciences '!G388=6,'Items sous domaines Sciences '!C388,0)</f>
        <v>0</v>
      </c>
      <c r="D386" s="8">
        <f>IF('Items sous domaines Sciences '!G388=6,'Items sous domaines Sciences '!D388,0)</f>
        <v>0</v>
      </c>
      <c r="E386" s="8">
        <f>IF('Items sous domaines Sciences '!G388=6,'Items sous domaines Sciences '!E388,0)</f>
        <v>0</v>
      </c>
      <c r="F386" s="340"/>
      <c r="G386" s="450"/>
    </row>
    <row r="387" spans="1:7" customFormat="1" ht="13.2" hidden="1" x14ac:dyDescent="0.25">
      <c r="A387" s="400"/>
      <c r="B387" s="8">
        <f>IF('Items sous domaines Sciences '!G389=6,'Items sous domaines Sciences '!B389,0)</f>
        <v>0</v>
      </c>
      <c r="C387" s="8">
        <f>IF('Items sous domaines Sciences '!G389=6,'Items sous domaines Sciences '!C389,0)</f>
        <v>0</v>
      </c>
      <c r="D387" s="8">
        <f>IF('Items sous domaines Sciences '!G389=6,'Items sous domaines Sciences '!D389,0)</f>
        <v>0</v>
      </c>
      <c r="E387" s="8">
        <f>IF('Items sous domaines Sciences '!G389=6,'Items sous domaines Sciences '!E389,0)</f>
        <v>0</v>
      </c>
      <c r="F387" s="340"/>
      <c r="G387" s="450"/>
    </row>
    <row r="388" spans="1:7" customFormat="1" ht="13.2" hidden="1" x14ac:dyDescent="0.25">
      <c r="A388" s="400"/>
      <c r="B388" s="8">
        <f>IF('Items sous domaines Sciences '!G390=6,'Items sous domaines Sciences '!B390,0)</f>
        <v>0</v>
      </c>
      <c r="C388" s="8">
        <f>IF('Items sous domaines Sciences '!G390=6,'Items sous domaines Sciences '!C390,0)</f>
        <v>0</v>
      </c>
      <c r="D388" s="8">
        <f>IF('Items sous domaines Sciences '!G390=6,'Items sous domaines Sciences '!D390,0)</f>
        <v>0</v>
      </c>
      <c r="E388" s="8">
        <f>IF('Items sous domaines Sciences '!G390=6,'Items sous domaines Sciences '!E390,0)</f>
        <v>0</v>
      </c>
      <c r="F388" s="340"/>
      <c r="G388" s="450"/>
    </row>
    <row r="389" spans="1:7" customFormat="1" ht="13.2" hidden="1" x14ac:dyDescent="0.25">
      <c r="A389" s="400"/>
      <c r="B389" s="8">
        <f>IF('Items sous domaines Sciences '!G391=6,'Items sous domaines Sciences '!B391,0)</f>
        <v>0</v>
      </c>
      <c r="C389" s="8">
        <f>IF('Items sous domaines Sciences '!G391=6,'Items sous domaines Sciences '!C391,0)</f>
        <v>0</v>
      </c>
      <c r="D389" s="8">
        <f>IF('Items sous domaines Sciences '!G391=6,'Items sous domaines Sciences '!D391,0)</f>
        <v>0</v>
      </c>
      <c r="E389" s="8">
        <f>IF('Items sous domaines Sciences '!G391=6,'Items sous domaines Sciences '!E391,0)</f>
        <v>0</v>
      </c>
      <c r="F389" s="340"/>
      <c r="G389" s="450"/>
    </row>
    <row r="390" spans="1:7" customFormat="1" ht="13.2" hidden="1" x14ac:dyDescent="0.25">
      <c r="A390" s="400"/>
      <c r="B390" s="8">
        <f>IF('Items sous domaines Sciences '!G392=6,'Items sous domaines Sciences '!B392,0)</f>
        <v>0</v>
      </c>
      <c r="C390" s="8">
        <f>IF('Items sous domaines Sciences '!G392=6,'Items sous domaines Sciences '!C392,0)</f>
        <v>0</v>
      </c>
      <c r="D390" s="8">
        <f>IF('Items sous domaines Sciences '!G392=6,'Items sous domaines Sciences '!D392,0)</f>
        <v>0</v>
      </c>
      <c r="E390" s="8">
        <f>IF('Items sous domaines Sciences '!G392=6,'Items sous domaines Sciences '!E392,0)</f>
        <v>0</v>
      </c>
      <c r="F390" s="340"/>
      <c r="G390" s="450"/>
    </row>
    <row r="391" spans="1:7" customFormat="1" ht="13.2" hidden="1" x14ac:dyDescent="0.25">
      <c r="A391" s="400"/>
      <c r="B391" s="8">
        <f>IF('Items sous domaines Sciences '!G393=6,'Items sous domaines Sciences '!B393,0)</f>
        <v>0</v>
      </c>
      <c r="C391" s="8">
        <f>IF('Items sous domaines Sciences '!G393=6,'Items sous domaines Sciences '!C393,0)</f>
        <v>0</v>
      </c>
      <c r="D391" s="8">
        <f>IF('Items sous domaines Sciences '!G393=6,'Items sous domaines Sciences '!D393,0)</f>
        <v>0</v>
      </c>
      <c r="E391" s="8">
        <f>IF('Items sous domaines Sciences '!G393=6,'Items sous domaines Sciences '!E393,0)</f>
        <v>0</v>
      </c>
      <c r="F391" s="340"/>
      <c r="G391" s="450"/>
    </row>
    <row r="392" spans="1:7" customFormat="1" ht="13.2" hidden="1" x14ac:dyDescent="0.25">
      <c r="A392" s="400"/>
      <c r="B392" s="8">
        <f>IF('Items sous domaines Sciences '!G394=6,'Items sous domaines Sciences '!B394,0)</f>
        <v>0</v>
      </c>
      <c r="C392" s="8">
        <f>IF('Items sous domaines Sciences '!G394=6,'Items sous domaines Sciences '!C394,0)</f>
        <v>0</v>
      </c>
      <c r="D392" s="8">
        <f>IF('Items sous domaines Sciences '!G394=6,'Items sous domaines Sciences '!D394,0)</f>
        <v>0</v>
      </c>
      <c r="E392" s="8">
        <f>IF('Items sous domaines Sciences '!G394=6,'Items sous domaines Sciences '!E394,0)</f>
        <v>0</v>
      </c>
      <c r="F392" s="340"/>
      <c r="G392" s="450"/>
    </row>
    <row r="393" spans="1:7" customFormat="1" ht="13.8" hidden="1" thickBot="1" x14ac:dyDescent="0.3">
      <c r="A393" s="401"/>
      <c r="B393" s="8">
        <f>IF('Items sous domaines Sciences '!G395=6,'Items sous domaines Sciences '!B395,0)</f>
        <v>0</v>
      </c>
      <c r="C393" s="8">
        <f>IF('Items sous domaines Sciences '!G395=6,'Items sous domaines Sciences '!C395,0)</f>
        <v>0</v>
      </c>
      <c r="D393" s="8">
        <f>IF('Items sous domaines Sciences '!G395=6,'Items sous domaines Sciences '!D395,0)</f>
        <v>0</v>
      </c>
      <c r="E393" s="8">
        <f>IF('Items sous domaines Sciences '!G395=6,'Items sous domaines Sciences '!E395,0)</f>
        <v>0</v>
      </c>
      <c r="F393" s="341"/>
      <c r="G393" s="450"/>
    </row>
    <row r="394" spans="1:7" customFormat="1" ht="13.5" hidden="1" customHeight="1" thickBot="1" x14ac:dyDescent="0.3">
      <c r="B394" s="8">
        <f>IF('Items sous domaines Sciences '!G396=6,'Items sous domaines Sciences '!B396,0)</f>
        <v>0</v>
      </c>
      <c r="C394" s="8">
        <f>IF('Items sous domaines Sciences '!G396=6,'Items sous domaines Sciences '!C396,0)</f>
        <v>0</v>
      </c>
      <c r="D394" s="8">
        <f>IF('Items sous domaines Sciences '!G396=6,'Items sous domaines Sciences '!D396,0)</f>
        <v>0</v>
      </c>
      <c r="E394" s="8">
        <f>IF('Items sous domaines Sciences '!G396=6,'Items sous domaines Sciences '!E396,0)</f>
        <v>0</v>
      </c>
      <c r="F394" t="e">
        <f>IF('Items sous domaines Sciences '!#REF!=6,'Items sous domaines Sciences '!#REF!,0)</f>
        <v>#REF!</v>
      </c>
      <c r="G394" s="29"/>
    </row>
    <row r="395" spans="1:7" customFormat="1" ht="13.5" hidden="1" customHeight="1" thickBot="1" x14ac:dyDescent="0.3">
      <c r="B395" s="8">
        <f>IF('Items sous domaines Sciences '!G397=6,'Items sous domaines Sciences '!B397,0)</f>
        <v>0</v>
      </c>
      <c r="C395" s="8">
        <f>IF('Items sous domaines Sciences '!G397=6,'Items sous domaines Sciences '!C397,0)</f>
        <v>0</v>
      </c>
      <c r="D395" s="8">
        <f>IF('Items sous domaines Sciences '!G397=6,'Items sous domaines Sciences '!D397,0)</f>
        <v>0</v>
      </c>
      <c r="E395" s="8">
        <f>IF('Items sous domaines Sciences '!G397=6,'Items sous domaines Sciences '!E397,0)</f>
        <v>0</v>
      </c>
      <c r="F395" t="e">
        <f>IF('Items sous domaines Sciences '!#REF!=6,'Items sous domaines Sciences '!#REF!,0)</f>
        <v>#REF!</v>
      </c>
      <c r="G395" s="29"/>
    </row>
    <row r="396" spans="1:7" customFormat="1" ht="13.5" hidden="1" customHeight="1" thickBot="1" x14ac:dyDescent="0.3">
      <c r="B396" s="8">
        <f>IF('Items sous domaines Sciences '!G398=6,'Items sous domaines Sciences '!B398,0)</f>
        <v>0</v>
      </c>
      <c r="C396" s="8">
        <f>IF('Items sous domaines Sciences '!G398=6,'Items sous domaines Sciences '!C398,0)</f>
        <v>0</v>
      </c>
      <c r="D396" s="8">
        <f>IF('Items sous domaines Sciences '!G398=6,'Items sous domaines Sciences '!D398,0)</f>
        <v>0</v>
      </c>
      <c r="E396" s="8">
        <f>IF('Items sous domaines Sciences '!G398=6,'Items sous domaines Sciences '!E398,0)</f>
        <v>0</v>
      </c>
      <c r="F396" t="e">
        <f>IF('Items sous domaines Sciences '!#REF!=6,'Items sous domaines Sciences '!#REF!,0)</f>
        <v>#REF!</v>
      </c>
      <c r="G396" s="29"/>
    </row>
    <row r="397" spans="1:7" customFormat="1" ht="13.5" hidden="1" customHeight="1" thickBot="1" x14ac:dyDescent="0.3">
      <c r="A397" s="14"/>
      <c r="B397" s="8">
        <f>IF('Items sous domaines Sciences '!G399=6,'Items sous domaines Sciences '!B399,0)</f>
        <v>0</v>
      </c>
      <c r="C397" s="8">
        <f>IF('Items sous domaines Sciences '!G399=6,'Items sous domaines Sciences '!C399,0)</f>
        <v>0</v>
      </c>
      <c r="D397" s="8">
        <f>IF('Items sous domaines Sciences '!G399=6,'Items sous domaines Sciences '!D399,0)</f>
        <v>0</v>
      </c>
      <c r="E397" s="8">
        <f>IF('Items sous domaines Sciences '!G399=6,'Items sous domaines Sciences '!E399,0)</f>
        <v>0</v>
      </c>
      <c r="F397" t="e">
        <f>IF('Items sous domaines Sciences '!#REF!=6,'Items sous domaines Sciences '!#REF!,0)</f>
        <v>#REF!</v>
      </c>
      <c r="G397" s="29"/>
    </row>
    <row r="398" spans="1:7" customFormat="1" ht="13.2" hidden="1" x14ac:dyDescent="0.25">
      <c r="A398" s="502" t="s">
        <v>500</v>
      </c>
      <c r="B398" s="8">
        <f>IF('Items sous domaines Sciences '!G400=6,'Items sous domaines Sciences '!B400,0)</f>
        <v>0</v>
      </c>
      <c r="C398" s="8">
        <f>IF('Items sous domaines Sciences '!G400=6,'Items sous domaines Sciences '!C400,0)</f>
        <v>0</v>
      </c>
      <c r="D398" s="8">
        <f>IF('Items sous domaines Sciences '!G400=6,'Items sous domaines Sciences '!D400,0)</f>
        <v>0</v>
      </c>
      <c r="E398" s="8">
        <f>IF('Items sous domaines Sciences '!G400=6,'Items sous domaines Sciences '!E400,0)</f>
        <v>0</v>
      </c>
      <c r="F398" s="339" t="s">
        <v>501</v>
      </c>
      <c r="G398" s="458" t="s">
        <v>471</v>
      </c>
    </row>
    <row r="399" spans="1:7" customFormat="1" ht="13.2" hidden="1" x14ac:dyDescent="0.25">
      <c r="A399" s="503"/>
      <c r="B399" s="8">
        <f>IF('Items sous domaines Sciences '!G401=6,'Items sous domaines Sciences '!B401,0)</f>
        <v>0</v>
      </c>
      <c r="C399" s="8">
        <f>IF('Items sous domaines Sciences '!G401=6,'Items sous domaines Sciences '!C401,0)</f>
        <v>0</v>
      </c>
      <c r="D399" s="8">
        <f>IF('Items sous domaines Sciences '!G401=6,'Items sous domaines Sciences '!D401,0)</f>
        <v>0</v>
      </c>
      <c r="E399" s="8">
        <f>IF('Items sous domaines Sciences '!G401=6,'Items sous domaines Sciences '!E401,0)</f>
        <v>0</v>
      </c>
      <c r="F399" s="340"/>
      <c r="G399" s="458"/>
    </row>
    <row r="400" spans="1:7" customFormat="1" ht="13.2" hidden="1" x14ac:dyDescent="0.25">
      <c r="A400" s="503"/>
      <c r="B400" s="8">
        <f>IF('Items sous domaines Sciences '!G402=6,'Items sous domaines Sciences '!B402,0)</f>
        <v>0</v>
      </c>
      <c r="C400" s="8">
        <f>IF('Items sous domaines Sciences '!G402=6,'Items sous domaines Sciences '!C402,0)</f>
        <v>0</v>
      </c>
      <c r="D400" s="8">
        <f>IF('Items sous domaines Sciences '!G402=6,'Items sous domaines Sciences '!D402,0)</f>
        <v>0</v>
      </c>
      <c r="E400" s="8">
        <f>IF('Items sous domaines Sciences '!G402=6,'Items sous domaines Sciences '!E402,0)</f>
        <v>0</v>
      </c>
      <c r="F400" s="340"/>
      <c r="G400" s="458"/>
    </row>
    <row r="401" spans="1:7" customFormat="1" ht="13.2" hidden="1" x14ac:dyDescent="0.25">
      <c r="A401" s="503"/>
      <c r="B401" s="8">
        <f>IF('Items sous domaines Sciences '!G403=6,'Items sous domaines Sciences '!B403,0)</f>
        <v>0</v>
      </c>
      <c r="C401" s="8">
        <f>IF('Items sous domaines Sciences '!G403=6,'Items sous domaines Sciences '!C403,0)</f>
        <v>0</v>
      </c>
      <c r="D401" s="8">
        <f>IF('Items sous domaines Sciences '!G403=6,'Items sous domaines Sciences '!D403,0)</f>
        <v>0</v>
      </c>
      <c r="E401" s="8">
        <f>IF('Items sous domaines Sciences '!G403=6,'Items sous domaines Sciences '!E403,0)</f>
        <v>0</v>
      </c>
      <c r="F401" s="340"/>
      <c r="G401" s="458"/>
    </row>
    <row r="402" spans="1:7" customFormat="1" ht="13.2" hidden="1" x14ac:dyDescent="0.25">
      <c r="A402" s="503"/>
      <c r="B402" s="8">
        <f>IF('Items sous domaines Sciences '!G404=6,'Items sous domaines Sciences '!B404,0)</f>
        <v>0</v>
      </c>
      <c r="C402" s="8">
        <f>IF('Items sous domaines Sciences '!G404=6,'Items sous domaines Sciences '!C404,0)</f>
        <v>0</v>
      </c>
      <c r="D402" s="8">
        <f>IF('Items sous domaines Sciences '!G404=6,'Items sous domaines Sciences '!D404,0)</f>
        <v>0</v>
      </c>
      <c r="E402" s="8">
        <f>IF('Items sous domaines Sciences '!G404=6,'Items sous domaines Sciences '!E404,0)</f>
        <v>0</v>
      </c>
      <c r="F402" s="340"/>
      <c r="G402" s="458"/>
    </row>
    <row r="403" spans="1:7" customFormat="1" ht="13.2" hidden="1" x14ac:dyDescent="0.25">
      <c r="A403" s="503"/>
      <c r="B403" s="8">
        <f>IF('Items sous domaines Sciences '!G405=6,'Items sous domaines Sciences '!B405,0)</f>
        <v>0</v>
      </c>
      <c r="C403" s="8">
        <f>IF('Items sous domaines Sciences '!G405=6,'Items sous domaines Sciences '!C405,0)</f>
        <v>0</v>
      </c>
      <c r="D403" s="8">
        <f>IF('Items sous domaines Sciences '!G405=6,'Items sous domaines Sciences '!D405,0)</f>
        <v>0</v>
      </c>
      <c r="E403" s="8">
        <f>IF('Items sous domaines Sciences '!G405=6,'Items sous domaines Sciences '!E405,0)</f>
        <v>0</v>
      </c>
      <c r="F403" s="340"/>
      <c r="G403" s="458"/>
    </row>
    <row r="404" spans="1:7" customFormat="1" ht="13.2" hidden="1" x14ac:dyDescent="0.25">
      <c r="A404" s="503"/>
      <c r="B404" s="8">
        <f>IF('Items sous domaines Sciences '!G406=6,'Items sous domaines Sciences '!B406,0)</f>
        <v>0</v>
      </c>
      <c r="C404" s="8">
        <f>IF('Items sous domaines Sciences '!G406=6,'Items sous domaines Sciences '!C406,0)</f>
        <v>0</v>
      </c>
      <c r="D404" s="8">
        <f>IF('Items sous domaines Sciences '!G406=6,'Items sous domaines Sciences '!D406,0)</f>
        <v>0</v>
      </c>
      <c r="E404" s="8">
        <f>IF('Items sous domaines Sciences '!G406=6,'Items sous domaines Sciences '!E406,0)</f>
        <v>0</v>
      </c>
      <c r="F404" s="340"/>
      <c r="G404" s="458"/>
    </row>
    <row r="405" spans="1:7" customFormat="1" ht="13.2" hidden="1" x14ac:dyDescent="0.25">
      <c r="A405" s="503"/>
      <c r="B405" s="8">
        <f>IF('Items sous domaines Sciences '!G407=6,'Items sous domaines Sciences '!B407,0)</f>
        <v>0</v>
      </c>
      <c r="C405" s="8">
        <f>IF('Items sous domaines Sciences '!G407=6,'Items sous domaines Sciences '!C407,0)</f>
        <v>0</v>
      </c>
      <c r="D405" s="8">
        <f>IF('Items sous domaines Sciences '!G407=6,'Items sous domaines Sciences '!D407,0)</f>
        <v>0</v>
      </c>
      <c r="E405" s="8">
        <f>IF('Items sous domaines Sciences '!G407=6,'Items sous domaines Sciences '!E407,0)</f>
        <v>0</v>
      </c>
      <c r="F405" s="340"/>
      <c r="G405" s="458"/>
    </row>
    <row r="406" spans="1:7" customFormat="1" ht="13.2" hidden="1" x14ac:dyDescent="0.25">
      <c r="A406" s="503"/>
      <c r="B406" s="8">
        <f>IF('Items sous domaines Sciences '!G408=6,'Items sous domaines Sciences '!B408,0)</f>
        <v>0</v>
      </c>
      <c r="C406" s="8">
        <f>IF('Items sous domaines Sciences '!G408=6,'Items sous domaines Sciences '!C408,0)</f>
        <v>0</v>
      </c>
      <c r="D406" s="8">
        <f>IF('Items sous domaines Sciences '!G408=6,'Items sous domaines Sciences '!D408,0)</f>
        <v>0</v>
      </c>
      <c r="E406" s="8">
        <f>IF('Items sous domaines Sciences '!G408=6,'Items sous domaines Sciences '!E408,0)</f>
        <v>0</v>
      </c>
      <c r="F406" s="340"/>
      <c r="G406" s="458"/>
    </row>
    <row r="407" spans="1:7" customFormat="1" ht="13.2" hidden="1" x14ac:dyDescent="0.25">
      <c r="A407" s="503"/>
      <c r="B407" s="8">
        <f>IF('Items sous domaines Sciences '!G409=6,'Items sous domaines Sciences '!B409,0)</f>
        <v>0</v>
      </c>
      <c r="C407" s="8">
        <f>IF('Items sous domaines Sciences '!G409=6,'Items sous domaines Sciences '!C409,0)</f>
        <v>0</v>
      </c>
      <c r="D407" s="8">
        <f>IF('Items sous domaines Sciences '!G409=6,'Items sous domaines Sciences '!D409,0)</f>
        <v>0</v>
      </c>
      <c r="E407" s="8">
        <f>IF('Items sous domaines Sciences '!G409=6,'Items sous domaines Sciences '!E409,0)</f>
        <v>0</v>
      </c>
      <c r="F407" s="340"/>
      <c r="G407" s="458"/>
    </row>
    <row r="408" spans="1:7" customFormat="1" ht="13.2" hidden="1" x14ac:dyDescent="0.25">
      <c r="A408" s="503"/>
      <c r="B408" s="8">
        <f>IF('Items sous domaines Sciences '!G410=6,'Items sous domaines Sciences '!B410,0)</f>
        <v>0</v>
      </c>
      <c r="C408" s="8">
        <f>IF('Items sous domaines Sciences '!G410=6,'Items sous domaines Sciences '!C410,0)</f>
        <v>0</v>
      </c>
      <c r="D408" s="8">
        <f>IF('Items sous domaines Sciences '!G410=6,'Items sous domaines Sciences '!D410,0)</f>
        <v>0</v>
      </c>
      <c r="E408" s="8">
        <f>IF('Items sous domaines Sciences '!G410=6,'Items sous domaines Sciences '!E410,0)</f>
        <v>0</v>
      </c>
      <c r="F408" s="340"/>
      <c r="G408" s="458"/>
    </row>
    <row r="409" spans="1:7" customFormat="1" ht="13.2" hidden="1" x14ac:dyDescent="0.25">
      <c r="A409" s="503"/>
      <c r="B409" s="8">
        <f>IF('Items sous domaines Sciences '!G411=6,'Items sous domaines Sciences '!B411,0)</f>
        <v>0</v>
      </c>
      <c r="C409" s="8">
        <f>IF('Items sous domaines Sciences '!G411=6,'Items sous domaines Sciences '!C411,0)</f>
        <v>0</v>
      </c>
      <c r="D409" s="8">
        <f>IF('Items sous domaines Sciences '!G411=6,'Items sous domaines Sciences '!D411,0)</f>
        <v>0</v>
      </c>
      <c r="E409" s="8">
        <f>IF('Items sous domaines Sciences '!G411=6,'Items sous domaines Sciences '!E411,0)</f>
        <v>0</v>
      </c>
      <c r="F409" s="340"/>
      <c r="G409" s="458"/>
    </row>
    <row r="410" spans="1:7" customFormat="1" ht="13.2" hidden="1" x14ac:dyDescent="0.25">
      <c r="A410" s="503"/>
      <c r="B410" s="8">
        <f>IF('Items sous domaines Sciences '!G412=6,'Items sous domaines Sciences '!B412,0)</f>
        <v>0</v>
      </c>
      <c r="C410" s="8">
        <f>IF('Items sous domaines Sciences '!G412=6,'Items sous domaines Sciences '!C412,0)</f>
        <v>0</v>
      </c>
      <c r="D410" s="8">
        <f>IF('Items sous domaines Sciences '!G412=6,'Items sous domaines Sciences '!D412,0)</f>
        <v>0</v>
      </c>
      <c r="E410" s="8">
        <f>IF('Items sous domaines Sciences '!G412=6,'Items sous domaines Sciences '!E412,0)</f>
        <v>0</v>
      </c>
      <c r="F410" s="340"/>
      <c r="G410" s="458"/>
    </row>
    <row r="411" spans="1:7" customFormat="1" ht="13.2" hidden="1" x14ac:dyDescent="0.25">
      <c r="A411" s="503"/>
      <c r="B411" s="8">
        <f>IF('Items sous domaines Sciences '!G413=6,'Items sous domaines Sciences '!B413,0)</f>
        <v>0</v>
      </c>
      <c r="C411" s="8">
        <f>IF('Items sous domaines Sciences '!G413=6,'Items sous domaines Sciences '!C413,0)</f>
        <v>0</v>
      </c>
      <c r="D411" s="8">
        <f>IF('Items sous domaines Sciences '!G413=6,'Items sous domaines Sciences '!D413,0)</f>
        <v>0</v>
      </c>
      <c r="E411" s="8">
        <f>IF('Items sous domaines Sciences '!G413=6,'Items sous domaines Sciences '!E413,0)</f>
        <v>0</v>
      </c>
      <c r="F411" s="340"/>
      <c r="G411" s="458"/>
    </row>
    <row r="412" spans="1:7" customFormat="1" ht="13.8" hidden="1" thickBot="1" x14ac:dyDescent="0.3">
      <c r="A412" s="504"/>
      <c r="B412" s="8">
        <f>IF('Items sous domaines Sciences '!G414=6,'Items sous domaines Sciences '!B414,0)</f>
        <v>0</v>
      </c>
      <c r="C412" s="8">
        <f>IF('Items sous domaines Sciences '!G414=6,'Items sous domaines Sciences '!C414,0)</f>
        <v>0</v>
      </c>
      <c r="D412" s="8">
        <f>IF('Items sous domaines Sciences '!G414=6,'Items sous domaines Sciences '!D414,0)</f>
        <v>0</v>
      </c>
      <c r="E412" s="8">
        <f>IF('Items sous domaines Sciences '!G414=6,'Items sous domaines Sciences '!E414,0)</f>
        <v>0</v>
      </c>
      <c r="F412" s="341"/>
      <c r="G412" s="458"/>
    </row>
    <row r="413" spans="1:7" customFormat="1" ht="26.25" hidden="1" customHeight="1" thickBot="1" x14ac:dyDescent="0.3">
      <c r="A413" s="497" t="s">
        <v>502</v>
      </c>
      <c r="B413" s="8">
        <f>IF('Items sous domaines Sciences '!G415=6,'Items sous domaines Sciences '!B415,0)</f>
        <v>0</v>
      </c>
      <c r="C413" s="8">
        <f>IF('Items sous domaines Sciences '!G415=6,'Items sous domaines Sciences '!C415,0)</f>
        <v>0</v>
      </c>
      <c r="D413" s="8">
        <f>IF('Items sous domaines Sciences '!G415=6,'Items sous domaines Sciences '!D415,0)</f>
        <v>0</v>
      </c>
      <c r="E413" s="8">
        <f>IF('Items sous domaines Sciences '!G415=6,'Items sous domaines Sciences '!E415,0)</f>
        <v>0</v>
      </c>
      <c r="F413" s="339" t="s">
        <v>503</v>
      </c>
      <c r="G413" s="496" t="s">
        <v>504</v>
      </c>
    </row>
    <row r="414" spans="1:7" customFormat="1" ht="13.2" hidden="1" x14ac:dyDescent="0.25">
      <c r="A414" s="382"/>
      <c r="B414" s="8">
        <f>IF('Items sous domaines Sciences '!G416=6,'Items sous domaines Sciences '!B416,0)</f>
        <v>0</v>
      </c>
      <c r="C414" s="8">
        <f>IF('Items sous domaines Sciences '!G416=6,'Items sous domaines Sciences '!C416,0)</f>
        <v>0</v>
      </c>
      <c r="D414" s="8">
        <f>IF('Items sous domaines Sciences '!G416=6,'Items sous domaines Sciences '!D416,0)</f>
        <v>0</v>
      </c>
      <c r="E414" s="8">
        <f>IF('Items sous domaines Sciences '!G416=6,'Items sous domaines Sciences '!E416,0)</f>
        <v>0</v>
      </c>
      <c r="F414" s="340"/>
      <c r="G414" s="372"/>
    </row>
    <row r="415" spans="1:7" customFormat="1" ht="13.2" hidden="1" x14ac:dyDescent="0.25">
      <c r="A415" s="382"/>
      <c r="B415" s="8">
        <f>IF('Items sous domaines Sciences '!G417=6,'Items sous domaines Sciences '!B417,0)</f>
        <v>0</v>
      </c>
      <c r="C415" s="8">
        <f>IF('Items sous domaines Sciences '!G417=6,'Items sous domaines Sciences '!C417,0)</f>
        <v>0</v>
      </c>
      <c r="D415" s="8">
        <f>IF('Items sous domaines Sciences '!G417=6,'Items sous domaines Sciences '!D417,0)</f>
        <v>0</v>
      </c>
      <c r="E415" s="8">
        <f>IF('Items sous domaines Sciences '!G417=6,'Items sous domaines Sciences '!E417,0)</f>
        <v>0</v>
      </c>
      <c r="F415" s="340"/>
      <c r="G415" s="372"/>
    </row>
    <row r="416" spans="1:7" customFormat="1" ht="13.2" hidden="1" x14ac:dyDescent="0.25">
      <c r="A416" s="382"/>
      <c r="B416" s="8">
        <f>IF('Items sous domaines Sciences '!G418=6,'Items sous domaines Sciences '!B418,0)</f>
        <v>0</v>
      </c>
      <c r="C416" s="8">
        <f>IF('Items sous domaines Sciences '!G418=6,'Items sous domaines Sciences '!C418,0)</f>
        <v>0</v>
      </c>
      <c r="D416" s="8">
        <f>IF('Items sous domaines Sciences '!G418=6,'Items sous domaines Sciences '!D418,0)</f>
        <v>0</v>
      </c>
      <c r="E416" s="8">
        <f>IF('Items sous domaines Sciences '!G418=6,'Items sous domaines Sciences '!E418,0)</f>
        <v>0</v>
      </c>
      <c r="F416" s="340"/>
      <c r="G416" s="372"/>
    </row>
    <row r="417" spans="1:7" customFormat="1" ht="13.2" hidden="1" x14ac:dyDescent="0.25">
      <c r="A417" s="382"/>
      <c r="B417" s="8">
        <f>IF('Items sous domaines Sciences '!G419=6,'Items sous domaines Sciences '!B419,0)</f>
        <v>0</v>
      </c>
      <c r="C417" s="8">
        <f>IF('Items sous domaines Sciences '!G419=6,'Items sous domaines Sciences '!C419,0)</f>
        <v>0</v>
      </c>
      <c r="D417" s="8">
        <f>IF('Items sous domaines Sciences '!G419=6,'Items sous domaines Sciences '!D419,0)</f>
        <v>0</v>
      </c>
      <c r="E417" s="8">
        <f>IF('Items sous domaines Sciences '!G419=6,'Items sous domaines Sciences '!E419,0)</f>
        <v>0</v>
      </c>
      <c r="F417" s="340"/>
      <c r="G417" s="372"/>
    </row>
    <row r="418" spans="1:7" customFormat="1" ht="13.2" hidden="1" x14ac:dyDescent="0.25">
      <c r="A418" s="382"/>
      <c r="B418" s="8">
        <f>IF('Items sous domaines Sciences '!G420=6,'Items sous domaines Sciences '!B420,0)</f>
        <v>0</v>
      </c>
      <c r="C418" s="8">
        <f>IF('Items sous domaines Sciences '!G420=6,'Items sous domaines Sciences '!C420,0)</f>
        <v>0</v>
      </c>
      <c r="D418" s="8">
        <f>IF('Items sous domaines Sciences '!G420=6,'Items sous domaines Sciences '!D420,0)</f>
        <v>0</v>
      </c>
      <c r="E418" s="8">
        <f>IF('Items sous domaines Sciences '!G420=6,'Items sous domaines Sciences '!E420,0)</f>
        <v>0</v>
      </c>
      <c r="F418" s="340"/>
      <c r="G418" s="372"/>
    </row>
    <row r="419" spans="1:7" customFormat="1" ht="13.2" hidden="1" x14ac:dyDescent="0.25">
      <c r="A419" s="382"/>
      <c r="B419" s="8">
        <f>IF('Items sous domaines Sciences '!G421=6,'Items sous domaines Sciences '!B421,0)</f>
        <v>0</v>
      </c>
      <c r="C419" s="8">
        <f>IF('Items sous domaines Sciences '!G421=6,'Items sous domaines Sciences '!C421,0)</f>
        <v>0</v>
      </c>
      <c r="D419" s="8">
        <f>IF('Items sous domaines Sciences '!G421=6,'Items sous domaines Sciences '!D421,0)</f>
        <v>0</v>
      </c>
      <c r="E419" s="8">
        <f>IF('Items sous domaines Sciences '!G421=6,'Items sous domaines Sciences '!E421,0)</f>
        <v>0</v>
      </c>
      <c r="F419" s="340"/>
      <c r="G419" s="372"/>
    </row>
    <row r="420" spans="1:7" customFormat="1" ht="13.2" hidden="1" x14ac:dyDescent="0.25">
      <c r="A420" s="382"/>
      <c r="B420" s="8">
        <f>IF('Items sous domaines Sciences '!G422=6,'Items sous domaines Sciences '!B422,0)</f>
        <v>0</v>
      </c>
      <c r="C420" s="8">
        <f>IF('Items sous domaines Sciences '!G422=6,'Items sous domaines Sciences '!C422,0)</f>
        <v>0</v>
      </c>
      <c r="D420" s="8">
        <f>IF('Items sous domaines Sciences '!G422=6,'Items sous domaines Sciences '!D422,0)</f>
        <v>0</v>
      </c>
      <c r="E420" s="8">
        <f>IF('Items sous domaines Sciences '!G422=6,'Items sous domaines Sciences '!E422,0)</f>
        <v>0</v>
      </c>
      <c r="F420" s="340"/>
      <c r="G420" s="372"/>
    </row>
    <row r="421" spans="1:7" customFormat="1" ht="13.2" hidden="1" x14ac:dyDescent="0.25">
      <c r="A421" s="382"/>
      <c r="B421" s="8">
        <f>IF('Items sous domaines Sciences '!G423=6,'Items sous domaines Sciences '!B423,0)</f>
        <v>0</v>
      </c>
      <c r="C421" s="8">
        <f>IF('Items sous domaines Sciences '!G423=6,'Items sous domaines Sciences '!C423,0)</f>
        <v>0</v>
      </c>
      <c r="D421" s="8">
        <f>IF('Items sous domaines Sciences '!G423=6,'Items sous domaines Sciences '!D423,0)</f>
        <v>0</v>
      </c>
      <c r="E421" s="8">
        <f>IF('Items sous domaines Sciences '!G423=6,'Items sous domaines Sciences '!E423,0)</f>
        <v>0</v>
      </c>
      <c r="F421" s="340"/>
      <c r="G421" s="372"/>
    </row>
    <row r="422" spans="1:7" customFormat="1" ht="13.2" hidden="1" x14ac:dyDescent="0.25">
      <c r="A422" s="382"/>
      <c r="B422" s="8">
        <f>IF('Items sous domaines Sciences '!G424=6,'Items sous domaines Sciences '!B424,0)</f>
        <v>0</v>
      </c>
      <c r="C422" s="8">
        <f>IF('Items sous domaines Sciences '!G424=6,'Items sous domaines Sciences '!C424,0)</f>
        <v>0</v>
      </c>
      <c r="D422" s="8">
        <f>IF('Items sous domaines Sciences '!G424=6,'Items sous domaines Sciences '!D424,0)</f>
        <v>0</v>
      </c>
      <c r="E422" s="8">
        <f>IF('Items sous domaines Sciences '!G424=6,'Items sous domaines Sciences '!E424,0)</f>
        <v>0</v>
      </c>
      <c r="F422" s="340"/>
      <c r="G422" s="372"/>
    </row>
    <row r="423" spans="1:7" customFormat="1" ht="13.2" hidden="1" x14ac:dyDescent="0.25">
      <c r="A423" s="382"/>
      <c r="B423" s="8">
        <f>IF('Items sous domaines Sciences '!G425=6,'Items sous domaines Sciences '!B425,0)</f>
        <v>0</v>
      </c>
      <c r="C423" s="8">
        <f>IF('Items sous domaines Sciences '!G425=6,'Items sous domaines Sciences '!C425,0)</f>
        <v>0</v>
      </c>
      <c r="D423" s="8">
        <f>IF('Items sous domaines Sciences '!G425=6,'Items sous domaines Sciences '!D425,0)</f>
        <v>0</v>
      </c>
      <c r="E423" s="8">
        <f>IF('Items sous domaines Sciences '!G425=6,'Items sous domaines Sciences '!E425,0)</f>
        <v>0</v>
      </c>
      <c r="F423" s="340"/>
      <c r="G423" s="372"/>
    </row>
    <row r="424" spans="1:7" customFormat="1" ht="13.2" hidden="1" x14ac:dyDescent="0.25">
      <c r="A424" s="382"/>
      <c r="B424" s="8">
        <f>IF('Items sous domaines Sciences '!G426=6,'Items sous domaines Sciences '!B426,0)</f>
        <v>0</v>
      </c>
      <c r="C424" s="8">
        <f>IF('Items sous domaines Sciences '!G426=6,'Items sous domaines Sciences '!C426,0)</f>
        <v>0</v>
      </c>
      <c r="D424" s="8">
        <f>IF('Items sous domaines Sciences '!G426=6,'Items sous domaines Sciences '!D426,0)</f>
        <v>0</v>
      </c>
      <c r="E424" s="8">
        <f>IF('Items sous domaines Sciences '!G426=6,'Items sous domaines Sciences '!E426,0)</f>
        <v>0</v>
      </c>
      <c r="F424" s="340"/>
      <c r="G424" s="372"/>
    </row>
    <row r="425" spans="1:7" customFormat="1" ht="13.8" hidden="1" thickBot="1" x14ac:dyDescent="0.3">
      <c r="A425" s="382"/>
      <c r="B425" s="8">
        <f>IF('Items sous domaines Sciences '!G427=6,'Items sous domaines Sciences '!B427,0)</f>
        <v>0</v>
      </c>
      <c r="C425" s="8">
        <f>IF('Items sous domaines Sciences '!G427=6,'Items sous domaines Sciences '!C427,0)</f>
        <v>0</v>
      </c>
      <c r="D425" s="8">
        <f>IF('Items sous domaines Sciences '!G427=6,'Items sous domaines Sciences '!D427,0)</f>
        <v>0</v>
      </c>
      <c r="E425" s="8">
        <f>IF('Items sous domaines Sciences '!G427=6,'Items sous domaines Sciences '!E427,0)</f>
        <v>0</v>
      </c>
      <c r="F425" s="341"/>
      <c r="G425" s="372"/>
    </row>
    <row r="426" spans="1:7" customFormat="1" ht="13.2" hidden="1" x14ac:dyDescent="0.25">
      <c r="B426" s="8">
        <f>IF('Items sous domaines Sciences '!G428=6,'Items sous domaines Sciences '!B428,0)</f>
        <v>0</v>
      </c>
      <c r="C426" s="8">
        <f>IF('Items sous domaines Sciences '!G428=6,'Items sous domaines Sciences '!C428,0)</f>
        <v>0</v>
      </c>
      <c r="D426" s="8">
        <f>IF('Items sous domaines Sciences '!G428=6,'Items sous domaines Sciences '!D428,0)</f>
        <v>0</v>
      </c>
      <c r="E426" s="8">
        <f>IF('Items sous domaines Sciences '!G428=6,'Items sous domaines Sciences '!E428,0)</f>
        <v>0</v>
      </c>
      <c r="F426" t="e">
        <f>IF('Items sous domaines Sciences '!#REF!=6,'Items sous domaines Sciences '!F326,0)</f>
        <v>#REF!</v>
      </c>
      <c r="G426" s="3"/>
    </row>
    <row r="427" spans="1:7" customFormat="1" ht="13.2" hidden="1" x14ac:dyDescent="0.25">
      <c r="B427" s="8">
        <f>IF('Items sous domaines Sciences '!G429=6,'Items sous domaines Sciences '!B429,0)</f>
        <v>0</v>
      </c>
      <c r="C427" s="8">
        <f>IF('Items sous domaines Sciences '!G429=6,'Items sous domaines Sciences '!C429,0)</f>
        <v>0</v>
      </c>
      <c r="D427" s="8">
        <f>IF('Items sous domaines Sciences '!G429=6,'Items sous domaines Sciences '!D429,0)</f>
        <v>0</v>
      </c>
      <c r="E427" s="8">
        <f>IF('Items sous domaines Sciences '!G429=6,'Items sous domaines Sciences '!E429,0)</f>
        <v>0</v>
      </c>
      <c r="F427" t="e">
        <f>IF('Items sous domaines Sciences '!#REF!=6,'Items sous domaines Sciences '!F327,0)</f>
        <v>#REF!</v>
      </c>
      <c r="G427" s="3"/>
    </row>
    <row r="428" spans="1:7" customFormat="1" ht="13.2" hidden="1" x14ac:dyDescent="0.25">
      <c r="B428" s="8">
        <f>IF('Items sous domaines Sciences '!G430=6,'Items sous domaines Sciences '!B430,0)</f>
        <v>0</v>
      </c>
      <c r="C428" s="8">
        <f>IF('Items sous domaines Sciences '!G430=6,'Items sous domaines Sciences '!C430,0)</f>
        <v>0</v>
      </c>
      <c r="D428" s="8">
        <f>IF('Items sous domaines Sciences '!G430=6,'Items sous domaines Sciences '!D430,0)</f>
        <v>0</v>
      </c>
      <c r="E428" s="8">
        <f>IF('Items sous domaines Sciences '!G430=6,'Items sous domaines Sciences '!E430,0)</f>
        <v>0</v>
      </c>
      <c r="F428" t="e">
        <f>IF('Items sous domaines Sciences '!#REF!=6,'Items sous domaines Sciences '!F328,0)</f>
        <v>#REF!</v>
      </c>
      <c r="G428" s="3"/>
    </row>
    <row r="429" spans="1:7" customFormat="1" ht="13.2" hidden="1" x14ac:dyDescent="0.25">
      <c r="B429" s="8">
        <f>IF('Items sous domaines Sciences '!G431=6,'Items sous domaines Sciences '!B431,0)</f>
        <v>0</v>
      </c>
      <c r="C429" s="8">
        <f>IF('Items sous domaines Sciences '!G431=6,'Items sous domaines Sciences '!C431,0)</f>
        <v>0</v>
      </c>
      <c r="D429" s="8">
        <f>IF('Items sous domaines Sciences '!G431=6,'Items sous domaines Sciences '!D431,0)</f>
        <v>0</v>
      </c>
      <c r="E429" s="8">
        <f>IF('Items sous domaines Sciences '!G431=6,'Items sous domaines Sciences '!E431,0)</f>
        <v>0</v>
      </c>
      <c r="F429" t="e">
        <f>IF('Items sous domaines Sciences '!#REF!=6,'Items sous domaines Sciences '!F329,0)</f>
        <v>#REF!</v>
      </c>
      <c r="G429" s="3"/>
    </row>
    <row r="430" spans="1:7" customFormat="1" ht="17.399999999999999" hidden="1" x14ac:dyDescent="0.25">
      <c r="A430" s="14"/>
      <c r="C430" s="1"/>
      <c r="D430" s="5"/>
      <c r="E430" s="5"/>
      <c r="F430" s="4"/>
      <c r="G430" s="3"/>
    </row>
    <row r="431" spans="1:7" ht="18.600000000000001" thickTop="1" x14ac:dyDescent="0.3">
      <c r="A431" s="253"/>
      <c r="F431" s="285"/>
    </row>
  </sheetData>
  <autoFilter ref="A7:H430" xr:uid="{00000000-0009-0000-0000-000007000000}">
    <filterColumn colId="1">
      <filters>
        <filter val="Chimie"/>
        <filter val="Electricité-electromagnétisme"/>
        <filter val="Mécanique"/>
      </filters>
    </filterColumn>
  </autoFilter>
  <mergeCells count="27">
    <mergeCell ref="F291:F299"/>
    <mergeCell ref="G301:G306"/>
    <mergeCell ref="G3:G5"/>
    <mergeCell ref="G6:G7"/>
    <mergeCell ref="F413:F425"/>
    <mergeCell ref="F398:F412"/>
    <mergeCell ref="F356:F393"/>
    <mergeCell ref="A1:F3"/>
    <mergeCell ref="A4:F6"/>
    <mergeCell ref="F213:F227"/>
    <mergeCell ref="F11:F184"/>
    <mergeCell ref="F243:F247"/>
    <mergeCell ref="F261:F278"/>
    <mergeCell ref="A8:A309"/>
    <mergeCell ref="A311:A321"/>
    <mergeCell ref="A372:A383"/>
    <mergeCell ref="A384:A393"/>
    <mergeCell ref="G398:G412"/>
    <mergeCell ref="G413:G425"/>
    <mergeCell ref="G356:G393"/>
    <mergeCell ref="F300:F315"/>
    <mergeCell ref="F322:F337"/>
    <mergeCell ref="A413:A425"/>
    <mergeCell ref="A323:A330"/>
    <mergeCell ref="A333:A341"/>
    <mergeCell ref="A356:A361"/>
    <mergeCell ref="A398:A412"/>
  </mergeCells>
  <hyperlinks>
    <hyperlink ref="G12" r:id="rId1" xr:uid="{00000000-0004-0000-0700-000000000000}"/>
    <hyperlink ref="G60" r:id="rId2" xr:uid="{00000000-0004-0000-0700-000001000000}"/>
    <hyperlink ref="G91" r:id="rId3" xr:uid="{00000000-0004-0000-0700-000002000000}"/>
    <hyperlink ref="G244" r:id="rId4" xr:uid="{00000000-0004-0000-0700-000003000000}"/>
    <hyperlink ref="G324" r:id="rId5" display="https://uel.unisciel.fr/mathematiques/serie/serie/co/serie.html" xr:uid="{00000000-0004-0000-0700-000004000000}"/>
    <hyperlink ref="G356" r:id="rId6" xr:uid="{00000000-0004-0000-0700-000005000000}"/>
    <hyperlink ref="G29" r:id="rId7" xr:uid="{00000000-0004-0000-0700-000006000000}"/>
    <hyperlink ref="G117" r:id="rId8" xr:uid="{00000000-0004-0000-0700-000007000000}"/>
    <hyperlink ref="G115" r:id="rId9" xr:uid="{00000000-0004-0000-0700-000008000000}"/>
    <hyperlink ref="G119" r:id="rId10" xr:uid="{00000000-0004-0000-0700-000009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1B365D"/>
  </sheetPr>
  <dimension ref="A1:G489"/>
  <sheetViews>
    <sheetView zoomScale="85" zoomScaleNormal="85" workbookViewId="0">
      <selection activeCell="A129" sqref="A129:A192"/>
    </sheetView>
  </sheetViews>
  <sheetFormatPr baseColWidth="10" defaultColWidth="11.44140625" defaultRowHeight="17.399999999999999" x14ac:dyDescent="0.25"/>
  <cols>
    <col min="1" max="1" width="32.6640625" style="14" customWidth="1"/>
    <col min="2" max="2" width="40.6640625" customWidth="1"/>
    <col min="3" max="3" width="27.88671875" style="1" customWidth="1"/>
    <col min="4" max="4" width="22.88671875" style="5" customWidth="1"/>
    <col min="5" max="5" width="160.6640625" style="5" customWidth="1"/>
    <col min="6" max="6" width="30.6640625" style="4" customWidth="1"/>
    <col min="7" max="7" width="37.109375" style="3" customWidth="1"/>
  </cols>
  <sheetData>
    <row r="1" spans="1:7" ht="12" customHeight="1" thickTop="1" x14ac:dyDescent="0.25">
      <c r="A1" s="343" t="s">
        <v>380</v>
      </c>
      <c r="B1" s="344"/>
      <c r="C1" s="344"/>
      <c r="D1" s="344"/>
      <c r="E1" s="344"/>
      <c r="F1" s="516"/>
      <c r="G1" s="279"/>
    </row>
    <row r="2" spans="1:7" ht="12" customHeight="1" x14ac:dyDescent="0.25">
      <c r="A2" s="345"/>
      <c r="B2" s="346"/>
      <c r="C2" s="346"/>
      <c r="D2" s="346"/>
      <c r="E2" s="346"/>
      <c r="F2" s="517"/>
      <c r="G2" s="280"/>
    </row>
    <row r="3" spans="1:7" ht="12" customHeight="1" thickBot="1" x14ac:dyDescent="0.3">
      <c r="A3" s="465"/>
      <c r="B3" s="466"/>
      <c r="C3" s="466"/>
      <c r="D3" s="466"/>
      <c r="E3" s="466"/>
      <c r="F3" s="518"/>
      <c r="G3" s="513" t="s">
        <v>16</v>
      </c>
    </row>
    <row r="4" spans="1:7" ht="12" customHeight="1" x14ac:dyDescent="0.25">
      <c r="A4" s="358" t="s">
        <v>505</v>
      </c>
      <c r="B4" s="359"/>
      <c r="C4" s="359"/>
      <c r="D4" s="360"/>
      <c r="E4" s="359"/>
      <c r="F4" s="519"/>
      <c r="G4" s="513"/>
    </row>
    <row r="5" spans="1:7" ht="12" customHeight="1" x14ac:dyDescent="0.25">
      <c r="A5" s="361"/>
      <c r="B5" s="362"/>
      <c r="C5" s="362"/>
      <c r="D5" s="363"/>
      <c r="E5" s="362"/>
      <c r="F5" s="520"/>
      <c r="G5" s="513"/>
    </row>
    <row r="6" spans="1:7" ht="12" customHeight="1" thickBot="1" x14ac:dyDescent="0.3">
      <c r="A6" s="364"/>
      <c r="B6" s="365"/>
      <c r="C6" s="365"/>
      <c r="D6" s="366"/>
      <c r="E6" s="365"/>
      <c r="F6" s="521"/>
      <c r="G6" s="514" t="s">
        <v>19</v>
      </c>
    </row>
    <row r="7" spans="1:7" s="6" customFormat="1" ht="17.399999999999999" customHeight="1" thickBot="1" x14ac:dyDescent="0.4">
      <c r="A7" s="238" t="str">
        <f>'A1 CPI S1'!A7</f>
        <v>UE du DS</v>
      </c>
      <c r="B7" s="239" t="str">
        <f>'A1 CPI S1'!B7</f>
        <v>Domaine</v>
      </c>
      <c r="C7" s="239" t="str">
        <f>'A1 CPI S1'!C7</f>
        <v>Discipline</v>
      </c>
      <c r="D7" s="239" t="str">
        <f>'A1 CPI S1'!D7</f>
        <v>Chapitres</v>
      </c>
      <c r="E7" s="239" t="str">
        <f>'A1 CPI S1'!E7</f>
        <v>Thèmes</v>
      </c>
      <c r="F7" s="239" t="s">
        <v>387</v>
      </c>
      <c r="G7" s="515"/>
    </row>
    <row r="8" spans="1:7" ht="25.2" hidden="1" customHeight="1" thickBot="1" x14ac:dyDescent="0.3">
      <c r="A8" s="460" t="s">
        <v>459</v>
      </c>
      <c r="B8">
        <f>IF('Items sous domaines Sciences '!G10=7,'Items sous domaines Sciences '!B10,0)</f>
        <v>0</v>
      </c>
      <c r="C8">
        <f>IF('Items sous domaines Sciences '!G10=7,'Items sous domaines Sciences '!C10,0)</f>
        <v>0</v>
      </c>
      <c r="D8">
        <f>IF('Items sous domaines Sciences '!G10=7,'Items sous domaines Sciences '!D10,0)</f>
        <v>0</v>
      </c>
      <c r="E8">
        <f>IF('Items sous domaines Sciences '!G10=7,'Items sous domaines Sciences '!E10,0)</f>
        <v>0</v>
      </c>
      <c r="F8" s="340" t="s">
        <v>506</v>
      </c>
      <c r="G8" s="331" t="s">
        <v>428</v>
      </c>
    </row>
    <row r="9" spans="1:7" ht="22.2" hidden="1" customHeight="1" thickBot="1" x14ac:dyDescent="0.3">
      <c r="A9" s="460"/>
      <c r="B9" s="8">
        <f>IF('Items sous domaines Sciences '!G11=7,'Items sous domaines Sciences '!B11,0)</f>
        <v>0</v>
      </c>
      <c r="C9" s="8">
        <f>IF('Items sous domaines Sciences '!G11=7,'Items sous domaines Sciences '!C11,0)</f>
        <v>0</v>
      </c>
      <c r="D9" s="8">
        <f>IF('Items sous domaines Sciences '!G11=7,'Items sous domaines Sciences '!D11,0)</f>
        <v>0</v>
      </c>
      <c r="E9" s="8">
        <f>IF('Items sous domaines Sciences '!G11=7,'Items sous domaines Sciences '!E11,0)</f>
        <v>0</v>
      </c>
      <c r="F9" s="340"/>
      <c r="G9" s="331"/>
    </row>
    <row r="10" spans="1:7" ht="17.399999999999999" hidden="1" customHeight="1" thickBot="1" x14ac:dyDescent="0.3">
      <c r="A10" s="460"/>
      <c r="B10" s="8">
        <f>IF('Items sous domaines Sciences '!G12=7,'Items sous domaines Sciences '!B12,0)</f>
        <v>0</v>
      </c>
      <c r="C10" s="8">
        <f>IF('Items sous domaines Sciences '!G12=7,'Items sous domaines Sciences '!C12,0)</f>
        <v>0</v>
      </c>
      <c r="D10" s="8">
        <f>IF('Items sous domaines Sciences '!G12=7,'Items sous domaines Sciences '!D12,0)</f>
        <v>0</v>
      </c>
      <c r="E10" s="8">
        <f>IF('Items sous domaines Sciences '!G12=7,'Items sous domaines Sciences '!E12,0)</f>
        <v>0</v>
      </c>
      <c r="F10" s="340"/>
      <c r="G10" s="331"/>
    </row>
    <row r="11" spans="1:7" ht="17.399999999999999" hidden="1" customHeight="1" thickBot="1" x14ac:dyDescent="0.3">
      <c r="A11" s="460"/>
      <c r="B11" s="8">
        <f>IF('Items sous domaines Sciences '!G13=7,'Items sous domaines Sciences '!B13,0)</f>
        <v>0</v>
      </c>
      <c r="C11" s="8">
        <f>IF('Items sous domaines Sciences '!G13=7,'Items sous domaines Sciences '!C13,0)</f>
        <v>0</v>
      </c>
      <c r="D11" s="8">
        <f>IF('Items sous domaines Sciences '!G13=7,'Items sous domaines Sciences '!D13,0)</f>
        <v>0</v>
      </c>
      <c r="E11" s="8">
        <f>IF('Items sous domaines Sciences '!G13=7,'Items sous domaines Sciences '!E13,0)</f>
        <v>0</v>
      </c>
      <c r="F11" s="340"/>
      <c r="G11" s="331"/>
    </row>
    <row r="12" spans="1:7" ht="30.6" hidden="1" customHeight="1" thickBot="1" x14ac:dyDescent="0.3">
      <c r="A12" s="460"/>
      <c r="B12" s="8">
        <f>IF('Items sous domaines Sciences '!G14=7,'Items sous domaines Sciences '!B14,0)</f>
        <v>0</v>
      </c>
      <c r="C12" s="8">
        <f>IF('Items sous domaines Sciences '!G14=7,'Items sous domaines Sciences '!C14,0)</f>
        <v>0</v>
      </c>
      <c r="D12" s="8">
        <f>IF('Items sous domaines Sciences '!G14=7,'Items sous domaines Sciences '!D14,0)</f>
        <v>0</v>
      </c>
      <c r="E12" s="8">
        <f>IF('Items sous domaines Sciences '!G14=7,'Items sous domaines Sciences '!E14,0)</f>
        <v>0</v>
      </c>
      <c r="F12" s="340"/>
      <c r="G12" s="331"/>
    </row>
    <row r="13" spans="1:7" ht="27" hidden="1" customHeight="1" thickBot="1" x14ac:dyDescent="0.3">
      <c r="A13" s="460"/>
      <c r="B13" s="8">
        <f>IF('Items sous domaines Sciences '!G15=7,'Items sous domaines Sciences '!B15,0)</f>
        <v>0</v>
      </c>
      <c r="C13" s="8">
        <f>IF('Items sous domaines Sciences '!G15=7,'Items sous domaines Sciences '!C15,0)</f>
        <v>0</v>
      </c>
      <c r="D13" s="8">
        <f>IF('Items sous domaines Sciences '!G15=7,'Items sous domaines Sciences '!D15,0)</f>
        <v>0</v>
      </c>
      <c r="E13" s="8">
        <f>IF('Items sous domaines Sciences '!G15=7,'Items sous domaines Sciences '!E15,0)</f>
        <v>0</v>
      </c>
      <c r="F13" s="340"/>
      <c r="G13" s="331"/>
    </row>
    <row r="14" spans="1:7" ht="17.399999999999999" hidden="1" customHeight="1" thickBot="1" x14ac:dyDescent="0.3">
      <c r="A14" s="460"/>
      <c r="B14" s="8">
        <f>IF('Items sous domaines Sciences '!G16=7,'Items sous domaines Sciences '!B16,0)</f>
        <v>0</v>
      </c>
      <c r="C14" s="8">
        <f>IF('Items sous domaines Sciences '!G16=7,'Items sous domaines Sciences '!C16,0)</f>
        <v>0</v>
      </c>
      <c r="D14" s="8">
        <f>IF('Items sous domaines Sciences '!G16=7,'Items sous domaines Sciences '!D16,0)</f>
        <v>0</v>
      </c>
      <c r="E14" s="8">
        <f>IF('Items sous domaines Sciences '!G16=7,'Items sous domaines Sciences '!E16,0)</f>
        <v>0</v>
      </c>
      <c r="F14" s="340"/>
      <c r="G14" s="331"/>
    </row>
    <row r="15" spans="1:7" ht="17.399999999999999" hidden="1" customHeight="1" thickBot="1" x14ac:dyDescent="0.3">
      <c r="A15" s="460"/>
      <c r="B15" s="8">
        <f>IF('Items sous domaines Sciences '!G17=7,'Items sous domaines Sciences '!B17,0)</f>
        <v>0</v>
      </c>
      <c r="C15" s="8">
        <f>IF('Items sous domaines Sciences '!G17=7,'Items sous domaines Sciences '!C17,0)</f>
        <v>0</v>
      </c>
      <c r="D15" s="8">
        <f>IF('Items sous domaines Sciences '!G17=7,'Items sous domaines Sciences '!D17,0)</f>
        <v>0</v>
      </c>
      <c r="E15" s="8">
        <f>IF('Items sous domaines Sciences '!G17=7,'Items sous domaines Sciences '!E17,0)</f>
        <v>0</v>
      </c>
      <c r="F15" s="340"/>
      <c r="G15" s="331"/>
    </row>
    <row r="16" spans="1:7" ht="17.399999999999999" hidden="1" customHeight="1" thickBot="1" x14ac:dyDescent="0.3">
      <c r="A16" s="460"/>
      <c r="B16" s="8">
        <f>IF('Items sous domaines Sciences '!G18=7,'Items sous domaines Sciences '!B18,0)</f>
        <v>0</v>
      </c>
      <c r="C16" s="8">
        <f>IF('Items sous domaines Sciences '!G18=7,'Items sous domaines Sciences '!C18,0)</f>
        <v>0</v>
      </c>
      <c r="D16" s="8">
        <f>IF('Items sous domaines Sciences '!G18=7,'Items sous domaines Sciences '!D18,0)</f>
        <v>0</v>
      </c>
      <c r="E16" s="8">
        <f>IF('Items sous domaines Sciences '!G18=7,'Items sous domaines Sciences '!E18,0)</f>
        <v>0</v>
      </c>
      <c r="F16" s="340"/>
      <c r="G16" s="331"/>
    </row>
    <row r="17" spans="1:7" ht="17.399999999999999" hidden="1" customHeight="1" thickBot="1" x14ac:dyDescent="0.3">
      <c r="A17" s="460"/>
      <c r="B17" s="8">
        <f>IF('Items sous domaines Sciences '!G19=7,'Items sous domaines Sciences '!B19,0)</f>
        <v>0</v>
      </c>
      <c r="C17" s="8">
        <f>IF('Items sous domaines Sciences '!G19=7,'Items sous domaines Sciences '!C19,0)</f>
        <v>0</v>
      </c>
      <c r="D17" s="8">
        <f>IF('Items sous domaines Sciences '!G19=7,'Items sous domaines Sciences '!D19,0)</f>
        <v>0</v>
      </c>
      <c r="E17" s="8">
        <f>IF('Items sous domaines Sciences '!G19=7,'Items sous domaines Sciences '!E19,0)</f>
        <v>0</v>
      </c>
      <c r="F17" s="340"/>
      <c r="G17" s="331"/>
    </row>
    <row r="18" spans="1:7" ht="17.399999999999999" hidden="1" customHeight="1" thickBot="1" x14ac:dyDescent="0.3">
      <c r="A18" s="460"/>
      <c r="B18" s="8">
        <f>IF('Items sous domaines Sciences '!G20=7,'Items sous domaines Sciences '!B20,0)</f>
        <v>0</v>
      </c>
      <c r="C18" s="8">
        <f>IF('Items sous domaines Sciences '!G20=7,'Items sous domaines Sciences '!C20,0)</f>
        <v>0</v>
      </c>
      <c r="D18" s="8">
        <f>IF('Items sous domaines Sciences '!G20=7,'Items sous domaines Sciences '!D20,0)</f>
        <v>0</v>
      </c>
      <c r="E18" s="8">
        <f>IF('Items sous domaines Sciences '!G20=7,'Items sous domaines Sciences '!E20,0)</f>
        <v>0</v>
      </c>
      <c r="F18" s="340"/>
      <c r="G18" s="331"/>
    </row>
    <row r="19" spans="1:7" ht="17.399999999999999" hidden="1" customHeight="1" thickBot="1" x14ac:dyDescent="0.3">
      <c r="A19" s="460"/>
      <c r="B19" s="8">
        <f>IF('Items sous domaines Sciences '!G21=7,'Items sous domaines Sciences '!B21,0)</f>
        <v>0</v>
      </c>
      <c r="C19" s="8">
        <f>IF('Items sous domaines Sciences '!G21=7,'Items sous domaines Sciences '!C21,0)</f>
        <v>0</v>
      </c>
      <c r="D19" s="8">
        <f>IF('Items sous domaines Sciences '!G21=7,'Items sous domaines Sciences '!D21,0)</f>
        <v>0</v>
      </c>
      <c r="E19" s="8">
        <f>IF('Items sous domaines Sciences '!G21=7,'Items sous domaines Sciences '!E21,0)</f>
        <v>0</v>
      </c>
      <c r="F19" s="340"/>
      <c r="G19" s="331"/>
    </row>
    <row r="20" spans="1:7" ht="17.399999999999999" hidden="1" customHeight="1" thickBot="1" x14ac:dyDescent="0.3">
      <c r="A20" s="460"/>
      <c r="B20" s="8">
        <f>IF('Items sous domaines Sciences '!G22=7,'Items sous domaines Sciences '!B22,0)</f>
        <v>0</v>
      </c>
      <c r="C20" s="8">
        <f>IF('Items sous domaines Sciences '!G22=7,'Items sous domaines Sciences '!C22,0)</f>
        <v>0</v>
      </c>
      <c r="D20" s="8">
        <f>IF('Items sous domaines Sciences '!G22=7,'Items sous domaines Sciences '!D22,0)</f>
        <v>0</v>
      </c>
      <c r="E20" s="8">
        <f>IF('Items sous domaines Sciences '!G22=7,'Items sous domaines Sciences '!E22,0)</f>
        <v>0</v>
      </c>
      <c r="F20" s="340"/>
      <c r="G20" s="331"/>
    </row>
    <row r="21" spans="1:7" ht="17.399999999999999" hidden="1" customHeight="1" thickBot="1" x14ac:dyDescent="0.3">
      <c r="A21" s="460"/>
      <c r="B21" s="8">
        <f>IF('Items sous domaines Sciences '!G23=7,'Items sous domaines Sciences '!B23,0)</f>
        <v>0</v>
      </c>
      <c r="C21" s="8">
        <f>IF('Items sous domaines Sciences '!G23=7,'Items sous domaines Sciences '!C23,0)</f>
        <v>0</v>
      </c>
      <c r="D21" s="8">
        <f>IF('Items sous domaines Sciences '!G23=7,'Items sous domaines Sciences '!D23,0)</f>
        <v>0</v>
      </c>
      <c r="E21" s="8">
        <f>IF('Items sous domaines Sciences '!G23=7,'Items sous domaines Sciences '!E23,0)</f>
        <v>0</v>
      </c>
      <c r="F21" s="340"/>
      <c r="G21" s="331"/>
    </row>
    <row r="22" spans="1:7" ht="17.399999999999999" hidden="1" customHeight="1" thickBot="1" x14ac:dyDescent="0.3">
      <c r="A22" s="460"/>
      <c r="B22" s="8">
        <f>IF('Items sous domaines Sciences '!G24=7,'Items sous domaines Sciences '!B24,0)</f>
        <v>0</v>
      </c>
      <c r="C22" s="8">
        <f>IF('Items sous domaines Sciences '!G24=7,'Items sous domaines Sciences '!C24,0)</f>
        <v>0</v>
      </c>
      <c r="D22" s="8">
        <f>IF('Items sous domaines Sciences '!G24=7,'Items sous domaines Sciences '!D24,0)</f>
        <v>0</v>
      </c>
      <c r="E22" s="8">
        <f>IF('Items sous domaines Sciences '!G24=7,'Items sous domaines Sciences '!E24,0)</f>
        <v>0</v>
      </c>
      <c r="F22" s="340"/>
      <c r="G22" s="331"/>
    </row>
    <row r="23" spans="1:7" ht="17.399999999999999" hidden="1" customHeight="1" thickBot="1" x14ac:dyDescent="0.3">
      <c r="A23" s="460"/>
      <c r="B23" s="8">
        <f>IF('Items sous domaines Sciences '!G25=7,'Items sous domaines Sciences '!B25,0)</f>
        <v>0</v>
      </c>
      <c r="C23" s="8">
        <f>IF('Items sous domaines Sciences '!G25=7,'Items sous domaines Sciences '!C25,0)</f>
        <v>0</v>
      </c>
      <c r="D23" s="8">
        <f>IF('Items sous domaines Sciences '!G25=7,'Items sous domaines Sciences '!D25,0)</f>
        <v>0</v>
      </c>
      <c r="E23" s="8">
        <f>IF('Items sous domaines Sciences '!G25=7,'Items sous domaines Sciences '!E25,0)</f>
        <v>0</v>
      </c>
      <c r="F23" s="341"/>
      <c r="G23" s="331"/>
    </row>
    <row r="24" spans="1:7" ht="17.399999999999999" hidden="1" customHeight="1" thickBot="1" x14ac:dyDescent="0.3">
      <c r="A24" s="460"/>
      <c r="B24" s="8">
        <f>IF('Items sous domaines Sciences '!G26=7,'Items sous domaines Sciences '!B26,0)</f>
        <v>0</v>
      </c>
      <c r="C24" s="8">
        <f>IF('Items sous domaines Sciences '!G26=7,'Items sous domaines Sciences '!C26,0)</f>
        <v>0</v>
      </c>
      <c r="D24" s="8">
        <f>IF('Items sous domaines Sciences '!G26=7,'Items sous domaines Sciences '!D26,0)</f>
        <v>0</v>
      </c>
      <c r="E24" s="8">
        <f>IF('Items sous domaines Sciences '!G26=7,'Items sous domaines Sciences '!E26,0)</f>
        <v>0</v>
      </c>
      <c r="F24" s="411"/>
      <c r="G24" s="332"/>
    </row>
    <row r="25" spans="1:7" ht="17.399999999999999" hidden="1" customHeight="1" thickBot="1" x14ac:dyDescent="0.3">
      <c r="A25" s="460"/>
      <c r="B25" s="8">
        <f>IF('Items sous domaines Sciences '!G27=7,'Items sous domaines Sciences '!B27,0)</f>
        <v>0</v>
      </c>
      <c r="C25" s="8">
        <f>IF('Items sous domaines Sciences '!G27=7,'Items sous domaines Sciences '!C27,0)</f>
        <v>0</v>
      </c>
      <c r="D25" s="8">
        <f>IF('Items sous domaines Sciences '!G27=7,'Items sous domaines Sciences '!D27,0)</f>
        <v>0</v>
      </c>
      <c r="E25" s="8">
        <f>IF('Items sous domaines Sciences '!G27=7,'Items sous domaines Sciences '!E27,0)</f>
        <v>0</v>
      </c>
      <c r="F25" s="411"/>
      <c r="G25" s="332"/>
    </row>
    <row r="26" spans="1:7" ht="17.399999999999999" hidden="1" customHeight="1" thickBot="1" x14ac:dyDescent="0.3">
      <c r="A26" s="460"/>
      <c r="B26" s="8">
        <f>IF('Items sous domaines Sciences '!G28=7,'Items sous domaines Sciences '!B28,0)</f>
        <v>0</v>
      </c>
      <c r="C26" s="8">
        <f>IF('Items sous domaines Sciences '!G28=7,'Items sous domaines Sciences '!C28,0)</f>
        <v>0</v>
      </c>
      <c r="D26" s="8">
        <f>IF('Items sous domaines Sciences '!G28=7,'Items sous domaines Sciences '!D28,0)</f>
        <v>0</v>
      </c>
      <c r="E26" s="8">
        <f>IF('Items sous domaines Sciences '!G28=7,'Items sous domaines Sciences '!E28,0)</f>
        <v>0</v>
      </c>
      <c r="F26" s="411"/>
      <c r="G26" s="332"/>
    </row>
    <row r="27" spans="1:7" ht="17.399999999999999" hidden="1" customHeight="1" thickBot="1" x14ac:dyDescent="0.3">
      <c r="A27" s="460"/>
      <c r="B27" s="8">
        <f>IF('Items sous domaines Sciences '!G29=7,'Items sous domaines Sciences '!B29,0)</f>
        <v>0</v>
      </c>
      <c r="C27" s="8">
        <f>IF('Items sous domaines Sciences '!G29=7,'Items sous domaines Sciences '!C29,0)</f>
        <v>0</v>
      </c>
      <c r="D27" s="8">
        <f>IF('Items sous domaines Sciences '!G29=7,'Items sous domaines Sciences '!D29,0)</f>
        <v>0</v>
      </c>
      <c r="E27" s="8">
        <f>IF('Items sous domaines Sciences '!G29=7,'Items sous domaines Sciences '!E29,0)</f>
        <v>0</v>
      </c>
      <c r="F27" s="411"/>
      <c r="G27" s="332"/>
    </row>
    <row r="28" spans="1:7" ht="17.399999999999999" hidden="1" customHeight="1" thickBot="1" x14ac:dyDescent="0.3">
      <c r="A28" s="460"/>
      <c r="B28" s="8">
        <f>IF('Items sous domaines Sciences '!G30=7,'Items sous domaines Sciences '!B30,0)</f>
        <v>0</v>
      </c>
      <c r="C28" s="8">
        <f>IF('Items sous domaines Sciences '!G30=7,'Items sous domaines Sciences '!C30,0)</f>
        <v>0</v>
      </c>
      <c r="D28" s="8">
        <f>IF('Items sous domaines Sciences '!G30=7,'Items sous domaines Sciences '!D30,0)</f>
        <v>0</v>
      </c>
      <c r="E28" s="8">
        <f>IF('Items sous domaines Sciences '!G30=7,'Items sous domaines Sciences '!E30,0)</f>
        <v>0</v>
      </c>
      <c r="F28" s="411"/>
      <c r="G28" s="332"/>
    </row>
    <row r="29" spans="1:7" ht="17.399999999999999" hidden="1" customHeight="1" thickBot="1" x14ac:dyDescent="0.3">
      <c r="A29" s="460"/>
      <c r="B29" s="8">
        <f>IF('Items sous domaines Sciences '!G31=7,'Items sous domaines Sciences '!B31,0)</f>
        <v>0</v>
      </c>
      <c r="C29" s="8">
        <f>IF('Items sous domaines Sciences '!G31=7,'Items sous domaines Sciences '!C31,0)</f>
        <v>0</v>
      </c>
      <c r="D29" s="8">
        <f>IF('Items sous domaines Sciences '!G31=7,'Items sous domaines Sciences '!D31,0)</f>
        <v>0</v>
      </c>
      <c r="E29" s="8">
        <f>IF('Items sous domaines Sciences '!G31=7,'Items sous domaines Sciences '!E31,0)</f>
        <v>0</v>
      </c>
      <c r="F29" s="411"/>
      <c r="G29" s="332"/>
    </row>
    <row r="30" spans="1:7" ht="22.2" hidden="1" customHeight="1" thickBot="1" x14ac:dyDescent="0.3">
      <c r="A30" s="460"/>
      <c r="B30" s="8">
        <f>IF('Items sous domaines Sciences '!G32=7,'Items sous domaines Sciences '!B32,0)</f>
        <v>0</v>
      </c>
      <c r="C30" s="8">
        <f>IF('Items sous domaines Sciences '!G32=7,'Items sous domaines Sciences '!C32,0)</f>
        <v>0</v>
      </c>
      <c r="D30" s="8">
        <f>IF('Items sous domaines Sciences '!G32=7,'Items sous domaines Sciences '!D32,0)</f>
        <v>0</v>
      </c>
      <c r="E30" s="8">
        <f>IF('Items sous domaines Sciences '!G32=7,'Items sous domaines Sciences '!E32,0)</f>
        <v>0</v>
      </c>
      <c r="F30" s="411"/>
      <c r="G30" s="332"/>
    </row>
    <row r="31" spans="1:7" s="2" customFormat="1" ht="17.399999999999999" hidden="1" customHeight="1" thickBot="1" x14ac:dyDescent="0.3">
      <c r="A31" s="460"/>
      <c r="B31" s="8">
        <f>IF('Items sous domaines Sciences '!G33=7,'Items sous domaines Sciences '!B33,0)</f>
        <v>0</v>
      </c>
      <c r="C31" s="8">
        <f>IF('Items sous domaines Sciences '!G33=7,'Items sous domaines Sciences '!C33,0)</f>
        <v>0</v>
      </c>
      <c r="D31" s="8">
        <f>IF('Items sous domaines Sciences '!G33=7,'Items sous domaines Sciences '!D33,0)</f>
        <v>0</v>
      </c>
      <c r="E31" s="8">
        <f>IF('Items sous domaines Sciences '!G33=7,'Items sous domaines Sciences '!E33,0)</f>
        <v>0</v>
      </c>
      <c r="F31" s="411"/>
      <c r="G31" s="332"/>
    </row>
    <row r="32" spans="1:7" s="2" customFormat="1" ht="17.399999999999999" hidden="1" customHeight="1" thickBot="1" x14ac:dyDescent="0.3">
      <c r="A32" s="460"/>
      <c r="B32" s="8">
        <f>IF('Items sous domaines Sciences '!G34=7,'Items sous domaines Sciences '!B34,0)</f>
        <v>0</v>
      </c>
      <c r="C32" s="8">
        <f>IF('Items sous domaines Sciences '!G34=7,'Items sous domaines Sciences '!C34,0)</f>
        <v>0</v>
      </c>
      <c r="D32" s="8">
        <f>IF('Items sous domaines Sciences '!G34=7,'Items sous domaines Sciences '!D34,0)</f>
        <v>0</v>
      </c>
      <c r="E32" s="8">
        <f>IF('Items sous domaines Sciences '!G34=7,'Items sous domaines Sciences '!E34,0)</f>
        <v>0</v>
      </c>
      <c r="F32" s="411"/>
      <c r="G32" s="332"/>
    </row>
    <row r="33" spans="1:7" s="2" customFormat="1" ht="17.399999999999999" hidden="1" customHeight="1" thickBot="1" x14ac:dyDescent="0.3">
      <c r="A33" s="460"/>
      <c r="B33" s="8">
        <f>IF('Items sous domaines Sciences '!G35=7,'Items sous domaines Sciences '!B35,0)</f>
        <v>0</v>
      </c>
      <c r="C33" s="8">
        <f>IF('Items sous domaines Sciences '!G35=7,'Items sous domaines Sciences '!C35,0)</f>
        <v>0</v>
      </c>
      <c r="D33" s="8">
        <f>IF('Items sous domaines Sciences '!G35=7,'Items sous domaines Sciences '!D35,0)</f>
        <v>0</v>
      </c>
      <c r="E33" s="8">
        <f>IF('Items sous domaines Sciences '!G35=7,'Items sous domaines Sciences '!E35,0)</f>
        <v>0</v>
      </c>
      <c r="F33" s="411"/>
      <c r="G33" s="332"/>
    </row>
    <row r="34" spans="1:7" s="2" customFormat="1" ht="17.399999999999999" hidden="1" customHeight="1" thickBot="1" x14ac:dyDescent="0.3">
      <c r="A34" s="460"/>
      <c r="B34" s="8">
        <f>IF('Items sous domaines Sciences '!G36=7,'Items sous domaines Sciences '!B36,0)</f>
        <v>0</v>
      </c>
      <c r="C34" s="8">
        <f>IF('Items sous domaines Sciences '!G36=7,'Items sous domaines Sciences '!C36,0)</f>
        <v>0</v>
      </c>
      <c r="D34" s="8">
        <f>IF('Items sous domaines Sciences '!G36=7,'Items sous domaines Sciences '!D36,0)</f>
        <v>0</v>
      </c>
      <c r="E34" s="8">
        <f>IF('Items sous domaines Sciences '!G36=7,'Items sous domaines Sciences '!E36,0)</f>
        <v>0</v>
      </c>
      <c r="F34" s="411"/>
      <c r="G34" s="332"/>
    </row>
    <row r="35" spans="1:7" s="2" customFormat="1" ht="17.399999999999999" hidden="1" customHeight="1" thickBot="1" x14ac:dyDescent="0.3">
      <c r="A35" s="460"/>
      <c r="B35" s="8">
        <f>IF('Items sous domaines Sciences '!G37=7,'Items sous domaines Sciences '!B37,0)</f>
        <v>0</v>
      </c>
      <c r="C35" s="8">
        <f>IF('Items sous domaines Sciences '!G37=7,'Items sous domaines Sciences '!C37,0)</f>
        <v>0</v>
      </c>
      <c r="D35" s="8">
        <f>IF('Items sous domaines Sciences '!G37=7,'Items sous domaines Sciences '!D37,0)</f>
        <v>0</v>
      </c>
      <c r="E35" s="8">
        <f>IF('Items sous domaines Sciences '!G37=7,'Items sous domaines Sciences '!E37,0)</f>
        <v>0</v>
      </c>
      <c r="F35" s="339"/>
      <c r="G35" s="331"/>
    </row>
    <row r="36" spans="1:7" s="2" customFormat="1" ht="17.399999999999999" hidden="1" customHeight="1" thickBot="1" x14ac:dyDescent="0.3">
      <c r="A36" s="460"/>
      <c r="B36" s="8">
        <f>IF('Items sous domaines Sciences '!G38=7,'Items sous domaines Sciences '!B38,0)</f>
        <v>0</v>
      </c>
      <c r="C36" s="8">
        <f>IF('Items sous domaines Sciences '!G38=7,'Items sous domaines Sciences '!C38,0)</f>
        <v>0</v>
      </c>
      <c r="D36" s="8">
        <f>IF('Items sous domaines Sciences '!G38=7,'Items sous domaines Sciences '!D38,0)</f>
        <v>0</v>
      </c>
      <c r="E36" s="8">
        <f>IF('Items sous domaines Sciences '!G38=7,'Items sous domaines Sciences '!E38,0)</f>
        <v>0</v>
      </c>
      <c r="F36" s="340"/>
    </row>
    <row r="37" spans="1:7" s="2" customFormat="1" ht="17.399999999999999" hidden="1" customHeight="1" thickBot="1" x14ac:dyDescent="0.3">
      <c r="A37" s="460"/>
      <c r="B37" s="8">
        <f>IF('Items sous domaines Sciences '!G39=7,'Items sous domaines Sciences '!B39,0)</f>
        <v>0</v>
      </c>
      <c r="C37" s="8">
        <f>IF('Items sous domaines Sciences '!G39=7,'Items sous domaines Sciences '!C39,0)</f>
        <v>0</v>
      </c>
      <c r="D37" s="8">
        <f>IF('Items sous domaines Sciences '!G39=7,'Items sous domaines Sciences '!D39,0)</f>
        <v>0</v>
      </c>
      <c r="E37" s="8">
        <f>IF('Items sous domaines Sciences '!G39=7,'Items sous domaines Sciences '!E39,0)</f>
        <v>0</v>
      </c>
      <c r="F37" s="340"/>
    </row>
    <row r="38" spans="1:7" ht="17.399999999999999" hidden="1" customHeight="1" thickBot="1" x14ac:dyDescent="0.3">
      <c r="A38" s="460"/>
      <c r="B38" s="8">
        <f>IF('Items sous domaines Sciences '!G40=7,'Items sous domaines Sciences '!B40,0)</f>
        <v>0</v>
      </c>
      <c r="C38" s="8">
        <f>IF('Items sous domaines Sciences '!G40=7,'Items sous domaines Sciences '!C40,0)</f>
        <v>0</v>
      </c>
      <c r="D38" s="8">
        <f>IF('Items sous domaines Sciences '!G40=7,'Items sous domaines Sciences '!D40,0)</f>
        <v>0</v>
      </c>
      <c r="E38" s="8">
        <f>IF('Items sous domaines Sciences '!G40=7,'Items sous domaines Sciences '!E40,0)</f>
        <v>0</v>
      </c>
      <c r="F38" s="341"/>
      <c r="G38"/>
    </row>
    <row r="39" spans="1:7" ht="17.399999999999999" hidden="1" customHeight="1" thickBot="1" x14ac:dyDescent="0.3">
      <c r="A39" s="460"/>
      <c r="B39" s="8">
        <f>IF('Items sous domaines Sciences '!G41=7,'Items sous domaines Sciences '!B41,0)</f>
        <v>0</v>
      </c>
      <c r="C39" s="8">
        <f>IF('Items sous domaines Sciences '!G41=7,'Items sous domaines Sciences '!C41,0)</f>
        <v>0</v>
      </c>
      <c r="D39" s="8">
        <f>IF('Items sous domaines Sciences '!G41=7,'Items sous domaines Sciences '!D41,0)</f>
        <v>0</v>
      </c>
      <c r="E39" s="8">
        <f>IF('Items sous domaines Sciences '!G41=7,'Items sous domaines Sciences '!E41,0)</f>
        <v>0</v>
      </c>
      <c r="F39" s="411"/>
      <c r="G39"/>
    </row>
    <row r="40" spans="1:7" ht="17.399999999999999" hidden="1" customHeight="1" thickBot="1" x14ac:dyDescent="0.3">
      <c r="A40" s="460"/>
      <c r="B40" s="8">
        <f>IF('Items sous domaines Sciences '!G42=7,'Items sous domaines Sciences '!B42,0)</f>
        <v>0</v>
      </c>
      <c r="C40" s="8">
        <f>IF('Items sous domaines Sciences '!G42=7,'Items sous domaines Sciences '!C42,0)</f>
        <v>0</v>
      </c>
      <c r="D40" s="8">
        <f>IF('Items sous domaines Sciences '!G42=7,'Items sous domaines Sciences '!D42,0)</f>
        <v>0</v>
      </c>
      <c r="E40" s="8">
        <f>IF('Items sous domaines Sciences '!G42=7,'Items sous domaines Sciences '!E42,0)</f>
        <v>0</v>
      </c>
      <c r="F40" s="339"/>
      <c r="G40"/>
    </row>
    <row r="41" spans="1:7" ht="17.399999999999999" hidden="1" customHeight="1" thickBot="1" x14ac:dyDescent="0.3">
      <c r="A41" s="460"/>
      <c r="B41" s="8">
        <f>IF('Items sous domaines Sciences '!G43=7,'Items sous domaines Sciences '!B43,0)</f>
        <v>0</v>
      </c>
      <c r="C41" s="8">
        <f>IF('Items sous domaines Sciences '!G43=7,'Items sous domaines Sciences '!C43,0)</f>
        <v>0</v>
      </c>
      <c r="D41" s="8">
        <f>IF('Items sous domaines Sciences '!G43=7,'Items sous domaines Sciences '!D43,0)</f>
        <v>0</v>
      </c>
      <c r="E41" s="8">
        <f>IF('Items sous domaines Sciences '!G43=7,'Items sous domaines Sciences '!E43,0)</f>
        <v>0</v>
      </c>
      <c r="F41" s="340"/>
      <c r="G41"/>
    </row>
    <row r="42" spans="1:7" ht="17.399999999999999" hidden="1" customHeight="1" thickBot="1" x14ac:dyDescent="0.3">
      <c r="A42" s="460"/>
      <c r="B42" s="8">
        <f>IF('Items sous domaines Sciences '!G44=7,'Items sous domaines Sciences '!B44,0)</f>
        <v>0</v>
      </c>
      <c r="C42" s="8">
        <f>IF('Items sous domaines Sciences '!G44=7,'Items sous domaines Sciences '!C44,0)</f>
        <v>0</v>
      </c>
      <c r="D42" s="8">
        <f>IF('Items sous domaines Sciences '!G44=7,'Items sous domaines Sciences '!D44,0)</f>
        <v>0</v>
      </c>
      <c r="E42" s="8">
        <f>IF('Items sous domaines Sciences '!G44=7,'Items sous domaines Sciences '!E44,0)</f>
        <v>0</v>
      </c>
      <c r="F42" s="340"/>
      <c r="G42"/>
    </row>
    <row r="43" spans="1:7" ht="17.399999999999999" hidden="1" customHeight="1" thickBot="1" x14ac:dyDescent="0.3">
      <c r="A43" s="460"/>
      <c r="B43" s="8">
        <f>IF('Items sous domaines Sciences '!G45=7,'Items sous domaines Sciences '!B45,0)</f>
        <v>0</v>
      </c>
      <c r="C43" s="8">
        <f>IF('Items sous domaines Sciences '!G45=7,'Items sous domaines Sciences '!C45,0)</f>
        <v>0</v>
      </c>
      <c r="D43" s="8">
        <f>IF('Items sous domaines Sciences '!G45=7,'Items sous domaines Sciences '!D45,0)</f>
        <v>0</v>
      </c>
      <c r="E43" s="8">
        <f>IF('Items sous domaines Sciences '!G45=7,'Items sous domaines Sciences '!E45,0)</f>
        <v>0</v>
      </c>
      <c r="F43" s="340"/>
      <c r="G43"/>
    </row>
    <row r="44" spans="1:7" ht="17.399999999999999" hidden="1" customHeight="1" thickBot="1" x14ac:dyDescent="0.3">
      <c r="A44" s="460"/>
      <c r="B44" s="8">
        <f>IF('Items sous domaines Sciences '!G46=7,'Items sous domaines Sciences '!B46,0)</f>
        <v>0</v>
      </c>
      <c r="C44" s="8">
        <f>IF('Items sous domaines Sciences '!G46=7,'Items sous domaines Sciences '!C46,0)</f>
        <v>0</v>
      </c>
      <c r="D44" s="8">
        <f>IF('Items sous domaines Sciences '!G46=7,'Items sous domaines Sciences '!D46,0)</f>
        <v>0</v>
      </c>
      <c r="E44" s="8">
        <f>IF('Items sous domaines Sciences '!G46=7,'Items sous domaines Sciences '!E46,0)</f>
        <v>0</v>
      </c>
      <c r="F44" s="340"/>
      <c r="G44"/>
    </row>
    <row r="45" spans="1:7" ht="17.399999999999999" hidden="1" customHeight="1" thickBot="1" x14ac:dyDescent="0.3">
      <c r="A45" s="460"/>
      <c r="B45" s="8">
        <f>IF('Items sous domaines Sciences '!G47=7,'Items sous domaines Sciences '!B47,0)</f>
        <v>0</v>
      </c>
      <c r="C45" s="8">
        <f>IF('Items sous domaines Sciences '!G47=7,'Items sous domaines Sciences '!C47,0)</f>
        <v>0</v>
      </c>
      <c r="D45" s="8">
        <f>IF('Items sous domaines Sciences '!G47=7,'Items sous domaines Sciences '!D47,0)</f>
        <v>0</v>
      </c>
      <c r="E45" s="8">
        <f>IF('Items sous domaines Sciences '!G47=7,'Items sous domaines Sciences '!E47,0)</f>
        <v>0</v>
      </c>
      <c r="F45" s="340"/>
      <c r="G45"/>
    </row>
    <row r="46" spans="1:7" ht="27.6" hidden="1" customHeight="1" thickBot="1" x14ac:dyDescent="0.3">
      <c r="A46" s="460"/>
      <c r="B46" s="8">
        <f>IF('Items sous domaines Sciences '!G48=7,'Items sous domaines Sciences '!B48,0)</f>
        <v>0</v>
      </c>
      <c r="C46" s="8">
        <f>IF('Items sous domaines Sciences '!G48=7,'Items sous domaines Sciences '!C48,0)</f>
        <v>0</v>
      </c>
      <c r="D46" s="8">
        <f>IF('Items sous domaines Sciences '!G48=7,'Items sous domaines Sciences '!D48,0)</f>
        <v>0</v>
      </c>
      <c r="E46" s="8">
        <f>IF('Items sous domaines Sciences '!G48=7,'Items sous domaines Sciences '!E48,0)</f>
        <v>0</v>
      </c>
      <c r="F46" s="340"/>
      <c r="G46" s="333" t="s">
        <v>396</v>
      </c>
    </row>
    <row r="47" spans="1:7" ht="17.399999999999999" hidden="1" customHeight="1" thickBot="1" x14ac:dyDescent="0.3">
      <c r="A47" s="460"/>
      <c r="B47" s="8">
        <f>IF('Items sous domaines Sciences '!G49=7,'Items sous domaines Sciences '!B49,0)</f>
        <v>0</v>
      </c>
      <c r="C47" s="8">
        <f>IF('Items sous domaines Sciences '!G49=7,'Items sous domaines Sciences '!C49,0)</f>
        <v>0</v>
      </c>
      <c r="D47" s="8">
        <f>IF('Items sous domaines Sciences '!G49=7,'Items sous domaines Sciences '!D49,0)</f>
        <v>0</v>
      </c>
      <c r="E47" s="8">
        <f>IF('Items sous domaines Sciences '!G49=7,'Items sous domaines Sciences '!E49,0)</f>
        <v>0</v>
      </c>
      <c r="F47" s="340"/>
      <c r="G47" s="372"/>
    </row>
    <row r="48" spans="1:7" ht="17.399999999999999" hidden="1" customHeight="1" thickBot="1" x14ac:dyDescent="0.3">
      <c r="A48" s="460"/>
      <c r="B48" s="8">
        <f>IF('Items sous domaines Sciences '!G50=7,'Items sous domaines Sciences '!B50,0)</f>
        <v>0</v>
      </c>
      <c r="C48" s="8">
        <f>IF('Items sous domaines Sciences '!G50=7,'Items sous domaines Sciences '!C50,0)</f>
        <v>0</v>
      </c>
      <c r="D48" s="8">
        <f>IF('Items sous domaines Sciences '!G50=7,'Items sous domaines Sciences '!D50,0)</f>
        <v>0</v>
      </c>
      <c r="E48" s="8">
        <f>IF('Items sous domaines Sciences '!G50=7,'Items sous domaines Sciences '!E50,0)</f>
        <v>0</v>
      </c>
      <c r="F48" s="340"/>
      <c r="G48" s="372"/>
    </row>
    <row r="49" spans="1:7" ht="17.399999999999999" hidden="1" customHeight="1" thickBot="1" x14ac:dyDescent="0.3">
      <c r="A49" s="460"/>
      <c r="B49" s="8">
        <f>IF('Items sous domaines Sciences '!G51=7,'Items sous domaines Sciences '!B51,0)</f>
        <v>0</v>
      </c>
      <c r="C49" s="8">
        <f>IF('Items sous domaines Sciences '!G51=7,'Items sous domaines Sciences '!C51,0)</f>
        <v>0</v>
      </c>
      <c r="D49" s="8">
        <f>IF('Items sous domaines Sciences '!G51=7,'Items sous domaines Sciences '!D51,0)</f>
        <v>0</v>
      </c>
      <c r="E49" s="8">
        <f>IF('Items sous domaines Sciences '!G51=7,'Items sous domaines Sciences '!E51,0)</f>
        <v>0</v>
      </c>
      <c r="F49" s="340"/>
      <c r="G49" s="372"/>
    </row>
    <row r="50" spans="1:7" ht="17.399999999999999" hidden="1" customHeight="1" thickBot="1" x14ac:dyDescent="0.3">
      <c r="A50" s="460"/>
      <c r="B50" s="8">
        <f>IF('Items sous domaines Sciences '!G52=7,'Items sous domaines Sciences '!B52,0)</f>
        <v>0</v>
      </c>
      <c r="C50" s="8">
        <f>IF('Items sous domaines Sciences '!G52=7,'Items sous domaines Sciences '!C52,0)</f>
        <v>0</v>
      </c>
      <c r="D50" s="8">
        <f>IF('Items sous domaines Sciences '!G52=7,'Items sous domaines Sciences '!D52,0)</f>
        <v>0</v>
      </c>
      <c r="E50" s="8">
        <f>IF('Items sous domaines Sciences '!G52=7,'Items sous domaines Sciences '!E52,0)</f>
        <v>0</v>
      </c>
      <c r="F50" s="340"/>
      <c r="G50" s="372"/>
    </row>
    <row r="51" spans="1:7" ht="17.399999999999999" hidden="1" customHeight="1" thickBot="1" x14ac:dyDescent="0.3">
      <c r="A51" s="460"/>
      <c r="B51" s="8">
        <f>IF('Items sous domaines Sciences '!G53=7,'Items sous domaines Sciences '!B53,0)</f>
        <v>0</v>
      </c>
      <c r="C51" s="8">
        <f>IF('Items sous domaines Sciences '!G53=7,'Items sous domaines Sciences '!C53,0)</f>
        <v>0</v>
      </c>
      <c r="D51" s="8">
        <f>IF('Items sous domaines Sciences '!G53=7,'Items sous domaines Sciences '!D53,0)</f>
        <v>0</v>
      </c>
      <c r="E51" s="8">
        <f>IF('Items sous domaines Sciences '!G53=7,'Items sous domaines Sciences '!E53,0)</f>
        <v>0</v>
      </c>
      <c r="F51" s="340"/>
      <c r="G51" s="372"/>
    </row>
    <row r="52" spans="1:7" ht="27.6" hidden="1" customHeight="1" thickBot="1" x14ac:dyDescent="0.3">
      <c r="A52" s="460"/>
      <c r="B52" s="8">
        <f>IF('Items sous domaines Sciences '!G54=7,'Items sous domaines Sciences '!B54,0)</f>
        <v>0</v>
      </c>
      <c r="C52" s="8">
        <f>IF('Items sous domaines Sciences '!G54=7,'Items sous domaines Sciences '!C54,0)</f>
        <v>0</v>
      </c>
      <c r="D52" s="8">
        <f>IF('Items sous domaines Sciences '!G54=7,'Items sous domaines Sciences '!D54,0)</f>
        <v>0</v>
      </c>
      <c r="E52" s="8">
        <f>IF('Items sous domaines Sciences '!G54=7,'Items sous domaines Sciences '!E54,0)</f>
        <v>0</v>
      </c>
      <c r="F52" s="340"/>
      <c r="G52" s="372"/>
    </row>
    <row r="53" spans="1:7" ht="22.2" hidden="1" customHeight="1" thickBot="1" x14ac:dyDescent="0.3">
      <c r="A53" s="460"/>
      <c r="B53" s="8">
        <f>IF('Items sous domaines Sciences '!G55=7,'Items sous domaines Sciences '!B55,0)</f>
        <v>0</v>
      </c>
      <c r="C53" s="8">
        <f>IF('Items sous domaines Sciences '!G55=7,'Items sous domaines Sciences '!C55,0)</f>
        <v>0</v>
      </c>
      <c r="D53" s="8">
        <f>IF('Items sous domaines Sciences '!G55=7,'Items sous domaines Sciences '!D55,0)</f>
        <v>0</v>
      </c>
      <c r="E53" s="8">
        <f>IF('Items sous domaines Sciences '!G55=7,'Items sous domaines Sciences '!E55,0)</f>
        <v>0</v>
      </c>
      <c r="F53" s="340"/>
      <c r="G53" s="372"/>
    </row>
    <row r="54" spans="1:7" s="3" customFormat="1" ht="27.6" hidden="1" customHeight="1" thickBot="1" x14ac:dyDescent="0.3">
      <c r="A54" s="460"/>
      <c r="B54" s="8">
        <f>IF('Items sous domaines Sciences '!G56=7,'Items sous domaines Sciences '!B56,0)</f>
        <v>0</v>
      </c>
      <c r="C54" s="8">
        <f>IF('Items sous domaines Sciences '!G56=7,'Items sous domaines Sciences '!C56,0)</f>
        <v>0</v>
      </c>
      <c r="D54" s="8">
        <f>IF('Items sous domaines Sciences '!G56=7,'Items sous domaines Sciences '!D56,0)</f>
        <v>0</v>
      </c>
      <c r="E54" s="8">
        <f>IF('Items sous domaines Sciences '!G56=7,'Items sous domaines Sciences '!E56,0)</f>
        <v>0</v>
      </c>
      <c r="F54" s="340"/>
      <c r="G54" s="372"/>
    </row>
    <row r="55" spans="1:7" ht="17.399999999999999" hidden="1" customHeight="1" thickBot="1" x14ac:dyDescent="0.3">
      <c r="A55" s="460"/>
      <c r="B55" s="8">
        <f>IF('Items sous domaines Sciences '!G57=7,'Items sous domaines Sciences '!B57,0)</f>
        <v>0</v>
      </c>
      <c r="C55" s="8">
        <f>IF('Items sous domaines Sciences '!G57=7,'Items sous domaines Sciences '!C57,0)</f>
        <v>0</v>
      </c>
      <c r="D55" s="8">
        <f>IF('Items sous domaines Sciences '!G57=7,'Items sous domaines Sciences '!D57,0)</f>
        <v>0</v>
      </c>
      <c r="E55" s="8">
        <f>IF('Items sous domaines Sciences '!G57=7,'Items sous domaines Sciences '!E57,0)</f>
        <v>0</v>
      </c>
      <c r="F55" s="340"/>
      <c r="G55" s="372"/>
    </row>
    <row r="56" spans="1:7" ht="17.399999999999999" hidden="1" customHeight="1" thickBot="1" x14ac:dyDescent="0.3">
      <c r="A56" s="460"/>
      <c r="B56" s="8">
        <f>IF('Items sous domaines Sciences '!G58=7,'Items sous domaines Sciences '!B58,0)</f>
        <v>0</v>
      </c>
      <c r="C56" s="8">
        <f>IF('Items sous domaines Sciences '!G58=7,'Items sous domaines Sciences '!C58,0)</f>
        <v>0</v>
      </c>
      <c r="D56" s="8">
        <f>IF('Items sous domaines Sciences '!G58=7,'Items sous domaines Sciences '!D58,0)</f>
        <v>0</v>
      </c>
      <c r="E56" s="8">
        <f>IF('Items sous domaines Sciences '!G58=7,'Items sous domaines Sciences '!E58,0)</f>
        <v>0</v>
      </c>
      <c r="F56" s="340"/>
      <c r="G56" s="372"/>
    </row>
    <row r="57" spans="1:7" ht="17.399999999999999" hidden="1" customHeight="1" thickBot="1" x14ac:dyDescent="0.3">
      <c r="A57" s="460"/>
      <c r="B57" s="8">
        <f>IF('Items sous domaines Sciences '!G59=7,'Items sous domaines Sciences '!B59,0)</f>
        <v>0</v>
      </c>
      <c r="C57" s="8">
        <f>IF('Items sous domaines Sciences '!G59=7,'Items sous domaines Sciences '!C59,0)</f>
        <v>0</v>
      </c>
      <c r="D57" s="8">
        <f>IF('Items sous domaines Sciences '!G59=7,'Items sous domaines Sciences '!D59,0)</f>
        <v>0</v>
      </c>
      <c r="E57" s="8">
        <f>IF('Items sous domaines Sciences '!G59=7,'Items sous domaines Sciences '!E59,0)</f>
        <v>0</v>
      </c>
      <c r="F57" s="340"/>
      <c r="G57" s="372"/>
    </row>
    <row r="58" spans="1:7" ht="17.399999999999999" hidden="1" customHeight="1" thickBot="1" x14ac:dyDescent="0.3">
      <c r="A58" s="460"/>
      <c r="B58" s="8">
        <f>IF('Items sous domaines Sciences '!G60=7,'Items sous domaines Sciences '!B60,0)</f>
        <v>0</v>
      </c>
      <c r="C58" s="8">
        <f>IF('Items sous domaines Sciences '!G60=7,'Items sous domaines Sciences '!C60,0)</f>
        <v>0</v>
      </c>
      <c r="D58" s="8">
        <f>IF('Items sous domaines Sciences '!G60=7,'Items sous domaines Sciences '!D60,0)</f>
        <v>0</v>
      </c>
      <c r="E58" s="8">
        <f>IF('Items sous domaines Sciences '!G60=7,'Items sous domaines Sciences '!E60,0)</f>
        <v>0</v>
      </c>
      <c r="F58" s="340"/>
      <c r="G58" s="372"/>
    </row>
    <row r="59" spans="1:7" ht="17.399999999999999" hidden="1" customHeight="1" thickBot="1" x14ac:dyDescent="0.3">
      <c r="A59" s="460"/>
      <c r="B59" s="8">
        <f>IF('Items sous domaines Sciences '!G61=7,'Items sous domaines Sciences '!B61,0)</f>
        <v>0</v>
      </c>
      <c r="C59" s="8">
        <f>IF('Items sous domaines Sciences '!G61=7,'Items sous domaines Sciences '!C61,0)</f>
        <v>0</v>
      </c>
      <c r="D59" s="8">
        <f>IF('Items sous domaines Sciences '!G61=7,'Items sous domaines Sciences '!D61,0)</f>
        <v>0</v>
      </c>
      <c r="E59" s="8">
        <f>IF('Items sous domaines Sciences '!G61=7,'Items sous domaines Sciences '!E61,0)</f>
        <v>0</v>
      </c>
      <c r="F59" s="340"/>
      <c r="G59" s="372"/>
    </row>
    <row r="60" spans="1:7" ht="23.4" hidden="1" customHeight="1" thickBot="1" x14ac:dyDescent="0.3">
      <c r="A60" s="460"/>
      <c r="B60" s="8">
        <f>IF('Items sous domaines Sciences '!G62=7,'Items sous domaines Sciences '!B62,0)</f>
        <v>0</v>
      </c>
      <c r="C60" s="8">
        <f>IF('Items sous domaines Sciences '!G62=7,'Items sous domaines Sciences '!C62,0)</f>
        <v>0</v>
      </c>
      <c r="D60" s="8">
        <f>IF('Items sous domaines Sciences '!G62=7,'Items sous domaines Sciences '!D62,0)</f>
        <v>0</v>
      </c>
      <c r="E60" s="8">
        <f>IF('Items sous domaines Sciences '!G62=7,'Items sous domaines Sciences '!E62,0)</f>
        <v>0</v>
      </c>
      <c r="F60" s="340"/>
      <c r="G60" s="372"/>
    </row>
    <row r="61" spans="1:7" ht="43.95" hidden="1" customHeight="1" thickBot="1" x14ac:dyDescent="0.3">
      <c r="A61" s="460"/>
      <c r="B61" s="8">
        <f>IF('Items sous domaines Sciences '!G63=7,'Items sous domaines Sciences '!B63,0)</f>
        <v>0</v>
      </c>
      <c r="C61" s="8">
        <f>IF('Items sous domaines Sciences '!G63=7,'Items sous domaines Sciences '!C63,0)</f>
        <v>0</v>
      </c>
      <c r="D61" s="8">
        <f>IF('Items sous domaines Sciences '!G63=7,'Items sous domaines Sciences '!D63,0)</f>
        <v>0</v>
      </c>
      <c r="E61" s="8">
        <f>IF('Items sous domaines Sciences '!G63=7,'Items sous domaines Sciences '!E63,0)</f>
        <v>0</v>
      </c>
      <c r="F61" s="341"/>
      <c r="G61" s="372"/>
    </row>
    <row r="62" spans="1:7" ht="30" hidden="1" customHeight="1" thickBot="1" x14ac:dyDescent="0.3">
      <c r="A62" s="460"/>
      <c r="B62" s="8">
        <f>IF('Items sous domaines Sciences '!G64=7,'Items sous domaines Sciences '!B64,0)</f>
        <v>0</v>
      </c>
      <c r="C62" s="8">
        <f>IF('Items sous domaines Sciences '!G64=7,'Items sous domaines Sciences '!C64,0)</f>
        <v>0</v>
      </c>
      <c r="D62" s="8">
        <f>IF('Items sous domaines Sciences '!G64=7,'Items sous domaines Sciences '!D64,0)</f>
        <v>0</v>
      </c>
      <c r="E62" s="8">
        <f>IF('Items sous domaines Sciences '!G64=7,'Items sous domaines Sciences '!E64,0)</f>
        <v>0</v>
      </c>
      <c r="F62" s="411"/>
      <c r="G62" s="372"/>
    </row>
    <row r="63" spans="1:7" ht="17.399999999999999" hidden="1" customHeight="1" thickBot="1" x14ac:dyDescent="0.3">
      <c r="A63" s="460"/>
      <c r="B63" s="8">
        <f>IF('Items sous domaines Sciences '!G65=7,'Items sous domaines Sciences '!B65,0)</f>
        <v>0</v>
      </c>
      <c r="C63" s="8">
        <f>IF('Items sous domaines Sciences '!G65=7,'Items sous domaines Sciences '!C65,0)</f>
        <v>0</v>
      </c>
      <c r="D63" s="8">
        <f>IF('Items sous domaines Sciences '!G65=7,'Items sous domaines Sciences '!D65,0)</f>
        <v>0</v>
      </c>
      <c r="E63" s="8">
        <f>IF('Items sous domaines Sciences '!G65=7,'Items sous domaines Sciences '!E65,0)</f>
        <v>0</v>
      </c>
      <c r="F63" s="339"/>
      <c r="G63"/>
    </row>
    <row r="64" spans="1:7" ht="17.399999999999999" hidden="1" customHeight="1" thickBot="1" x14ac:dyDescent="0.3">
      <c r="A64" s="460"/>
      <c r="B64" s="8">
        <f>IF('Items sous domaines Sciences '!G66=7,'Items sous domaines Sciences '!B66,0)</f>
        <v>0</v>
      </c>
      <c r="C64" s="8">
        <f>IF('Items sous domaines Sciences '!G66=7,'Items sous domaines Sciences '!C66,0)</f>
        <v>0</v>
      </c>
      <c r="D64" s="8">
        <f>IF('Items sous domaines Sciences '!G66=7,'Items sous domaines Sciences '!D66,0)</f>
        <v>0</v>
      </c>
      <c r="E64" s="8">
        <f>IF('Items sous domaines Sciences '!G66=7,'Items sous domaines Sciences '!E66,0)</f>
        <v>0</v>
      </c>
      <c r="F64" s="340"/>
      <c r="G64"/>
    </row>
    <row r="65" spans="1:7" ht="17.399999999999999" hidden="1" customHeight="1" thickBot="1" x14ac:dyDescent="0.3">
      <c r="A65" s="460"/>
      <c r="B65" s="8">
        <f>IF('Items sous domaines Sciences '!G67=7,'Items sous domaines Sciences '!B67,0)</f>
        <v>0</v>
      </c>
      <c r="C65" s="8">
        <f>IF('Items sous domaines Sciences '!G67=7,'Items sous domaines Sciences '!C67,0)</f>
        <v>0</v>
      </c>
      <c r="D65" s="8">
        <f>IF('Items sous domaines Sciences '!G67=7,'Items sous domaines Sciences '!D67,0)</f>
        <v>0</v>
      </c>
      <c r="E65" s="8">
        <f>IF('Items sous domaines Sciences '!G67=7,'Items sous domaines Sciences '!E67,0)</f>
        <v>0</v>
      </c>
      <c r="F65" s="340"/>
      <c r="G65"/>
    </row>
    <row r="66" spans="1:7" ht="17.399999999999999" hidden="1" customHeight="1" thickBot="1" x14ac:dyDescent="0.3">
      <c r="A66" s="460"/>
      <c r="B66" s="8">
        <f>IF('Items sous domaines Sciences '!G68=7,'Items sous domaines Sciences '!B68,0)</f>
        <v>0</v>
      </c>
      <c r="C66" s="8">
        <f>IF('Items sous domaines Sciences '!G68=7,'Items sous domaines Sciences '!C68,0)</f>
        <v>0</v>
      </c>
      <c r="D66" s="8">
        <f>IF('Items sous domaines Sciences '!G68=7,'Items sous domaines Sciences '!D68,0)</f>
        <v>0</v>
      </c>
      <c r="E66" s="8">
        <f>IF('Items sous domaines Sciences '!G68=7,'Items sous domaines Sciences '!E68,0)</f>
        <v>0</v>
      </c>
      <c r="F66" s="340"/>
      <c r="G66"/>
    </row>
    <row r="67" spans="1:7" ht="17.399999999999999" hidden="1" customHeight="1" thickBot="1" x14ac:dyDescent="0.3">
      <c r="A67" s="460"/>
      <c r="B67" s="8">
        <f>IF('Items sous domaines Sciences '!G69=7,'Items sous domaines Sciences '!B69,0)</f>
        <v>0</v>
      </c>
      <c r="C67" s="8">
        <f>IF('Items sous domaines Sciences '!G69=7,'Items sous domaines Sciences '!C69,0)</f>
        <v>0</v>
      </c>
      <c r="D67" s="8">
        <f>IF('Items sous domaines Sciences '!G69=7,'Items sous domaines Sciences '!D69,0)</f>
        <v>0</v>
      </c>
      <c r="E67" s="8">
        <f>IF('Items sous domaines Sciences '!G69=7,'Items sous domaines Sciences '!E69,0)</f>
        <v>0</v>
      </c>
      <c r="F67" s="340"/>
      <c r="G67"/>
    </row>
    <row r="68" spans="1:7" ht="17.399999999999999" hidden="1" customHeight="1" thickBot="1" x14ac:dyDescent="0.3">
      <c r="A68" s="460"/>
      <c r="B68" s="8">
        <f>IF('Items sous domaines Sciences '!G70=7,'Items sous domaines Sciences '!B70,0)</f>
        <v>0</v>
      </c>
      <c r="C68" s="8">
        <f>IF('Items sous domaines Sciences '!G70=7,'Items sous domaines Sciences '!C70,0)</f>
        <v>0</v>
      </c>
      <c r="D68" s="8">
        <f>IF('Items sous domaines Sciences '!G70=7,'Items sous domaines Sciences '!D70,0)</f>
        <v>0</v>
      </c>
      <c r="E68" s="8">
        <f>IF('Items sous domaines Sciences '!G70=7,'Items sous domaines Sciences '!E70,0)</f>
        <v>0</v>
      </c>
      <c r="F68" s="340"/>
      <c r="G68"/>
    </row>
    <row r="69" spans="1:7" ht="22.2" hidden="1" customHeight="1" thickBot="1" x14ac:dyDescent="0.3">
      <c r="A69" s="460"/>
      <c r="B69" s="8">
        <f>IF('Items sous domaines Sciences '!G71=7,'Items sous domaines Sciences '!B71,0)</f>
        <v>0</v>
      </c>
      <c r="C69" s="8">
        <f>IF('Items sous domaines Sciences '!G71=7,'Items sous domaines Sciences '!C71,0)</f>
        <v>0</v>
      </c>
      <c r="D69" s="8">
        <f>IF('Items sous domaines Sciences '!G71=7,'Items sous domaines Sciences '!D71,0)</f>
        <v>0</v>
      </c>
      <c r="E69" s="8">
        <f>IF('Items sous domaines Sciences '!G71=7,'Items sous domaines Sciences '!E71,0)</f>
        <v>0</v>
      </c>
      <c r="F69" s="340"/>
      <c r="G69"/>
    </row>
    <row r="70" spans="1:7" ht="17.399999999999999" hidden="1" customHeight="1" thickBot="1" x14ac:dyDescent="0.3">
      <c r="A70" s="460"/>
      <c r="B70" s="8">
        <f>IF('Items sous domaines Sciences '!G72=7,'Items sous domaines Sciences '!B72,0)</f>
        <v>0</v>
      </c>
      <c r="C70" s="8">
        <f>IF('Items sous domaines Sciences '!G72=7,'Items sous domaines Sciences '!C72,0)</f>
        <v>0</v>
      </c>
      <c r="D70" s="8">
        <f>IF('Items sous domaines Sciences '!G72=7,'Items sous domaines Sciences '!D72,0)</f>
        <v>0</v>
      </c>
      <c r="E70" s="8">
        <f>IF('Items sous domaines Sciences '!G72=7,'Items sous domaines Sciences '!E72,0)</f>
        <v>0</v>
      </c>
      <c r="F70" s="340"/>
      <c r="G70"/>
    </row>
    <row r="71" spans="1:7" ht="27.6" hidden="1" customHeight="1" thickBot="1" x14ac:dyDescent="0.3">
      <c r="A71" s="460"/>
      <c r="B71" s="8">
        <f>IF('Items sous domaines Sciences '!G73=7,'Items sous domaines Sciences '!B73,0)</f>
        <v>0</v>
      </c>
      <c r="C71" s="8">
        <f>IF('Items sous domaines Sciences '!G73=7,'Items sous domaines Sciences '!C73,0)</f>
        <v>0</v>
      </c>
      <c r="D71" s="8">
        <f>IF('Items sous domaines Sciences '!G73=7,'Items sous domaines Sciences '!D73,0)</f>
        <v>0</v>
      </c>
      <c r="E71" s="8">
        <f>IF('Items sous domaines Sciences '!G73=7,'Items sous domaines Sciences '!E73,0)</f>
        <v>0</v>
      </c>
      <c r="F71" s="340"/>
      <c r="G71"/>
    </row>
    <row r="72" spans="1:7" ht="17.399999999999999" hidden="1" customHeight="1" thickBot="1" x14ac:dyDescent="0.3">
      <c r="A72" s="522"/>
      <c r="B72" s="8">
        <f>IF('Items sous domaines Sciences '!G74=7,'Items sous domaines Sciences '!B74,0)</f>
        <v>0</v>
      </c>
      <c r="C72" s="8">
        <f>IF('Items sous domaines Sciences '!G74=7,'Items sous domaines Sciences '!C74,0)</f>
        <v>0</v>
      </c>
      <c r="D72" s="8">
        <f>IF('Items sous domaines Sciences '!G74=7,'Items sous domaines Sciences '!D74,0)</f>
        <v>0</v>
      </c>
      <c r="E72" s="8">
        <f>IF('Items sous domaines Sciences '!G74=7,'Items sous domaines Sciences '!E74,0)</f>
        <v>0</v>
      </c>
      <c r="F72" s="341"/>
      <c r="G72"/>
    </row>
    <row r="73" spans="1:7" ht="17.399999999999999" hidden="1" customHeight="1" thickBot="1" x14ac:dyDescent="0.3">
      <c r="A73" s="523" t="s">
        <v>507</v>
      </c>
      <c r="B73" s="8">
        <f>IF('Items sous domaines Sciences '!G75=7,'Items sous domaines Sciences '!B75,0)</f>
        <v>0</v>
      </c>
      <c r="C73" s="8">
        <f>IF('Items sous domaines Sciences '!G75=7,'Items sous domaines Sciences '!C75,0)</f>
        <v>0</v>
      </c>
      <c r="D73" s="8">
        <f>IF('Items sous domaines Sciences '!G75=7,'Items sous domaines Sciences '!D75,0)</f>
        <v>0</v>
      </c>
      <c r="E73" s="8">
        <f>IF('Items sous domaines Sciences '!G75=7,'Items sous domaines Sciences '!E75,0)</f>
        <v>0</v>
      </c>
      <c r="F73" s="340" t="s">
        <v>398</v>
      </c>
      <c r="G73" s="28" t="s">
        <v>508</v>
      </c>
    </row>
    <row r="74" spans="1:7" ht="17.399999999999999" hidden="1" customHeight="1" thickBot="1" x14ac:dyDescent="0.3">
      <c r="A74" s="524"/>
      <c r="B74" s="8">
        <f>IF('Items sous domaines Sciences '!G76=7,'Items sous domaines Sciences '!B76,0)</f>
        <v>0</v>
      </c>
      <c r="C74" s="8">
        <f>IF('Items sous domaines Sciences '!G76=7,'Items sous domaines Sciences '!C76,0)</f>
        <v>0</v>
      </c>
      <c r="D74" s="8">
        <f>IF('Items sous domaines Sciences '!G76=7,'Items sous domaines Sciences '!D76,0)</f>
        <v>0</v>
      </c>
      <c r="E74" s="8">
        <f>IF('Items sous domaines Sciences '!G76=7,'Items sous domaines Sciences '!E76,0)</f>
        <v>0</v>
      </c>
      <c r="F74" s="340"/>
      <c r="G74"/>
    </row>
    <row r="75" spans="1:7" ht="17.399999999999999" hidden="1" customHeight="1" thickBot="1" x14ac:dyDescent="0.3">
      <c r="A75" s="524"/>
      <c r="B75" s="8">
        <f>IF('Items sous domaines Sciences '!G77=7,'Items sous domaines Sciences '!B77,0)</f>
        <v>0</v>
      </c>
      <c r="C75" s="8">
        <f>IF('Items sous domaines Sciences '!G77=7,'Items sous domaines Sciences '!C77,0)</f>
        <v>0</v>
      </c>
      <c r="D75" s="8">
        <f>IF('Items sous domaines Sciences '!G77=7,'Items sous domaines Sciences '!D77,0)</f>
        <v>0</v>
      </c>
      <c r="E75" s="8">
        <f>IF('Items sous domaines Sciences '!G77=7,'Items sous domaines Sciences '!E77,0)</f>
        <v>0</v>
      </c>
      <c r="F75" s="341"/>
      <c r="G75"/>
    </row>
    <row r="76" spans="1:7" ht="17.399999999999999" hidden="1" customHeight="1" thickBot="1" x14ac:dyDescent="0.3">
      <c r="A76" s="524"/>
      <c r="B76" s="8">
        <f>IF('Items sous domaines Sciences '!G78=7,'Items sous domaines Sciences '!B78,0)</f>
        <v>0</v>
      </c>
      <c r="C76" s="8">
        <f>IF('Items sous domaines Sciences '!G78=7,'Items sous domaines Sciences '!C78,0)</f>
        <v>0</v>
      </c>
      <c r="D76" s="8">
        <f>IF('Items sous domaines Sciences '!G78=7,'Items sous domaines Sciences '!D78,0)</f>
        <v>0</v>
      </c>
      <c r="E76" s="8">
        <f>IF('Items sous domaines Sciences '!G78=7,'Items sous domaines Sciences '!E78,0)</f>
        <v>0</v>
      </c>
      <c r="F76" s="411"/>
      <c r="G76"/>
    </row>
    <row r="77" spans="1:7" ht="17.399999999999999" hidden="1" customHeight="1" thickBot="1" x14ac:dyDescent="0.3">
      <c r="A77" s="524"/>
      <c r="B77" s="8">
        <f>IF('Items sous domaines Sciences '!G79=7,'Items sous domaines Sciences '!B79,0)</f>
        <v>0</v>
      </c>
      <c r="C77" s="8">
        <f>IF('Items sous domaines Sciences '!G79=7,'Items sous domaines Sciences '!C79,0)</f>
        <v>0</v>
      </c>
      <c r="D77" s="8">
        <f>IF('Items sous domaines Sciences '!G79=7,'Items sous domaines Sciences '!D79,0)</f>
        <v>0</v>
      </c>
      <c r="E77" s="8">
        <f>IF('Items sous domaines Sciences '!G79=7,'Items sous domaines Sciences '!E79,0)</f>
        <v>0</v>
      </c>
      <c r="F77" s="339"/>
      <c r="G77"/>
    </row>
    <row r="78" spans="1:7" ht="17.399999999999999" hidden="1" customHeight="1" thickBot="1" x14ac:dyDescent="0.3">
      <c r="A78" s="524"/>
      <c r="B78" s="8">
        <f>IF('Items sous domaines Sciences '!G80=7,'Items sous domaines Sciences '!B80,0)</f>
        <v>0</v>
      </c>
      <c r="C78" s="8">
        <f>IF('Items sous domaines Sciences '!G80=7,'Items sous domaines Sciences '!C80,0)</f>
        <v>0</v>
      </c>
      <c r="D78" s="8">
        <f>IF('Items sous domaines Sciences '!G80=7,'Items sous domaines Sciences '!D80,0)</f>
        <v>0</v>
      </c>
      <c r="E78" s="8">
        <f>IF('Items sous domaines Sciences '!G80=7,'Items sous domaines Sciences '!E80,0)</f>
        <v>0</v>
      </c>
      <c r="F78" s="340"/>
      <c r="G78"/>
    </row>
    <row r="79" spans="1:7" ht="17.399999999999999" hidden="1" customHeight="1" thickBot="1" x14ac:dyDescent="0.3">
      <c r="A79" s="524"/>
      <c r="B79" s="8">
        <f>IF('Items sous domaines Sciences '!G81=7,'Items sous domaines Sciences '!B81,0)</f>
        <v>0</v>
      </c>
      <c r="C79" s="8">
        <f>IF('Items sous domaines Sciences '!G81=7,'Items sous domaines Sciences '!C81,0)</f>
        <v>0</v>
      </c>
      <c r="D79" s="8">
        <f>IF('Items sous domaines Sciences '!G81=7,'Items sous domaines Sciences '!D81,0)</f>
        <v>0</v>
      </c>
      <c r="E79" s="8">
        <f>IF('Items sous domaines Sciences '!G81=7,'Items sous domaines Sciences '!E81,0)</f>
        <v>0</v>
      </c>
      <c r="F79" s="340"/>
      <c r="G79" s="28" t="s">
        <v>509</v>
      </c>
    </row>
    <row r="80" spans="1:7" ht="17.399999999999999" hidden="1" customHeight="1" thickBot="1" x14ac:dyDescent="0.3">
      <c r="A80" s="524"/>
      <c r="B80" s="8">
        <f>IF('Items sous domaines Sciences '!G82=7,'Items sous domaines Sciences '!B82,0)</f>
        <v>0</v>
      </c>
      <c r="C80" s="8">
        <f>IF('Items sous domaines Sciences '!G82=7,'Items sous domaines Sciences '!C82,0)</f>
        <v>0</v>
      </c>
      <c r="D80" s="8">
        <f>IF('Items sous domaines Sciences '!G82=7,'Items sous domaines Sciences '!D82,0)</f>
        <v>0</v>
      </c>
      <c r="E80" s="8">
        <f>IF('Items sous domaines Sciences '!G82=7,'Items sous domaines Sciences '!E82,0)</f>
        <v>0</v>
      </c>
      <c r="F80" s="340"/>
      <c r="G80"/>
    </row>
    <row r="81" spans="1:7" ht="17.399999999999999" hidden="1" customHeight="1" thickBot="1" x14ac:dyDescent="0.3">
      <c r="A81" s="524"/>
      <c r="B81" s="8">
        <f>IF('Items sous domaines Sciences '!G83=7,'Items sous domaines Sciences '!B83,0)</f>
        <v>0</v>
      </c>
      <c r="C81" s="8">
        <f>IF('Items sous domaines Sciences '!G83=7,'Items sous domaines Sciences '!C83,0)</f>
        <v>0</v>
      </c>
      <c r="D81" s="8">
        <f>IF('Items sous domaines Sciences '!G83=7,'Items sous domaines Sciences '!D83,0)</f>
        <v>0</v>
      </c>
      <c r="E81" s="8">
        <f>IF('Items sous domaines Sciences '!G83=7,'Items sous domaines Sciences '!E83,0)</f>
        <v>0</v>
      </c>
      <c r="F81" s="340"/>
      <c r="G81"/>
    </row>
    <row r="82" spans="1:7" ht="17.399999999999999" hidden="1" customHeight="1" thickBot="1" x14ac:dyDescent="0.3">
      <c r="A82" s="524"/>
      <c r="B82" s="8">
        <f>IF('Items sous domaines Sciences '!G84=7,'Items sous domaines Sciences '!B84,0)</f>
        <v>0</v>
      </c>
      <c r="C82" s="8">
        <f>IF('Items sous domaines Sciences '!G84=7,'Items sous domaines Sciences '!C84,0)</f>
        <v>0</v>
      </c>
      <c r="D82" s="8">
        <f>IF('Items sous domaines Sciences '!G84=7,'Items sous domaines Sciences '!D84,0)</f>
        <v>0</v>
      </c>
      <c r="E82" s="8">
        <f>IF('Items sous domaines Sciences '!G84=7,'Items sous domaines Sciences '!E84,0)</f>
        <v>0</v>
      </c>
      <c r="F82" s="340"/>
      <c r="G82"/>
    </row>
    <row r="83" spans="1:7" ht="17.399999999999999" hidden="1" customHeight="1" thickBot="1" x14ac:dyDescent="0.3">
      <c r="A83" s="524"/>
      <c r="B83" s="8">
        <f>IF('Items sous domaines Sciences '!G85=7,'Items sous domaines Sciences '!B85,0)</f>
        <v>0</v>
      </c>
      <c r="C83" s="8">
        <f>IF('Items sous domaines Sciences '!G85=7,'Items sous domaines Sciences '!C85,0)</f>
        <v>0</v>
      </c>
      <c r="D83" s="8">
        <f>IF('Items sous domaines Sciences '!G85=7,'Items sous domaines Sciences '!D85,0)</f>
        <v>0</v>
      </c>
      <c r="E83" s="8">
        <f>IF('Items sous domaines Sciences '!G85=7,'Items sous domaines Sciences '!E85,0)</f>
        <v>0</v>
      </c>
      <c r="F83" s="340"/>
      <c r="G83"/>
    </row>
    <row r="84" spans="1:7" ht="17.399999999999999" hidden="1" customHeight="1" thickBot="1" x14ac:dyDescent="0.3">
      <c r="A84" s="524"/>
      <c r="B84" s="8">
        <f>IF('Items sous domaines Sciences '!G86=7,'Items sous domaines Sciences '!B86,0)</f>
        <v>0</v>
      </c>
      <c r="C84" s="8">
        <f>IF('Items sous domaines Sciences '!G86=7,'Items sous domaines Sciences '!C86,0)</f>
        <v>0</v>
      </c>
      <c r="D84" s="8">
        <f>IF('Items sous domaines Sciences '!G86=7,'Items sous domaines Sciences '!D86,0)</f>
        <v>0</v>
      </c>
      <c r="E84" s="8">
        <f>IF('Items sous domaines Sciences '!G86=7,'Items sous domaines Sciences '!E86,0)</f>
        <v>0</v>
      </c>
      <c r="F84" s="340"/>
      <c r="G84"/>
    </row>
    <row r="85" spans="1:7" ht="17.399999999999999" hidden="1" customHeight="1" thickBot="1" x14ac:dyDescent="0.3">
      <c r="A85" s="524"/>
      <c r="B85" s="8">
        <f>IF('Items sous domaines Sciences '!G87=7,'Items sous domaines Sciences '!B87,0)</f>
        <v>0</v>
      </c>
      <c r="C85" s="8">
        <f>IF('Items sous domaines Sciences '!G87=7,'Items sous domaines Sciences '!C87,0)</f>
        <v>0</v>
      </c>
      <c r="D85" s="8">
        <f>IF('Items sous domaines Sciences '!G87=7,'Items sous domaines Sciences '!D87,0)</f>
        <v>0</v>
      </c>
      <c r="E85" s="8">
        <f>IF('Items sous domaines Sciences '!G87=7,'Items sous domaines Sciences '!E87,0)</f>
        <v>0</v>
      </c>
      <c r="F85" s="340"/>
      <c r="G85"/>
    </row>
    <row r="86" spans="1:7" ht="17.399999999999999" hidden="1" customHeight="1" thickBot="1" x14ac:dyDescent="0.3">
      <c r="A86" s="525"/>
      <c r="B86" s="8">
        <f>IF('Items sous domaines Sciences '!G88=7,'Items sous domaines Sciences '!B88,0)</f>
        <v>0</v>
      </c>
      <c r="C86" s="8">
        <f>IF('Items sous domaines Sciences '!G88=7,'Items sous domaines Sciences '!C88,0)</f>
        <v>0</v>
      </c>
      <c r="D86" s="8">
        <f>IF('Items sous domaines Sciences '!G88=7,'Items sous domaines Sciences '!D88,0)</f>
        <v>0</v>
      </c>
      <c r="E86" s="8">
        <f>IF('Items sous domaines Sciences '!G88=7,'Items sous domaines Sciences '!E88,0)</f>
        <v>0</v>
      </c>
      <c r="F86" s="341"/>
      <c r="G86"/>
    </row>
    <row r="87" spans="1:7" ht="17.399999999999999" hidden="1" customHeight="1" thickBot="1" x14ac:dyDescent="0.3">
      <c r="A87" s="12"/>
      <c r="B87" s="8">
        <f>IF('Items sous domaines Sciences '!G89=7,'Items sous domaines Sciences '!B89,0)</f>
        <v>0</v>
      </c>
      <c r="C87" s="8">
        <f>IF('Items sous domaines Sciences '!G89=7,'Items sous domaines Sciences '!C89,0)</f>
        <v>0</v>
      </c>
      <c r="D87" s="8">
        <f>IF('Items sous domaines Sciences '!G89=7,'Items sous domaines Sciences '!D89,0)</f>
        <v>0</v>
      </c>
      <c r="E87" s="8">
        <f>IF('Items sous domaines Sciences '!G89=7,'Items sous domaines Sciences '!E89,0)</f>
        <v>0</v>
      </c>
      <c r="F87" t="e">
        <f>IF('Items sous domaines Sciences '!#REF!=1,'Items sous domaines Sciences '!#REF!,0)</f>
        <v>#REF!</v>
      </c>
      <c r="G87"/>
    </row>
    <row r="88" spans="1:7" ht="17.399999999999999" hidden="1" customHeight="1" thickBot="1" x14ac:dyDescent="0.3">
      <c r="A88" s="12"/>
      <c r="B88" s="8">
        <f>IF('Items sous domaines Sciences '!G90=7,'Items sous domaines Sciences '!B90,0)</f>
        <v>0</v>
      </c>
      <c r="C88" s="8">
        <f>IF('Items sous domaines Sciences '!G90=7,'Items sous domaines Sciences '!C90,0)</f>
        <v>0</v>
      </c>
      <c r="D88" s="8">
        <f>IF('Items sous domaines Sciences '!G90=7,'Items sous domaines Sciences '!D90,0)</f>
        <v>0</v>
      </c>
      <c r="E88" s="8">
        <f>IF('Items sous domaines Sciences '!G90=7,'Items sous domaines Sciences '!E90,0)</f>
        <v>0</v>
      </c>
      <c r="F88" t="e">
        <f>IF('Items sous domaines Sciences '!#REF!=1,'Items sous domaines Sciences '!#REF!,0)</f>
        <v>#REF!</v>
      </c>
      <c r="G88"/>
    </row>
    <row r="89" spans="1:7" ht="17.399999999999999" hidden="1" customHeight="1" thickBot="1" x14ac:dyDescent="0.3">
      <c r="A89" s="12"/>
      <c r="B89" s="8">
        <f>IF('Items sous domaines Sciences '!G91=7,'Items sous domaines Sciences '!B91,0)</f>
        <v>0</v>
      </c>
      <c r="C89" s="8">
        <f>IF('Items sous domaines Sciences '!G91=7,'Items sous domaines Sciences '!C91,0)</f>
        <v>0</v>
      </c>
      <c r="D89" s="8">
        <f>IF('Items sous domaines Sciences '!G91=7,'Items sous domaines Sciences '!D91,0)</f>
        <v>0</v>
      </c>
      <c r="E89" s="8">
        <f>IF('Items sous domaines Sciences '!G91=7,'Items sous domaines Sciences '!E91,0)</f>
        <v>0</v>
      </c>
      <c r="F89" t="e">
        <f>IF('Items sous domaines Sciences '!#REF!=1,'Items sous domaines Sciences '!#REF!,0)</f>
        <v>#REF!</v>
      </c>
      <c r="G89"/>
    </row>
    <row r="90" spans="1:7" ht="17.399999999999999" hidden="1" customHeight="1" thickBot="1" x14ac:dyDescent="0.3">
      <c r="A90" s="12"/>
      <c r="B90" s="8">
        <f>IF('Items sous domaines Sciences '!G92=7,'Items sous domaines Sciences '!B92,0)</f>
        <v>0</v>
      </c>
      <c r="C90" s="8">
        <f>IF('Items sous domaines Sciences '!G92=7,'Items sous domaines Sciences '!C92,0)</f>
        <v>0</v>
      </c>
      <c r="D90" s="8">
        <f>IF('Items sous domaines Sciences '!G92=7,'Items sous domaines Sciences '!D92,0)</f>
        <v>0</v>
      </c>
      <c r="E90" s="8">
        <f>IF('Items sous domaines Sciences '!G92=7,'Items sous domaines Sciences '!E92,0)</f>
        <v>0</v>
      </c>
      <c r="F90" t="e">
        <f>IF('Items sous domaines Sciences '!#REF!=1,'Items sous domaines Sciences '!#REF!,0)</f>
        <v>#REF!</v>
      </c>
      <c r="G90"/>
    </row>
    <row r="91" spans="1:7" ht="17.399999999999999" hidden="1" customHeight="1" thickBot="1" x14ac:dyDescent="0.3">
      <c r="A91" s="12"/>
      <c r="B91" s="8">
        <f>IF('Items sous domaines Sciences '!G93=7,'Items sous domaines Sciences '!B93,0)</f>
        <v>0</v>
      </c>
      <c r="C91" s="8">
        <f>IF('Items sous domaines Sciences '!G93=7,'Items sous domaines Sciences '!C93,0)</f>
        <v>0</v>
      </c>
      <c r="D91" s="8">
        <f>IF('Items sous domaines Sciences '!G93=7,'Items sous domaines Sciences '!D93,0)</f>
        <v>0</v>
      </c>
      <c r="E91" s="8">
        <f>IF('Items sous domaines Sciences '!G93=7,'Items sous domaines Sciences '!E93,0)</f>
        <v>0</v>
      </c>
      <c r="F91" t="e">
        <f>IF('Items sous domaines Sciences '!#REF!=1,'Items sous domaines Sciences '!#REF!,0)</f>
        <v>#REF!</v>
      </c>
      <c r="G91"/>
    </row>
    <row r="92" spans="1:7" ht="17.399999999999999" hidden="1" customHeight="1" thickBot="1" x14ac:dyDescent="0.3">
      <c r="A92" s="12"/>
      <c r="B92" s="8">
        <f>IF('Items sous domaines Sciences '!G94=7,'Items sous domaines Sciences '!B94,0)</f>
        <v>0</v>
      </c>
      <c r="C92" s="8">
        <f>IF('Items sous domaines Sciences '!G94=7,'Items sous domaines Sciences '!C94,0)</f>
        <v>0</v>
      </c>
      <c r="D92" s="8">
        <f>IF('Items sous domaines Sciences '!G94=7,'Items sous domaines Sciences '!D94,0)</f>
        <v>0</v>
      </c>
      <c r="E92" s="8">
        <f>IF('Items sous domaines Sciences '!G94=7,'Items sous domaines Sciences '!E94,0)</f>
        <v>0</v>
      </c>
      <c r="F92" t="e">
        <f>IF('Items sous domaines Sciences '!#REF!=1,'Items sous domaines Sciences '!#REF!,0)</f>
        <v>#REF!</v>
      </c>
      <c r="G92"/>
    </row>
    <row r="93" spans="1:7" ht="17.7" hidden="1" customHeight="1" thickBot="1" x14ac:dyDescent="0.3">
      <c r="A93" s="12"/>
      <c r="B93" s="8">
        <f>IF('Items sous domaines Sciences '!G95=7,'Items sous domaines Sciences '!B95,0)</f>
        <v>0</v>
      </c>
      <c r="C93" s="8">
        <f>IF('Items sous domaines Sciences '!G95=7,'Items sous domaines Sciences '!C95,0)</f>
        <v>0</v>
      </c>
      <c r="D93" s="8">
        <f>IF('Items sous domaines Sciences '!G95=7,'Items sous domaines Sciences '!D95,0)</f>
        <v>0</v>
      </c>
      <c r="E93" s="8">
        <f>IF('Items sous domaines Sciences '!G95=7,'Items sous domaines Sciences '!E95,0)</f>
        <v>0</v>
      </c>
      <c r="F93" t="e">
        <f>IF('Items sous domaines Sciences '!#REF!=1,'Items sous domaines Sciences '!#REF!,0)</f>
        <v>#REF!</v>
      </c>
      <c r="G93"/>
    </row>
    <row r="94" spans="1:7" ht="17.7" hidden="1" customHeight="1" thickBot="1" x14ac:dyDescent="0.3">
      <c r="A94" s="12"/>
      <c r="B94" s="8">
        <f>IF('Items sous domaines Sciences '!G96=7,'Items sous domaines Sciences '!B96,0)</f>
        <v>0</v>
      </c>
      <c r="C94" s="8">
        <f>IF('Items sous domaines Sciences '!G96=7,'Items sous domaines Sciences '!C96,0)</f>
        <v>0</v>
      </c>
      <c r="D94" s="8">
        <f>IF('Items sous domaines Sciences '!G96=7,'Items sous domaines Sciences '!D96,0)</f>
        <v>0</v>
      </c>
      <c r="E94" s="8">
        <f>IF('Items sous domaines Sciences '!G96=7,'Items sous domaines Sciences '!E96,0)</f>
        <v>0</v>
      </c>
      <c r="F94" t="e">
        <f>IF('Items sous domaines Sciences '!#REF!=1,'Items sous domaines Sciences '!#REF!,0)</f>
        <v>#REF!</v>
      </c>
      <c r="G94"/>
    </row>
    <row r="95" spans="1:7" ht="17.7" hidden="1" customHeight="1" thickBot="1" x14ac:dyDescent="0.3">
      <c r="A95" s="12"/>
      <c r="B95" s="8">
        <f>IF('Items sous domaines Sciences '!G97=7,'Items sous domaines Sciences '!B97,0)</f>
        <v>0</v>
      </c>
      <c r="C95" s="8">
        <f>IF('Items sous domaines Sciences '!G97=7,'Items sous domaines Sciences '!C97,0)</f>
        <v>0</v>
      </c>
      <c r="D95" s="8">
        <f>IF('Items sous domaines Sciences '!G97=7,'Items sous domaines Sciences '!D97,0)</f>
        <v>0</v>
      </c>
      <c r="E95" s="8">
        <f>IF('Items sous domaines Sciences '!G97=7,'Items sous domaines Sciences '!E97,0)</f>
        <v>0</v>
      </c>
      <c r="F95" t="e">
        <f>IF('Items sous domaines Sciences '!#REF!=1,'Items sous domaines Sciences '!#REF!,0)</f>
        <v>#REF!</v>
      </c>
      <c r="G95"/>
    </row>
    <row r="96" spans="1:7" ht="17.7" hidden="1" customHeight="1" thickBot="1" x14ac:dyDescent="0.3">
      <c r="A96" s="12"/>
      <c r="B96" s="8">
        <f>IF('Items sous domaines Sciences '!G98=7,'Items sous domaines Sciences '!B98,0)</f>
        <v>0</v>
      </c>
      <c r="C96" s="8">
        <f>IF('Items sous domaines Sciences '!G98=7,'Items sous domaines Sciences '!C98,0)</f>
        <v>0</v>
      </c>
      <c r="D96" s="8">
        <f>IF('Items sous domaines Sciences '!G98=7,'Items sous domaines Sciences '!D98,0)</f>
        <v>0</v>
      </c>
      <c r="E96" s="8">
        <f>IF('Items sous domaines Sciences '!G98=7,'Items sous domaines Sciences '!E98,0)</f>
        <v>0</v>
      </c>
      <c r="F96" t="e">
        <f>IF('Items sous domaines Sciences '!#REF!=1,'Items sous domaines Sciences '!#REF!,0)</f>
        <v>#REF!</v>
      </c>
      <c r="G96"/>
    </row>
    <row r="97" spans="1:7" ht="17.7" hidden="1" customHeight="1" thickBot="1" x14ac:dyDescent="0.3">
      <c r="A97" s="12"/>
      <c r="B97" s="8">
        <f>IF('Items sous domaines Sciences '!G99=7,'Items sous domaines Sciences '!B99,0)</f>
        <v>0</v>
      </c>
      <c r="C97" s="8">
        <f>IF('Items sous domaines Sciences '!G99=7,'Items sous domaines Sciences '!C99,0)</f>
        <v>0</v>
      </c>
      <c r="D97" s="8">
        <f>IF('Items sous domaines Sciences '!G99=7,'Items sous domaines Sciences '!D99,0)</f>
        <v>0</v>
      </c>
      <c r="E97" s="8">
        <f>IF('Items sous domaines Sciences '!G99=7,'Items sous domaines Sciences '!E99,0)</f>
        <v>0</v>
      </c>
      <c r="F97" t="e">
        <f>IF('Items sous domaines Sciences '!#REF!=1,'Items sous domaines Sciences '!#REF!,0)</f>
        <v>#REF!</v>
      </c>
      <c r="G97"/>
    </row>
    <row r="98" spans="1:7" ht="17.7" hidden="1" customHeight="1" thickBot="1" x14ac:dyDescent="0.3">
      <c r="A98" s="12"/>
      <c r="B98" s="8">
        <f>IF('Items sous domaines Sciences '!G100=7,'Items sous domaines Sciences '!B100,0)</f>
        <v>0</v>
      </c>
      <c r="C98" s="8">
        <f>IF('Items sous domaines Sciences '!G100=7,'Items sous domaines Sciences '!C100,0)</f>
        <v>0</v>
      </c>
      <c r="D98" s="8">
        <f>IF('Items sous domaines Sciences '!G100=7,'Items sous domaines Sciences '!D100,0)</f>
        <v>0</v>
      </c>
      <c r="E98" s="8">
        <f>IF('Items sous domaines Sciences '!G100=7,'Items sous domaines Sciences '!E100,0)</f>
        <v>0</v>
      </c>
      <c r="F98" t="e">
        <f>IF('Items sous domaines Sciences '!#REF!=1,'Items sous domaines Sciences '!#REF!,0)</f>
        <v>#REF!</v>
      </c>
      <c r="G98"/>
    </row>
    <row r="99" spans="1:7" ht="17.7" hidden="1" customHeight="1" thickBot="1" x14ac:dyDescent="0.3">
      <c r="A99" s="12"/>
      <c r="B99" s="8">
        <f>IF('Items sous domaines Sciences '!G101=7,'Items sous domaines Sciences '!B101,0)</f>
        <v>0</v>
      </c>
      <c r="C99" s="8">
        <f>IF('Items sous domaines Sciences '!G101=7,'Items sous domaines Sciences '!C101,0)</f>
        <v>0</v>
      </c>
      <c r="D99" s="8">
        <f>IF('Items sous domaines Sciences '!G101=7,'Items sous domaines Sciences '!D101,0)</f>
        <v>0</v>
      </c>
      <c r="E99" s="8">
        <f>IF('Items sous domaines Sciences '!G101=7,'Items sous domaines Sciences '!E101,0)</f>
        <v>0</v>
      </c>
      <c r="F99" t="e">
        <f>IF('Items sous domaines Sciences '!#REF!=1,'Items sous domaines Sciences '!#REF!,0)</f>
        <v>#REF!</v>
      </c>
      <c r="G99"/>
    </row>
    <row r="100" spans="1:7" ht="17.7" hidden="1" customHeight="1" thickBot="1" x14ac:dyDescent="0.3">
      <c r="A100" s="12"/>
      <c r="B100" s="8">
        <f>IF('Items sous domaines Sciences '!G102=7,'Items sous domaines Sciences '!B102,0)</f>
        <v>0</v>
      </c>
      <c r="C100" s="8">
        <f>IF('Items sous domaines Sciences '!G102=7,'Items sous domaines Sciences '!C102,0)</f>
        <v>0</v>
      </c>
      <c r="D100" s="8">
        <f>IF('Items sous domaines Sciences '!G102=7,'Items sous domaines Sciences '!D102,0)</f>
        <v>0</v>
      </c>
      <c r="E100" s="8">
        <f>IF('Items sous domaines Sciences '!G102=7,'Items sous domaines Sciences '!E102,0)</f>
        <v>0</v>
      </c>
      <c r="F100" t="e">
        <f>IF('Items sous domaines Sciences '!#REF!=1,'Items sous domaines Sciences '!#REF!,0)</f>
        <v>#REF!</v>
      </c>
      <c r="G100"/>
    </row>
    <row r="101" spans="1:7" ht="17.7" hidden="1" customHeight="1" thickBot="1" x14ac:dyDescent="0.3">
      <c r="A101" s="12"/>
      <c r="B101" s="8">
        <f>IF('Items sous domaines Sciences '!G103=7,'Items sous domaines Sciences '!B103,0)</f>
        <v>0</v>
      </c>
      <c r="C101" s="8">
        <f>IF('Items sous domaines Sciences '!G103=7,'Items sous domaines Sciences '!C103,0)</f>
        <v>0</v>
      </c>
      <c r="D101" s="8">
        <f>IF('Items sous domaines Sciences '!G103=7,'Items sous domaines Sciences '!D103,0)</f>
        <v>0</v>
      </c>
      <c r="E101" s="8">
        <f>IF('Items sous domaines Sciences '!G103=7,'Items sous domaines Sciences '!E103,0)</f>
        <v>0</v>
      </c>
      <c r="F101" t="e">
        <f>IF('Items sous domaines Sciences '!#REF!=1,'Items sous domaines Sciences '!#REF!,0)</f>
        <v>#REF!</v>
      </c>
      <c r="G101"/>
    </row>
    <row r="102" spans="1:7" ht="17.7" hidden="1" customHeight="1" thickBot="1" x14ac:dyDescent="0.3">
      <c r="A102" s="12"/>
      <c r="B102" s="8">
        <f>IF('Items sous domaines Sciences '!G104=7,'Items sous domaines Sciences '!B104,0)</f>
        <v>0</v>
      </c>
      <c r="C102" s="8">
        <f>IF('Items sous domaines Sciences '!G104=7,'Items sous domaines Sciences '!C104,0)</f>
        <v>0</v>
      </c>
      <c r="D102" s="8">
        <f>IF('Items sous domaines Sciences '!G104=7,'Items sous domaines Sciences '!D104,0)</f>
        <v>0</v>
      </c>
      <c r="E102" s="8">
        <f>IF('Items sous domaines Sciences '!G104=7,'Items sous domaines Sciences '!E104,0)</f>
        <v>0</v>
      </c>
      <c r="F102" t="e">
        <f>IF('Items sous domaines Sciences '!#REF!=1,'Items sous domaines Sciences '!#REF!,0)</f>
        <v>#REF!</v>
      </c>
      <c r="G102"/>
    </row>
    <row r="103" spans="1:7" ht="17.7" hidden="1" customHeight="1" thickBot="1" x14ac:dyDescent="0.3">
      <c r="A103" s="12"/>
      <c r="B103" s="8">
        <f>IF('Items sous domaines Sciences '!G105=7,'Items sous domaines Sciences '!B105,0)</f>
        <v>0</v>
      </c>
      <c r="C103" s="8">
        <f>IF('Items sous domaines Sciences '!G105=7,'Items sous domaines Sciences '!C105,0)</f>
        <v>0</v>
      </c>
      <c r="D103" s="8">
        <f>IF('Items sous domaines Sciences '!G105=7,'Items sous domaines Sciences '!D105,0)</f>
        <v>0</v>
      </c>
      <c r="E103" s="8">
        <f>IF('Items sous domaines Sciences '!G105=7,'Items sous domaines Sciences '!E105,0)</f>
        <v>0</v>
      </c>
      <c r="F103" t="e">
        <f>IF('Items sous domaines Sciences '!#REF!=1,'Items sous domaines Sciences '!#REF!,0)</f>
        <v>#REF!</v>
      </c>
      <c r="G103"/>
    </row>
    <row r="104" spans="1:7" ht="17.7" hidden="1" customHeight="1" thickBot="1" x14ac:dyDescent="0.3">
      <c r="A104" s="12"/>
      <c r="B104" s="8">
        <f>IF('Items sous domaines Sciences '!G106=7,'Items sous domaines Sciences '!B106,0)</f>
        <v>0</v>
      </c>
      <c r="C104" s="8">
        <f>IF('Items sous domaines Sciences '!G106=7,'Items sous domaines Sciences '!C106,0)</f>
        <v>0</v>
      </c>
      <c r="D104" s="8">
        <f>IF('Items sous domaines Sciences '!G106=7,'Items sous domaines Sciences '!D106,0)</f>
        <v>0</v>
      </c>
      <c r="E104" s="8">
        <f>IF('Items sous domaines Sciences '!G106=7,'Items sous domaines Sciences '!E106,0)</f>
        <v>0</v>
      </c>
      <c r="F104" t="e">
        <f>IF('Items sous domaines Sciences '!#REF!=1,'Items sous domaines Sciences '!#REF!,0)</f>
        <v>#REF!</v>
      </c>
      <c r="G104"/>
    </row>
    <row r="105" spans="1:7" ht="17.7" hidden="1" customHeight="1" thickBot="1" x14ac:dyDescent="0.3">
      <c r="A105" s="12"/>
      <c r="B105" s="8">
        <f>IF('Items sous domaines Sciences '!G107=7,'Items sous domaines Sciences '!B107,0)</f>
        <v>0</v>
      </c>
      <c r="C105" s="8">
        <f>IF('Items sous domaines Sciences '!G107=7,'Items sous domaines Sciences '!C107,0)</f>
        <v>0</v>
      </c>
      <c r="D105" s="8">
        <f>IF('Items sous domaines Sciences '!G107=7,'Items sous domaines Sciences '!D107,0)</f>
        <v>0</v>
      </c>
      <c r="E105" s="8">
        <f>IF('Items sous domaines Sciences '!G107=7,'Items sous domaines Sciences '!E107,0)</f>
        <v>0</v>
      </c>
      <c r="F105" t="e">
        <f>IF('Items sous domaines Sciences '!#REF!=1,'Items sous domaines Sciences '!#REF!,0)</f>
        <v>#REF!</v>
      </c>
      <c r="G105"/>
    </row>
    <row r="106" spans="1:7" ht="17.7" hidden="1" customHeight="1" thickBot="1" x14ac:dyDescent="0.3">
      <c r="A106" s="12"/>
      <c r="B106" s="8">
        <f>IF('Items sous domaines Sciences '!G108=7,'Items sous domaines Sciences '!B108,0)</f>
        <v>0</v>
      </c>
      <c r="C106" s="8">
        <f>IF('Items sous domaines Sciences '!G108=7,'Items sous domaines Sciences '!C108,0)</f>
        <v>0</v>
      </c>
      <c r="D106" s="8">
        <f>IF('Items sous domaines Sciences '!G108=7,'Items sous domaines Sciences '!D108,0)</f>
        <v>0</v>
      </c>
      <c r="E106" s="8">
        <f>IF('Items sous domaines Sciences '!G108=7,'Items sous domaines Sciences '!E108,0)</f>
        <v>0</v>
      </c>
      <c r="F106" t="e">
        <f>IF('Items sous domaines Sciences '!#REF!=1,'Items sous domaines Sciences '!#REF!,0)</f>
        <v>#REF!</v>
      </c>
      <c r="G106"/>
    </row>
    <row r="107" spans="1:7" ht="17.7" hidden="1" customHeight="1" thickBot="1" x14ac:dyDescent="0.3">
      <c r="A107" s="12"/>
      <c r="B107" s="8">
        <f>IF('Items sous domaines Sciences '!G109=7,'Items sous domaines Sciences '!B109,0)</f>
        <v>0</v>
      </c>
      <c r="C107" s="8">
        <f>IF('Items sous domaines Sciences '!G109=7,'Items sous domaines Sciences '!C109,0)</f>
        <v>0</v>
      </c>
      <c r="D107" s="8">
        <f>IF('Items sous domaines Sciences '!G109=7,'Items sous domaines Sciences '!D109,0)</f>
        <v>0</v>
      </c>
      <c r="E107" s="8">
        <f>IF('Items sous domaines Sciences '!G109=7,'Items sous domaines Sciences '!E109,0)</f>
        <v>0</v>
      </c>
      <c r="F107" t="e">
        <f>IF('Items sous domaines Sciences '!#REF!=1,'Items sous domaines Sciences '!#REF!,0)</f>
        <v>#REF!</v>
      </c>
      <c r="G107"/>
    </row>
    <row r="108" spans="1:7" ht="22.2" hidden="1" customHeight="1" thickBot="1" x14ac:dyDescent="0.3">
      <c r="A108" s="12"/>
      <c r="B108" s="8">
        <f>IF('Items sous domaines Sciences '!G110=7,'Items sous domaines Sciences '!B110,0)</f>
        <v>0</v>
      </c>
      <c r="C108" s="8">
        <f>IF('Items sous domaines Sciences '!G110=7,'Items sous domaines Sciences '!C110,0)</f>
        <v>0</v>
      </c>
      <c r="D108" s="8">
        <f>IF('Items sous domaines Sciences '!G110=7,'Items sous domaines Sciences '!D110,0)</f>
        <v>0</v>
      </c>
      <c r="E108" s="8">
        <f>IF('Items sous domaines Sciences '!G110=7,'Items sous domaines Sciences '!E110,0)</f>
        <v>0</v>
      </c>
      <c r="F108" t="e">
        <f>IF('Items sous domaines Sciences '!#REF!=1,'Items sous domaines Sciences '!#REF!,0)</f>
        <v>#REF!</v>
      </c>
      <c r="G108"/>
    </row>
    <row r="109" spans="1:7" ht="17.7" hidden="1" customHeight="1" thickBot="1" x14ac:dyDescent="0.3">
      <c r="A109" s="12"/>
      <c r="B109" s="8">
        <f>IF('Items sous domaines Sciences '!G111=7,'Items sous domaines Sciences '!B111,0)</f>
        <v>0</v>
      </c>
      <c r="C109" s="8">
        <f>IF('Items sous domaines Sciences '!G111=7,'Items sous domaines Sciences '!C111,0)</f>
        <v>0</v>
      </c>
      <c r="D109" s="8">
        <f>IF('Items sous domaines Sciences '!G111=7,'Items sous domaines Sciences '!D111,0)</f>
        <v>0</v>
      </c>
      <c r="E109" s="8">
        <f>IF('Items sous domaines Sciences '!G111=7,'Items sous domaines Sciences '!E111,0)</f>
        <v>0</v>
      </c>
      <c r="F109" t="e">
        <f>IF('Items sous domaines Sciences '!#REF!=1,'Items sous domaines Sciences '!#REF!,0)</f>
        <v>#REF!</v>
      </c>
      <c r="G109"/>
    </row>
    <row r="110" spans="1:7" ht="17.7" hidden="1" customHeight="1" thickBot="1" x14ac:dyDescent="0.3">
      <c r="A110" s="12"/>
      <c r="B110" s="8">
        <f>IF('Items sous domaines Sciences '!G112=7,'Items sous domaines Sciences '!B112,0)</f>
        <v>0</v>
      </c>
      <c r="C110" s="8">
        <f>IF('Items sous domaines Sciences '!G112=7,'Items sous domaines Sciences '!C112,0)</f>
        <v>0</v>
      </c>
      <c r="D110" s="8">
        <f>IF('Items sous domaines Sciences '!G112=7,'Items sous domaines Sciences '!D112,0)</f>
        <v>0</v>
      </c>
      <c r="E110" s="8">
        <f>IF('Items sous domaines Sciences '!G112=7,'Items sous domaines Sciences '!E112,0)</f>
        <v>0</v>
      </c>
      <c r="F110" t="e">
        <f>IF('Items sous domaines Sciences '!#REF!=1,'Items sous domaines Sciences '!#REF!,0)</f>
        <v>#REF!</v>
      </c>
      <c r="G110"/>
    </row>
    <row r="111" spans="1:7" ht="17.7" hidden="1" customHeight="1" thickBot="1" x14ac:dyDescent="0.3">
      <c r="A111" s="12"/>
      <c r="B111" s="8">
        <f>IF('Items sous domaines Sciences '!G113=7,'Items sous domaines Sciences '!B113,0)</f>
        <v>0</v>
      </c>
      <c r="C111" s="8">
        <f>IF('Items sous domaines Sciences '!G113=7,'Items sous domaines Sciences '!C113,0)</f>
        <v>0</v>
      </c>
      <c r="D111" s="8">
        <f>IF('Items sous domaines Sciences '!G113=7,'Items sous domaines Sciences '!D113,0)</f>
        <v>0</v>
      </c>
      <c r="E111" s="8">
        <f>IF('Items sous domaines Sciences '!G113=7,'Items sous domaines Sciences '!E113,0)</f>
        <v>0</v>
      </c>
      <c r="F111" t="e">
        <f>IF('Items sous domaines Sciences '!#REF!=1,'Items sous domaines Sciences '!#REF!,0)</f>
        <v>#REF!</v>
      </c>
      <c r="G111"/>
    </row>
    <row r="112" spans="1:7" ht="17.7" hidden="1" customHeight="1" thickBot="1" x14ac:dyDescent="0.3">
      <c r="A112" s="12"/>
      <c r="B112" s="8">
        <f>IF('Items sous domaines Sciences '!G114=7,'Items sous domaines Sciences '!B114,0)</f>
        <v>0</v>
      </c>
      <c r="C112" s="8">
        <f>IF('Items sous domaines Sciences '!G114=7,'Items sous domaines Sciences '!C114,0)</f>
        <v>0</v>
      </c>
      <c r="D112" s="8">
        <f>IF('Items sous domaines Sciences '!G114=7,'Items sous domaines Sciences '!D114,0)</f>
        <v>0</v>
      </c>
      <c r="E112" s="8">
        <f>IF('Items sous domaines Sciences '!G114=7,'Items sous domaines Sciences '!E114,0)</f>
        <v>0</v>
      </c>
      <c r="F112" t="e">
        <f>IF('Items sous domaines Sciences '!#REF!=1,'Items sous domaines Sciences '!#REF!,0)</f>
        <v>#REF!</v>
      </c>
      <c r="G112"/>
    </row>
    <row r="113" spans="1:7" ht="17.7" hidden="1" customHeight="1" thickBot="1" x14ac:dyDescent="0.3">
      <c r="A113" s="396" t="s">
        <v>458</v>
      </c>
      <c r="B113" s="8">
        <f>IF('Items sous domaines Sciences '!G115=7,'Items sous domaines Sciences '!B115,0)</f>
        <v>0</v>
      </c>
      <c r="C113" s="8">
        <f>IF('Items sous domaines Sciences '!G115=7,'Items sous domaines Sciences '!C115,0)</f>
        <v>0</v>
      </c>
      <c r="D113" s="8">
        <f>IF('Items sous domaines Sciences '!G115=7,'Items sous domaines Sciences '!D115,0)</f>
        <v>0</v>
      </c>
      <c r="E113" s="8">
        <f>IF('Items sous domaines Sciences '!G115=7,'Items sous domaines Sciences '!E115,0)</f>
        <v>0</v>
      </c>
      <c r="F113" s="339" t="s">
        <v>506</v>
      </c>
      <c r="G113" s="333" t="s">
        <v>403</v>
      </c>
    </row>
    <row r="114" spans="1:7" ht="17.7" hidden="1" customHeight="1" thickBot="1" x14ac:dyDescent="0.3">
      <c r="A114" s="397"/>
      <c r="B114" s="8">
        <f>IF('Items sous domaines Sciences '!G116=7,'Items sous domaines Sciences '!B116,0)</f>
        <v>0</v>
      </c>
      <c r="C114" s="8">
        <f>IF('Items sous domaines Sciences '!G116=7,'Items sous domaines Sciences '!C116,0)</f>
        <v>0</v>
      </c>
      <c r="D114" s="8">
        <f>IF('Items sous domaines Sciences '!G116=7,'Items sous domaines Sciences '!D116,0)</f>
        <v>0</v>
      </c>
      <c r="E114" s="8">
        <f>IF('Items sous domaines Sciences '!G116=7,'Items sous domaines Sciences '!E116,0)</f>
        <v>0</v>
      </c>
      <c r="F114" s="340"/>
      <c r="G114" s="333"/>
    </row>
    <row r="115" spans="1:7" ht="26.25" hidden="1" customHeight="1" thickBot="1" x14ac:dyDescent="0.3">
      <c r="A115" s="397"/>
      <c r="B115" s="8">
        <f>IF('Items sous domaines Sciences '!G117=7,'Items sous domaines Sciences '!B117,0)</f>
        <v>0</v>
      </c>
      <c r="C115" s="8">
        <f>IF('Items sous domaines Sciences '!G117=7,'Items sous domaines Sciences '!C117,0)</f>
        <v>0</v>
      </c>
      <c r="D115" s="8">
        <f>IF('Items sous domaines Sciences '!G117=7,'Items sous domaines Sciences '!D117,0)</f>
        <v>0</v>
      </c>
      <c r="E115" s="8">
        <f>IF('Items sous domaines Sciences '!G117=7,'Items sous domaines Sciences '!E117,0)</f>
        <v>0</v>
      </c>
      <c r="F115" s="340"/>
      <c r="G115" s="333"/>
    </row>
    <row r="116" spans="1:7" ht="17.7" hidden="1" customHeight="1" thickBot="1" x14ac:dyDescent="0.3">
      <c r="A116" s="397"/>
      <c r="B116" s="8">
        <f>IF('Items sous domaines Sciences '!G118=7,'Items sous domaines Sciences '!B118,0)</f>
        <v>0</v>
      </c>
      <c r="C116" s="8">
        <f>IF('Items sous domaines Sciences '!G118=7,'Items sous domaines Sciences '!C118,0)</f>
        <v>0</v>
      </c>
      <c r="D116" s="8">
        <f>IF('Items sous domaines Sciences '!G118=7,'Items sous domaines Sciences '!D118,0)</f>
        <v>0</v>
      </c>
      <c r="E116" s="8">
        <f>IF('Items sous domaines Sciences '!G118=7,'Items sous domaines Sciences '!E118,0)</f>
        <v>0</v>
      </c>
      <c r="F116" s="340"/>
      <c r="G116" s="333"/>
    </row>
    <row r="117" spans="1:7" ht="17.7" hidden="1" customHeight="1" thickBot="1" x14ac:dyDescent="0.3">
      <c r="A117" s="397"/>
      <c r="B117" s="8">
        <f>IF('Items sous domaines Sciences '!G119=7,'Items sous domaines Sciences '!B119,0)</f>
        <v>0</v>
      </c>
      <c r="C117" s="8">
        <f>IF('Items sous domaines Sciences '!G119=7,'Items sous domaines Sciences '!C119,0)</f>
        <v>0</v>
      </c>
      <c r="D117" s="8">
        <f>IF('Items sous domaines Sciences '!G119=7,'Items sous domaines Sciences '!D119,0)</f>
        <v>0</v>
      </c>
      <c r="E117" s="8">
        <f>IF('Items sous domaines Sciences '!G119=7,'Items sous domaines Sciences '!E119,0)</f>
        <v>0</v>
      </c>
      <c r="F117" s="340"/>
      <c r="G117" s="333"/>
    </row>
    <row r="118" spans="1:7" ht="17.7" hidden="1" customHeight="1" thickBot="1" x14ac:dyDescent="0.3">
      <c r="A118" s="397"/>
      <c r="B118" s="8">
        <f>IF('Items sous domaines Sciences '!G120=7,'Items sous domaines Sciences '!B120,0)</f>
        <v>0</v>
      </c>
      <c r="C118" s="8">
        <f>IF('Items sous domaines Sciences '!G120=7,'Items sous domaines Sciences '!C120,0)</f>
        <v>0</v>
      </c>
      <c r="D118" s="8">
        <f>IF('Items sous domaines Sciences '!G120=7,'Items sous domaines Sciences '!D120,0)</f>
        <v>0</v>
      </c>
      <c r="E118" s="8">
        <f>IF('Items sous domaines Sciences '!G120=7,'Items sous domaines Sciences '!E120,0)</f>
        <v>0</v>
      </c>
      <c r="F118" s="340"/>
      <c r="G118" s="333"/>
    </row>
    <row r="119" spans="1:7" ht="17.7" hidden="1" customHeight="1" thickBot="1" x14ac:dyDescent="0.3">
      <c r="A119" s="397"/>
      <c r="B119" s="8">
        <f>IF('Items sous domaines Sciences '!G121=7,'Items sous domaines Sciences '!B121,0)</f>
        <v>0</v>
      </c>
      <c r="C119" s="8">
        <f>IF('Items sous domaines Sciences '!G121=7,'Items sous domaines Sciences '!C121,0)</f>
        <v>0</v>
      </c>
      <c r="D119" s="8">
        <f>IF('Items sous domaines Sciences '!G121=7,'Items sous domaines Sciences '!D121,0)</f>
        <v>0</v>
      </c>
      <c r="E119" s="8">
        <f>IF('Items sous domaines Sciences '!G121=7,'Items sous domaines Sciences '!E121,0)</f>
        <v>0</v>
      </c>
      <c r="F119" s="340"/>
      <c r="G119" s="333"/>
    </row>
    <row r="120" spans="1:7" ht="17.7" hidden="1" customHeight="1" thickBot="1" x14ac:dyDescent="0.3">
      <c r="A120" s="397"/>
      <c r="B120" s="8">
        <f>IF('Items sous domaines Sciences '!G122=7,'Items sous domaines Sciences '!B122,0)</f>
        <v>0</v>
      </c>
      <c r="C120" s="8">
        <f>IF('Items sous domaines Sciences '!G122=7,'Items sous domaines Sciences '!C122,0)</f>
        <v>0</v>
      </c>
      <c r="D120" s="8">
        <f>IF('Items sous domaines Sciences '!G122=7,'Items sous domaines Sciences '!D122,0)</f>
        <v>0</v>
      </c>
      <c r="E120" s="8">
        <f>IF('Items sous domaines Sciences '!G122=7,'Items sous domaines Sciences '!E122,0)</f>
        <v>0</v>
      </c>
      <c r="F120" s="340"/>
      <c r="G120" s="333"/>
    </row>
    <row r="121" spans="1:7" ht="17.7" hidden="1" customHeight="1" thickBot="1" x14ac:dyDescent="0.3">
      <c r="A121" s="397"/>
      <c r="B121" s="8">
        <f>IF('Items sous domaines Sciences '!G123=7,'Items sous domaines Sciences '!B123,0)</f>
        <v>0</v>
      </c>
      <c r="C121" s="8">
        <f>IF('Items sous domaines Sciences '!G123=7,'Items sous domaines Sciences '!C123,0)</f>
        <v>0</v>
      </c>
      <c r="D121" s="8">
        <f>IF('Items sous domaines Sciences '!G123=7,'Items sous domaines Sciences '!D123,0)</f>
        <v>0</v>
      </c>
      <c r="E121" s="8">
        <f>IF('Items sous domaines Sciences '!G123=7,'Items sous domaines Sciences '!E123,0)</f>
        <v>0</v>
      </c>
      <c r="F121" s="340"/>
      <c r="G121" s="333"/>
    </row>
    <row r="122" spans="1:7" ht="17.7" hidden="1" customHeight="1" thickBot="1" x14ac:dyDescent="0.3">
      <c r="A122" s="397"/>
      <c r="B122" s="8">
        <f>IF('Items sous domaines Sciences '!G124=7,'Items sous domaines Sciences '!B124,0)</f>
        <v>0</v>
      </c>
      <c r="C122" s="8">
        <f>IF('Items sous domaines Sciences '!G124=7,'Items sous domaines Sciences '!C124,0)</f>
        <v>0</v>
      </c>
      <c r="D122" s="8">
        <f>IF('Items sous domaines Sciences '!G124=7,'Items sous domaines Sciences '!D124,0)</f>
        <v>0</v>
      </c>
      <c r="E122" s="8">
        <f>IF('Items sous domaines Sciences '!G124=7,'Items sous domaines Sciences '!E124,0)</f>
        <v>0</v>
      </c>
      <c r="F122" s="340"/>
      <c r="G122" s="333"/>
    </row>
    <row r="123" spans="1:7" ht="17.7" hidden="1" customHeight="1" thickBot="1" x14ac:dyDescent="0.3">
      <c r="A123" s="397"/>
      <c r="B123" s="8">
        <f>IF('Items sous domaines Sciences '!G125=7,'Items sous domaines Sciences '!B125,0)</f>
        <v>0</v>
      </c>
      <c r="C123" s="8">
        <f>IF('Items sous domaines Sciences '!G125=7,'Items sous domaines Sciences '!C125,0)</f>
        <v>0</v>
      </c>
      <c r="D123" s="8">
        <f>IF('Items sous domaines Sciences '!G125=7,'Items sous domaines Sciences '!D125,0)</f>
        <v>0</v>
      </c>
      <c r="E123" s="8">
        <f>IF('Items sous domaines Sciences '!G125=7,'Items sous domaines Sciences '!E125,0)</f>
        <v>0</v>
      </c>
      <c r="F123" s="340"/>
      <c r="G123" s="333"/>
    </row>
    <row r="124" spans="1:7" ht="17.7" hidden="1" customHeight="1" thickBot="1" x14ac:dyDescent="0.3">
      <c r="A124" s="397"/>
      <c r="B124" s="8">
        <f>IF('Items sous domaines Sciences '!G126=7,'Items sous domaines Sciences '!B126,0)</f>
        <v>0</v>
      </c>
      <c r="C124" s="8">
        <f>IF('Items sous domaines Sciences '!G126=7,'Items sous domaines Sciences '!C126,0)</f>
        <v>0</v>
      </c>
      <c r="D124" s="8">
        <f>IF('Items sous domaines Sciences '!G126=7,'Items sous domaines Sciences '!D126,0)</f>
        <v>0</v>
      </c>
      <c r="E124" s="8">
        <f>IF('Items sous domaines Sciences '!G126=7,'Items sous domaines Sciences '!E126,0)</f>
        <v>0</v>
      </c>
      <c r="F124" s="340"/>
      <c r="G124" s="333"/>
    </row>
    <row r="125" spans="1:7" ht="17.7" hidden="1" customHeight="1" thickBot="1" x14ac:dyDescent="0.3">
      <c r="A125" s="397"/>
      <c r="B125" s="8">
        <f>IF('Items sous domaines Sciences '!G127=7,'Items sous domaines Sciences '!B127,0)</f>
        <v>0</v>
      </c>
      <c r="C125" s="8">
        <f>IF('Items sous domaines Sciences '!G127=7,'Items sous domaines Sciences '!C127,0)</f>
        <v>0</v>
      </c>
      <c r="D125" s="8">
        <f>IF('Items sous domaines Sciences '!G127=7,'Items sous domaines Sciences '!D127,0)</f>
        <v>0</v>
      </c>
      <c r="E125" s="8">
        <f>IF('Items sous domaines Sciences '!G127=7,'Items sous domaines Sciences '!E127,0)</f>
        <v>0</v>
      </c>
      <c r="F125" s="340"/>
      <c r="G125" s="333"/>
    </row>
    <row r="126" spans="1:7" ht="17.7" hidden="1" customHeight="1" thickBot="1" x14ac:dyDescent="0.3">
      <c r="A126" s="397"/>
      <c r="B126" s="8">
        <f>IF('Items sous domaines Sciences '!G128=7,'Items sous domaines Sciences '!B128,0)</f>
        <v>0</v>
      </c>
      <c r="C126" s="8">
        <f>IF('Items sous domaines Sciences '!G128=7,'Items sous domaines Sciences '!C128,0)</f>
        <v>0</v>
      </c>
      <c r="D126" s="8">
        <f>IF('Items sous domaines Sciences '!G128=7,'Items sous domaines Sciences '!D128,0)</f>
        <v>0</v>
      </c>
      <c r="E126" s="8">
        <f>IF('Items sous domaines Sciences '!G128=7,'Items sous domaines Sciences '!E128,0)</f>
        <v>0</v>
      </c>
      <c r="F126" s="340"/>
      <c r="G126" s="333"/>
    </row>
    <row r="127" spans="1:7" ht="17.7" hidden="1" customHeight="1" thickBot="1" x14ac:dyDescent="0.3">
      <c r="A127" s="398"/>
      <c r="B127" s="8">
        <f>IF('Items sous domaines Sciences '!G129=7,'Items sous domaines Sciences '!B129,0)</f>
        <v>0</v>
      </c>
      <c r="C127" s="8">
        <f>IF('Items sous domaines Sciences '!G129=7,'Items sous domaines Sciences '!C129,0)</f>
        <v>0</v>
      </c>
      <c r="D127" s="8">
        <f>IF('Items sous domaines Sciences '!G129=7,'Items sous domaines Sciences '!D129,0)</f>
        <v>0</v>
      </c>
      <c r="E127" s="8">
        <f>IF('Items sous domaines Sciences '!G129=7,'Items sous domaines Sciences '!E129,0)</f>
        <v>0</v>
      </c>
      <c r="F127" s="341"/>
      <c r="G127" s="333"/>
    </row>
    <row r="128" spans="1:7" ht="17.7" hidden="1" customHeight="1" thickBot="1" x14ac:dyDescent="0.3">
      <c r="A128" s="12"/>
      <c r="B128" s="8">
        <f>IF('Items sous domaines Sciences '!G130=7,'Items sous domaines Sciences '!B130,0)</f>
        <v>0</v>
      </c>
      <c r="C128" s="8">
        <f>IF('Items sous domaines Sciences '!G130=7,'Items sous domaines Sciences '!C130,0)</f>
        <v>0</v>
      </c>
      <c r="D128" s="8">
        <f>IF('Items sous domaines Sciences '!G130=7,'Items sous domaines Sciences '!D130,0)</f>
        <v>0</v>
      </c>
      <c r="E128" s="8">
        <f>IF('Items sous domaines Sciences '!G130=7,'Items sous domaines Sciences '!E130,0)</f>
        <v>0</v>
      </c>
      <c r="F128" t="e">
        <f>IF('Items sous domaines Sciences '!#REF!=1,'Items sous domaines Sciences '!#REF!,0)</f>
        <v>#REF!</v>
      </c>
      <c r="G128"/>
    </row>
    <row r="129" spans="1:7" ht="17.7" hidden="1" customHeight="1" thickBot="1" x14ac:dyDescent="0.3">
      <c r="A129" s="493" t="s">
        <v>510</v>
      </c>
      <c r="B129" s="8">
        <f>IF('Items sous domaines Sciences '!G131=7,'Items sous domaines Sciences '!B131,0)</f>
        <v>0</v>
      </c>
      <c r="C129" s="8">
        <f>IF('Items sous domaines Sciences '!G131=7,'Items sous domaines Sciences '!C131,0)</f>
        <v>0</v>
      </c>
      <c r="D129" s="8">
        <f>IF('Items sous domaines Sciences '!G131=7,'Items sous domaines Sciences '!D131,0)</f>
        <v>0</v>
      </c>
      <c r="E129" s="8">
        <f>IF('Items sous domaines Sciences '!G131=7,'Items sous domaines Sciences '!E131,0)</f>
        <v>0</v>
      </c>
      <c r="F129" s="25"/>
      <c r="G129"/>
    </row>
    <row r="130" spans="1:7" ht="17.7" hidden="1" customHeight="1" thickBot="1" x14ac:dyDescent="0.3">
      <c r="A130" s="494"/>
      <c r="B130" s="8">
        <f>IF('Items sous domaines Sciences '!G132=7,'Items sous domaines Sciences '!B132,0)</f>
        <v>0</v>
      </c>
      <c r="C130" s="8">
        <f>IF('Items sous domaines Sciences '!G132=7,'Items sous domaines Sciences '!C132,0)</f>
        <v>0</v>
      </c>
      <c r="D130" s="8">
        <f>IF('Items sous domaines Sciences '!G132=7,'Items sous domaines Sciences '!D132,0)</f>
        <v>0</v>
      </c>
      <c r="E130" s="8">
        <f>IF('Items sous domaines Sciences '!G132=7,'Items sous domaines Sciences '!E132,0)</f>
        <v>0</v>
      </c>
      <c r="F130" s="26"/>
      <c r="G130" s="28" t="s">
        <v>511</v>
      </c>
    </row>
    <row r="131" spans="1:7" ht="17.7" customHeight="1" thickTop="1" x14ac:dyDescent="0.25">
      <c r="A131" s="526"/>
      <c r="B131" s="251" t="str">
        <f>IF('Items sous domaines Sciences '!G133=7,'Items sous domaines Sciences '!B133,0)</f>
        <v>Electricité - Electromagnétisme</v>
      </c>
      <c r="C131" s="240" t="str">
        <f>IF('Items sous domaines Sciences '!G133=7,'Items sous domaines Sciences '!C133,0)</f>
        <v>Electromagnétisme</v>
      </c>
      <c r="D131" s="241">
        <f>IF('Items sous domaines Sciences '!G133=7,'Items sous domaines Sciences '!D133,0)</f>
        <v>0</v>
      </c>
      <c r="E131" s="208" t="str">
        <f>IF('Items sous domaines Sciences '!G133=7,'Items sous domaines Sciences '!E133,0)</f>
        <v>Expliquer ce qu'est une onde plane et ses grandeurs.</v>
      </c>
      <c r="F131" s="281"/>
      <c r="G131" s="279"/>
    </row>
    <row r="132" spans="1:7" ht="17.7" customHeight="1" x14ac:dyDescent="0.25">
      <c r="A132" s="526"/>
      <c r="B132" s="57" t="str">
        <f>IF('Items sous domaines Sciences '!G134=7,'Items sous domaines Sciences '!B134,0)</f>
        <v>Electricité - Electromagnétisme</v>
      </c>
      <c r="C132" s="195" t="str">
        <f>IF('Items sous domaines Sciences '!G134=7,'Items sous domaines Sciences '!C134,0)</f>
        <v>Electromagnétisme</v>
      </c>
      <c r="D132" s="98">
        <f>IF('Items sous domaines Sciences '!G134=7,'Items sous domaines Sciences '!D134,0)</f>
        <v>0</v>
      </c>
      <c r="E132" s="209" t="str">
        <f>IF('Items sous domaines Sciences '!G134=7,'Items sous domaines Sciences '!E134,0)</f>
        <v>Interpréter les équations d'un champ électrique ou magnétique.</v>
      </c>
      <c r="F132" s="380" t="s">
        <v>512</v>
      </c>
      <c r="G132" s="527" t="s">
        <v>513</v>
      </c>
    </row>
    <row r="133" spans="1:7" ht="17.7" customHeight="1" thickBot="1" x14ac:dyDescent="0.3">
      <c r="A133" s="526"/>
      <c r="B133" s="244" t="str">
        <f>IF('Items sous domaines Sciences '!G135=7,'Items sous domaines Sciences '!B135,0)</f>
        <v>Electricité - Electromagnétisme</v>
      </c>
      <c r="C133" s="227" t="str">
        <f>IF('Items sous domaines Sciences '!G135=7,'Items sous domaines Sciences '!C135,0)</f>
        <v>Electromagnétisme</v>
      </c>
      <c r="D133" s="228">
        <f>IF('Items sous domaines Sciences '!G135=7,'Items sous domaines Sciences '!D135,0)</f>
        <v>0</v>
      </c>
      <c r="E133" s="269" t="str">
        <f>IF('Items sous domaines Sciences '!G135=7,'Items sous domaines Sciences '!E135,0)</f>
        <v>Calculer la puissance d'une antenne émettrice ou réceptrice.</v>
      </c>
      <c r="F133" s="381"/>
      <c r="G133" s="528"/>
    </row>
    <row r="134" spans="1:7" ht="17.7" hidden="1" customHeight="1" thickBot="1" x14ac:dyDescent="0.3">
      <c r="A134" s="494"/>
      <c r="B134" s="245">
        <f>IF('Items sous domaines Sciences '!G136=7,'Items sous domaines Sciences '!B136,0)</f>
        <v>0</v>
      </c>
      <c r="C134" s="192">
        <f>IF('Items sous domaines Sciences '!G136=7,'Items sous domaines Sciences '!C136,0)</f>
        <v>0</v>
      </c>
      <c r="D134" s="278">
        <f>IF('Items sous domaines Sciences '!G136=7,'Items sous domaines Sciences '!D136,0)</f>
        <v>0</v>
      </c>
      <c r="E134" s="248">
        <f>IF('Items sous domaines Sciences '!G136=7,'Items sous domaines Sciences '!E136,0)</f>
        <v>0</v>
      </c>
      <c r="F134" s="380"/>
      <c r="G134" s="529"/>
    </row>
    <row r="135" spans="1:7" ht="17.7" hidden="1" customHeight="1" thickBot="1" x14ac:dyDescent="0.3">
      <c r="A135" s="494"/>
      <c r="B135" s="57">
        <f>IF('Items sous domaines Sciences '!G137=7,'Items sous domaines Sciences '!B137,0)</f>
        <v>0</v>
      </c>
      <c r="C135" s="213">
        <f>IF('Items sous domaines Sciences '!G137=7,'Items sous domaines Sciences '!C137,0)</f>
        <v>0</v>
      </c>
      <c r="D135" s="216">
        <f>IF('Items sous domaines Sciences '!G137=7,'Items sous domaines Sciences '!D137,0)</f>
        <v>0</v>
      </c>
      <c r="E135" s="254">
        <f>IF('Items sous domaines Sciences '!G137=7,'Items sous domaines Sciences '!E137,0)</f>
        <v>0</v>
      </c>
      <c r="F135" s="380"/>
      <c r="G135" s="529"/>
    </row>
    <row r="136" spans="1:7" ht="17.7" hidden="1" customHeight="1" thickBot="1" x14ac:dyDescent="0.3">
      <c r="A136" s="494"/>
      <c r="B136" s="57">
        <f>IF('Items sous domaines Sciences '!G138=7,'Items sous domaines Sciences '!B138,0)</f>
        <v>0</v>
      </c>
      <c r="C136" s="195">
        <f>IF('Items sous domaines Sciences '!G138=7,'Items sous domaines Sciences '!C138,0)</f>
        <v>0</v>
      </c>
      <c r="D136" s="98">
        <f>IF('Items sous domaines Sciences '!G138=7,'Items sous domaines Sciences '!D138,0)</f>
        <v>0</v>
      </c>
      <c r="E136" s="209">
        <f>IF('Items sous domaines Sciences '!G138=7,'Items sous domaines Sciences '!E138,0)</f>
        <v>0</v>
      </c>
      <c r="F136" s="380"/>
      <c r="G136" s="529"/>
    </row>
    <row r="137" spans="1:7" ht="17.7" hidden="1" customHeight="1" thickBot="1" x14ac:dyDescent="0.3">
      <c r="A137" s="494"/>
      <c r="B137" s="57">
        <f>IF('Items sous domaines Sciences '!G139=7,'Items sous domaines Sciences '!B139,0)</f>
        <v>0</v>
      </c>
      <c r="C137" s="213">
        <f>IF('Items sous domaines Sciences '!G139=7,'Items sous domaines Sciences '!C139,0)</f>
        <v>0</v>
      </c>
      <c r="D137" s="216">
        <f>IF('Items sous domaines Sciences '!G139=7,'Items sous domaines Sciences '!D139,0)</f>
        <v>0</v>
      </c>
      <c r="E137" s="254">
        <f>IF('Items sous domaines Sciences '!G139=7,'Items sous domaines Sciences '!E139,0)</f>
        <v>0</v>
      </c>
      <c r="F137" s="380"/>
      <c r="G137" s="529"/>
    </row>
    <row r="138" spans="1:7" ht="17.7" hidden="1" customHeight="1" thickBot="1" x14ac:dyDescent="0.3">
      <c r="A138" s="494"/>
      <c r="B138" s="57">
        <f>IF('Items sous domaines Sciences '!G140=7,'Items sous domaines Sciences '!B140,0)</f>
        <v>0</v>
      </c>
      <c r="C138" s="195">
        <f>IF('Items sous domaines Sciences '!G140=7,'Items sous domaines Sciences '!C140,0)</f>
        <v>0</v>
      </c>
      <c r="D138" s="98">
        <f>IF('Items sous domaines Sciences '!G140=7,'Items sous domaines Sciences '!D140,0)</f>
        <v>0</v>
      </c>
      <c r="E138" s="209">
        <f>IF('Items sous domaines Sciences '!G140=7,'Items sous domaines Sciences '!E140,0)</f>
        <v>0</v>
      </c>
      <c r="F138" s="380"/>
      <c r="G138" s="529"/>
    </row>
    <row r="139" spans="1:7" ht="17.7" hidden="1" customHeight="1" thickBot="1" x14ac:dyDescent="0.3">
      <c r="A139" s="494"/>
      <c r="B139" s="57">
        <f>IF('Items sous domaines Sciences '!G141=7,'Items sous domaines Sciences '!B141,0)</f>
        <v>0</v>
      </c>
      <c r="C139" s="213">
        <f>IF('Items sous domaines Sciences '!G141=7,'Items sous domaines Sciences '!C141,0)</f>
        <v>0</v>
      </c>
      <c r="D139" s="216">
        <f>IF('Items sous domaines Sciences '!G141=7,'Items sous domaines Sciences '!D141,0)</f>
        <v>0</v>
      </c>
      <c r="E139" s="254">
        <f>IF('Items sous domaines Sciences '!G141=7,'Items sous domaines Sciences '!E141,0)</f>
        <v>0</v>
      </c>
      <c r="F139" s="380"/>
      <c r="G139" s="529"/>
    </row>
    <row r="140" spans="1:7" ht="17.7" hidden="1" customHeight="1" thickBot="1" x14ac:dyDescent="0.3">
      <c r="A140" s="494"/>
      <c r="B140" s="57">
        <f>IF('Items sous domaines Sciences '!G142=7,'Items sous domaines Sciences '!B142,0)</f>
        <v>0</v>
      </c>
      <c r="C140" s="195">
        <f>IF('Items sous domaines Sciences '!G142=7,'Items sous domaines Sciences '!C142,0)</f>
        <v>0</v>
      </c>
      <c r="D140" s="98">
        <f>IF('Items sous domaines Sciences '!G142=7,'Items sous domaines Sciences '!D142,0)</f>
        <v>0</v>
      </c>
      <c r="E140" s="209">
        <f>IF('Items sous domaines Sciences '!G142=7,'Items sous domaines Sciences '!E142,0)</f>
        <v>0</v>
      </c>
      <c r="F140" s="380"/>
      <c r="G140" s="529"/>
    </row>
    <row r="141" spans="1:7" ht="17.7" hidden="1" customHeight="1" thickBot="1" x14ac:dyDescent="0.3">
      <c r="A141" s="494"/>
      <c r="B141" s="57">
        <f>IF('Items sous domaines Sciences '!G143=7,'Items sous domaines Sciences '!B143,0)</f>
        <v>0</v>
      </c>
      <c r="C141" s="213">
        <f>IF('Items sous domaines Sciences '!G143=7,'Items sous domaines Sciences '!C143,0)</f>
        <v>0</v>
      </c>
      <c r="D141" s="216">
        <f>IF('Items sous domaines Sciences '!G143=7,'Items sous domaines Sciences '!D143,0)</f>
        <v>0</v>
      </c>
      <c r="E141" s="254">
        <f>IF('Items sous domaines Sciences '!G143=7,'Items sous domaines Sciences '!E143,0)</f>
        <v>0</v>
      </c>
      <c r="F141" s="380"/>
      <c r="G141" s="529"/>
    </row>
    <row r="142" spans="1:7" ht="17.7" hidden="1" customHeight="1" thickBot="1" x14ac:dyDescent="0.3">
      <c r="A142" s="494"/>
      <c r="B142" s="57">
        <f>IF('Items sous domaines Sciences '!G144=7,'Items sous domaines Sciences '!B144,0)</f>
        <v>0</v>
      </c>
      <c r="C142" s="195">
        <f>IF('Items sous domaines Sciences '!G144=7,'Items sous domaines Sciences '!C144,0)</f>
        <v>0</v>
      </c>
      <c r="D142" s="98">
        <f>IF('Items sous domaines Sciences '!G144=7,'Items sous domaines Sciences '!D144,0)</f>
        <v>0</v>
      </c>
      <c r="E142" s="209">
        <f>IF('Items sous domaines Sciences '!G144=7,'Items sous domaines Sciences '!E144,0)</f>
        <v>0</v>
      </c>
      <c r="F142" s="380"/>
      <c r="G142" s="529"/>
    </row>
    <row r="143" spans="1:7" ht="17.7" hidden="1" customHeight="1" thickBot="1" x14ac:dyDescent="0.3">
      <c r="A143" s="494"/>
      <c r="B143" s="57">
        <f>IF('Items sous domaines Sciences '!G145=7,'Items sous domaines Sciences '!B145,0)</f>
        <v>0</v>
      </c>
      <c r="C143" s="213">
        <f>IF('Items sous domaines Sciences '!G145=7,'Items sous domaines Sciences '!C145,0)</f>
        <v>0</v>
      </c>
      <c r="D143" s="216">
        <f>IF('Items sous domaines Sciences '!G145=7,'Items sous domaines Sciences '!D145,0)</f>
        <v>0</v>
      </c>
      <c r="E143" s="254">
        <f>IF('Items sous domaines Sciences '!G145=7,'Items sous domaines Sciences '!E145,0)</f>
        <v>0</v>
      </c>
      <c r="F143" s="380"/>
      <c r="G143" s="529"/>
    </row>
    <row r="144" spans="1:7" ht="17.7" hidden="1" customHeight="1" thickBot="1" x14ac:dyDescent="0.3">
      <c r="A144" s="494"/>
      <c r="B144" s="57">
        <f>IF('Items sous domaines Sciences '!G146=7,'Items sous domaines Sciences '!B146,0)</f>
        <v>0</v>
      </c>
      <c r="C144" s="195">
        <f>IF('Items sous domaines Sciences '!G146=7,'Items sous domaines Sciences '!C146,0)</f>
        <v>0</v>
      </c>
      <c r="D144" s="98">
        <f>IF('Items sous domaines Sciences '!G146=7,'Items sous domaines Sciences '!D146,0)</f>
        <v>0</v>
      </c>
      <c r="E144" s="209">
        <f>IF('Items sous domaines Sciences '!G146=7,'Items sous domaines Sciences '!E146,0)</f>
        <v>0</v>
      </c>
      <c r="F144" s="380"/>
      <c r="G144" s="529"/>
    </row>
    <row r="145" spans="1:7" ht="17.7" hidden="1" customHeight="1" thickBot="1" x14ac:dyDescent="0.3">
      <c r="A145" s="494"/>
      <c r="B145" s="57">
        <f>IF('Items sous domaines Sciences '!G147=7,'Items sous domaines Sciences '!B147,0)</f>
        <v>0</v>
      </c>
      <c r="C145" s="213">
        <f>IF('Items sous domaines Sciences '!G147=7,'Items sous domaines Sciences '!C147,0)</f>
        <v>0</v>
      </c>
      <c r="D145" s="216">
        <f>IF('Items sous domaines Sciences '!G147=7,'Items sous domaines Sciences '!D147,0)</f>
        <v>0</v>
      </c>
      <c r="E145" s="254">
        <f>IF('Items sous domaines Sciences '!G147=7,'Items sous domaines Sciences '!E147,0)</f>
        <v>0</v>
      </c>
      <c r="F145" s="380"/>
      <c r="G145" s="529"/>
    </row>
    <row r="146" spans="1:7" ht="17.7" hidden="1" customHeight="1" thickBot="1" x14ac:dyDescent="0.3">
      <c r="A146" s="494"/>
      <c r="B146" s="57">
        <f>IF('Items sous domaines Sciences '!G148=7,'Items sous domaines Sciences '!B148,0)</f>
        <v>0</v>
      </c>
      <c r="C146" s="195">
        <f>IF('Items sous domaines Sciences '!G148=7,'Items sous domaines Sciences '!C148,0)</f>
        <v>0</v>
      </c>
      <c r="D146" s="98">
        <f>IF('Items sous domaines Sciences '!G148=7,'Items sous domaines Sciences '!D148,0)</f>
        <v>0</v>
      </c>
      <c r="E146" s="209">
        <f>IF('Items sous domaines Sciences '!G148=7,'Items sous domaines Sciences '!E148,0)</f>
        <v>0</v>
      </c>
      <c r="F146" s="380"/>
      <c r="G146" s="529"/>
    </row>
    <row r="147" spans="1:7" ht="17.7" hidden="1" customHeight="1" thickBot="1" x14ac:dyDescent="0.3">
      <c r="A147" s="494"/>
      <c r="B147" s="57">
        <f>IF('Items sous domaines Sciences '!G149=7,'Items sous domaines Sciences '!B149,0)</f>
        <v>0</v>
      </c>
      <c r="C147" s="213">
        <f>IF('Items sous domaines Sciences '!G149=7,'Items sous domaines Sciences '!C149,0)</f>
        <v>0</v>
      </c>
      <c r="D147" s="216">
        <f>IF('Items sous domaines Sciences '!G149=7,'Items sous domaines Sciences '!D149,0)</f>
        <v>0</v>
      </c>
      <c r="E147" s="254">
        <f>IF('Items sous domaines Sciences '!G149=7,'Items sous domaines Sciences '!E149,0)</f>
        <v>0</v>
      </c>
      <c r="F147" s="380"/>
      <c r="G147" s="529"/>
    </row>
    <row r="148" spans="1:7" ht="17.7" hidden="1" customHeight="1" thickBot="1" x14ac:dyDescent="0.3">
      <c r="A148" s="494"/>
      <c r="B148" s="57">
        <f>IF('Items sous domaines Sciences '!G150=7,'Items sous domaines Sciences '!B150,0)</f>
        <v>0</v>
      </c>
      <c r="C148" s="195">
        <f>IF('Items sous domaines Sciences '!G150=7,'Items sous domaines Sciences '!C150,0)</f>
        <v>0</v>
      </c>
      <c r="D148" s="98">
        <f>IF('Items sous domaines Sciences '!G150=7,'Items sous domaines Sciences '!D150,0)</f>
        <v>0</v>
      </c>
      <c r="E148" s="209">
        <f>IF('Items sous domaines Sciences '!G150=7,'Items sous domaines Sciences '!E150,0)</f>
        <v>0</v>
      </c>
      <c r="F148" s="380"/>
      <c r="G148" s="529"/>
    </row>
    <row r="149" spans="1:7" ht="17.7" hidden="1" customHeight="1" thickBot="1" x14ac:dyDescent="0.3">
      <c r="A149" s="494"/>
      <c r="B149" s="57">
        <f>IF('Items sous domaines Sciences '!G151=7,'Items sous domaines Sciences '!B151,0)</f>
        <v>0</v>
      </c>
      <c r="C149" s="213">
        <f>IF('Items sous domaines Sciences '!G151=7,'Items sous domaines Sciences '!C151,0)</f>
        <v>0</v>
      </c>
      <c r="D149" s="216">
        <f>IF('Items sous domaines Sciences '!G151=7,'Items sous domaines Sciences '!D151,0)</f>
        <v>0</v>
      </c>
      <c r="E149" s="254">
        <f>IF('Items sous domaines Sciences '!G151=7,'Items sous domaines Sciences '!E151,0)</f>
        <v>0</v>
      </c>
      <c r="F149" s="380"/>
      <c r="G149" s="529"/>
    </row>
    <row r="150" spans="1:7" ht="17.7" hidden="1" customHeight="1" thickBot="1" x14ac:dyDescent="0.3">
      <c r="A150" s="494"/>
      <c r="B150" s="57">
        <f>IF('Items sous domaines Sciences '!G152=7,'Items sous domaines Sciences '!B152,0)</f>
        <v>0</v>
      </c>
      <c r="C150" s="195">
        <f>IF('Items sous domaines Sciences '!G152=7,'Items sous domaines Sciences '!C152,0)</f>
        <v>0</v>
      </c>
      <c r="D150" s="98">
        <f>IF('Items sous domaines Sciences '!G152=7,'Items sous domaines Sciences '!D152,0)</f>
        <v>0</v>
      </c>
      <c r="E150" s="209">
        <f>IF('Items sous domaines Sciences '!G152=7,'Items sous domaines Sciences '!E152,0)</f>
        <v>0</v>
      </c>
      <c r="F150" s="380"/>
      <c r="G150" s="529"/>
    </row>
    <row r="151" spans="1:7" ht="17.7" hidden="1" customHeight="1" thickBot="1" x14ac:dyDescent="0.3">
      <c r="A151" s="494"/>
      <c r="B151" s="57">
        <f>IF('Items sous domaines Sciences '!G153=7,'Items sous domaines Sciences '!B153,0)</f>
        <v>0</v>
      </c>
      <c r="C151" s="213">
        <f>IF('Items sous domaines Sciences '!G153=7,'Items sous domaines Sciences '!C153,0)</f>
        <v>0</v>
      </c>
      <c r="D151" s="216">
        <f>IF('Items sous domaines Sciences '!G153=7,'Items sous domaines Sciences '!D153,0)</f>
        <v>0</v>
      </c>
      <c r="E151" s="254">
        <f>IF('Items sous domaines Sciences '!G153=7,'Items sous domaines Sciences '!E153,0)</f>
        <v>0</v>
      </c>
      <c r="F151" s="380"/>
      <c r="G151" s="529"/>
    </row>
    <row r="152" spans="1:7" ht="17.7" hidden="1" customHeight="1" thickBot="1" x14ac:dyDescent="0.3">
      <c r="A152" s="494"/>
      <c r="B152" s="57">
        <f>IF('Items sous domaines Sciences '!G154=7,'Items sous domaines Sciences '!B154,0)</f>
        <v>0</v>
      </c>
      <c r="C152" s="195">
        <f>IF('Items sous domaines Sciences '!G154=7,'Items sous domaines Sciences '!C154,0)</f>
        <v>0</v>
      </c>
      <c r="D152" s="98">
        <f>IF('Items sous domaines Sciences '!G154=7,'Items sous domaines Sciences '!D154,0)</f>
        <v>0</v>
      </c>
      <c r="E152" s="209">
        <f>IF('Items sous domaines Sciences '!G154=7,'Items sous domaines Sciences '!E154,0)</f>
        <v>0</v>
      </c>
      <c r="F152" s="380"/>
      <c r="G152" s="529"/>
    </row>
    <row r="153" spans="1:7" ht="17.7" hidden="1" customHeight="1" thickBot="1" x14ac:dyDescent="0.3">
      <c r="A153" s="494"/>
      <c r="B153" s="57">
        <f>IF('Items sous domaines Sciences '!G155=7,'Items sous domaines Sciences '!B155,0)</f>
        <v>0</v>
      </c>
      <c r="C153" s="213">
        <f>IF('Items sous domaines Sciences '!G155=7,'Items sous domaines Sciences '!C155,0)</f>
        <v>0</v>
      </c>
      <c r="D153" s="216">
        <f>IF('Items sous domaines Sciences '!G155=7,'Items sous domaines Sciences '!D155,0)</f>
        <v>0</v>
      </c>
      <c r="E153" s="254">
        <f>IF('Items sous domaines Sciences '!G155=7,'Items sous domaines Sciences '!E155,0)</f>
        <v>0</v>
      </c>
      <c r="F153" s="380"/>
      <c r="G153" s="529"/>
    </row>
    <row r="154" spans="1:7" ht="17.7" hidden="1" customHeight="1" thickBot="1" x14ac:dyDescent="0.3">
      <c r="A154" s="494"/>
      <c r="B154" s="57">
        <f>IF('Items sous domaines Sciences '!G156=7,'Items sous domaines Sciences '!B156,0)</f>
        <v>0</v>
      </c>
      <c r="C154" s="195">
        <f>IF('Items sous domaines Sciences '!G156=7,'Items sous domaines Sciences '!C156,0)</f>
        <v>0</v>
      </c>
      <c r="D154" s="98">
        <f>IF('Items sous domaines Sciences '!G156=7,'Items sous domaines Sciences '!D156,0)</f>
        <v>0</v>
      </c>
      <c r="E154" s="209">
        <f>IF('Items sous domaines Sciences '!G156=7,'Items sous domaines Sciences '!E156,0)</f>
        <v>0</v>
      </c>
      <c r="F154" s="380"/>
      <c r="G154" s="529"/>
    </row>
    <row r="155" spans="1:7" ht="17.7" hidden="1" customHeight="1" thickBot="1" x14ac:dyDescent="0.3">
      <c r="A155" s="494"/>
      <c r="B155" s="57">
        <f>IF('Items sous domaines Sciences '!G157=7,'Items sous domaines Sciences '!B157,0)</f>
        <v>0</v>
      </c>
      <c r="C155" s="213">
        <f>IF('Items sous domaines Sciences '!G157=7,'Items sous domaines Sciences '!C157,0)</f>
        <v>0</v>
      </c>
      <c r="D155" s="216">
        <f>IF('Items sous domaines Sciences '!G157=7,'Items sous domaines Sciences '!D157,0)</f>
        <v>0</v>
      </c>
      <c r="E155" s="254">
        <f>IF('Items sous domaines Sciences '!G157=7,'Items sous domaines Sciences '!E157,0)</f>
        <v>0</v>
      </c>
      <c r="F155" s="380"/>
      <c r="G155" s="529"/>
    </row>
    <row r="156" spans="1:7" ht="17.7" hidden="1" customHeight="1" thickBot="1" x14ac:dyDescent="0.3">
      <c r="A156" s="494"/>
      <c r="B156" s="57">
        <f>IF('Items sous domaines Sciences '!G158=7,'Items sous domaines Sciences '!B158,0)</f>
        <v>0</v>
      </c>
      <c r="C156" s="195">
        <f>IF('Items sous domaines Sciences '!G158=7,'Items sous domaines Sciences '!C158,0)</f>
        <v>0</v>
      </c>
      <c r="D156" s="98">
        <f>IF('Items sous domaines Sciences '!G158=7,'Items sous domaines Sciences '!D158,0)</f>
        <v>0</v>
      </c>
      <c r="E156" s="209">
        <f>IF('Items sous domaines Sciences '!G158=7,'Items sous domaines Sciences '!E158,0)</f>
        <v>0</v>
      </c>
      <c r="F156" s="380"/>
      <c r="G156" s="529"/>
    </row>
    <row r="157" spans="1:7" ht="17.7" hidden="1" customHeight="1" thickBot="1" x14ac:dyDescent="0.3">
      <c r="A157" s="494"/>
      <c r="B157" s="57">
        <f>IF('Items sous domaines Sciences '!G159=7,'Items sous domaines Sciences '!B159,0)</f>
        <v>0</v>
      </c>
      <c r="C157" s="213">
        <f>IF('Items sous domaines Sciences '!G159=7,'Items sous domaines Sciences '!C159,0)</f>
        <v>0</v>
      </c>
      <c r="D157" s="216">
        <f>IF('Items sous domaines Sciences '!G159=7,'Items sous domaines Sciences '!D159,0)</f>
        <v>0</v>
      </c>
      <c r="E157" s="254">
        <f>IF('Items sous domaines Sciences '!G159=7,'Items sous domaines Sciences '!E159,0)</f>
        <v>0</v>
      </c>
      <c r="F157" s="380"/>
      <c r="G157" s="529"/>
    </row>
    <row r="158" spans="1:7" ht="17.7" hidden="1" customHeight="1" thickBot="1" x14ac:dyDescent="0.3">
      <c r="A158" s="494"/>
      <c r="B158" s="57">
        <f>IF('Items sous domaines Sciences '!G160=7,'Items sous domaines Sciences '!B160,0)</f>
        <v>0</v>
      </c>
      <c r="C158" s="195">
        <f>IF('Items sous domaines Sciences '!G160=7,'Items sous domaines Sciences '!C160,0)</f>
        <v>0</v>
      </c>
      <c r="D158" s="98">
        <f>IF('Items sous domaines Sciences '!G160=7,'Items sous domaines Sciences '!D160,0)</f>
        <v>0</v>
      </c>
      <c r="E158" s="209">
        <f>IF('Items sous domaines Sciences '!G160=7,'Items sous domaines Sciences '!E160,0)</f>
        <v>0</v>
      </c>
      <c r="F158" s="380"/>
      <c r="G158" s="529"/>
    </row>
    <row r="159" spans="1:7" ht="17.7" hidden="1" customHeight="1" thickBot="1" x14ac:dyDescent="0.3">
      <c r="A159" s="494"/>
      <c r="B159" s="57">
        <f>IF('Items sous domaines Sciences '!G161=7,'Items sous domaines Sciences '!B161,0)</f>
        <v>0</v>
      </c>
      <c r="C159" s="213">
        <f>IF('Items sous domaines Sciences '!G161=7,'Items sous domaines Sciences '!C161,0)</f>
        <v>0</v>
      </c>
      <c r="D159" s="216">
        <f>IF('Items sous domaines Sciences '!G161=7,'Items sous domaines Sciences '!D161,0)</f>
        <v>0</v>
      </c>
      <c r="E159" s="254">
        <f>IF('Items sous domaines Sciences '!G161=7,'Items sous domaines Sciences '!E161,0)</f>
        <v>0</v>
      </c>
      <c r="F159" s="380"/>
      <c r="G159" s="529"/>
    </row>
    <row r="160" spans="1:7" ht="17.7" hidden="1" customHeight="1" thickBot="1" x14ac:dyDescent="0.3">
      <c r="A160" s="494"/>
      <c r="B160" s="57">
        <f>IF('Items sous domaines Sciences '!G162=7,'Items sous domaines Sciences '!B162,0)</f>
        <v>0</v>
      </c>
      <c r="C160" s="195">
        <f>IF('Items sous domaines Sciences '!G162=7,'Items sous domaines Sciences '!C162,0)</f>
        <v>0</v>
      </c>
      <c r="D160" s="98">
        <f>IF('Items sous domaines Sciences '!G162=7,'Items sous domaines Sciences '!D162,0)</f>
        <v>0</v>
      </c>
      <c r="E160" s="209">
        <f>IF('Items sous domaines Sciences '!G162=7,'Items sous domaines Sciences '!E162,0)</f>
        <v>0</v>
      </c>
      <c r="F160" s="380"/>
      <c r="G160" s="529"/>
    </row>
    <row r="161" spans="1:7" ht="17.7" hidden="1" customHeight="1" thickBot="1" x14ac:dyDescent="0.3">
      <c r="A161" s="494"/>
      <c r="B161" s="57">
        <f>IF('Items sous domaines Sciences '!G163=7,'Items sous domaines Sciences '!B163,0)</f>
        <v>0</v>
      </c>
      <c r="C161" s="213">
        <f>IF('Items sous domaines Sciences '!G163=7,'Items sous domaines Sciences '!C163,0)</f>
        <v>0</v>
      </c>
      <c r="D161" s="216">
        <f>IF('Items sous domaines Sciences '!G163=7,'Items sous domaines Sciences '!D163,0)</f>
        <v>0</v>
      </c>
      <c r="E161" s="254">
        <f>IF('Items sous domaines Sciences '!G163=7,'Items sous domaines Sciences '!E163,0)</f>
        <v>0</v>
      </c>
      <c r="F161" s="380"/>
      <c r="G161" s="529"/>
    </row>
    <row r="162" spans="1:7" ht="17.7" hidden="1" customHeight="1" thickBot="1" x14ac:dyDescent="0.3">
      <c r="A162" s="494"/>
      <c r="B162" s="57">
        <f>IF('Items sous domaines Sciences '!G164=7,'Items sous domaines Sciences '!B164,0)</f>
        <v>0</v>
      </c>
      <c r="C162" s="195">
        <f>IF('Items sous domaines Sciences '!G164=7,'Items sous domaines Sciences '!C164,0)</f>
        <v>0</v>
      </c>
      <c r="D162" s="98">
        <f>IF('Items sous domaines Sciences '!G164=7,'Items sous domaines Sciences '!D164,0)</f>
        <v>0</v>
      </c>
      <c r="E162" s="209">
        <f>IF('Items sous domaines Sciences '!G164=7,'Items sous domaines Sciences '!E164,0)</f>
        <v>0</v>
      </c>
      <c r="F162" s="380"/>
      <c r="G162" s="529"/>
    </row>
    <row r="163" spans="1:7" ht="17.7" hidden="1" customHeight="1" thickBot="1" x14ac:dyDescent="0.3">
      <c r="A163" s="494"/>
      <c r="B163" s="57">
        <f>IF('Items sous domaines Sciences '!G165=7,'Items sous domaines Sciences '!B165,0)</f>
        <v>0</v>
      </c>
      <c r="C163" s="213">
        <f>IF('Items sous domaines Sciences '!G165=7,'Items sous domaines Sciences '!C165,0)</f>
        <v>0</v>
      </c>
      <c r="D163" s="216">
        <f>IF('Items sous domaines Sciences '!G165=7,'Items sous domaines Sciences '!D165,0)</f>
        <v>0</v>
      </c>
      <c r="E163" s="254">
        <f>IF('Items sous domaines Sciences '!G165=7,'Items sous domaines Sciences '!E165,0)</f>
        <v>0</v>
      </c>
      <c r="F163" s="380"/>
      <c r="G163" s="529"/>
    </row>
    <row r="164" spans="1:7" ht="17.7" hidden="1" customHeight="1" thickBot="1" x14ac:dyDescent="0.3">
      <c r="A164" s="494"/>
      <c r="B164" s="57">
        <f>IF('Items sous domaines Sciences '!G166=7,'Items sous domaines Sciences '!B166,0)</f>
        <v>0</v>
      </c>
      <c r="C164" s="195">
        <f>IF('Items sous domaines Sciences '!G166=7,'Items sous domaines Sciences '!C166,0)</f>
        <v>0</v>
      </c>
      <c r="D164" s="98">
        <f>IF('Items sous domaines Sciences '!G166=7,'Items sous domaines Sciences '!D166,0)</f>
        <v>0</v>
      </c>
      <c r="E164" s="209">
        <f>IF('Items sous domaines Sciences '!G166=7,'Items sous domaines Sciences '!E166,0)</f>
        <v>0</v>
      </c>
      <c r="F164" s="380"/>
      <c r="G164" s="529"/>
    </row>
    <row r="165" spans="1:7" ht="17.7" hidden="1" customHeight="1" thickBot="1" x14ac:dyDescent="0.3">
      <c r="A165" s="494"/>
      <c r="B165" s="57">
        <f>IF('Items sous domaines Sciences '!G167=7,'Items sous domaines Sciences '!B167,0)</f>
        <v>0</v>
      </c>
      <c r="C165" s="213">
        <f>IF('Items sous domaines Sciences '!G167=7,'Items sous domaines Sciences '!C167,0)</f>
        <v>0</v>
      </c>
      <c r="D165" s="216">
        <f>IF('Items sous domaines Sciences '!G167=7,'Items sous domaines Sciences '!D167,0)</f>
        <v>0</v>
      </c>
      <c r="E165" s="254">
        <f>IF('Items sous domaines Sciences '!G167=7,'Items sous domaines Sciences '!E167,0)</f>
        <v>0</v>
      </c>
      <c r="F165" s="380"/>
      <c r="G165" s="529"/>
    </row>
    <row r="166" spans="1:7" ht="17.7" hidden="1" customHeight="1" thickBot="1" x14ac:dyDescent="0.3">
      <c r="A166" s="494"/>
      <c r="B166" s="57">
        <f>IF('Items sous domaines Sciences '!G168=7,'Items sous domaines Sciences '!B168,0)</f>
        <v>0</v>
      </c>
      <c r="C166" s="195">
        <f>IF('Items sous domaines Sciences '!G168=7,'Items sous domaines Sciences '!C168,0)</f>
        <v>0</v>
      </c>
      <c r="D166" s="98">
        <f>IF('Items sous domaines Sciences '!G168=7,'Items sous domaines Sciences '!D168,0)</f>
        <v>0</v>
      </c>
      <c r="E166" s="209">
        <f>IF('Items sous domaines Sciences '!G168=7,'Items sous domaines Sciences '!E168,0)</f>
        <v>0</v>
      </c>
      <c r="F166" s="380"/>
      <c r="G166" s="529"/>
    </row>
    <row r="167" spans="1:7" ht="17.7" hidden="1" customHeight="1" thickBot="1" x14ac:dyDescent="0.3">
      <c r="A167" s="494"/>
      <c r="B167" s="57">
        <f>IF('Items sous domaines Sciences '!G169=7,'Items sous domaines Sciences '!B169,0)</f>
        <v>0</v>
      </c>
      <c r="C167" s="213">
        <f>IF('Items sous domaines Sciences '!G169=7,'Items sous domaines Sciences '!C169,0)</f>
        <v>0</v>
      </c>
      <c r="D167" s="216">
        <f>IF('Items sous domaines Sciences '!G169=7,'Items sous domaines Sciences '!D169,0)</f>
        <v>0</v>
      </c>
      <c r="E167" s="254">
        <f>IF('Items sous domaines Sciences '!G169=7,'Items sous domaines Sciences '!E169,0)</f>
        <v>0</v>
      </c>
      <c r="F167" s="380"/>
      <c r="G167" s="529"/>
    </row>
    <row r="168" spans="1:7" ht="17.7" hidden="1" customHeight="1" thickBot="1" x14ac:dyDescent="0.3">
      <c r="A168" s="494"/>
      <c r="B168" s="57">
        <f>IF('Items sous domaines Sciences '!G170=7,'Items sous domaines Sciences '!B170,0)</f>
        <v>0</v>
      </c>
      <c r="C168" s="195">
        <f>IF('Items sous domaines Sciences '!G170=7,'Items sous domaines Sciences '!C170,0)</f>
        <v>0</v>
      </c>
      <c r="D168" s="98">
        <f>IF('Items sous domaines Sciences '!G170=7,'Items sous domaines Sciences '!D170,0)</f>
        <v>0</v>
      </c>
      <c r="E168" s="209">
        <f>IF('Items sous domaines Sciences '!G170=7,'Items sous domaines Sciences '!E170,0)</f>
        <v>0</v>
      </c>
      <c r="F168" s="380"/>
      <c r="G168" s="529"/>
    </row>
    <row r="169" spans="1:7" ht="17.7" hidden="1" customHeight="1" thickBot="1" x14ac:dyDescent="0.3">
      <c r="A169" s="494"/>
      <c r="B169" s="57">
        <f>IF('Items sous domaines Sciences '!G171=7,'Items sous domaines Sciences '!B171,0)</f>
        <v>0</v>
      </c>
      <c r="C169" s="213">
        <f>IF('Items sous domaines Sciences '!G171=7,'Items sous domaines Sciences '!C171,0)</f>
        <v>0</v>
      </c>
      <c r="D169" s="216">
        <f>IF('Items sous domaines Sciences '!G171=7,'Items sous domaines Sciences '!D171,0)</f>
        <v>0</v>
      </c>
      <c r="E169" s="254">
        <f>IF('Items sous domaines Sciences '!G171=7,'Items sous domaines Sciences '!E171,0)</f>
        <v>0</v>
      </c>
      <c r="F169" s="380"/>
      <c r="G169" s="529"/>
    </row>
    <row r="170" spans="1:7" ht="17.7" hidden="1" customHeight="1" thickBot="1" x14ac:dyDescent="0.3">
      <c r="A170" s="494"/>
      <c r="B170" s="57">
        <f>IF('Items sous domaines Sciences '!G172=7,'Items sous domaines Sciences '!B172,0)</f>
        <v>0</v>
      </c>
      <c r="C170" s="195">
        <f>IF('Items sous domaines Sciences '!G172=7,'Items sous domaines Sciences '!C172,0)</f>
        <v>0</v>
      </c>
      <c r="D170" s="98">
        <f>IF('Items sous domaines Sciences '!G172=7,'Items sous domaines Sciences '!D172,0)</f>
        <v>0</v>
      </c>
      <c r="E170" s="209">
        <f>IF('Items sous domaines Sciences '!G172=7,'Items sous domaines Sciences '!E172,0)</f>
        <v>0</v>
      </c>
      <c r="F170" s="380"/>
      <c r="G170" s="529"/>
    </row>
    <row r="171" spans="1:7" ht="17.7" hidden="1" customHeight="1" thickBot="1" x14ac:dyDescent="0.3">
      <c r="A171" s="494"/>
      <c r="B171" s="57">
        <f>IF('Items sous domaines Sciences '!G173=7,'Items sous domaines Sciences '!B173,0)</f>
        <v>0</v>
      </c>
      <c r="C171" s="213">
        <f>IF('Items sous domaines Sciences '!G173=7,'Items sous domaines Sciences '!C173,0)</f>
        <v>0</v>
      </c>
      <c r="D171" s="216">
        <f>IF('Items sous domaines Sciences '!G173=7,'Items sous domaines Sciences '!D173,0)</f>
        <v>0</v>
      </c>
      <c r="E171" s="254">
        <f>IF('Items sous domaines Sciences '!G173=7,'Items sous domaines Sciences '!E173,0)</f>
        <v>0</v>
      </c>
      <c r="F171" s="380"/>
      <c r="G171" s="529"/>
    </row>
    <row r="172" spans="1:7" ht="17.7" hidden="1" customHeight="1" thickBot="1" x14ac:dyDescent="0.3">
      <c r="A172" s="494"/>
      <c r="B172" s="57">
        <f>IF('Items sous domaines Sciences '!G174=7,'Items sous domaines Sciences '!B174,0)</f>
        <v>0</v>
      </c>
      <c r="C172" s="195">
        <f>IF('Items sous domaines Sciences '!G174=7,'Items sous domaines Sciences '!C174,0)</f>
        <v>0</v>
      </c>
      <c r="D172" s="98">
        <f>IF('Items sous domaines Sciences '!G174=7,'Items sous domaines Sciences '!D174,0)</f>
        <v>0</v>
      </c>
      <c r="E172" s="209">
        <f>IF('Items sous domaines Sciences '!G174=7,'Items sous domaines Sciences '!E174,0)</f>
        <v>0</v>
      </c>
      <c r="F172" s="380"/>
      <c r="G172" s="529"/>
    </row>
    <row r="173" spans="1:7" ht="17.7" hidden="1" customHeight="1" thickBot="1" x14ac:dyDescent="0.3">
      <c r="A173" s="494"/>
      <c r="B173" s="57">
        <f>IF('Items sous domaines Sciences '!G175=7,'Items sous domaines Sciences '!B175,0)</f>
        <v>0</v>
      </c>
      <c r="C173" s="213">
        <f>IF('Items sous domaines Sciences '!G175=7,'Items sous domaines Sciences '!C175,0)</f>
        <v>0</v>
      </c>
      <c r="D173" s="216">
        <f>IF('Items sous domaines Sciences '!G175=7,'Items sous domaines Sciences '!D175,0)</f>
        <v>0</v>
      </c>
      <c r="E173" s="254">
        <f>IF('Items sous domaines Sciences '!G175=7,'Items sous domaines Sciences '!E175,0)</f>
        <v>0</v>
      </c>
      <c r="F173" s="380"/>
      <c r="G173" s="529"/>
    </row>
    <row r="174" spans="1:7" ht="17.7" hidden="1" customHeight="1" thickBot="1" x14ac:dyDescent="0.3">
      <c r="A174" s="494"/>
      <c r="B174" s="57">
        <f>IF('Items sous domaines Sciences '!G176=7,'Items sous domaines Sciences '!B176,0)</f>
        <v>0</v>
      </c>
      <c r="C174" s="195">
        <f>IF('Items sous domaines Sciences '!G176=7,'Items sous domaines Sciences '!C176,0)</f>
        <v>0</v>
      </c>
      <c r="D174" s="98">
        <f>IF('Items sous domaines Sciences '!G176=7,'Items sous domaines Sciences '!D176,0)</f>
        <v>0</v>
      </c>
      <c r="E174" s="209">
        <f>IF('Items sous domaines Sciences '!G176=7,'Items sous domaines Sciences '!E176,0)</f>
        <v>0</v>
      </c>
      <c r="F174" s="380"/>
      <c r="G174" s="529"/>
    </row>
    <row r="175" spans="1:7" ht="17.7" hidden="1" customHeight="1" thickBot="1" x14ac:dyDescent="0.3">
      <c r="A175" s="494"/>
      <c r="B175" s="57">
        <f>IF('Items sous domaines Sciences '!G177=7,'Items sous domaines Sciences '!B177,0)</f>
        <v>0</v>
      </c>
      <c r="C175" s="213">
        <f>IF('Items sous domaines Sciences '!G177=7,'Items sous domaines Sciences '!C177,0)</f>
        <v>0</v>
      </c>
      <c r="D175" s="216">
        <f>IF('Items sous domaines Sciences '!G177=7,'Items sous domaines Sciences '!D177,0)</f>
        <v>0</v>
      </c>
      <c r="E175" s="254">
        <f>IF('Items sous domaines Sciences '!G177=7,'Items sous domaines Sciences '!E177,0)</f>
        <v>0</v>
      </c>
      <c r="F175" s="380"/>
      <c r="G175" s="529"/>
    </row>
    <row r="176" spans="1:7" ht="17.7" hidden="1" customHeight="1" thickBot="1" x14ac:dyDescent="0.3">
      <c r="A176" s="494"/>
      <c r="B176" s="57">
        <f>IF('Items sous domaines Sciences '!G178=7,'Items sous domaines Sciences '!B178,0)</f>
        <v>0</v>
      </c>
      <c r="C176" s="195">
        <f>IF('Items sous domaines Sciences '!G178=7,'Items sous domaines Sciences '!C178,0)</f>
        <v>0</v>
      </c>
      <c r="D176" s="98">
        <f>IF('Items sous domaines Sciences '!G178=7,'Items sous domaines Sciences '!D178,0)</f>
        <v>0</v>
      </c>
      <c r="E176" s="209">
        <f>IF('Items sous domaines Sciences '!G178=7,'Items sous domaines Sciences '!E178,0)</f>
        <v>0</v>
      </c>
      <c r="F176" s="380"/>
      <c r="G176" s="529"/>
    </row>
    <row r="177" spans="1:7" ht="17.7" hidden="1" customHeight="1" thickBot="1" x14ac:dyDescent="0.3">
      <c r="A177" s="494"/>
      <c r="B177" s="57">
        <f>IF('Items sous domaines Sciences '!G179=7,'Items sous domaines Sciences '!B179,0)</f>
        <v>0</v>
      </c>
      <c r="C177" s="213">
        <f>IF('Items sous domaines Sciences '!G179=7,'Items sous domaines Sciences '!C179,0)</f>
        <v>0</v>
      </c>
      <c r="D177" s="216">
        <f>IF('Items sous domaines Sciences '!G179=7,'Items sous domaines Sciences '!D179,0)</f>
        <v>0</v>
      </c>
      <c r="E177" s="254">
        <f>IF('Items sous domaines Sciences '!G179=7,'Items sous domaines Sciences '!E179,0)</f>
        <v>0</v>
      </c>
      <c r="F177" s="380"/>
      <c r="G177" s="529"/>
    </row>
    <row r="178" spans="1:7" ht="17.7" hidden="1" customHeight="1" thickBot="1" x14ac:dyDescent="0.3">
      <c r="A178" s="494"/>
      <c r="B178" s="57">
        <f>IF('Items sous domaines Sciences '!G180=7,'Items sous domaines Sciences '!B180,0)</f>
        <v>0</v>
      </c>
      <c r="C178" s="195">
        <f>IF('Items sous domaines Sciences '!G180=7,'Items sous domaines Sciences '!C180,0)</f>
        <v>0</v>
      </c>
      <c r="D178" s="98">
        <f>IF('Items sous domaines Sciences '!G180=7,'Items sous domaines Sciences '!D180,0)</f>
        <v>0</v>
      </c>
      <c r="E178" s="209">
        <f>IF('Items sous domaines Sciences '!G180=7,'Items sous domaines Sciences '!E180,0)</f>
        <v>0</v>
      </c>
      <c r="F178" s="380"/>
      <c r="G178" s="529"/>
    </row>
    <row r="179" spans="1:7" ht="17.7" hidden="1" customHeight="1" thickBot="1" x14ac:dyDescent="0.3">
      <c r="A179" s="494"/>
      <c r="B179" s="57">
        <f>IF('Items sous domaines Sciences '!G181=7,'Items sous domaines Sciences '!B181,0)</f>
        <v>0</v>
      </c>
      <c r="C179" s="213">
        <f>IF('Items sous domaines Sciences '!G181=7,'Items sous domaines Sciences '!C181,0)</f>
        <v>0</v>
      </c>
      <c r="D179" s="216">
        <f>IF('Items sous domaines Sciences '!G181=7,'Items sous domaines Sciences '!D181,0)</f>
        <v>0</v>
      </c>
      <c r="E179" s="254">
        <f>IF('Items sous domaines Sciences '!G181=7,'Items sous domaines Sciences '!E181,0)</f>
        <v>0</v>
      </c>
      <c r="F179" s="380"/>
      <c r="G179" s="529"/>
    </row>
    <row r="180" spans="1:7" ht="17.7" hidden="1" customHeight="1" thickBot="1" x14ac:dyDescent="0.3">
      <c r="A180" s="494"/>
      <c r="B180" s="57">
        <f>IF('Items sous domaines Sciences '!G182=7,'Items sous domaines Sciences '!B182,0)</f>
        <v>0</v>
      </c>
      <c r="C180" s="195">
        <f>IF('Items sous domaines Sciences '!G182=7,'Items sous domaines Sciences '!C182,0)</f>
        <v>0</v>
      </c>
      <c r="D180" s="98">
        <f>IF('Items sous domaines Sciences '!G182=7,'Items sous domaines Sciences '!D182,0)</f>
        <v>0</v>
      </c>
      <c r="E180" s="209">
        <f>IF('Items sous domaines Sciences '!G182=7,'Items sous domaines Sciences '!E182,0)</f>
        <v>0</v>
      </c>
      <c r="F180" s="380"/>
      <c r="G180" s="529"/>
    </row>
    <row r="181" spans="1:7" ht="17.7" customHeight="1" thickTop="1" x14ac:dyDescent="0.25">
      <c r="A181" s="526"/>
      <c r="B181" s="251" t="str">
        <f>IF('Items sous domaines Sciences '!G183=7,'Items sous domaines Sciences '!B183,0)</f>
        <v>Electricité - Electromagnétisme</v>
      </c>
      <c r="C181" s="240" t="str">
        <f>IF('Items sous domaines Sciences '!G183=7,'Items sous domaines Sciences '!C183,0)</f>
        <v>Automatique</v>
      </c>
      <c r="D181" s="241">
        <f>IF('Items sous domaines Sciences '!G183=7,'Items sous domaines Sciences '!D183,0)</f>
        <v>0</v>
      </c>
      <c r="E181" s="208" t="str">
        <f>IF('Items sous domaines Sciences '!G183=7,'Items sous domaines Sciences '!E183,0)</f>
        <v>Expliquer un modèle simple de comportement.</v>
      </c>
      <c r="F181" s="379"/>
      <c r="G181" s="530"/>
    </row>
    <row r="182" spans="1:7" ht="17.7" customHeight="1" x14ac:dyDescent="0.25">
      <c r="A182" s="526"/>
      <c r="B182" s="57" t="str">
        <f>IF('Items sous domaines Sciences '!G184=7,'Items sous domaines Sciences '!B184,0)</f>
        <v>Electricité - Electromagnétisme</v>
      </c>
      <c r="C182" s="195" t="str">
        <f>IF('Items sous domaines Sciences '!G184=7,'Items sous domaines Sciences '!C184,0)</f>
        <v>Automatique</v>
      </c>
      <c r="D182" s="98">
        <f>IF('Items sous domaines Sciences '!G184=7,'Items sous domaines Sciences '!D184,0)</f>
        <v>0</v>
      </c>
      <c r="E182" s="209" t="str">
        <f>IF('Items sous domaines Sciences '!G184=7,'Items sous domaines Sciences '!E184,0)</f>
        <v>Reconnaïtre un système à partir d'une courbe de réponse indicielle et donner un modèle de représentation.</v>
      </c>
      <c r="F182" s="380"/>
      <c r="G182" s="527"/>
    </row>
    <row r="183" spans="1:7" ht="17.7" customHeight="1" x14ac:dyDescent="0.25">
      <c r="A183" s="526"/>
      <c r="B183" s="57" t="str">
        <f>IF('Items sous domaines Sciences '!G185=7,'Items sous domaines Sciences '!B185,0)</f>
        <v>Electricité - Electromagnétisme</v>
      </c>
      <c r="C183" s="213" t="str">
        <f>IF('Items sous domaines Sciences '!G185=7,'Items sous domaines Sciences '!C185,0)</f>
        <v>Automatique</v>
      </c>
      <c r="D183" s="216">
        <f>IF('Items sous domaines Sciences '!G185=7,'Items sous domaines Sciences '!D185,0)</f>
        <v>0</v>
      </c>
      <c r="E183" s="254" t="str">
        <f>IF('Items sous domaines Sciences '!G185=7,'Items sous domaines Sciences '!E185,0)</f>
        <v>Discuter la cohérence du modèle choisi avec des résultats d'expérimentation.</v>
      </c>
      <c r="F183" s="380"/>
      <c r="G183" s="527"/>
    </row>
    <row r="184" spans="1:7" ht="17.7" customHeight="1" x14ac:dyDescent="0.25">
      <c r="A184" s="526"/>
      <c r="B184" s="57" t="str">
        <f>IF('Items sous domaines Sciences '!G186=7,'Items sous domaines Sciences '!B186,0)</f>
        <v>Electricité - Electromagnétisme</v>
      </c>
      <c r="C184" s="195" t="str">
        <f>IF('Items sous domaines Sciences '!G186=7,'Items sous domaines Sciences '!C186,0)</f>
        <v>Automatique</v>
      </c>
      <c r="D184" s="98">
        <f>IF('Items sous domaines Sciences '!G186=7,'Items sous domaines Sciences '!D186,0)</f>
        <v>0</v>
      </c>
      <c r="E184" s="209" t="str">
        <f>IF('Items sous domaines Sciences '!G186=7,'Items sous domaines Sciences '!E186,0)</f>
        <v>Déterminer les fonctions de transfert en boucle ouverte et en boucle fermée d'un système à partir de la connaissance des diverses fonctions de transfert le constituant.</v>
      </c>
      <c r="F184" s="380"/>
      <c r="G184" s="527"/>
    </row>
    <row r="185" spans="1:7" ht="17.7" customHeight="1" x14ac:dyDescent="0.25">
      <c r="A185" s="526"/>
      <c r="B185" s="57" t="str">
        <f>IF('Items sous domaines Sciences '!G187=7,'Items sous domaines Sciences '!B187,0)</f>
        <v>Electricité - Electromagnétisme</v>
      </c>
      <c r="C185" s="213" t="str">
        <f>IF('Items sous domaines Sciences '!G187=7,'Items sous domaines Sciences '!C187,0)</f>
        <v>Automatique</v>
      </c>
      <c r="D185" s="216">
        <f>IF('Items sous domaines Sciences '!G187=7,'Items sous domaines Sciences '!D187,0)</f>
        <v>0</v>
      </c>
      <c r="E185" s="254" t="str">
        <f>IF('Items sous domaines Sciences '!G187=7,'Items sous domaines Sciences '!E187,0)</f>
        <v>Déterminer la précision en régime permanent.</v>
      </c>
      <c r="F185" s="380"/>
      <c r="G185" s="282"/>
    </row>
    <row r="186" spans="1:7" ht="17.399999999999999" customHeight="1" x14ac:dyDescent="0.25">
      <c r="A186" s="526"/>
      <c r="B186" s="57" t="str">
        <f>IF('Items sous domaines Sciences '!G188=7,'Items sous domaines Sciences '!B188,0)</f>
        <v>Electricité - Electromagnétisme</v>
      </c>
      <c r="C186" s="195" t="str">
        <f>IF('Items sous domaines Sciences '!G188=7,'Items sous domaines Sciences '!C188,0)</f>
        <v>Automatique</v>
      </c>
      <c r="D186" s="98">
        <f>IF('Items sous domaines Sciences '!G188=7,'Items sous domaines Sciences '!D188,0)</f>
        <v>0</v>
      </c>
      <c r="E186" s="209" t="str">
        <f>IF('Items sous domaines Sciences '!G188=7,'Items sous domaines Sciences '!E188,0)</f>
        <v>Analyser la stabilité d'un système.</v>
      </c>
      <c r="F186" s="380"/>
      <c r="G186" s="280"/>
    </row>
    <row r="187" spans="1:7" ht="17.399999999999999" customHeight="1" x14ac:dyDescent="0.25">
      <c r="A187" s="526"/>
      <c r="B187" s="57" t="str">
        <f>IF('Items sous domaines Sciences '!G189=7,'Items sous domaines Sciences '!B189,0)</f>
        <v>Electricité - Electromagnétisme</v>
      </c>
      <c r="C187" s="213" t="str">
        <f>IF('Items sous domaines Sciences '!G189=7,'Items sous domaines Sciences '!C189,0)</f>
        <v>Automatique</v>
      </c>
      <c r="D187" s="216">
        <f>IF('Items sous domaines Sciences '!G189=7,'Items sous domaines Sciences '!D189,0)</f>
        <v>0</v>
      </c>
      <c r="E187" s="254" t="str">
        <f>IF('Items sous domaines Sciences '!G189=7,'Items sous domaines Sciences '!E189,0)</f>
        <v>Analyser l'influence d'un correcteur P, PI et PID sur un système sous l'aspect temporel et fréquentiel.</v>
      </c>
      <c r="F187" s="380"/>
      <c r="G187" s="280"/>
    </row>
    <row r="188" spans="1:7" ht="17.399999999999999" customHeight="1" x14ac:dyDescent="0.25">
      <c r="A188" s="526"/>
      <c r="B188" s="57" t="str">
        <f>IF('Items sous domaines Sciences '!G190=7,'Items sous domaines Sciences '!B190,0)</f>
        <v>Electricité - Electromagnétisme</v>
      </c>
      <c r="C188" s="195" t="str">
        <f>IF('Items sous domaines Sciences '!G190=7,'Items sous domaines Sciences '!C190,0)</f>
        <v>Automatique</v>
      </c>
      <c r="D188" s="98">
        <f>IF('Items sous domaines Sciences '!G190=7,'Items sous domaines Sciences '!D190,0)</f>
        <v>0</v>
      </c>
      <c r="E188" s="209" t="str">
        <f>IF('Items sous domaines Sciences '!G190=7,'Items sous domaines Sciences '!E190,0)</f>
        <v>Expliquer le fonctionnement d'un produit ou d'un système par un graphe d'état (Grafcet..).</v>
      </c>
      <c r="F188" s="380"/>
      <c r="G188" s="280"/>
    </row>
    <row r="189" spans="1:7" ht="17.399999999999999" customHeight="1" x14ac:dyDescent="0.25">
      <c r="A189" s="526"/>
      <c r="B189" s="57" t="str">
        <f>IF('Items sous domaines Sciences '!G191=7,'Items sous domaines Sciences '!B191,0)</f>
        <v>Electricité - Electromagnétisme</v>
      </c>
      <c r="C189" s="213" t="str">
        <f>IF('Items sous domaines Sciences '!G191=7,'Items sous domaines Sciences '!C191,0)</f>
        <v>Automatique</v>
      </c>
      <c r="D189" s="216">
        <f>IF('Items sous domaines Sciences '!G191=7,'Items sous domaines Sciences '!D191,0)</f>
        <v>0</v>
      </c>
      <c r="E189" s="254" t="str">
        <f>IF('Items sous domaines Sciences '!G191=7,'Items sous domaines Sciences '!E191,0)</f>
        <v>Citer les différentes technologies de systèmes utilisées en robotique.</v>
      </c>
      <c r="F189" s="380"/>
      <c r="G189" s="280"/>
    </row>
    <row r="190" spans="1:7" ht="17.399999999999999" customHeight="1" x14ac:dyDescent="0.25">
      <c r="A190" s="526"/>
      <c r="B190" s="57" t="str">
        <f>IF('Items sous domaines Sciences '!G192=7,'Items sous domaines Sciences '!B192,0)</f>
        <v>Electricité - Electromagnétisme</v>
      </c>
      <c r="C190" s="195" t="str">
        <f>IF('Items sous domaines Sciences '!G192=7,'Items sous domaines Sciences '!C192,0)</f>
        <v>Automatique</v>
      </c>
      <c r="D190" s="98">
        <f>IF('Items sous domaines Sciences '!G192=7,'Items sous domaines Sciences '!D192,0)</f>
        <v>0</v>
      </c>
      <c r="E190" s="209" t="str">
        <f>IF('Items sous domaines Sciences '!G192=7,'Items sous domaines Sciences '!E192,0)</f>
        <v>Examiner les difficultés à la manipulation d'une pièce par un bras robotisé.</v>
      </c>
      <c r="F190" s="380"/>
      <c r="G190" s="280"/>
    </row>
    <row r="191" spans="1:7" ht="17.399999999999999" customHeight="1" x14ac:dyDescent="0.25">
      <c r="A191" s="526"/>
      <c r="B191" s="57" t="str">
        <f>IF('Items sous domaines Sciences '!G193=7,'Items sous domaines Sciences '!B193,0)</f>
        <v>Electricité - Electromagnétisme</v>
      </c>
      <c r="C191" s="213" t="str">
        <f>IF('Items sous domaines Sciences '!G193=7,'Items sous domaines Sciences '!C193,0)</f>
        <v>Automatique</v>
      </c>
      <c r="D191" s="216">
        <f>IF('Items sous domaines Sciences '!G193=7,'Items sous domaines Sciences '!D193,0)</f>
        <v>0</v>
      </c>
      <c r="E191" s="254" t="str">
        <f>IF('Items sous domaines Sciences '!G193=7,'Items sous domaines Sciences '!E193,0)</f>
        <v>Relier les notions de robotique à la cobotique.</v>
      </c>
      <c r="F191" s="380"/>
      <c r="G191" s="280"/>
    </row>
    <row r="192" spans="1:7" ht="17.399999999999999" customHeight="1" thickBot="1" x14ac:dyDescent="0.3">
      <c r="A192" s="526"/>
      <c r="B192" s="244" t="str">
        <f>IF('Items sous domaines Sciences '!G194=7,'Items sous domaines Sciences '!B194,0)</f>
        <v>Electricité - Electromagnétisme</v>
      </c>
      <c r="C192" s="229" t="str">
        <f>IF('Items sous domaines Sciences '!G194=7,'Items sous domaines Sciences '!C194,0)</f>
        <v>Automatique</v>
      </c>
      <c r="D192" s="230">
        <f>IF('Items sous domaines Sciences '!G194=7,'Items sous domaines Sciences '!D194,0)</f>
        <v>0</v>
      </c>
      <c r="E192" s="231" t="str">
        <f>IF('Items sous domaines Sciences '!G194=7,'Items sous domaines Sciences '!E194,0)</f>
        <v>Construire le fonctionnement d'un produit ou d'un système par un graphe d'état (Grafcet..).</v>
      </c>
      <c r="F192" s="381"/>
      <c r="G192" s="283"/>
    </row>
    <row r="193" spans="1:7" ht="17.399999999999999" hidden="1" customHeight="1" thickBot="1" x14ac:dyDescent="0.3">
      <c r="A193" s="12"/>
      <c r="B193">
        <f>IF('Items sous domaines Sciences '!G195=7,'Items sous domaines Sciences '!B195,0)</f>
        <v>0</v>
      </c>
      <c r="C193">
        <f>IF('Items sous domaines Sciences '!G195=7,'Items sous domaines Sciences '!C195,0)</f>
        <v>0</v>
      </c>
      <c r="D193">
        <f>IF('Items sous domaines Sciences '!G195=7,'Items sous domaines Sciences '!D195,0)</f>
        <v>0</v>
      </c>
      <c r="E193">
        <f>IF('Items sous domaines Sciences '!G195=7,'Items sous domaines Sciences '!E195,0)</f>
        <v>0</v>
      </c>
      <c r="F193" t="e">
        <f>IF('Items sous domaines Sciences '!#REF!=1,'Items sous domaines Sciences '!#REF!,0)</f>
        <v>#REF!</v>
      </c>
      <c r="G193"/>
    </row>
    <row r="194" spans="1:7" ht="17.399999999999999" hidden="1" customHeight="1" thickBot="1" x14ac:dyDescent="0.3">
      <c r="A194" s="12"/>
      <c r="B194" s="8">
        <f>IF('Items sous domaines Sciences '!G196=7,'Items sous domaines Sciences '!B196,0)</f>
        <v>0</v>
      </c>
      <c r="C194" s="8">
        <f>IF('Items sous domaines Sciences '!G196=7,'Items sous domaines Sciences '!C196,0)</f>
        <v>0</v>
      </c>
      <c r="D194" s="8">
        <f>IF('Items sous domaines Sciences '!G196=7,'Items sous domaines Sciences '!D196,0)</f>
        <v>0</v>
      </c>
      <c r="E194" s="8">
        <f>IF('Items sous domaines Sciences '!G196=7,'Items sous domaines Sciences '!E196,0)</f>
        <v>0</v>
      </c>
      <c r="F194" t="e">
        <f>IF('Items sous domaines Sciences '!#REF!=1,'Items sous domaines Sciences '!#REF!,0)</f>
        <v>#REF!</v>
      </c>
      <c r="G194"/>
    </row>
    <row r="195" spans="1:7" ht="17.399999999999999" hidden="1" customHeight="1" thickBot="1" x14ac:dyDescent="0.3">
      <c r="A195" s="12"/>
      <c r="B195" s="8">
        <f>IF('Items sous domaines Sciences '!G197=7,'Items sous domaines Sciences '!B197,0)</f>
        <v>0</v>
      </c>
      <c r="C195" s="8">
        <f>IF('Items sous domaines Sciences '!G197=7,'Items sous domaines Sciences '!C197,0)</f>
        <v>0</v>
      </c>
      <c r="D195" s="8">
        <f>IF('Items sous domaines Sciences '!G197=7,'Items sous domaines Sciences '!D197,0)</f>
        <v>0</v>
      </c>
      <c r="E195" s="8">
        <f>IF('Items sous domaines Sciences '!G197=7,'Items sous domaines Sciences '!E197,0)</f>
        <v>0</v>
      </c>
      <c r="F195" t="e">
        <f>IF('Items sous domaines Sciences '!#REF!=1,'Items sous domaines Sciences '!#REF!,0)</f>
        <v>#REF!</v>
      </c>
      <c r="G195"/>
    </row>
    <row r="196" spans="1:7" ht="17.399999999999999" hidden="1" customHeight="1" thickBot="1" x14ac:dyDescent="0.3">
      <c r="A196" s="12"/>
      <c r="B196" s="8">
        <f>IF('Items sous domaines Sciences '!G198=7,'Items sous domaines Sciences '!B198,0)</f>
        <v>0</v>
      </c>
      <c r="C196" s="8">
        <f>IF('Items sous domaines Sciences '!G198=7,'Items sous domaines Sciences '!C198,0)</f>
        <v>0</v>
      </c>
      <c r="D196" s="8">
        <f>IF('Items sous domaines Sciences '!G198=7,'Items sous domaines Sciences '!D198,0)</f>
        <v>0</v>
      </c>
      <c r="E196" s="8">
        <f>IF('Items sous domaines Sciences '!G198=7,'Items sous domaines Sciences '!E198,0)</f>
        <v>0</v>
      </c>
      <c r="F196" t="e">
        <f>IF('Items sous domaines Sciences '!#REF!=1,'Items sous domaines Sciences '!#REF!,0)</f>
        <v>#REF!</v>
      </c>
      <c r="G196"/>
    </row>
    <row r="197" spans="1:7" ht="17.399999999999999" hidden="1" customHeight="1" thickBot="1" x14ac:dyDescent="0.3">
      <c r="A197" s="12"/>
      <c r="B197" s="8">
        <f>IF('Items sous domaines Sciences '!G199=7,'Items sous domaines Sciences '!B199,0)</f>
        <v>0</v>
      </c>
      <c r="C197" s="8">
        <f>IF('Items sous domaines Sciences '!G199=7,'Items sous domaines Sciences '!C199,0)</f>
        <v>0</v>
      </c>
      <c r="D197" s="8">
        <f>IF('Items sous domaines Sciences '!G199=7,'Items sous domaines Sciences '!D199,0)</f>
        <v>0</v>
      </c>
      <c r="E197" s="8">
        <f>IF('Items sous domaines Sciences '!G199=7,'Items sous domaines Sciences '!E199,0)</f>
        <v>0</v>
      </c>
      <c r="F197" t="e">
        <f>IF('Items sous domaines Sciences '!#REF!=1,'Items sous domaines Sciences '!#REF!,0)</f>
        <v>#REF!</v>
      </c>
      <c r="G197"/>
    </row>
    <row r="198" spans="1:7" ht="17.399999999999999" hidden="1" customHeight="1" thickBot="1" x14ac:dyDescent="0.3">
      <c r="A198" s="12"/>
      <c r="B198" s="8">
        <f>IF('Items sous domaines Sciences '!G200=7,'Items sous domaines Sciences '!B200,0)</f>
        <v>0</v>
      </c>
      <c r="C198" s="8">
        <f>IF('Items sous domaines Sciences '!G200=7,'Items sous domaines Sciences '!C200,0)</f>
        <v>0</v>
      </c>
      <c r="D198" s="8">
        <f>IF('Items sous domaines Sciences '!G200=7,'Items sous domaines Sciences '!D200,0)</f>
        <v>0</v>
      </c>
      <c r="E198" s="8">
        <f>IF('Items sous domaines Sciences '!G200=7,'Items sous domaines Sciences '!E200,0)</f>
        <v>0</v>
      </c>
      <c r="F198" t="e">
        <f>IF('Items sous domaines Sciences '!#REF!=1,'Items sous domaines Sciences '!#REF!,0)</f>
        <v>#REF!</v>
      </c>
      <c r="G198"/>
    </row>
    <row r="199" spans="1:7" ht="17.399999999999999" hidden="1" customHeight="1" thickBot="1" x14ac:dyDescent="0.3">
      <c r="A199" s="12"/>
      <c r="B199" s="8">
        <f>IF('Items sous domaines Sciences '!G201=7,'Items sous domaines Sciences '!B201,0)</f>
        <v>0</v>
      </c>
      <c r="C199" s="8">
        <f>IF('Items sous domaines Sciences '!G201=7,'Items sous domaines Sciences '!C201,0)</f>
        <v>0</v>
      </c>
      <c r="D199" s="8">
        <f>IF('Items sous domaines Sciences '!G201=7,'Items sous domaines Sciences '!D201,0)</f>
        <v>0</v>
      </c>
      <c r="E199" s="8">
        <f>IF('Items sous domaines Sciences '!G201=7,'Items sous domaines Sciences '!E201,0)</f>
        <v>0</v>
      </c>
      <c r="F199" t="e">
        <f>IF('Items sous domaines Sciences '!#REF!=1,'Items sous domaines Sciences '!#REF!,0)</f>
        <v>#REF!</v>
      </c>
      <c r="G199"/>
    </row>
    <row r="200" spans="1:7" ht="17.399999999999999" hidden="1" customHeight="1" thickBot="1" x14ac:dyDescent="0.3">
      <c r="A200" s="12"/>
      <c r="B200" s="8">
        <f>IF('Items sous domaines Sciences '!G202=7,'Items sous domaines Sciences '!B202,0)</f>
        <v>0</v>
      </c>
      <c r="C200" s="8">
        <f>IF('Items sous domaines Sciences '!G202=7,'Items sous domaines Sciences '!C202,0)</f>
        <v>0</v>
      </c>
      <c r="D200" s="8">
        <f>IF('Items sous domaines Sciences '!G202=7,'Items sous domaines Sciences '!D202,0)</f>
        <v>0</v>
      </c>
      <c r="E200" s="8">
        <f>IF('Items sous domaines Sciences '!G202=7,'Items sous domaines Sciences '!E202,0)</f>
        <v>0</v>
      </c>
      <c r="F200" t="e">
        <f>IF('Items sous domaines Sciences '!#REF!=1,'Items sous domaines Sciences '!#REF!,0)</f>
        <v>#REF!</v>
      </c>
      <c r="G200"/>
    </row>
    <row r="201" spans="1:7" ht="17.399999999999999" hidden="1" customHeight="1" thickBot="1" x14ac:dyDescent="0.3">
      <c r="A201" s="12"/>
      <c r="B201" s="8">
        <f>IF('Items sous domaines Sciences '!G203=7,'Items sous domaines Sciences '!B203,0)</f>
        <v>0</v>
      </c>
      <c r="C201" s="8">
        <f>IF('Items sous domaines Sciences '!G203=7,'Items sous domaines Sciences '!C203,0)</f>
        <v>0</v>
      </c>
      <c r="D201" s="8">
        <f>IF('Items sous domaines Sciences '!G203=7,'Items sous domaines Sciences '!D203,0)</f>
        <v>0</v>
      </c>
      <c r="E201" s="8">
        <f>IF('Items sous domaines Sciences '!G203=7,'Items sous domaines Sciences '!E203,0)</f>
        <v>0</v>
      </c>
      <c r="F201" t="e">
        <f>IF('Items sous domaines Sciences '!#REF!=1,'Items sous domaines Sciences '!#REF!,0)</f>
        <v>#REF!</v>
      </c>
      <c r="G201"/>
    </row>
    <row r="202" spans="1:7" ht="17.399999999999999" hidden="1" customHeight="1" thickBot="1" x14ac:dyDescent="0.3">
      <c r="A202" s="12"/>
      <c r="B202" s="8">
        <f>IF('Items sous domaines Sciences '!G204=7,'Items sous domaines Sciences '!B204,0)</f>
        <v>0</v>
      </c>
      <c r="C202" s="8">
        <f>IF('Items sous domaines Sciences '!G204=7,'Items sous domaines Sciences '!C204,0)</f>
        <v>0</v>
      </c>
      <c r="D202" s="8">
        <f>IF('Items sous domaines Sciences '!G204=7,'Items sous domaines Sciences '!D204,0)</f>
        <v>0</v>
      </c>
      <c r="E202" s="8">
        <f>IF('Items sous domaines Sciences '!G204=7,'Items sous domaines Sciences '!E204,0)</f>
        <v>0</v>
      </c>
      <c r="F202" t="e">
        <f>IF('Items sous domaines Sciences '!#REF!=1,'Items sous domaines Sciences '!#REF!,0)</f>
        <v>#REF!</v>
      </c>
      <c r="G202"/>
    </row>
    <row r="203" spans="1:7" ht="17.399999999999999" hidden="1" customHeight="1" thickBot="1" x14ac:dyDescent="0.3">
      <c r="A203" s="12"/>
      <c r="B203" s="8">
        <f>IF('Items sous domaines Sciences '!G205=7,'Items sous domaines Sciences '!B205,0)</f>
        <v>0</v>
      </c>
      <c r="C203" s="8">
        <f>IF('Items sous domaines Sciences '!G205=7,'Items sous domaines Sciences '!C205,0)</f>
        <v>0</v>
      </c>
      <c r="D203" s="8">
        <f>IF('Items sous domaines Sciences '!G205=7,'Items sous domaines Sciences '!D205,0)</f>
        <v>0</v>
      </c>
      <c r="E203" s="8">
        <f>IF('Items sous domaines Sciences '!G205=7,'Items sous domaines Sciences '!E205,0)</f>
        <v>0</v>
      </c>
      <c r="F203" t="e">
        <f>IF('Items sous domaines Sciences '!#REF!=1,'Items sous domaines Sciences '!#REF!,0)</f>
        <v>#REF!</v>
      </c>
      <c r="G203"/>
    </row>
    <row r="204" spans="1:7" ht="17.399999999999999" hidden="1" customHeight="1" thickBot="1" x14ac:dyDescent="0.3">
      <c r="A204" s="12"/>
      <c r="B204" s="8">
        <f>IF('Items sous domaines Sciences '!G206=7,'Items sous domaines Sciences '!B206,0)</f>
        <v>0</v>
      </c>
      <c r="C204" s="8">
        <f>IF('Items sous domaines Sciences '!G206=7,'Items sous domaines Sciences '!C206,0)</f>
        <v>0</v>
      </c>
      <c r="D204" s="8">
        <f>IF('Items sous domaines Sciences '!G206=7,'Items sous domaines Sciences '!D206,0)</f>
        <v>0</v>
      </c>
      <c r="E204" s="8">
        <f>IF('Items sous domaines Sciences '!G206=7,'Items sous domaines Sciences '!E206,0)</f>
        <v>0</v>
      </c>
      <c r="F204" t="e">
        <f>IF('Items sous domaines Sciences '!#REF!=1,'Items sous domaines Sciences '!#REF!,0)</f>
        <v>#REF!</v>
      </c>
      <c r="G204"/>
    </row>
    <row r="205" spans="1:7" ht="17.399999999999999" hidden="1" customHeight="1" thickBot="1" x14ac:dyDescent="0.3">
      <c r="A205" s="12"/>
      <c r="B205" s="8">
        <f>IF('Items sous domaines Sciences '!G207=7,'Items sous domaines Sciences '!B207,0)</f>
        <v>0</v>
      </c>
      <c r="C205" s="8">
        <f>IF('Items sous domaines Sciences '!G207=7,'Items sous domaines Sciences '!C207,0)</f>
        <v>0</v>
      </c>
      <c r="D205" s="8">
        <f>IF('Items sous domaines Sciences '!G207=7,'Items sous domaines Sciences '!D207,0)</f>
        <v>0</v>
      </c>
      <c r="E205" s="8">
        <f>IF('Items sous domaines Sciences '!G207=7,'Items sous domaines Sciences '!E207,0)</f>
        <v>0</v>
      </c>
      <c r="F205" t="e">
        <f>IF('Items sous domaines Sciences '!#REF!=1,'Items sous domaines Sciences '!#REF!,0)</f>
        <v>#REF!</v>
      </c>
      <c r="G205"/>
    </row>
    <row r="206" spans="1:7" ht="17.399999999999999" hidden="1" customHeight="1" thickBot="1" x14ac:dyDescent="0.3">
      <c r="A206" s="12"/>
      <c r="B206" s="8">
        <f>IF('Items sous domaines Sciences '!G208=7,'Items sous domaines Sciences '!B208,0)</f>
        <v>0</v>
      </c>
      <c r="C206" s="8">
        <f>IF('Items sous domaines Sciences '!G208=7,'Items sous domaines Sciences '!C208,0)</f>
        <v>0</v>
      </c>
      <c r="D206" s="8">
        <f>IF('Items sous domaines Sciences '!G208=7,'Items sous domaines Sciences '!D208,0)</f>
        <v>0</v>
      </c>
      <c r="E206" s="8">
        <f>IF('Items sous domaines Sciences '!G208=7,'Items sous domaines Sciences '!E208,0)</f>
        <v>0</v>
      </c>
      <c r="F206" t="e">
        <f>IF('Items sous domaines Sciences '!#REF!=1,'Items sous domaines Sciences '!#REF!,0)</f>
        <v>#REF!</v>
      </c>
      <c r="G206"/>
    </row>
    <row r="207" spans="1:7" ht="17.399999999999999" hidden="1" customHeight="1" thickBot="1" x14ac:dyDescent="0.3">
      <c r="A207" s="12"/>
      <c r="B207" s="8">
        <f>IF('Items sous domaines Sciences '!G209=7,'Items sous domaines Sciences '!B209,0)</f>
        <v>0</v>
      </c>
      <c r="C207" s="8">
        <f>IF('Items sous domaines Sciences '!G209=7,'Items sous domaines Sciences '!C209,0)</f>
        <v>0</v>
      </c>
      <c r="D207" s="8">
        <f>IF('Items sous domaines Sciences '!G209=7,'Items sous domaines Sciences '!D209,0)</f>
        <v>0</v>
      </c>
      <c r="E207" s="8">
        <f>IF('Items sous domaines Sciences '!G209=7,'Items sous domaines Sciences '!E209,0)</f>
        <v>0</v>
      </c>
      <c r="F207" t="e">
        <f>IF('Items sous domaines Sciences '!#REF!=1,'Items sous domaines Sciences '!#REF!,0)</f>
        <v>#REF!</v>
      </c>
      <c r="G207"/>
    </row>
    <row r="208" spans="1:7" ht="17.399999999999999" hidden="1" customHeight="1" thickBot="1" x14ac:dyDescent="0.3">
      <c r="A208" s="12"/>
      <c r="B208" s="8">
        <f>IF('Items sous domaines Sciences '!G210=7,'Items sous domaines Sciences '!B210,0)</f>
        <v>0</v>
      </c>
      <c r="C208" s="8">
        <f>IF('Items sous domaines Sciences '!G210=7,'Items sous domaines Sciences '!C210,0)</f>
        <v>0</v>
      </c>
      <c r="D208" s="8">
        <f>IF('Items sous domaines Sciences '!G210=7,'Items sous domaines Sciences '!D210,0)</f>
        <v>0</v>
      </c>
      <c r="E208" s="8">
        <f>IF('Items sous domaines Sciences '!G210=7,'Items sous domaines Sciences '!E210,0)</f>
        <v>0</v>
      </c>
      <c r="F208" t="e">
        <f>IF('Items sous domaines Sciences '!#REF!=1,'Items sous domaines Sciences '!#REF!,0)</f>
        <v>#REF!</v>
      </c>
      <c r="G208"/>
    </row>
    <row r="209" spans="1:7" ht="17.399999999999999" hidden="1" customHeight="1" thickBot="1" x14ac:dyDescent="0.3">
      <c r="A209" s="12"/>
      <c r="B209" s="8">
        <f>IF('Items sous domaines Sciences '!G211=7,'Items sous domaines Sciences '!B211,0)</f>
        <v>0</v>
      </c>
      <c r="C209" s="8">
        <f>IF('Items sous domaines Sciences '!G211=7,'Items sous domaines Sciences '!C211,0)</f>
        <v>0</v>
      </c>
      <c r="D209" s="8">
        <f>IF('Items sous domaines Sciences '!G211=7,'Items sous domaines Sciences '!D211,0)</f>
        <v>0</v>
      </c>
      <c r="E209" s="8">
        <f>IF('Items sous domaines Sciences '!G211=7,'Items sous domaines Sciences '!E211,0)</f>
        <v>0</v>
      </c>
      <c r="F209" t="e">
        <f>IF('Items sous domaines Sciences '!#REF!=1,'Items sous domaines Sciences '!#REF!,0)</f>
        <v>#REF!</v>
      </c>
      <c r="G209"/>
    </row>
    <row r="210" spans="1:7" ht="17.399999999999999" hidden="1" customHeight="1" thickBot="1" x14ac:dyDescent="0.3">
      <c r="A210" s="12"/>
      <c r="B210" s="8">
        <f>IF('Items sous domaines Sciences '!G212=7,'Items sous domaines Sciences '!B212,0)</f>
        <v>0</v>
      </c>
      <c r="C210" s="8">
        <f>IF('Items sous domaines Sciences '!G212=7,'Items sous domaines Sciences '!C212,0)</f>
        <v>0</v>
      </c>
      <c r="D210" s="8">
        <f>IF('Items sous domaines Sciences '!G212=7,'Items sous domaines Sciences '!D212,0)</f>
        <v>0</v>
      </c>
      <c r="E210" s="8">
        <f>IF('Items sous domaines Sciences '!G212=7,'Items sous domaines Sciences '!E212,0)</f>
        <v>0</v>
      </c>
      <c r="F210" t="e">
        <f>IF('Items sous domaines Sciences '!#REF!=1,'Items sous domaines Sciences '!#REF!,0)</f>
        <v>#REF!</v>
      </c>
      <c r="G210"/>
    </row>
    <row r="211" spans="1:7" ht="17.399999999999999" hidden="1" customHeight="1" thickBot="1" x14ac:dyDescent="0.3">
      <c r="A211" s="12"/>
      <c r="B211" s="8">
        <f>IF('Items sous domaines Sciences '!G213=7,'Items sous domaines Sciences '!B213,0)</f>
        <v>0</v>
      </c>
      <c r="C211" s="8">
        <f>IF('Items sous domaines Sciences '!G213=7,'Items sous domaines Sciences '!C213,0)</f>
        <v>0</v>
      </c>
      <c r="D211" s="8">
        <f>IF('Items sous domaines Sciences '!G213=7,'Items sous domaines Sciences '!D213,0)</f>
        <v>0</v>
      </c>
      <c r="E211" s="8">
        <f>IF('Items sous domaines Sciences '!G213=7,'Items sous domaines Sciences '!E213,0)</f>
        <v>0</v>
      </c>
      <c r="F211" t="e">
        <f>IF('Items sous domaines Sciences '!#REF!=1,'Items sous domaines Sciences '!#REF!,0)</f>
        <v>#REF!</v>
      </c>
      <c r="G211"/>
    </row>
    <row r="212" spans="1:7" ht="17.399999999999999" hidden="1" customHeight="1" thickBot="1" x14ac:dyDescent="0.3">
      <c r="A212" s="12"/>
      <c r="B212" s="8">
        <f>IF('Items sous domaines Sciences '!G214=7,'Items sous domaines Sciences '!B214,0)</f>
        <v>0</v>
      </c>
      <c r="C212" s="8">
        <f>IF('Items sous domaines Sciences '!G214=7,'Items sous domaines Sciences '!C214,0)</f>
        <v>0</v>
      </c>
      <c r="D212" s="8">
        <f>IF('Items sous domaines Sciences '!G214=7,'Items sous domaines Sciences '!D214,0)</f>
        <v>0</v>
      </c>
      <c r="E212" s="8">
        <f>IF('Items sous domaines Sciences '!G214=7,'Items sous domaines Sciences '!E214,0)</f>
        <v>0</v>
      </c>
      <c r="F212" t="e">
        <f>IF('Items sous domaines Sciences '!#REF!=1,'Items sous domaines Sciences '!#REF!,0)</f>
        <v>#REF!</v>
      </c>
      <c r="G212"/>
    </row>
    <row r="213" spans="1:7" ht="17.399999999999999" hidden="1" customHeight="1" thickBot="1" x14ac:dyDescent="0.3">
      <c r="A213" s="12"/>
      <c r="B213" s="8">
        <f>IF('Items sous domaines Sciences '!G215=7,'Items sous domaines Sciences '!B215,0)</f>
        <v>0</v>
      </c>
      <c r="C213" s="8">
        <f>IF('Items sous domaines Sciences '!G215=7,'Items sous domaines Sciences '!C215,0)</f>
        <v>0</v>
      </c>
      <c r="D213" s="8">
        <f>IF('Items sous domaines Sciences '!G215=7,'Items sous domaines Sciences '!D215,0)</f>
        <v>0</v>
      </c>
      <c r="E213" s="8">
        <f>IF('Items sous domaines Sciences '!G215=7,'Items sous domaines Sciences '!E215,0)</f>
        <v>0</v>
      </c>
      <c r="F213" t="e">
        <f>IF('Items sous domaines Sciences '!#REF!=1,'Items sous domaines Sciences '!#REF!,0)</f>
        <v>#REF!</v>
      </c>
      <c r="G213"/>
    </row>
    <row r="214" spans="1:7" ht="17.399999999999999" hidden="1" customHeight="1" thickBot="1" x14ac:dyDescent="0.3">
      <c r="A214" s="12"/>
      <c r="B214" s="8">
        <f>IF('Items sous domaines Sciences '!G216=7,'Items sous domaines Sciences '!B216,0)</f>
        <v>0</v>
      </c>
      <c r="C214" s="8">
        <f>IF('Items sous domaines Sciences '!G216=7,'Items sous domaines Sciences '!C216,0)</f>
        <v>0</v>
      </c>
      <c r="D214" s="8">
        <f>IF('Items sous domaines Sciences '!G216=7,'Items sous domaines Sciences '!D216,0)</f>
        <v>0</v>
      </c>
      <c r="E214" s="8">
        <f>IF('Items sous domaines Sciences '!G216=7,'Items sous domaines Sciences '!E216,0)</f>
        <v>0</v>
      </c>
      <c r="F214" t="e">
        <f>IF('Items sous domaines Sciences '!#REF!=1,'Items sous domaines Sciences '!#REF!,0)</f>
        <v>#REF!</v>
      </c>
      <c r="G214"/>
    </row>
    <row r="215" spans="1:7" ht="17.399999999999999" hidden="1" customHeight="1" thickBot="1" x14ac:dyDescent="0.3">
      <c r="A215" s="12"/>
      <c r="B215" s="8">
        <f>IF('Items sous domaines Sciences '!G217=7,'Items sous domaines Sciences '!B217,0)</f>
        <v>0</v>
      </c>
      <c r="C215" s="8">
        <f>IF('Items sous domaines Sciences '!G217=7,'Items sous domaines Sciences '!C217,0)</f>
        <v>0</v>
      </c>
      <c r="D215" s="8">
        <f>IF('Items sous domaines Sciences '!G217=7,'Items sous domaines Sciences '!D217,0)</f>
        <v>0</v>
      </c>
      <c r="E215" s="8">
        <f>IF('Items sous domaines Sciences '!G217=7,'Items sous domaines Sciences '!E217,0)</f>
        <v>0</v>
      </c>
      <c r="F215" t="e">
        <f>IF('Items sous domaines Sciences '!#REF!=1,'Items sous domaines Sciences '!#REF!,0)</f>
        <v>#REF!</v>
      </c>
      <c r="G215"/>
    </row>
    <row r="216" spans="1:7" ht="17.399999999999999" hidden="1" customHeight="1" thickBot="1" x14ac:dyDescent="0.3">
      <c r="A216" s="12"/>
      <c r="B216" s="8">
        <f>IF('Items sous domaines Sciences '!G218=7,'Items sous domaines Sciences '!B218,0)</f>
        <v>0</v>
      </c>
      <c r="C216" s="8">
        <f>IF('Items sous domaines Sciences '!G218=7,'Items sous domaines Sciences '!C218,0)</f>
        <v>0</v>
      </c>
      <c r="D216" s="8">
        <f>IF('Items sous domaines Sciences '!G218=7,'Items sous domaines Sciences '!D218,0)</f>
        <v>0</v>
      </c>
      <c r="E216" s="8">
        <f>IF('Items sous domaines Sciences '!G218=7,'Items sous domaines Sciences '!E218,0)</f>
        <v>0</v>
      </c>
      <c r="F216" t="e">
        <f>IF('Items sous domaines Sciences '!#REF!=1,'Items sous domaines Sciences '!#REF!,0)</f>
        <v>#REF!</v>
      </c>
      <c r="G216"/>
    </row>
    <row r="217" spans="1:7" ht="17.399999999999999" hidden="1" customHeight="1" thickBot="1" x14ac:dyDescent="0.3">
      <c r="A217" s="12"/>
      <c r="B217" s="8">
        <f>IF('Items sous domaines Sciences '!G219=7,'Items sous domaines Sciences '!B219,0)</f>
        <v>0</v>
      </c>
      <c r="C217" s="8">
        <f>IF('Items sous domaines Sciences '!G219=7,'Items sous domaines Sciences '!C219,0)</f>
        <v>0</v>
      </c>
      <c r="D217" s="8">
        <f>IF('Items sous domaines Sciences '!G219=7,'Items sous domaines Sciences '!D219,0)</f>
        <v>0</v>
      </c>
      <c r="E217" s="8">
        <f>IF('Items sous domaines Sciences '!G219=7,'Items sous domaines Sciences '!E219,0)</f>
        <v>0</v>
      </c>
      <c r="F217" t="e">
        <f>IF('Items sous domaines Sciences '!#REF!=1,'Items sous domaines Sciences '!#REF!,0)</f>
        <v>#REF!</v>
      </c>
      <c r="G217"/>
    </row>
    <row r="218" spans="1:7" ht="17.399999999999999" hidden="1" customHeight="1" thickBot="1" x14ac:dyDescent="0.3">
      <c r="A218" s="12"/>
      <c r="B218" s="8">
        <f>IF('Items sous domaines Sciences '!G220=7,'Items sous domaines Sciences '!B220,0)</f>
        <v>0</v>
      </c>
      <c r="C218" s="8">
        <f>IF('Items sous domaines Sciences '!G220=7,'Items sous domaines Sciences '!C220,0)</f>
        <v>0</v>
      </c>
      <c r="D218" s="8">
        <f>IF('Items sous domaines Sciences '!G220=7,'Items sous domaines Sciences '!D220,0)</f>
        <v>0</v>
      </c>
      <c r="E218" s="8">
        <f>IF('Items sous domaines Sciences '!G220=7,'Items sous domaines Sciences '!E220,0)</f>
        <v>0</v>
      </c>
      <c r="F218" t="e">
        <f>IF('Items sous domaines Sciences '!#REF!=1,'Items sous domaines Sciences '!#REF!,0)</f>
        <v>#REF!</v>
      </c>
      <c r="G218"/>
    </row>
    <row r="219" spans="1:7" ht="17.399999999999999" hidden="1" customHeight="1" thickBot="1" x14ac:dyDescent="0.3">
      <c r="A219" s="12"/>
      <c r="B219" s="8">
        <f>IF('Items sous domaines Sciences '!G221=7,'Items sous domaines Sciences '!B221,0)</f>
        <v>0</v>
      </c>
      <c r="C219" s="8">
        <f>IF('Items sous domaines Sciences '!G221=7,'Items sous domaines Sciences '!C221,0)</f>
        <v>0</v>
      </c>
      <c r="D219" s="8">
        <f>IF('Items sous domaines Sciences '!G221=7,'Items sous domaines Sciences '!D221,0)</f>
        <v>0</v>
      </c>
      <c r="E219" s="8">
        <f>IF('Items sous domaines Sciences '!G221=7,'Items sous domaines Sciences '!E221,0)</f>
        <v>0</v>
      </c>
      <c r="F219" t="e">
        <f>IF('Items sous domaines Sciences '!#REF!=1,'Items sous domaines Sciences '!#REF!,0)</f>
        <v>#REF!</v>
      </c>
      <c r="G219"/>
    </row>
    <row r="220" spans="1:7" ht="17.399999999999999" hidden="1" customHeight="1" thickBot="1" x14ac:dyDescent="0.3">
      <c r="A220" s="12"/>
      <c r="B220" s="8">
        <f>IF('Items sous domaines Sciences '!G222=7,'Items sous domaines Sciences '!B222,0)</f>
        <v>0</v>
      </c>
      <c r="C220" s="8">
        <f>IF('Items sous domaines Sciences '!G222=7,'Items sous domaines Sciences '!C222,0)</f>
        <v>0</v>
      </c>
      <c r="D220" s="8">
        <f>IF('Items sous domaines Sciences '!G222=7,'Items sous domaines Sciences '!D222,0)</f>
        <v>0</v>
      </c>
      <c r="E220" s="8">
        <f>IF('Items sous domaines Sciences '!G222=7,'Items sous domaines Sciences '!E222,0)</f>
        <v>0</v>
      </c>
      <c r="F220" t="e">
        <f>IF('Items sous domaines Sciences '!#REF!=1,'Items sous domaines Sciences '!#REF!,0)</f>
        <v>#REF!</v>
      </c>
      <c r="G220"/>
    </row>
    <row r="221" spans="1:7" ht="17.399999999999999" hidden="1" customHeight="1" thickBot="1" x14ac:dyDescent="0.3">
      <c r="A221" s="12"/>
      <c r="B221" s="8">
        <f>IF('Items sous domaines Sciences '!G223=7,'Items sous domaines Sciences '!B223,0)</f>
        <v>0</v>
      </c>
      <c r="C221" s="8">
        <f>IF('Items sous domaines Sciences '!G223=7,'Items sous domaines Sciences '!C223,0)</f>
        <v>0</v>
      </c>
      <c r="D221" s="8">
        <f>IF('Items sous domaines Sciences '!G223=7,'Items sous domaines Sciences '!D223,0)</f>
        <v>0</v>
      </c>
      <c r="E221" s="8">
        <f>IF('Items sous domaines Sciences '!G223=7,'Items sous domaines Sciences '!E223,0)</f>
        <v>0</v>
      </c>
      <c r="F221" t="e">
        <f>IF('Items sous domaines Sciences '!#REF!=1,'Items sous domaines Sciences '!#REF!,0)</f>
        <v>#REF!</v>
      </c>
      <c r="G221"/>
    </row>
    <row r="222" spans="1:7" ht="17.399999999999999" hidden="1" customHeight="1" thickBot="1" x14ac:dyDescent="0.3">
      <c r="A222" s="12"/>
      <c r="B222" s="8">
        <f>IF('Items sous domaines Sciences '!G224=7,'Items sous domaines Sciences '!B224,0)</f>
        <v>0</v>
      </c>
      <c r="C222" s="8">
        <f>IF('Items sous domaines Sciences '!G224=7,'Items sous domaines Sciences '!C224,0)</f>
        <v>0</v>
      </c>
      <c r="D222" s="8">
        <f>IF('Items sous domaines Sciences '!G224=7,'Items sous domaines Sciences '!D224,0)</f>
        <v>0</v>
      </c>
      <c r="E222" s="8">
        <f>IF('Items sous domaines Sciences '!G224=7,'Items sous domaines Sciences '!E224,0)</f>
        <v>0</v>
      </c>
      <c r="F222" t="e">
        <f>IF('Items sous domaines Sciences '!#REF!=1,'Items sous domaines Sciences '!#REF!,0)</f>
        <v>#REF!</v>
      </c>
      <c r="G222"/>
    </row>
    <row r="223" spans="1:7" ht="17.399999999999999" hidden="1" customHeight="1" thickBot="1" x14ac:dyDescent="0.3">
      <c r="A223" s="12"/>
      <c r="B223" s="8">
        <f>IF('Items sous domaines Sciences '!G225=7,'Items sous domaines Sciences '!B225,0)</f>
        <v>0</v>
      </c>
      <c r="C223" s="8">
        <f>IF('Items sous domaines Sciences '!G225=7,'Items sous domaines Sciences '!C225,0)</f>
        <v>0</v>
      </c>
      <c r="D223" s="8">
        <f>IF('Items sous domaines Sciences '!G225=7,'Items sous domaines Sciences '!D225,0)</f>
        <v>0</v>
      </c>
      <c r="E223" s="8">
        <f>IF('Items sous domaines Sciences '!G225=7,'Items sous domaines Sciences '!E225,0)</f>
        <v>0</v>
      </c>
      <c r="F223" t="e">
        <f>IF('Items sous domaines Sciences '!#REF!=1,'Items sous domaines Sciences '!#REF!,0)</f>
        <v>#REF!</v>
      </c>
      <c r="G223"/>
    </row>
    <row r="224" spans="1:7" ht="17.399999999999999" hidden="1" customHeight="1" thickBot="1" x14ac:dyDescent="0.3">
      <c r="A224" s="12"/>
      <c r="B224" s="8">
        <f>IF('Items sous domaines Sciences '!G226=7,'Items sous domaines Sciences '!B226,0)</f>
        <v>0</v>
      </c>
      <c r="C224" s="8">
        <f>IF('Items sous domaines Sciences '!G226=7,'Items sous domaines Sciences '!C226,0)</f>
        <v>0</v>
      </c>
      <c r="D224" s="8">
        <f>IF('Items sous domaines Sciences '!G226=7,'Items sous domaines Sciences '!D226,0)</f>
        <v>0</v>
      </c>
      <c r="E224" s="8">
        <f>IF('Items sous domaines Sciences '!G226=7,'Items sous domaines Sciences '!E226,0)</f>
        <v>0</v>
      </c>
      <c r="F224" t="e">
        <f>IF('Items sous domaines Sciences '!#REF!=1,'Items sous domaines Sciences '!#REF!,0)</f>
        <v>#REF!</v>
      </c>
      <c r="G224"/>
    </row>
    <row r="225" spans="1:7" ht="17.399999999999999" hidden="1" customHeight="1" thickBot="1" x14ac:dyDescent="0.3">
      <c r="A225" s="12"/>
      <c r="B225" s="8">
        <f>IF('Items sous domaines Sciences '!G227=7,'Items sous domaines Sciences '!B227,0)</f>
        <v>0</v>
      </c>
      <c r="C225" s="8">
        <f>IF('Items sous domaines Sciences '!G227=7,'Items sous domaines Sciences '!C227,0)</f>
        <v>0</v>
      </c>
      <c r="D225" s="8">
        <f>IF('Items sous domaines Sciences '!G227=7,'Items sous domaines Sciences '!D227,0)</f>
        <v>0</v>
      </c>
      <c r="E225" s="8">
        <f>IF('Items sous domaines Sciences '!G227=7,'Items sous domaines Sciences '!E227,0)</f>
        <v>0</v>
      </c>
      <c r="F225" t="e">
        <f>IF('Items sous domaines Sciences '!#REF!=1,'Items sous domaines Sciences '!#REF!,0)</f>
        <v>#REF!</v>
      </c>
      <c r="G225"/>
    </row>
    <row r="226" spans="1:7" ht="17.399999999999999" hidden="1" customHeight="1" thickBot="1" x14ac:dyDescent="0.3">
      <c r="A226" s="12"/>
      <c r="B226" s="8">
        <f>IF('Items sous domaines Sciences '!G228=7,'Items sous domaines Sciences '!B228,0)</f>
        <v>0</v>
      </c>
      <c r="C226" s="8">
        <f>IF('Items sous domaines Sciences '!G228=7,'Items sous domaines Sciences '!C228,0)</f>
        <v>0</v>
      </c>
      <c r="D226" s="8">
        <f>IF('Items sous domaines Sciences '!G228=7,'Items sous domaines Sciences '!D228,0)</f>
        <v>0</v>
      </c>
      <c r="E226" s="8">
        <f>IF('Items sous domaines Sciences '!G228=7,'Items sous domaines Sciences '!E228,0)</f>
        <v>0</v>
      </c>
      <c r="F226" t="e">
        <f>IF('Items sous domaines Sciences '!#REF!=1,'Items sous domaines Sciences '!#REF!,0)</f>
        <v>#REF!</v>
      </c>
      <c r="G226"/>
    </row>
    <row r="227" spans="1:7" ht="17.399999999999999" hidden="1" customHeight="1" thickBot="1" x14ac:dyDescent="0.3">
      <c r="A227" s="12"/>
      <c r="B227" s="8">
        <f>IF('Items sous domaines Sciences '!G229=7,'Items sous domaines Sciences '!B229,0)</f>
        <v>0</v>
      </c>
      <c r="C227" s="8">
        <f>IF('Items sous domaines Sciences '!G229=7,'Items sous domaines Sciences '!C229,0)</f>
        <v>0</v>
      </c>
      <c r="D227" s="8">
        <f>IF('Items sous domaines Sciences '!G229=7,'Items sous domaines Sciences '!D229,0)</f>
        <v>0</v>
      </c>
      <c r="E227" s="8">
        <f>IF('Items sous domaines Sciences '!G229=7,'Items sous domaines Sciences '!E229,0)</f>
        <v>0</v>
      </c>
      <c r="F227" t="e">
        <f>IF('Items sous domaines Sciences '!#REF!=1,'Items sous domaines Sciences '!#REF!,0)</f>
        <v>#REF!</v>
      </c>
      <c r="G227"/>
    </row>
    <row r="228" spans="1:7" ht="17.399999999999999" hidden="1" customHeight="1" thickBot="1" x14ac:dyDescent="0.3">
      <c r="A228" s="12"/>
      <c r="B228" s="8">
        <f>IF('Items sous domaines Sciences '!G230=7,'Items sous domaines Sciences '!B230,0)</f>
        <v>0</v>
      </c>
      <c r="C228" s="8">
        <f>IF('Items sous domaines Sciences '!G230=7,'Items sous domaines Sciences '!C230,0)</f>
        <v>0</v>
      </c>
      <c r="D228" s="8">
        <f>IF('Items sous domaines Sciences '!G230=7,'Items sous domaines Sciences '!D230,0)</f>
        <v>0</v>
      </c>
      <c r="E228" s="8">
        <f>IF('Items sous domaines Sciences '!G230=7,'Items sous domaines Sciences '!E230,0)</f>
        <v>0</v>
      </c>
      <c r="F228" t="e">
        <f>IF('Items sous domaines Sciences '!#REF!=1,'Items sous domaines Sciences '!#REF!,0)</f>
        <v>#REF!</v>
      </c>
      <c r="G228"/>
    </row>
    <row r="229" spans="1:7" ht="17.399999999999999" hidden="1" customHeight="1" thickBot="1" x14ac:dyDescent="0.3">
      <c r="A229" s="12"/>
      <c r="B229" s="8">
        <f>IF('Items sous domaines Sciences '!G231=7,'Items sous domaines Sciences '!B231,0)</f>
        <v>0</v>
      </c>
      <c r="C229" s="8">
        <f>IF('Items sous domaines Sciences '!G231=7,'Items sous domaines Sciences '!C231,0)</f>
        <v>0</v>
      </c>
      <c r="D229" s="8">
        <f>IF('Items sous domaines Sciences '!G231=7,'Items sous domaines Sciences '!D231,0)</f>
        <v>0</v>
      </c>
      <c r="E229" s="8">
        <f>IF('Items sous domaines Sciences '!G231=7,'Items sous domaines Sciences '!E231,0)</f>
        <v>0</v>
      </c>
      <c r="F229" t="e">
        <f>IF('Items sous domaines Sciences '!#REF!=1,'Items sous domaines Sciences '!#REF!,0)</f>
        <v>#REF!</v>
      </c>
      <c r="G229"/>
    </row>
    <row r="230" spans="1:7" ht="17.399999999999999" hidden="1" customHeight="1" thickBot="1" x14ac:dyDescent="0.3">
      <c r="A230" s="12"/>
      <c r="B230" s="8">
        <f>IF('Items sous domaines Sciences '!G232=7,'Items sous domaines Sciences '!B232,0)</f>
        <v>0</v>
      </c>
      <c r="C230" s="8">
        <f>IF('Items sous domaines Sciences '!G232=7,'Items sous domaines Sciences '!C232,0)</f>
        <v>0</v>
      </c>
      <c r="D230" s="8">
        <f>IF('Items sous domaines Sciences '!G232=7,'Items sous domaines Sciences '!D232,0)</f>
        <v>0</v>
      </c>
      <c r="E230" s="8">
        <f>IF('Items sous domaines Sciences '!G232=7,'Items sous domaines Sciences '!E232,0)</f>
        <v>0</v>
      </c>
      <c r="F230" t="e">
        <f>IF('Items sous domaines Sciences '!#REF!=1,'Items sous domaines Sciences '!#REF!,0)</f>
        <v>#REF!</v>
      </c>
      <c r="G230"/>
    </row>
    <row r="231" spans="1:7" ht="17.399999999999999" hidden="1" customHeight="1" thickBot="1" x14ac:dyDescent="0.3">
      <c r="A231" s="12"/>
      <c r="B231" s="8">
        <f>IF('Items sous domaines Sciences '!G233=7,'Items sous domaines Sciences '!B233,0)</f>
        <v>0</v>
      </c>
      <c r="C231" s="8">
        <f>IF('Items sous domaines Sciences '!G233=7,'Items sous domaines Sciences '!C233,0)</f>
        <v>0</v>
      </c>
      <c r="D231" s="8">
        <f>IF('Items sous domaines Sciences '!G233=7,'Items sous domaines Sciences '!D233,0)</f>
        <v>0</v>
      </c>
      <c r="E231" s="8">
        <f>IF('Items sous domaines Sciences '!G233=7,'Items sous domaines Sciences '!E233,0)</f>
        <v>0</v>
      </c>
      <c r="F231" t="e">
        <f>IF('Items sous domaines Sciences '!#REF!=1,'Items sous domaines Sciences '!#REF!,0)</f>
        <v>#REF!</v>
      </c>
      <c r="G231"/>
    </row>
    <row r="232" spans="1:7" ht="17.399999999999999" hidden="1" customHeight="1" thickBot="1" x14ac:dyDescent="0.3">
      <c r="A232" s="12"/>
      <c r="B232" s="8">
        <f>IF('Items sous domaines Sciences '!G234=7,'Items sous domaines Sciences '!B234,0)</f>
        <v>0</v>
      </c>
      <c r="C232" s="8">
        <f>IF('Items sous domaines Sciences '!G234=7,'Items sous domaines Sciences '!C234,0)</f>
        <v>0</v>
      </c>
      <c r="D232" s="8">
        <f>IF('Items sous domaines Sciences '!G234=7,'Items sous domaines Sciences '!D234,0)</f>
        <v>0</v>
      </c>
      <c r="E232" s="8">
        <f>IF('Items sous domaines Sciences '!G234=7,'Items sous domaines Sciences '!E234,0)</f>
        <v>0</v>
      </c>
      <c r="F232" t="e">
        <f>IF('Items sous domaines Sciences '!#REF!=1,'Items sous domaines Sciences '!#REF!,0)</f>
        <v>#REF!</v>
      </c>
      <c r="G232"/>
    </row>
    <row r="233" spans="1:7" ht="17.399999999999999" hidden="1" customHeight="1" thickBot="1" x14ac:dyDescent="0.3">
      <c r="A233" s="12"/>
      <c r="B233" s="8">
        <f>IF('Items sous domaines Sciences '!G235=7,'Items sous domaines Sciences '!B235,0)</f>
        <v>0</v>
      </c>
      <c r="C233" s="8">
        <f>IF('Items sous domaines Sciences '!G235=7,'Items sous domaines Sciences '!C235,0)</f>
        <v>0</v>
      </c>
      <c r="D233" s="8">
        <f>IF('Items sous domaines Sciences '!G235=7,'Items sous domaines Sciences '!D235,0)</f>
        <v>0</v>
      </c>
      <c r="E233" s="8">
        <f>IF('Items sous domaines Sciences '!G235=7,'Items sous domaines Sciences '!E235,0)</f>
        <v>0</v>
      </c>
      <c r="F233" t="e">
        <f>IF('Items sous domaines Sciences '!#REF!=1,'Items sous domaines Sciences '!#REF!,0)</f>
        <v>#REF!</v>
      </c>
      <c r="G233"/>
    </row>
    <row r="234" spans="1:7" ht="17.399999999999999" hidden="1" customHeight="1" thickBot="1" x14ac:dyDescent="0.3">
      <c r="A234" s="12"/>
      <c r="B234" s="8">
        <f>IF('Items sous domaines Sciences '!G236=7,'Items sous domaines Sciences '!B236,0)</f>
        <v>0</v>
      </c>
      <c r="C234" s="8">
        <f>IF('Items sous domaines Sciences '!G236=7,'Items sous domaines Sciences '!C236,0)</f>
        <v>0</v>
      </c>
      <c r="D234" s="8">
        <f>IF('Items sous domaines Sciences '!G236=7,'Items sous domaines Sciences '!D236,0)</f>
        <v>0</v>
      </c>
      <c r="E234" s="8">
        <f>IF('Items sous domaines Sciences '!G236=7,'Items sous domaines Sciences '!E236,0)</f>
        <v>0</v>
      </c>
      <c r="F234" t="e">
        <f>IF('Items sous domaines Sciences '!#REF!=1,'Items sous domaines Sciences '!#REF!,0)</f>
        <v>#REF!</v>
      </c>
      <c r="G234"/>
    </row>
    <row r="235" spans="1:7" ht="17.399999999999999" hidden="1" customHeight="1" thickBot="1" x14ac:dyDescent="0.3">
      <c r="A235" s="12"/>
      <c r="B235" s="8">
        <f>IF('Items sous domaines Sciences '!G237=7,'Items sous domaines Sciences '!B237,0)</f>
        <v>0</v>
      </c>
      <c r="C235" s="8">
        <f>IF('Items sous domaines Sciences '!G237=7,'Items sous domaines Sciences '!C237,0)</f>
        <v>0</v>
      </c>
      <c r="D235" s="8">
        <f>IF('Items sous domaines Sciences '!G237=7,'Items sous domaines Sciences '!D237,0)</f>
        <v>0</v>
      </c>
      <c r="E235" s="8">
        <f>IF('Items sous domaines Sciences '!G237=7,'Items sous domaines Sciences '!E237,0)</f>
        <v>0</v>
      </c>
      <c r="F235" t="e">
        <f>IF('Items sous domaines Sciences '!#REF!=1,'Items sous domaines Sciences '!#REF!,0)</f>
        <v>#REF!</v>
      </c>
      <c r="G235"/>
    </row>
    <row r="236" spans="1:7" ht="17.399999999999999" hidden="1" customHeight="1" thickBot="1" x14ac:dyDescent="0.3">
      <c r="A236" s="12"/>
      <c r="B236" s="8">
        <f>IF('Items sous domaines Sciences '!G238=7,'Items sous domaines Sciences '!B238,0)</f>
        <v>0</v>
      </c>
      <c r="C236" s="8">
        <f>IF('Items sous domaines Sciences '!G238=7,'Items sous domaines Sciences '!C238,0)</f>
        <v>0</v>
      </c>
      <c r="D236" s="8">
        <f>IF('Items sous domaines Sciences '!G238=7,'Items sous domaines Sciences '!D238,0)</f>
        <v>0</v>
      </c>
      <c r="E236" s="8">
        <f>IF('Items sous domaines Sciences '!G238=7,'Items sous domaines Sciences '!E238,0)</f>
        <v>0</v>
      </c>
      <c r="F236" t="e">
        <f>IF('Items sous domaines Sciences '!#REF!=1,'Items sous domaines Sciences '!#REF!,0)</f>
        <v>#REF!</v>
      </c>
      <c r="G236"/>
    </row>
    <row r="237" spans="1:7" ht="17.399999999999999" hidden="1" customHeight="1" thickBot="1" x14ac:dyDescent="0.3">
      <c r="A237" s="12"/>
      <c r="B237" s="8">
        <f>IF('Items sous domaines Sciences '!G239=7,'Items sous domaines Sciences '!B239,0)</f>
        <v>0</v>
      </c>
      <c r="C237" s="8">
        <f>IF('Items sous domaines Sciences '!G239=7,'Items sous domaines Sciences '!C239,0)</f>
        <v>0</v>
      </c>
      <c r="D237" s="8">
        <f>IF('Items sous domaines Sciences '!G239=7,'Items sous domaines Sciences '!D239,0)</f>
        <v>0</v>
      </c>
      <c r="E237" s="8">
        <f>IF('Items sous domaines Sciences '!G239=7,'Items sous domaines Sciences '!E239,0)</f>
        <v>0</v>
      </c>
      <c r="F237" t="e">
        <f>IF('Items sous domaines Sciences '!#REF!=1,'Items sous domaines Sciences '!#REF!,0)</f>
        <v>#REF!</v>
      </c>
      <c r="G237"/>
    </row>
    <row r="238" spans="1:7" ht="17.399999999999999" hidden="1" customHeight="1" thickBot="1" x14ac:dyDescent="0.3">
      <c r="A238" s="12"/>
      <c r="B238" s="8">
        <f>IF('Items sous domaines Sciences '!G240=7,'Items sous domaines Sciences '!B240,0)</f>
        <v>0</v>
      </c>
      <c r="C238" s="8">
        <f>IF('Items sous domaines Sciences '!G240=7,'Items sous domaines Sciences '!C240,0)</f>
        <v>0</v>
      </c>
      <c r="D238" s="8">
        <f>IF('Items sous domaines Sciences '!G240=7,'Items sous domaines Sciences '!D240,0)</f>
        <v>0</v>
      </c>
      <c r="E238" s="8">
        <f>IF('Items sous domaines Sciences '!G240=7,'Items sous domaines Sciences '!E240,0)</f>
        <v>0</v>
      </c>
      <c r="F238" t="e">
        <f>IF('Items sous domaines Sciences '!#REF!=1,'Items sous domaines Sciences '!#REF!,0)</f>
        <v>#REF!</v>
      </c>
      <c r="G238"/>
    </row>
    <row r="239" spans="1:7" ht="17.399999999999999" hidden="1" customHeight="1" thickBot="1" x14ac:dyDescent="0.3">
      <c r="A239" s="12"/>
      <c r="B239" s="8">
        <f>IF('Items sous domaines Sciences '!G241=7,'Items sous domaines Sciences '!B241,0)</f>
        <v>0</v>
      </c>
      <c r="C239" s="8">
        <f>IF('Items sous domaines Sciences '!G241=7,'Items sous domaines Sciences '!C241,0)</f>
        <v>0</v>
      </c>
      <c r="D239" s="8">
        <f>IF('Items sous domaines Sciences '!G241=7,'Items sous domaines Sciences '!D241,0)</f>
        <v>0</v>
      </c>
      <c r="E239" s="8">
        <f>IF('Items sous domaines Sciences '!G241=7,'Items sous domaines Sciences '!E241,0)</f>
        <v>0</v>
      </c>
      <c r="F239" t="e">
        <f>IF('Items sous domaines Sciences '!#REF!=1,'Items sous domaines Sciences '!#REF!,0)</f>
        <v>#REF!</v>
      </c>
      <c r="G239"/>
    </row>
    <row r="240" spans="1:7" ht="17.399999999999999" hidden="1" customHeight="1" thickBot="1" x14ac:dyDescent="0.3">
      <c r="A240" s="12"/>
      <c r="B240" s="8">
        <f>IF('Items sous domaines Sciences '!G242=7,'Items sous domaines Sciences '!B242,0)</f>
        <v>0</v>
      </c>
      <c r="C240" s="8">
        <f>IF('Items sous domaines Sciences '!G242=7,'Items sous domaines Sciences '!C242,0)</f>
        <v>0</v>
      </c>
      <c r="D240" s="8">
        <f>IF('Items sous domaines Sciences '!G242=7,'Items sous domaines Sciences '!D242,0)</f>
        <v>0</v>
      </c>
      <c r="E240" s="8">
        <f>IF('Items sous domaines Sciences '!G242=7,'Items sous domaines Sciences '!E242,0)</f>
        <v>0</v>
      </c>
      <c r="F240" t="e">
        <f>IF('Items sous domaines Sciences '!#REF!=1,'Items sous domaines Sciences '!#REF!,0)</f>
        <v>#REF!</v>
      </c>
      <c r="G240"/>
    </row>
    <row r="241" spans="1:7" ht="17.399999999999999" hidden="1" customHeight="1" thickBot="1" x14ac:dyDescent="0.3">
      <c r="A241" s="12"/>
      <c r="B241" s="8">
        <f>IF('Items sous domaines Sciences '!G243=7,'Items sous domaines Sciences '!B243,0)</f>
        <v>0</v>
      </c>
      <c r="C241" s="8">
        <f>IF('Items sous domaines Sciences '!G243=7,'Items sous domaines Sciences '!C243,0)</f>
        <v>0</v>
      </c>
      <c r="D241" s="8">
        <f>IF('Items sous domaines Sciences '!G243=7,'Items sous domaines Sciences '!D243,0)</f>
        <v>0</v>
      </c>
      <c r="E241" s="8">
        <f>IF('Items sous domaines Sciences '!G243=7,'Items sous domaines Sciences '!E243,0)</f>
        <v>0</v>
      </c>
      <c r="F241" t="e">
        <f>IF('Items sous domaines Sciences '!#REF!=1,'Items sous domaines Sciences '!#REF!,0)</f>
        <v>#REF!</v>
      </c>
      <c r="G241"/>
    </row>
    <row r="242" spans="1:7" ht="17.399999999999999" hidden="1" customHeight="1" thickBot="1" x14ac:dyDescent="0.3">
      <c r="A242" s="12"/>
      <c r="B242" s="8">
        <f>IF('Items sous domaines Sciences '!G244=7,'Items sous domaines Sciences '!B244,0)</f>
        <v>0</v>
      </c>
      <c r="C242" s="8">
        <f>IF('Items sous domaines Sciences '!G244=7,'Items sous domaines Sciences '!C244,0)</f>
        <v>0</v>
      </c>
      <c r="D242" s="8">
        <f>IF('Items sous domaines Sciences '!G244=7,'Items sous domaines Sciences '!D244,0)</f>
        <v>0</v>
      </c>
      <c r="E242" s="8">
        <f>IF('Items sous domaines Sciences '!G244=7,'Items sous domaines Sciences '!E244,0)</f>
        <v>0</v>
      </c>
      <c r="F242" t="e">
        <f>IF('Items sous domaines Sciences '!#REF!=1,'Items sous domaines Sciences '!#REF!,0)</f>
        <v>#REF!</v>
      </c>
      <c r="G242"/>
    </row>
    <row r="243" spans="1:7" ht="17.399999999999999" hidden="1" customHeight="1" thickBot="1" x14ac:dyDescent="0.3">
      <c r="A243" s="12"/>
      <c r="B243" s="8">
        <f>IF('Items sous domaines Sciences '!G245=7,'Items sous domaines Sciences '!B245,0)</f>
        <v>0</v>
      </c>
      <c r="C243" s="8">
        <f>IF('Items sous domaines Sciences '!G245=7,'Items sous domaines Sciences '!C245,0)</f>
        <v>0</v>
      </c>
      <c r="D243" s="8">
        <f>IF('Items sous domaines Sciences '!G245=7,'Items sous domaines Sciences '!D245,0)</f>
        <v>0</v>
      </c>
      <c r="E243" s="8">
        <f>IF('Items sous domaines Sciences '!G245=7,'Items sous domaines Sciences '!E245,0)</f>
        <v>0</v>
      </c>
      <c r="F243" t="e">
        <f>IF('Items sous domaines Sciences '!#REF!=1,'Items sous domaines Sciences '!#REF!,0)</f>
        <v>#REF!</v>
      </c>
      <c r="G243"/>
    </row>
    <row r="244" spans="1:7" ht="13.5" hidden="1" customHeight="1" thickBot="1" x14ac:dyDescent="0.3">
      <c r="A244" s="12"/>
      <c r="B244" s="8">
        <f>IF('Items sous domaines Sciences '!G246=7,'Items sous domaines Sciences '!B246,0)</f>
        <v>0</v>
      </c>
      <c r="C244" s="8">
        <f>IF('Items sous domaines Sciences '!G246=7,'Items sous domaines Sciences '!C246,0)</f>
        <v>0</v>
      </c>
      <c r="D244" s="8">
        <f>IF('Items sous domaines Sciences '!G246=7,'Items sous domaines Sciences '!D246,0)</f>
        <v>0</v>
      </c>
      <c r="E244" s="8">
        <f>IF('Items sous domaines Sciences '!G246=7,'Items sous domaines Sciences '!E246,0)</f>
        <v>0</v>
      </c>
      <c r="F244" t="e">
        <f>IF('Items sous domaines Sciences '!#REF!=1,'Items sous domaines Sciences '!#REF!,0)</f>
        <v>#REF!</v>
      </c>
      <c r="G244"/>
    </row>
    <row r="245" spans="1:7" ht="13.5" hidden="1" customHeight="1" thickBot="1" x14ac:dyDescent="0.3">
      <c r="A245" s="12"/>
      <c r="B245" s="8">
        <f>IF('Items sous domaines Sciences '!G247=7,'Items sous domaines Sciences '!B247,0)</f>
        <v>0</v>
      </c>
      <c r="C245" s="8">
        <f>IF('Items sous domaines Sciences '!G247=7,'Items sous domaines Sciences '!C247,0)</f>
        <v>0</v>
      </c>
      <c r="D245" s="8">
        <f>IF('Items sous domaines Sciences '!G247=7,'Items sous domaines Sciences '!D247,0)</f>
        <v>0</v>
      </c>
      <c r="E245" s="8">
        <f>IF('Items sous domaines Sciences '!G247=7,'Items sous domaines Sciences '!E247,0)</f>
        <v>0</v>
      </c>
      <c r="F245" t="e">
        <f>IF('Items sous domaines Sciences '!#REF!=1,'Items sous domaines Sciences '!#REF!,0)</f>
        <v>#REF!</v>
      </c>
      <c r="G245"/>
    </row>
    <row r="246" spans="1:7" ht="13.5" hidden="1" customHeight="1" thickBot="1" x14ac:dyDescent="0.3">
      <c r="A246" s="12"/>
      <c r="B246" s="8">
        <f>IF('Items sous domaines Sciences '!G248=7,'Items sous domaines Sciences '!B248,0)</f>
        <v>0</v>
      </c>
      <c r="C246" s="8">
        <f>IF('Items sous domaines Sciences '!G248=7,'Items sous domaines Sciences '!C248,0)</f>
        <v>0</v>
      </c>
      <c r="D246" s="8">
        <f>IF('Items sous domaines Sciences '!G248=7,'Items sous domaines Sciences '!D248,0)</f>
        <v>0</v>
      </c>
      <c r="E246" s="8">
        <f>IF('Items sous domaines Sciences '!G248=7,'Items sous domaines Sciences '!E248,0)</f>
        <v>0</v>
      </c>
      <c r="F246" t="e">
        <f>IF('Items sous domaines Sciences '!#REF!=1,'Items sous domaines Sciences '!#REF!,0)</f>
        <v>#REF!</v>
      </c>
      <c r="G246"/>
    </row>
    <row r="247" spans="1:7" ht="13.5" hidden="1" customHeight="1" thickBot="1" x14ac:dyDescent="0.3">
      <c r="A247" s="12"/>
      <c r="B247" s="8">
        <f>IF('Items sous domaines Sciences '!G249=7,'Items sous domaines Sciences '!B249,0)</f>
        <v>0</v>
      </c>
      <c r="C247" s="8">
        <f>IF('Items sous domaines Sciences '!G249=7,'Items sous domaines Sciences '!C249,0)</f>
        <v>0</v>
      </c>
      <c r="D247" s="8">
        <f>IF('Items sous domaines Sciences '!G249=7,'Items sous domaines Sciences '!D249,0)</f>
        <v>0</v>
      </c>
      <c r="E247" s="8">
        <f>IF('Items sous domaines Sciences '!G249=7,'Items sous domaines Sciences '!E249,0)</f>
        <v>0</v>
      </c>
      <c r="F247" t="e">
        <f>IF('Items sous domaines Sciences '!#REF!=1,'Items sous domaines Sciences '!#REF!,0)</f>
        <v>#REF!</v>
      </c>
      <c r="G247"/>
    </row>
    <row r="248" spans="1:7" ht="13.5" hidden="1" customHeight="1" thickBot="1" x14ac:dyDescent="0.3">
      <c r="A248" s="12"/>
      <c r="B248" s="8">
        <f>IF('Items sous domaines Sciences '!G250=7,'Items sous domaines Sciences '!B250,0)</f>
        <v>0</v>
      </c>
      <c r="C248" s="8">
        <f>IF('Items sous domaines Sciences '!G250=7,'Items sous domaines Sciences '!C250,0)</f>
        <v>0</v>
      </c>
      <c r="D248" s="8">
        <f>IF('Items sous domaines Sciences '!G250=7,'Items sous domaines Sciences '!D250,0)</f>
        <v>0</v>
      </c>
      <c r="E248" s="8">
        <f>IF('Items sous domaines Sciences '!G250=7,'Items sous domaines Sciences '!E250,0)</f>
        <v>0</v>
      </c>
      <c r="F248" t="e">
        <f>IF('Items sous domaines Sciences '!#REF!=1,'Items sous domaines Sciences '!#REF!,0)</f>
        <v>#REF!</v>
      </c>
      <c r="G248"/>
    </row>
    <row r="249" spans="1:7" ht="13.5" hidden="1" customHeight="1" thickBot="1" x14ac:dyDescent="0.3">
      <c r="A249" s="12"/>
      <c r="B249" s="8">
        <f>IF('Items sous domaines Sciences '!G251=7,'Items sous domaines Sciences '!B251,0)</f>
        <v>0</v>
      </c>
      <c r="C249" s="8">
        <f>IF('Items sous domaines Sciences '!G251=7,'Items sous domaines Sciences '!C251,0)</f>
        <v>0</v>
      </c>
      <c r="D249" s="8">
        <f>IF('Items sous domaines Sciences '!G251=7,'Items sous domaines Sciences '!D251,0)</f>
        <v>0</v>
      </c>
      <c r="E249" s="8">
        <f>IF('Items sous domaines Sciences '!G251=7,'Items sous domaines Sciences '!E251,0)</f>
        <v>0</v>
      </c>
      <c r="F249" t="e">
        <f>IF('Items sous domaines Sciences '!#REF!=1,'Items sous domaines Sciences '!#REF!,0)</f>
        <v>#REF!</v>
      </c>
      <c r="G249"/>
    </row>
    <row r="250" spans="1:7" ht="13.5" hidden="1" customHeight="1" thickBot="1" x14ac:dyDescent="0.3">
      <c r="A250" s="12"/>
      <c r="B250" s="8">
        <f>IF('Items sous domaines Sciences '!G252=7,'Items sous domaines Sciences '!B252,0)</f>
        <v>0</v>
      </c>
      <c r="C250" s="8">
        <f>IF('Items sous domaines Sciences '!G252=7,'Items sous domaines Sciences '!C252,0)</f>
        <v>0</v>
      </c>
      <c r="D250" s="8">
        <f>IF('Items sous domaines Sciences '!G252=7,'Items sous domaines Sciences '!D252,0)</f>
        <v>0</v>
      </c>
      <c r="E250" s="8">
        <f>IF('Items sous domaines Sciences '!G252=7,'Items sous domaines Sciences '!E252,0)</f>
        <v>0</v>
      </c>
      <c r="F250" t="e">
        <f>IF('Items sous domaines Sciences '!#REF!=1,'Items sous domaines Sciences '!#REF!,0)</f>
        <v>#REF!</v>
      </c>
      <c r="G250"/>
    </row>
    <row r="251" spans="1:7" ht="13.5" hidden="1" customHeight="1" thickBot="1" x14ac:dyDescent="0.3">
      <c r="A251" s="12"/>
      <c r="B251" s="8">
        <f>IF('Items sous domaines Sciences '!G253=7,'Items sous domaines Sciences '!B253,0)</f>
        <v>0</v>
      </c>
      <c r="C251" s="8">
        <f>IF('Items sous domaines Sciences '!G253=7,'Items sous domaines Sciences '!C253,0)</f>
        <v>0</v>
      </c>
      <c r="D251" s="8">
        <f>IF('Items sous domaines Sciences '!G253=7,'Items sous domaines Sciences '!D253,0)</f>
        <v>0</v>
      </c>
      <c r="E251" s="8">
        <f>IF('Items sous domaines Sciences '!G253=7,'Items sous domaines Sciences '!E253,0)</f>
        <v>0</v>
      </c>
      <c r="F251" t="e">
        <f>IF('Items sous domaines Sciences '!#REF!=1,'Items sous domaines Sciences '!#REF!,0)</f>
        <v>#REF!</v>
      </c>
      <c r="G251"/>
    </row>
    <row r="252" spans="1:7" ht="13.5" hidden="1" customHeight="1" thickBot="1" x14ac:dyDescent="0.3">
      <c r="A252" s="12"/>
      <c r="B252" s="8">
        <f>IF('Items sous domaines Sciences '!G254=7,'Items sous domaines Sciences '!B254,0)</f>
        <v>0</v>
      </c>
      <c r="C252" s="8">
        <f>IF('Items sous domaines Sciences '!G254=7,'Items sous domaines Sciences '!C254,0)</f>
        <v>0</v>
      </c>
      <c r="D252" s="8">
        <f>IF('Items sous domaines Sciences '!G254=7,'Items sous domaines Sciences '!D254,0)</f>
        <v>0</v>
      </c>
      <c r="E252" s="8">
        <f>IF('Items sous domaines Sciences '!G254=7,'Items sous domaines Sciences '!E254,0)</f>
        <v>0</v>
      </c>
      <c r="F252" t="e">
        <f>IF('Items sous domaines Sciences '!#REF!=1,'Items sous domaines Sciences '!#REF!,0)</f>
        <v>#REF!</v>
      </c>
      <c r="G252"/>
    </row>
    <row r="253" spans="1:7" ht="13.5" hidden="1" customHeight="1" thickBot="1" x14ac:dyDescent="0.3">
      <c r="A253" s="12"/>
      <c r="B253" s="8">
        <f>IF('Items sous domaines Sciences '!G255=7,'Items sous domaines Sciences '!B255,0)</f>
        <v>0</v>
      </c>
      <c r="C253" s="8">
        <f>IF('Items sous domaines Sciences '!G255=7,'Items sous domaines Sciences '!C255,0)</f>
        <v>0</v>
      </c>
      <c r="D253" s="8">
        <f>IF('Items sous domaines Sciences '!G255=7,'Items sous domaines Sciences '!D255,0)</f>
        <v>0</v>
      </c>
      <c r="E253" s="8">
        <f>IF('Items sous domaines Sciences '!G255=7,'Items sous domaines Sciences '!E255,0)</f>
        <v>0</v>
      </c>
      <c r="F253" t="e">
        <f>IF('Items sous domaines Sciences '!#REF!=1,'Items sous domaines Sciences '!#REF!,0)</f>
        <v>#REF!</v>
      </c>
      <c r="G253"/>
    </row>
    <row r="254" spans="1:7" ht="13.5" hidden="1" customHeight="1" thickBot="1" x14ac:dyDescent="0.3">
      <c r="A254" s="12"/>
      <c r="B254" s="8">
        <f>IF('Items sous domaines Sciences '!G256=7,'Items sous domaines Sciences '!B256,0)</f>
        <v>0</v>
      </c>
      <c r="C254" s="8">
        <f>IF('Items sous domaines Sciences '!G256=7,'Items sous domaines Sciences '!C256,0)</f>
        <v>0</v>
      </c>
      <c r="D254" s="8">
        <f>IF('Items sous domaines Sciences '!G256=7,'Items sous domaines Sciences '!D256,0)</f>
        <v>0</v>
      </c>
      <c r="E254" s="8">
        <f>IF('Items sous domaines Sciences '!G256=7,'Items sous domaines Sciences '!E256,0)</f>
        <v>0</v>
      </c>
      <c r="F254" t="e">
        <f>IF('Items sous domaines Sciences '!#REF!=1,'Items sous domaines Sciences '!#REF!,0)</f>
        <v>#REF!</v>
      </c>
      <c r="G254"/>
    </row>
    <row r="255" spans="1:7" ht="13.5" hidden="1" customHeight="1" thickBot="1" x14ac:dyDescent="0.3">
      <c r="A255" s="12"/>
      <c r="B255" s="8">
        <f>IF('Items sous domaines Sciences '!G257=7,'Items sous domaines Sciences '!B257,0)</f>
        <v>0</v>
      </c>
      <c r="C255" s="8">
        <f>IF('Items sous domaines Sciences '!G257=7,'Items sous domaines Sciences '!C257,0)</f>
        <v>0</v>
      </c>
      <c r="D255" s="8">
        <f>IF('Items sous domaines Sciences '!G257=7,'Items sous domaines Sciences '!D257,0)</f>
        <v>0</v>
      </c>
      <c r="E255" s="8">
        <f>IF('Items sous domaines Sciences '!G257=7,'Items sous domaines Sciences '!E257,0)</f>
        <v>0</v>
      </c>
      <c r="F255" t="e">
        <f>IF('Items sous domaines Sciences '!#REF!=1,'Items sous domaines Sciences '!#REF!,0)</f>
        <v>#REF!</v>
      </c>
      <c r="G255"/>
    </row>
    <row r="256" spans="1:7" ht="12.75" hidden="1" customHeight="1" thickBot="1" x14ac:dyDescent="0.3">
      <c r="A256" s="12"/>
      <c r="B256" s="8">
        <f>IF('Items sous domaines Sciences '!G258=7,'Items sous domaines Sciences '!B258,0)</f>
        <v>0</v>
      </c>
      <c r="C256" s="8">
        <f>IF('Items sous domaines Sciences '!G258=7,'Items sous domaines Sciences '!C258,0)</f>
        <v>0</v>
      </c>
      <c r="D256" s="8">
        <f>IF('Items sous domaines Sciences '!G258=7,'Items sous domaines Sciences '!D258,0)</f>
        <v>0</v>
      </c>
      <c r="E256" s="8">
        <f>IF('Items sous domaines Sciences '!G258=7,'Items sous domaines Sciences '!E258,0)</f>
        <v>0</v>
      </c>
      <c r="F256" t="e">
        <f>IF('Items sous domaines Sciences '!#REF!=1,'Items sous domaines Sciences '!#REF!,0)</f>
        <v>#REF!</v>
      </c>
      <c r="G256"/>
    </row>
    <row r="257" spans="1:7" ht="16.95" hidden="1" customHeight="1" thickBot="1" x14ac:dyDescent="0.3">
      <c r="A257" s="12"/>
      <c r="B257" s="8">
        <f>IF('Items sous domaines Sciences '!G259=7,'Items sous domaines Sciences '!B259,0)</f>
        <v>0</v>
      </c>
      <c r="C257" s="8">
        <f>IF('Items sous domaines Sciences '!G259=7,'Items sous domaines Sciences '!C259,0)</f>
        <v>0</v>
      </c>
      <c r="D257" s="8">
        <f>IF('Items sous domaines Sciences '!G259=7,'Items sous domaines Sciences '!D259,0)</f>
        <v>0</v>
      </c>
      <c r="E257" s="8">
        <f>IF('Items sous domaines Sciences '!G259=7,'Items sous domaines Sciences '!E259,0)</f>
        <v>0</v>
      </c>
      <c r="F257" t="e">
        <f>IF('Items sous domaines Sciences '!#REF!=1,'Items sous domaines Sciences '!#REF!,0)</f>
        <v>#REF!</v>
      </c>
      <c r="G257"/>
    </row>
    <row r="258" spans="1:7" ht="13.5" hidden="1" customHeight="1" thickBot="1" x14ac:dyDescent="0.3">
      <c r="A258" s="12"/>
      <c r="B258" s="8">
        <f>IF('Items sous domaines Sciences '!G260=7,'Items sous domaines Sciences '!B260,0)</f>
        <v>0</v>
      </c>
      <c r="C258" s="8">
        <f>IF('Items sous domaines Sciences '!G260=7,'Items sous domaines Sciences '!C260,0)</f>
        <v>0</v>
      </c>
      <c r="D258" s="8">
        <f>IF('Items sous domaines Sciences '!G260=7,'Items sous domaines Sciences '!D260,0)</f>
        <v>0</v>
      </c>
      <c r="E258" s="8">
        <f>IF('Items sous domaines Sciences '!G260=7,'Items sous domaines Sciences '!E260,0)</f>
        <v>0</v>
      </c>
      <c r="F258" t="e">
        <f>IF('Items sous domaines Sciences '!#REF!=1,'Items sous domaines Sciences '!#REF!,0)</f>
        <v>#REF!</v>
      </c>
      <c r="G258"/>
    </row>
    <row r="259" spans="1:7" ht="13.5" hidden="1" customHeight="1" thickBot="1" x14ac:dyDescent="0.3">
      <c r="A259" s="12"/>
      <c r="B259" s="8">
        <f>IF('Items sous domaines Sciences '!G261=7,'Items sous domaines Sciences '!B261,0)</f>
        <v>0</v>
      </c>
      <c r="C259" s="8">
        <f>IF('Items sous domaines Sciences '!G261=7,'Items sous domaines Sciences '!C261,0)</f>
        <v>0</v>
      </c>
      <c r="D259" s="8">
        <f>IF('Items sous domaines Sciences '!G261=7,'Items sous domaines Sciences '!D261,0)</f>
        <v>0</v>
      </c>
      <c r="E259" s="8">
        <f>IF('Items sous domaines Sciences '!G261=7,'Items sous domaines Sciences '!E261,0)</f>
        <v>0</v>
      </c>
      <c r="F259" t="e">
        <f>IF('Items sous domaines Sciences '!#REF!=1,'Items sous domaines Sciences '!#REF!,0)</f>
        <v>#REF!</v>
      </c>
      <c r="G259"/>
    </row>
    <row r="260" spans="1:7" ht="13.5" hidden="1" customHeight="1" thickBot="1" x14ac:dyDescent="0.3">
      <c r="A260" s="12"/>
      <c r="B260" s="8">
        <f>IF('Items sous domaines Sciences '!G262=7,'Items sous domaines Sciences '!B262,0)</f>
        <v>0</v>
      </c>
      <c r="C260" s="8">
        <f>IF('Items sous domaines Sciences '!G262=7,'Items sous domaines Sciences '!C262,0)</f>
        <v>0</v>
      </c>
      <c r="D260" s="8">
        <f>IF('Items sous domaines Sciences '!G262=7,'Items sous domaines Sciences '!D262,0)</f>
        <v>0</v>
      </c>
      <c r="E260" s="8">
        <f>IF('Items sous domaines Sciences '!G262=7,'Items sous domaines Sciences '!E262,0)</f>
        <v>0</v>
      </c>
      <c r="F260" t="e">
        <f>IF('Items sous domaines Sciences '!#REF!=1,'Items sous domaines Sciences '!#REF!,0)</f>
        <v>#REF!</v>
      </c>
      <c r="G260"/>
    </row>
    <row r="261" spans="1:7" ht="13.5" hidden="1" customHeight="1" thickBot="1" x14ac:dyDescent="0.3">
      <c r="A261" s="12"/>
      <c r="B261" s="8">
        <f>IF('Items sous domaines Sciences '!G263=7,'Items sous domaines Sciences '!B263,0)</f>
        <v>0</v>
      </c>
      <c r="C261" s="8">
        <f>IF('Items sous domaines Sciences '!G263=7,'Items sous domaines Sciences '!C263,0)</f>
        <v>0</v>
      </c>
      <c r="D261" s="8">
        <f>IF('Items sous domaines Sciences '!G263=7,'Items sous domaines Sciences '!D263,0)</f>
        <v>0</v>
      </c>
      <c r="E261" s="8">
        <f>IF('Items sous domaines Sciences '!G263=7,'Items sous domaines Sciences '!E263,0)</f>
        <v>0</v>
      </c>
      <c r="F261" t="e">
        <f>IF('Items sous domaines Sciences '!#REF!=1,'Items sous domaines Sciences '!#REF!,0)</f>
        <v>#REF!</v>
      </c>
      <c r="G261"/>
    </row>
    <row r="262" spans="1:7" ht="13.5" hidden="1" customHeight="1" thickBot="1" x14ac:dyDescent="0.3">
      <c r="A262" s="12"/>
      <c r="B262" s="8">
        <f>IF('Items sous domaines Sciences '!G264=7,'Items sous domaines Sciences '!B264,0)</f>
        <v>0</v>
      </c>
      <c r="C262" s="8">
        <f>IF('Items sous domaines Sciences '!G264=7,'Items sous domaines Sciences '!C264,0)</f>
        <v>0</v>
      </c>
      <c r="D262" s="8">
        <f>IF('Items sous domaines Sciences '!G264=7,'Items sous domaines Sciences '!D264,0)</f>
        <v>0</v>
      </c>
      <c r="E262" s="8">
        <f>IF('Items sous domaines Sciences '!G264=7,'Items sous domaines Sciences '!E264,0)</f>
        <v>0</v>
      </c>
      <c r="F262" t="e">
        <f>IF('Items sous domaines Sciences '!#REF!=1,'Items sous domaines Sciences '!#REF!,0)</f>
        <v>#REF!</v>
      </c>
      <c r="G262"/>
    </row>
    <row r="263" spans="1:7" ht="13.5" hidden="1" customHeight="1" thickBot="1" x14ac:dyDescent="0.3">
      <c r="A263" s="12"/>
      <c r="B263" s="8">
        <f>IF('Items sous domaines Sciences '!G265=7,'Items sous domaines Sciences '!B265,0)</f>
        <v>0</v>
      </c>
      <c r="C263" s="8">
        <f>IF('Items sous domaines Sciences '!G265=7,'Items sous domaines Sciences '!C265,0)</f>
        <v>0</v>
      </c>
      <c r="D263" s="8">
        <f>IF('Items sous domaines Sciences '!G265=7,'Items sous domaines Sciences '!D265,0)</f>
        <v>0</v>
      </c>
      <c r="E263" s="8">
        <f>IF('Items sous domaines Sciences '!G265=7,'Items sous domaines Sciences '!E265,0)</f>
        <v>0</v>
      </c>
      <c r="F263" t="e">
        <f>IF('Items sous domaines Sciences '!#REF!=1,'Items sous domaines Sciences '!#REF!,0)</f>
        <v>#REF!</v>
      </c>
      <c r="G263"/>
    </row>
    <row r="264" spans="1:7" ht="13.5" hidden="1" customHeight="1" thickBot="1" x14ac:dyDescent="0.3">
      <c r="A264" s="12"/>
      <c r="B264" s="8">
        <f>IF('Items sous domaines Sciences '!G266=7,'Items sous domaines Sciences '!B266,0)</f>
        <v>0</v>
      </c>
      <c r="C264" s="8">
        <f>IF('Items sous domaines Sciences '!G266=7,'Items sous domaines Sciences '!C266,0)</f>
        <v>0</v>
      </c>
      <c r="D264" s="8">
        <f>IF('Items sous domaines Sciences '!G266=7,'Items sous domaines Sciences '!D266,0)</f>
        <v>0</v>
      </c>
      <c r="E264" s="8">
        <f>IF('Items sous domaines Sciences '!G266=7,'Items sous domaines Sciences '!E266,0)</f>
        <v>0</v>
      </c>
      <c r="F264" t="e">
        <f>IF('Items sous domaines Sciences '!#REF!=1,'Items sous domaines Sciences '!#REF!,0)</f>
        <v>#REF!</v>
      </c>
      <c r="G264"/>
    </row>
    <row r="265" spans="1:7" ht="13.5" hidden="1" customHeight="1" thickBot="1" x14ac:dyDescent="0.3">
      <c r="A265" s="12"/>
      <c r="B265" s="8">
        <f>IF('Items sous domaines Sciences '!G267=7,'Items sous domaines Sciences '!B267,0)</f>
        <v>0</v>
      </c>
      <c r="C265" s="8">
        <f>IF('Items sous domaines Sciences '!G267=7,'Items sous domaines Sciences '!C267,0)</f>
        <v>0</v>
      </c>
      <c r="D265" s="8">
        <f>IF('Items sous domaines Sciences '!G267=7,'Items sous domaines Sciences '!D267,0)</f>
        <v>0</v>
      </c>
      <c r="E265" s="8">
        <f>IF('Items sous domaines Sciences '!G267=7,'Items sous domaines Sciences '!E267,0)</f>
        <v>0</v>
      </c>
      <c r="F265" t="e">
        <f>IF('Items sous domaines Sciences '!#REF!=1,'Items sous domaines Sciences '!#REF!,0)</f>
        <v>#REF!</v>
      </c>
      <c r="G265"/>
    </row>
    <row r="266" spans="1:7" ht="13.5" hidden="1" customHeight="1" thickBot="1" x14ac:dyDescent="0.3">
      <c r="A266" s="12"/>
      <c r="B266" s="8">
        <f>IF('Items sous domaines Sciences '!G268=7,'Items sous domaines Sciences '!B268,0)</f>
        <v>0</v>
      </c>
      <c r="C266" s="8">
        <f>IF('Items sous domaines Sciences '!G268=7,'Items sous domaines Sciences '!C268,0)</f>
        <v>0</v>
      </c>
      <c r="D266" s="8">
        <f>IF('Items sous domaines Sciences '!G268=7,'Items sous domaines Sciences '!D268,0)</f>
        <v>0</v>
      </c>
      <c r="E266" s="8">
        <f>IF('Items sous domaines Sciences '!G268=7,'Items sous domaines Sciences '!E268,0)</f>
        <v>0</v>
      </c>
      <c r="F266" t="e">
        <f>IF('Items sous domaines Sciences '!#REF!=1,'Items sous domaines Sciences '!#REF!,0)</f>
        <v>#REF!</v>
      </c>
      <c r="G266"/>
    </row>
    <row r="267" spans="1:7" ht="13.5" hidden="1" customHeight="1" thickBot="1" x14ac:dyDescent="0.3">
      <c r="A267" s="12"/>
      <c r="B267" s="8">
        <f>IF('Items sous domaines Sciences '!G269=7,'Items sous domaines Sciences '!B269,0)</f>
        <v>0</v>
      </c>
      <c r="C267" s="8">
        <f>IF('Items sous domaines Sciences '!G269=7,'Items sous domaines Sciences '!C269,0)</f>
        <v>0</v>
      </c>
      <c r="D267" s="8">
        <f>IF('Items sous domaines Sciences '!G269=7,'Items sous domaines Sciences '!D269,0)</f>
        <v>0</v>
      </c>
      <c r="E267" s="8">
        <f>IF('Items sous domaines Sciences '!G269=7,'Items sous domaines Sciences '!E269,0)</f>
        <v>0</v>
      </c>
      <c r="F267" t="e">
        <f>IF('Items sous domaines Sciences '!#REF!=1,'Items sous domaines Sciences '!#REF!,0)</f>
        <v>#REF!</v>
      </c>
      <c r="G267"/>
    </row>
    <row r="268" spans="1:7" ht="13.5" hidden="1" customHeight="1" thickBot="1" x14ac:dyDescent="0.3">
      <c r="A268" s="12"/>
      <c r="B268" s="8">
        <f>IF('Items sous domaines Sciences '!G270=7,'Items sous domaines Sciences '!B270,0)</f>
        <v>0</v>
      </c>
      <c r="C268" s="8">
        <f>IF('Items sous domaines Sciences '!G270=7,'Items sous domaines Sciences '!C270,0)</f>
        <v>0</v>
      </c>
      <c r="D268" s="8">
        <f>IF('Items sous domaines Sciences '!G270=7,'Items sous domaines Sciences '!D270,0)</f>
        <v>0</v>
      </c>
      <c r="E268" s="8">
        <f>IF('Items sous domaines Sciences '!G270=7,'Items sous domaines Sciences '!E270,0)</f>
        <v>0</v>
      </c>
      <c r="F268" t="e">
        <f>IF('Items sous domaines Sciences '!#REF!=1,'Items sous domaines Sciences '!#REF!,0)</f>
        <v>#REF!</v>
      </c>
      <c r="G268"/>
    </row>
    <row r="269" spans="1:7" ht="13.5" hidden="1" customHeight="1" thickBot="1" x14ac:dyDescent="0.3">
      <c r="A269" s="12"/>
      <c r="B269" s="8">
        <f>IF('Items sous domaines Sciences '!G271=7,'Items sous domaines Sciences '!B271,0)</f>
        <v>0</v>
      </c>
      <c r="C269" s="8">
        <f>IF('Items sous domaines Sciences '!G271=7,'Items sous domaines Sciences '!C271,0)</f>
        <v>0</v>
      </c>
      <c r="D269" s="8">
        <f>IF('Items sous domaines Sciences '!G271=7,'Items sous domaines Sciences '!D271,0)</f>
        <v>0</v>
      </c>
      <c r="E269" s="8">
        <f>IF('Items sous domaines Sciences '!G271=7,'Items sous domaines Sciences '!E271,0)</f>
        <v>0</v>
      </c>
      <c r="F269" t="e">
        <f>IF('Items sous domaines Sciences '!#REF!=1,'Items sous domaines Sciences '!#REF!,0)</f>
        <v>#REF!</v>
      </c>
      <c r="G269"/>
    </row>
    <row r="270" spans="1:7" ht="13.5" hidden="1" customHeight="1" thickBot="1" x14ac:dyDescent="0.3">
      <c r="A270" s="12"/>
      <c r="B270" s="8">
        <f>IF('Items sous domaines Sciences '!G272=7,'Items sous domaines Sciences '!B272,0)</f>
        <v>0</v>
      </c>
      <c r="C270" s="8">
        <f>IF('Items sous domaines Sciences '!G272=7,'Items sous domaines Sciences '!C272,0)</f>
        <v>0</v>
      </c>
      <c r="D270" s="8">
        <f>IF('Items sous domaines Sciences '!G272=7,'Items sous domaines Sciences '!D272,0)</f>
        <v>0</v>
      </c>
      <c r="E270" s="8">
        <f>IF('Items sous domaines Sciences '!G272=7,'Items sous domaines Sciences '!E272,0)</f>
        <v>0</v>
      </c>
      <c r="F270" t="e">
        <f>IF('Items sous domaines Sciences '!#REF!=1,'Items sous domaines Sciences '!#REF!,0)</f>
        <v>#REF!</v>
      </c>
      <c r="G270"/>
    </row>
    <row r="271" spans="1:7" ht="13.5" hidden="1" customHeight="1" thickBot="1" x14ac:dyDescent="0.3">
      <c r="A271" s="12"/>
      <c r="B271" s="8">
        <f>IF('Items sous domaines Sciences '!G273=7,'Items sous domaines Sciences '!B273,0)</f>
        <v>0</v>
      </c>
      <c r="C271" s="8">
        <f>IF('Items sous domaines Sciences '!G273=7,'Items sous domaines Sciences '!C273,0)</f>
        <v>0</v>
      </c>
      <c r="D271" s="8">
        <f>IF('Items sous domaines Sciences '!G273=7,'Items sous domaines Sciences '!D273,0)</f>
        <v>0</v>
      </c>
      <c r="E271" s="8">
        <f>IF('Items sous domaines Sciences '!G273=7,'Items sous domaines Sciences '!E273,0)</f>
        <v>0</v>
      </c>
      <c r="F271" t="e">
        <f>IF('Items sous domaines Sciences '!#REF!=1,'Items sous domaines Sciences '!#REF!,0)</f>
        <v>#REF!</v>
      </c>
      <c r="G271"/>
    </row>
    <row r="272" spans="1:7" ht="13.5" hidden="1" customHeight="1" thickBot="1" x14ac:dyDescent="0.3">
      <c r="A272" s="12"/>
      <c r="B272" s="8">
        <f>IF('Items sous domaines Sciences '!G274=7,'Items sous domaines Sciences '!B274,0)</f>
        <v>0</v>
      </c>
      <c r="C272" s="8">
        <f>IF('Items sous domaines Sciences '!G274=7,'Items sous domaines Sciences '!C274,0)</f>
        <v>0</v>
      </c>
      <c r="D272" s="8">
        <f>IF('Items sous domaines Sciences '!G274=7,'Items sous domaines Sciences '!D274,0)</f>
        <v>0</v>
      </c>
      <c r="E272" s="8">
        <f>IF('Items sous domaines Sciences '!G274=7,'Items sous domaines Sciences '!E274,0)</f>
        <v>0</v>
      </c>
      <c r="F272" t="e">
        <f>IF('Items sous domaines Sciences '!#REF!=1,'Items sous domaines Sciences '!#REF!,0)</f>
        <v>#REF!</v>
      </c>
      <c r="G272"/>
    </row>
    <row r="273" spans="1:7" ht="13.5" hidden="1" customHeight="1" thickBot="1" x14ac:dyDescent="0.3">
      <c r="A273" s="12"/>
      <c r="B273" s="8">
        <f>IF('Items sous domaines Sciences '!G275=7,'Items sous domaines Sciences '!B275,0)</f>
        <v>0</v>
      </c>
      <c r="C273" s="8">
        <f>IF('Items sous domaines Sciences '!G275=7,'Items sous domaines Sciences '!C275,0)</f>
        <v>0</v>
      </c>
      <c r="D273" s="8">
        <f>IF('Items sous domaines Sciences '!G275=7,'Items sous domaines Sciences '!D275,0)</f>
        <v>0</v>
      </c>
      <c r="E273" s="8">
        <f>IF('Items sous domaines Sciences '!G275=7,'Items sous domaines Sciences '!E275,0)</f>
        <v>0</v>
      </c>
      <c r="F273" t="e">
        <f>IF('Items sous domaines Sciences '!#REF!=1,'Items sous domaines Sciences '!#REF!,0)</f>
        <v>#REF!</v>
      </c>
      <c r="G273"/>
    </row>
    <row r="274" spans="1:7" ht="13.5" hidden="1" customHeight="1" thickBot="1" x14ac:dyDescent="0.3">
      <c r="A274" s="12"/>
      <c r="B274" s="8">
        <f>IF('Items sous domaines Sciences '!G276=7,'Items sous domaines Sciences '!B276,0)</f>
        <v>0</v>
      </c>
      <c r="C274" s="8">
        <f>IF('Items sous domaines Sciences '!G276=7,'Items sous domaines Sciences '!C276,0)</f>
        <v>0</v>
      </c>
      <c r="D274" s="8">
        <f>IF('Items sous domaines Sciences '!G276=7,'Items sous domaines Sciences '!D276,0)</f>
        <v>0</v>
      </c>
      <c r="E274" s="8">
        <f>IF('Items sous domaines Sciences '!G276=7,'Items sous domaines Sciences '!E276,0)</f>
        <v>0</v>
      </c>
      <c r="F274" t="e">
        <f>IF('Items sous domaines Sciences '!#REF!=1,'Items sous domaines Sciences '!#REF!,0)</f>
        <v>#REF!</v>
      </c>
      <c r="G274"/>
    </row>
    <row r="275" spans="1:7" ht="13.5" hidden="1" customHeight="1" thickBot="1" x14ac:dyDescent="0.3">
      <c r="A275" s="12"/>
      <c r="B275" s="8">
        <f>IF('Items sous domaines Sciences '!G277=7,'Items sous domaines Sciences '!B277,0)</f>
        <v>0</v>
      </c>
      <c r="C275" s="8">
        <f>IF('Items sous domaines Sciences '!G277=7,'Items sous domaines Sciences '!C277,0)</f>
        <v>0</v>
      </c>
      <c r="D275" s="8">
        <f>IF('Items sous domaines Sciences '!G277=7,'Items sous domaines Sciences '!D277,0)</f>
        <v>0</v>
      </c>
      <c r="E275" s="8">
        <f>IF('Items sous domaines Sciences '!G277=7,'Items sous domaines Sciences '!E277,0)</f>
        <v>0</v>
      </c>
      <c r="F275" t="e">
        <f>IF('Items sous domaines Sciences '!#REF!=1,'Items sous domaines Sciences '!#REF!,0)</f>
        <v>#REF!</v>
      </c>
      <c r="G275"/>
    </row>
    <row r="276" spans="1:7" ht="13.5" hidden="1" customHeight="1" thickBot="1" x14ac:dyDescent="0.3">
      <c r="A276" s="12"/>
      <c r="B276" s="8">
        <f>IF('Items sous domaines Sciences '!G278=7,'Items sous domaines Sciences '!B278,0)</f>
        <v>0</v>
      </c>
      <c r="C276" s="8">
        <f>IF('Items sous domaines Sciences '!G278=7,'Items sous domaines Sciences '!C278,0)</f>
        <v>0</v>
      </c>
      <c r="D276" s="8">
        <f>IF('Items sous domaines Sciences '!G278=7,'Items sous domaines Sciences '!D278,0)</f>
        <v>0</v>
      </c>
      <c r="E276" s="8">
        <f>IF('Items sous domaines Sciences '!G278=7,'Items sous domaines Sciences '!E278,0)</f>
        <v>0</v>
      </c>
      <c r="F276" t="e">
        <f>IF('Items sous domaines Sciences '!#REF!=1,'Items sous domaines Sciences '!#REF!,0)</f>
        <v>#REF!</v>
      </c>
      <c r="G276"/>
    </row>
    <row r="277" spans="1:7" ht="13.5" hidden="1" customHeight="1" thickBot="1" x14ac:dyDescent="0.3">
      <c r="A277" s="12"/>
      <c r="B277" s="8">
        <f>IF('Items sous domaines Sciences '!G279=7,'Items sous domaines Sciences '!B279,0)</f>
        <v>0</v>
      </c>
      <c r="C277" s="8">
        <f>IF('Items sous domaines Sciences '!G279=7,'Items sous domaines Sciences '!C279,0)</f>
        <v>0</v>
      </c>
      <c r="D277" s="8">
        <f>IF('Items sous domaines Sciences '!G279=7,'Items sous domaines Sciences '!D279,0)</f>
        <v>0</v>
      </c>
      <c r="E277" s="8">
        <f>IF('Items sous domaines Sciences '!G279=7,'Items sous domaines Sciences '!E279,0)</f>
        <v>0</v>
      </c>
      <c r="F277" t="e">
        <f>IF('Items sous domaines Sciences '!#REF!=1,'Items sous domaines Sciences '!#REF!,0)</f>
        <v>#REF!</v>
      </c>
      <c r="G277"/>
    </row>
    <row r="278" spans="1:7" ht="13.5" hidden="1" customHeight="1" thickBot="1" x14ac:dyDescent="0.3">
      <c r="A278" s="12"/>
      <c r="B278" s="8">
        <f>IF('Items sous domaines Sciences '!G280=7,'Items sous domaines Sciences '!B280,0)</f>
        <v>0</v>
      </c>
      <c r="C278" s="8">
        <f>IF('Items sous domaines Sciences '!G280=7,'Items sous domaines Sciences '!C280,0)</f>
        <v>0</v>
      </c>
      <c r="D278" s="8">
        <f>IF('Items sous domaines Sciences '!G280=7,'Items sous domaines Sciences '!D280,0)</f>
        <v>0</v>
      </c>
      <c r="E278" s="8">
        <f>IF('Items sous domaines Sciences '!G280=7,'Items sous domaines Sciences '!E280,0)</f>
        <v>0</v>
      </c>
      <c r="F278" t="e">
        <f>IF('Items sous domaines Sciences '!#REF!=1,'Items sous domaines Sciences '!#REF!,0)</f>
        <v>#REF!</v>
      </c>
      <c r="G278"/>
    </row>
    <row r="279" spans="1:7" ht="13.5" hidden="1" customHeight="1" thickBot="1" x14ac:dyDescent="0.3">
      <c r="A279" s="12"/>
      <c r="B279" s="8">
        <f>IF('Items sous domaines Sciences '!G281=7,'Items sous domaines Sciences '!B281,0)</f>
        <v>0</v>
      </c>
      <c r="C279" s="8">
        <f>IF('Items sous domaines Sciences '!G281=7,'Items sous domaines Sciences '!C281,0)</f>
        <v>0</v>
      </c>
      <c r="D279" s="8">
        <f>IF('Items sous domaines Sciences '!G281=7,'Items sous domaines Sciences '!D281,0)</f>
        <v>0</v>
      </c>
      <c r="E279" s="8">
        <f>IF('Items sous domaines Sciences '!G281=7,'Items sous domaines Sciences '!E281,0)</f>
        <v>0</v>
      </c>
      <c r="F279" t="e">
        <f>IF('Items sous domaines Sciences '!#REF!=1,'Items sous domaines Sciences '!#REF!,0)</f>
        <v>#REF!</v>
      </c>
      <c r="G279"/>
    </row>
    <row r="280" spans="1:7" ht="13.5" hidden="1" customHeight="1" thickBot="1" x14ac:dyDescent="0.3">
      <c r="A280" s="12"/>
      <c r="B280" s="8">
        <f>IF('Items sous domaines Sciences '!G282=7,'Items sous domaines Sciences '!B282,0)</f>
        <v>0</v>
      </c>
      <c r="C280" s="8">
        <f>IF('Items sous domaines Sciences '!G282=7,'Items sous domaines Sciences '!C282,0)</f>
        <v>0</v>
      </c>
      <c r="D280" s="8">
        <f>IF('Items sous domaines Sciences '!G282=7,'Items sous domaines Sciences '!D282,0)</f>
        <v>0</v>
      </c>
      <c r="E280" s="8">
        <f>IF('Items sous domaines Sciences '!G282=7,'Items sous domaines Sciences '!E282,0)</f>
        <v>0</v>
      </c>
      <c r="F280" t="e">
        <f>IF('Items sous domaines Sciences '!#REF!=1,'Items sous domaines Sciences '!#REF!,0)</f>
        <v>#REF!</v>
      </c>
      <c r="G280"/>
    </row>
    <row r="281" spans="1:7" ht="13.5" hidden="1" customHeight="1" thickBot="1" x14ac:dyDescent="0.3">
      <c r="A281" s="12"/>
      <c r="B281" s="8">
        <f>IF('Items sous domaines Sciences '!G283=7,'Items sous domaines Sciences '!B283,0)</f>
        <v>0</v>
      </c>
      <c r="C281" s="8">
        <f>IF('Items sous domaines Sciences '!G283=7,'Items sous domaines Sciences '!C283,0)</f>
        <v>0</v>
      </c>
      <c r="D281" s="8">
        <f>IF('Items sous domaines Sciences '!G283=7,'Items sous domaines Sciences '!D283,0)</f>
        <v>0</v>
      </c>
      <c r="E281" s="8">
        <f>IF('Items sous domaines Sciences '!G283=7,'Items sous domaines Sciences '!E283,0)</f>
        <v>0</v>
      </c>
      <c r="F281" t="e">
        <f>IF('Items sous domaines Sciences '!#REF!=1,'Items sous domaines Sciences '!#REF!,0)</f>
        <v>#REF!</v>
      </c>
      <c r="G281"/>
    </row>
    <row r="282" spans="1:7" ht="13.5" hidden="1" customHeight="1" thickBot="1" x14ac:dyDescent="0.3">
      <c r="A282" s="12"/>
      <c r="B282" s="8">
        <f>IF('Items sous domaines Sciences '!G284=7,'Items sous domaines Sciences '!B284,0)</f>
        <v>0</v>
      </c>
      <c r="C282" s="8">
        <f>IF('Items sous domaines Sciences '!G284=7,'Items sous domaines Sciences '!C284,0)</f>
        <v>0</v>
      </c>
      <c r="D282" s="8">
        <f>IF('Items sous domaines Sciences '!G284=7,'Items sous domaines Sciences '!D284,0)</f>
        <v>0</v>
      </c>
      <c r="E282" s="8">
        <f>IF('Items sous domaines Sciences '!G284=7,'Items sous domaines Sciences '!E284,0)</f>
        <v>0</v>
      </c>
      <c r="F282" t="e">
        <f>IF('Items sous domaines Sciences '!#REF!=1,'Items sous domaines Sciences '!#REF!,0)</f>
        <v>#REF!</v>
      </c>
      <c r="G282"/>
    </row>
    <row r="283" spans="1:7" ht="13.5" hidden="1" customHeight="1" thickBot="1" x14ac:dyDescent="0.3">
      <c r="A283" s="12"/>
      <c r="B283" s="8">
        <f>IF('Items sous domaines Sciences '!G285=7,'Items sous domaines Sciences '!B285,0)</f>
        <v>0</v>
      </c>
      <c r="C283" s="8">
        <f>IF('Items sous domaines Sciences '!G285=7,'Items sous domaines Sciences '!C285,0)</f>
        <v>0</v>
      </c>
      <c r="D283" s="8">
        <f>IF('Items sous domaines Sciences '!G285=7,'Items sous domaines Sciences '!D285,0)</f>
        <v>0</v>
      </c>
      <c r="E283" s="8">
        <f>IF('Items sous domaines Sciences '!G285=7,'Items sous domaines Sciences '!E285,0)</f>
        <v>0</v>
      </c>
      <c r="F283" t="e">
        <f>IF('Items sous domaines Sciences '!#REF!=1,'Items sous domaines Sciences '!#REF!,0)</f>
        <v>#REF!</v>
      </c>
      <c r="G283"/>
    </row>
    <row r="284" spans="1:7" ht="13.5" hidden="1" customHeight="1" thickBot="1" x14ac:dyDescent="0.3">
      <c r="A284" s="12"/>
      <c r="B284" s="8">
        <f>IF('Items sous domaines Sciences '!G286=7,'Items sous domaines Sciences '!B286,0)</f>
        <v>0</v>
      </c>
      <c r="C284" s="8">
        <f>IF('Items sous domaines Sciences '!G286=7,'Items sous domaines Sciences '!C286,0)</f>
        <v>0</v>
      </c>
      <c r="D284" s="8">
        <f>IF('Items sous domaines Sciences '!G286=7,'Items sous domaines Sciences '!D286,0)</f>
        <v>0</v>
      </c>
      <c r="E284" s="8">
        <f>IF('Items sous domaines Sciences '!G286=7,'Items sous domaines Sciences '!E286,0)</f>
        <v>0</v>
      </c>
      <c r="F284" t="e">
        <f>IF('Items sous domaines Sciences '!#REF!=1,'Items sous domaines Sciences '!#REF!,0)</f>
        <v>#REF!</v>
      </c>
      <c r="G284"/>
    </row>
    <row r="285" spans="1:7" ht="17.399999999999999" hidden="1" customHeight="1" thickBot="1" x14ac:dyDescent="0.3">
      <c r="A285" s="12"/>
      <c r="B285" s="8">
        <f>IF('Items sous domaines Sciences '!G287=7,'Items sous domaines Sciences '!B287,0)</f>
        <v>0</v>
      </c>
      <c r="C285" s="8">
        <f>IF('Items sous domaines Sciences '!G287=7,'Items sous domaines Sciences '!C287,0)</f>
        <v>0</v>
      </c>
      <c r="D285" s="8">
        <f>IF('Items sous domaines Sciences '!G287=7,'Items sous domaines Sciences '!D287,0)</f>
        <v>0</v>
      </c>
      <c r="E285" s="8">
        <f>IF('Items sous domaines Sciences '!G287=7,'Items sous domaines Sciences '!E287,0)</f>
        <v>0</v>
      </c>
      <c r="F285" t="e">
        <f>IF('Items sous domaines Sciences '!#REF!=1,'Items sous domaines Sciences '!#REF!,0)</f>
        <v>#REF!</v>
      </c>
      <c r="G285"/>
    </row>
    <row r="286" spans="1:7" ht="17.399999999999999" hidden="1" customHeight="1" thickBot="1" x14ac:dyDescent="0.3">
      <c r="A286" s="12"/>
      <c r="B286" s="8">
        <f>IF('Items sous domaines Sciences '!G288=7,'Items sous domaines Sciences '!B288,0)</f>
        <v>0</v>
      </c>
      <c r="C286" s="8">
        <f>IF('Items sous domaines Sciences '!G288=7,'Items sous domaines Sciences '!C288,0)</f>
        <v>0</v>
      </c>
      <c r="D286" s="8">
        <f>IF('Items sous domaines Sciences '!G288=7,'Items sous domaines Sciences '!D288,0)</f>
        <v>0</v>
      </c>
      <c r="E286" s="8">
        <f>IF('Items sous domaines Sciences '!G288=7,'Items sous domaines Sciences '!E288,0)</f>
        <v>0</v>
      </c>
      <c r="F286" t="e">
        <f>IF('Items sous domaines Sciences '!#REF!=1,'Items sous domaines Sciences '!#REF!,0)</f>
        <v>#REF!</v>
      </c>
      <c r="G286"/>
    </row>
    <row r="287" spans="1:7" ht="17.399999999999999" hidden="1" customHeight="1" thickBot="1" x14ac:dyDescent="0.3">
      <c r="A287" s="12"/>
      <c r="B287" s="8">
        <f>IF('Items sous domaines Sciences '!G289=7,'Items sous domaines Sciences '!B289,0)</f>
        <v>0</v>
      </c>
      <c r="C287" s="8">
        <f>IF('Items sous domaines Sciences '!G289=7,'Items sous domaines Sciences '!C289,0)</f>
        <v>0</v>
      </c>
      <c r="D287" s="8">
        <f>IF('Items sous domaines Sciences '!G289=7,'Items sous domaines Sciences '!D289,0)</f>
        <v>0</v>
      </c>
      <c r="E287" s="8">
        <f>IF('Items sous domaines Sciences '!G289=7,'Items sous domaines Sciences '!E289,0)</f>
        <v>0</v>
      </c>
      <c r="F287" t="e">
        <f>IF('Items sous domaines Sciences '!#REF!=1,'Items sous domaines Sciences '!#REF!,0)</f>
        <v>#REF!</v>
      </c>
      <c r="G287"/>
    </row>
    <row r="288" spans="1:7" ht="17.399999999999999" hidden="1" customHeight="1" thickBot="1" x14ac:dyDescent="0.3">
      <c r="A288" s="12"/>
      <c r="B288" s="8">
        <f>IF('Items sous domaines Sciences '!G290=7,'Items sous domaines Sciences '!B290,0)</f>
        <v>0</v>
      </c>
      <c r="C288" s="8">
        <f>IF('Items sous domaines Sciences '!G290=7,'Items sous domaines Sciences '!C290,0)</f>
        <v>0</v>
      </c>
      <c r="D288" s="8">
        <f>IF('Items sous domaines Sciences '!G290=7,'Items sous domaines Sciences '!D290,0)</f>
        <v>0</v>
      </c>
      <c r="E288" s="8">
        <f>IF('Items sous domaines Sciences '!G290=7,'Items sous domaines Sciences '!E290,0)</f>
        <v>0</v>
      </c>
      <c r="F288" t="e">
        <f>IF('Items sous domaines Sciences '!#REF!=1,'Items sous domaines Sciences '!#REF!,0)</f>
        <v>#REF!</v>
      </c>
      <c r="G288"/>
    </row>
    <row r="289" spans="1:7" ht="17.399999999999999" hidden="1" customHeight="1" thickBot="1" x14ac:dyDescent="0.3">
      <c r="A289" s="12"/>
      <c r="B289" s="8">
        <f>IF('Items sous domaines Sciences '!G291=7,'Items sous domaines Sciences '!B291,0)</f>
        <v>0</v>
      </c>
      <c r="C289" s="8">
        <f>IF('Items sous domaines Sciences '!G291=7,'Items sous domaines Sciences '!C291,0)</f>
        <v>0</v>
      </c>
      <c r="D289" s="8">
        <f>IF('Items sous domaines Sciences '!G291=7,'Items sous domaines Sciences '!D291,0)</f>
        <v>0</v>
      </c>
      <c r="E289" s="8">
        <f>IF('Items sous domaines Sciences '!G291=7,'Items sous domaines Sciences '!E291,0)</f>
        <v>0</v>
      </c>
      <c r="F289" t="e">
        <f>IF('Items sous domaines Sciences '!#REF!=1,'Items sous domaines Sciences '!#REF!,0)</f>
        <v>#REF!</v>
      </c>
      <c r="G289"/>
    </row>
    <row r="290" spans="1:7" ht="17.399999999999999" hidden="1" customHeight="1" thickBot="1" x14ac:dyDescent="0.3">
      <c r="A290" s="12"/>
      <c r="B290" s="8">
        <f>IF('Items sous domaines Sciences '!G292=7,'Items sous domaines Sciences '!B292,0)</f>
        <v>0</v>
      </c>
      <c r="C290" s="8">
        <f>IF('Items sous domaines Sciences '!G292=7,'Items sous domaines Sciences '!C292,0)</f>
        <v>0</v>
      </c>
      <c r="D290" s="8">
        <f>IF('Items sous domaines Sciences '!G292=7,'Items sous domaines Sciences '!D292,0)</f>
        <v>0</v>
      </c>
      <c r="E290" s="8">
        <f>IF('Items sous domaines Sciences '!G292=7,'Items sous domaines Sciences '!E292,0)</f>
        <v>0</v>
      </c>
      <c r="F290" t="e">
        <f>IF('Items sous domaines Sciences '!#REF!=1,'Items sous domaines Sciences '!#REF!,0)</f>
        <v>#REF!</v>
      </c>
      <c r="G290"/>
    </row>
    <row r="291" spans="1:7" ht="17.399999999999999" hidden="1" customHeight="1" thickBot="1" x14ac:dyDescent="0.3">
      <c r="A291" s="12"/>
      <c r="B291" s="8">
        <f>IF('Items sous domaines Sciences '!G293=7,'Items sous domaines Sciences '!B293,0)</f>
        <v>0</v>
      </c>
      <c r="C291" s="8">
        <f>IF('Items sous domaines Sciences '!G293=7,'Items sous domaines Sciences '!C293,0)</f>
        <v>0</v>
      </c>
      <c r="D291" s="8">
        <f>IF('Items sous domaines Sciences '!G293=7,'Items sous domaines Sciences '!D293,0)</f>
        <v>0</v>
      </c>
      <c r="E291" s="8">
        <f>IF('Items sous domaines Sciences '!G293=7,'Items sous domaines Sciences '!E293,0)</f>
        <v>0</v>
      </c>
      <c r="F291" t="e">
        <f>IF('Items sous domaines Sciences '!#REF!=1,'Items sous domaines Sciences '!#REF!,0)</f>
        <v>#REF!</v>
      </c>
      <c r="G291"/>
    </row>
    <row r="292" spans="1:7" ht="17.399999999999999" hidden="1" customHeight="1" thickBot="1" x14ac:dyDescent="0.3">
      <c r="A292" s="12"/>
      <c r="B292" s="8">
        <f>IF('Items sous domaines Sciences '!G294=7,'Items sous domaines Sciences '!B294,0)</f>
        <v>0</v>
      </c>
      <c r="C292" s="8">
        <f>IF('Items sous domaines Sciences '!G294=7,'Items sous domaines Sciences '!C294,0)</f>
        <v>0</v>
      </c>
      <c r="D292" s="8">
        <f>IF('Items sous domaines Sciences '!G294=7,'Items sous domaines Sciences '!D294,0)</f>
        <v>0</v>
      </c>
      <c r="E292" s="8">
        <f>IF('Items sous domaines Sciences '!G294=7,'Items sous domaines Sciences '!E294,0)</f>
        <v>0</v>
      </c>
      <c r="F292" t="e">
        <f>IF('Items sous domaines Sciences '!#REF!=1,'Items sous domaines Sciences '!#REF!,0)</f>
        <v>#REF!</v>
      </c>
      <c r="G292"/>
    </row>
    <row r="293" spans="1:7" ht="17.399999999999999" hidden="1" customHeight="1" thickBot="1" x14ac:dyDescent="0.3">
      <c r="A293" s="12"/>
      <c r="B293" s="8">
        <f>IF('Items sous domaines Sciences '!G295=7,'Items sous domaines Sciences '!B295,0)</f>
        <v>0</v>
      </c>
      <c r="C293" s="8">
        <f>IF('Items sous domaines Sciences '!G295=7,'Items sous domaines Sciences '!C295,0)</f>
        <v>0</v>
      </c>
      <c r="D293" s="8">
        <f>IF('Items sous domaines Sciences '!G295=7,'Items sous domaines Sciences '!D295,0)</f>
        <v>0</v>
      </c>
      <c r="E293" s="8">
        <f>IF('Items sous domaines Sciences '!G295=7,'Items sous domaines Sciences '!E295,0)</f>
        <v>0</v>
      </c>
      <c r="F293" t="e">
        <f>IF('Items sous domaines Sciences '!#REF!=1,'Items sous domaines Sciences '!#REF!,0)</f>
        <v>#REF!</v>
      </c>
      <c r="G293"/>
    </row>
    <row r="294" spans="1:7" ht="17.399999999999999" hidden="1" customHeight="1" thickBot="1" x14ac:dyDescent="0.3">
      <c r="A294" s="12"/>
      <c r="B294" s="8">
        <f>IF('Items sous domaines Sciences '!G296=7,'Items sous domaines Sciences '!B296,0)</f>
        <v>0</v>
      </c>
      <c r="C294" s="8">
        <f>IF('Items sous domaines Sciences '!G296=7,'Items sous domaines Sciences '!C296,0)</f>
        <v>0</v>
      </c>
      <c r="D294" s="8">
        <f>IF('Items sous domaines Sciences '!G296=7,'Items sous domaines Sciences '!D296,0)</f>
        <v>0</v>
      </c>
      <c r="E294" s="8">
        <f>IF('Items sous domaines Sciences '!G296=7,'Items sous domaines Sciences '!E296,0)</f>
        <v>0</v>
      </c>
      <c r="F294" t="e">
        <f>IF('Items sous domaines Sciences '!#REF!=1,'Items sous domaines Sciences '!#REF!,0)</f>
        <v>#REF!</v>
      </c>
      <c r="G294"/>
    </row>
    <row r="295" spans="1:7" ht="17.399999999999999" hidden="1" customHeight="1" thickBot="1" x14ac:dyDescent="0.3">
      <c r="A295" s="12"/>
      <c r="B295" s="8">
        <f>IF('Items sous domaines Sciences '!G297=7,'Items sous domaines Sciences '!B297,0)</f>
        <v>0</v>
      </c>
      <c r="C295" s="8">
        <f>IF('Items sous domaines Sciences '!G297=7,'Items sous domaines Sciences '!C297,0)</f>
        <v>0</v>
      </c>
      <c r="D295" s="8">
        <f>IF('Items sous domaines Sciences '!G297=7,'Items sous domaines Sciences '!D297,0)</f>
        <v>0</v>
      </c>
      <c r="E295" s="8">
        <f>IF('Items sous domaines Sciences '!G297=7,'Items sous domaines Sciences '!E297,0)</f>
        <v>0</v>
      </c>
      <c r="F295" t="e">
        <f>IF('Items sous domaines Sciences '!#REF!=1,'Items sous domaines Sciences '!#REF!,0)</f>
        <v>#REF!</v>
      </c>
      <c r="G295"/>
    </row>
    <row r="296" spans="1:7" ht="17.399999999999999" hidden="1" customHeight="1" thickBot="1" x14ac:dyDescent="0.3">
      <c r="A296" s="12"/>
      <c r="B296" s="8">
        <f>IF('Items sous domaines Sciences '!G298=7,'Items sous domaines Sciences '!B298,0)</f>
        <v>0</v>
      </c>
      <c r="C296" s="8">
        <f>IF('Items sous domaines Sciences '!G298=7,'Items sous domaines Sciences '!C298,0)</f>
        <v>0</v>
      </c>
      <c r="D296" s="8">
        <f>IF('Items sous domaines Sciences '!G298=7,'Items sous domaines Sciences '!D298,0)</f>
        <v>0</v>
      </c>
      <c r="E296" s="8">
        <f>IF('Items sous domaines Sciences '!G298=7,'Items sous domaines Sciences '!E298,0)</f>
        <v>0</v>
      </c>
      <c r="F296" t="e">
        <f>IF('Items sous domaines Sciences '!#REF!=1,'Items sous domaines Sciences '!#REF!,0)</f>
        <v>#REF!</v>
      </c>
      <c r="G296"/>
    </row>
    <row r="297" spans="1:7" ht="17.399999999999999" hidden="1" customHeight="1" thickBot="1" x14ac:dyDescent="0.3">
      <c r="A297" s="12"/>
      <c r="B297" s="8">
        <f>IF('Items sous domaines Sciences '!G299=7,'Items sous domaines Sciences '!B299,0)</f>
        <v>0</v>
      </c>
      <c r="C297" s="8">
        <f>IF('Items sous domaines Sciences '!G299=7,'Items sous domaines Sciences '!C299,0)</f>
        <v>0</v>
      </c>
      <c r="D297" s="8">
        <f>IF('Items sous domaines Sciences '!G299=7,'Items sous domaines Sciences '!D299,0)</f>
        <v>0</v>
      </c>
      <c r="E297" s="8">
        <f>IF('Items sous domaines Sciences '!G299=7,'Items sous domaines Sciences '!E299,0)</f>
        <v>0</v>
      </c>
      <c r="F297" t="e">
        <f>IF('Items sous domaines Sciences '!#REF!=1,'Items sous domaines Sciences '!#REF!,0)</f>
        <v>#REF!</v>
      </c>
      <c r="G297"/>
    </row>
    <row r="298" spans="1:7" ht="17.399999999999999" hidden="1" customHeight="1" thickBot="1" x14ac:dyDescent="0.3">
      <c r="A298" s="12"/>
      <c r="B298" s="8">
        <f>IF('Items sous domaines Sciences '!G300=7,'Items sous domaines Sciences '!B300,0)</f>
        <v>0</v>
      </c>
      <c r="C298" s="8">
        <f>IF('Items sous domaines Sciences '!G300=7,'Items sous domaines Sciences '!C300,0)</f>
        <v>0</v>
      </c>
      <c r="D298" s="8">
        <f>IF('Items sous domaines Sciences '!G300=7,'Items sous domaines Sciences '!D300,0)</f>
        <v>0</v>
      </c>
      <c r="E298" s="8">
        <f>IF('Items sous domaines Sciences '!G300=7,'Items sous domaines Sciences '!E300,0)</f>
        <v>0</v>
      </c>
      <c r="F298" t="e">
        <f>IF('Items sous domaines Sciences '!#REF!=1,'Items sous domaines Sciences '!#REF!,0)</f>
        <v>#REF!</v>
      </c>
      <c r="G298"/>
    </row>
    <row r="299" spans="1:7" ht="17.399999999999999" hidden="1" customHeight="1" thickBot="1" x14ac:dyDescent="0.3">
      <c r="A299" s="12"/>
      <c r="B299" s="8">
        <f>IF('Items sous domaines Sciences '!G301=7,'Items sous domaines Sciences '!B301,0)</f>
        <v>0</v>
      </c>
      <c r="C299" s="8">
        <f>IF('Items sous domaines Sciences '!G301=7,'Items sous domaines Sciences '!C301,0)</f>
        <v>0</v>
      </c>
      <c r="D299" s="8">
        <f>IF('Items sous domaines Sciences '!G301=7,'Items sous domaines Sciences '!D301,0)</f>
        <v>0</v>
      </c>
      <c r="E299" s="8">
        <f>IF('Items sous domaines Sciences '!G301=7,'Items sous domaines Sciences '!E301,0)</f>
        <v>0</v>
      </c>
      <c r="F299" t="e">
        <f>IF('Items sous domaines Sciences '!#REF!=1,'Items sous domaines Sciences '!#REF!,0)</f>
        <v>#REF!</v>
      </c>
      <c r="G299"/>
    </row>
    <row r="300" spans="1:7" ht="17.399999999999999" hidden="1" customHeight="1" thickBot="1" x14ac:dyDescent="0.3">
      <c r="A300" s="12"/>
      <c r="B300" s="8">
        <f>IF('Items sous domaines Sciences '!G302=7,'Items sous domaines Sciences '!B302,0)</f>
        <v>0</v>
      </c>
      <c r="C300" s="8">
        <f>IF('Items sous domaines Sciences '!G302=7,'Items sous domaines Sciences '!C302,0)</f>
        <v>0</v>
      </c>
      <c r="D300" s="8">
        <f>IF('Items sous domaines Sciences '!G302=7,'Items sous domaines Sciences '!D302,0)</f>
        <v>0</v>
      </c>
      <c r="E300" s="8">
        <f>IF('Items sous domaines Sciences '!G302=7,'Items sous domaines Sciences '!E302,0)</f>
        <v>0</v>
      </c>
      <c r="F300" t="e">
        <f>IF('Items sous domaines Sciences '!#REF!=1,'Items sous domaines Sciences '!#REF!,0)</f>
        <v>#REF!</v>
      </c>
      <c r="G300"/>
    </row>
    <row r="301" spans="1:7" ht="17.399999999999999" hidden="1" customHeight="1" thickBot="1" x14ac:dyDescent="0.3">
      <c r="A301" s="523" t="s">
        <v>507</v>
      </c>
      <c r="B301" s="8">
        <f>IF('Items sous domaines Sciences '!G303=7,'Items sous domaines Sciences '!B303,0)</f>
        <v>0</v>
      </c>
      <c r="C301" s="8">
        <f>IF('Items sous domaines Sciences '!G303=7,'Items sous domaines Sciences '!C303,0)</f>
        <v>0</v>
      </c>
      <c r="D301" s="8">
        <f>IF('Items sous domaines Sciences '!G303=7,'Items sous domaines Sciences '!D303,0)</f>
        <v>0</v>
      </c>
      <c r="E301" s="8">
        <f>IF('Items sous domaines Sciences '!G303=7,'Items sous domaines Sciences '!E303,0)</f>
        <v>0</v>
      </c>
      <c r="F301" s="25"/>
      <c r="G301" s="333" t="s">
        <v>513</v>
      </c>
    </row>
    <row r="302" spans="1:7" ht="17.399999999999999" hidden="1" customHeight="1" thickBot="1" x14ac:dyDescent="0.3">
      <c r="A302" s="524"/>
      <c r="B302" s="8">
        <f>IF('Items sous domaines Sciences '!G304=7,'Items sous domaines Sciences '!B304,0)</f>
        <v>0</v>
      </c>
      <c r="C302" s="8">
        <f>IF('Items sous domaines Sciences '!G304=7,'Items sous domaines Sciences '!C304,0)</f>
        <v>0</v>
      </c>
      <c r="D302" s="8">
        <f>IF('Items sous domaines Sciences '!G304=7,'Items sous domaines Sciences '!D304,0)</f>
        <v>0</v>
      </c>
      <c r="E302" s="8">
        <f>IF('Items sous domaines Sciences '!G304=7,'Items sous domaines Sciences '!E304,0)</f>
        <v>0</v>
      </c>
      <c r="F302" s="26"/>
      <c r="G302" s="333"/>
    </row>
    <row r="303" spans="1:7" ht="17.399999999999999" hidden="1" customHeight="1" thickBot="1" x14ac:dyDescent="0.3">
      <c r="A303" s="524"/>
      <c r="B303" s="8">
        <f>IF('Items sous domaines Sciences '!G305=7,'Items sous domaines Sciences '!B305,0)</f>
        <v>0</v>
      </c>
      <c r="C303" s="8">
        <f>IF('Items sous domaines Sciences '!G305=7,'Items sous domaines Sciences '!C305,0)</f>
        <v>0</v>
      </c>
      <c r="D303" s="8">
        <f>IF('Items sous domaines Sciences '!G305=7,'Items sous domaines Sciences '!D305,0)</f>
        <v>0</v>
      </c>
      <c r="E303" s="8">
        <f>IF('Items sous domaines Sciences '!G305=7,'Items sous domaines Sciences '!E305,0)</f>
        <v>0</v>
      </c>
      <c r="F303" s="26" t="s">
        <v>514</v>
      </c>
      <c r="G303" s="333"/>
    </row>
    <row r="304" spans="1:7" ht="17.399999999999999" hidden="1" customHeight="1" thickBot="1" x14ac:dyDescent="0.3">
      <c r="A304" s="524"/>
      <c r="B304" s="8">
        <f>IF('Items sous domaines Sciences '!G306=7,'Items sous domaines Sciences '!B306,0)</f>
        <v>0</v>
      </c>
      <c r="C304" s="8">
        <f>IF('Items sous domaines Sciences '!G306=7,'Items sous domaines Sciences '!C306,0)</f>
        <v>0</v>
      </c>
      <c r="D304" s="8">
        <f>IF('Items sous domaines Sciences '!G306=7,'Items sous domaines Sciences '!D306,0)</f>
        <v>0</v>
      </c>
      <c r="E304" s="8">
        <f>IF('Items sous domaines Sciences '!G306=7,'Items sous domaines Sciences '!E306,0)</f>
        <v>0</v>
      </c>
      <c r="F304" s="26"/>
      <c r="G304" s="333"/>
    </row>
    <row r="305" spans="1:7" ht="17.399999999999999" hidden="1" customHeight="1" thickBot="1" x14ac:dyDescent="0.3">
      <c r="A305" s="524"/>
      <c r="B305" s="8">
        <f>IF('Items sous domaines Sciences '!G307=7,'Items sous domaines Sciences '!B307,0)</f>
        <v>0</v>
      </c>
      <c r="C305" s="8">
        <f>IF('Items sous domaines Sciences '!G307=7,'Items sous domaines Sciences '!C307,0)</f>
        <v>0</v>
      </c>
      <c r="D305" s="8">
        <f>IF('Items sous domaines Sciences '!G307=7,'Items sous domaines Sciences '!D307,0)</f>
        <v>0</v>
      </c>
      <c r="E305" s="8">
        <f>IF('Items sous domaines Sciences '!G307=7,'Items sous domaines Sciences '!E307,0)</f>
        <v>0</v>
      </c>
      <c r="F305" s="26"/>
      <c r="G305" s="333"/>
    </row>
    <row r="306" spans="1:7" ht="17.399999999999999" hidden="1" customHeight="1" thickBot="1" x14ac:dyDescent="0.3">
      <c r="A306" s="524"/>
      <c r="B306" s="8">
        <f>IF('Items sous domaines Sciences '!G308=7,'Items sous domaines Sciences '!B308,0)</f>
        <v>0</v>
      </c>
      <c r="C306" s="8">
        <f>IF('Items sous domaines Sciences '!G308=7,'Items sous domaines Sciences '!C308,0)</f>
        <v>0</v>
      </c>
      <c r="D306" s="8">
        <f>IF('Items sous domaines Sciences '!G308=7,'Items sous domaines Sciences '!D308,0)</f>
        <v>0</v>
      </c>
      <c r="E306" s="8">
        <f>IF('Items sous domaines Sciences '!G308=7,'Items sous domaines Sciences '!E308,0)</f>
        <v>0</v>
      </c>
      <c r="F306" s="27"/>
      <c r="G306" s="333"/>
    </row>
    <row r="307" spans="1:7" ht="17.399999999999999" hidden="1" customHeight="1" thickBot="1" x14ac:dyDescent="0.3">
      <c r="A307" s="12"/>
      <c r="B307" s="8">
        <f>IF('Items sous domaines Sciences '!G309=7,'Items sous domaines Sciences '!B309,0)</f>
        <v>0</v>
      </c>
      <c r="C307" s="8">
        <f>IF('Items sous domaines Sciences '!G309=7,'Items sous domaines Sciences '!C309,0)</f>
        <v>0</v>
      </c>
      <c r="D307" s="8">
        <f>IF('Items sous domaines Sciences '!G309=7,'Items sous domaines Sciences '!D309,0)</f>
        <v>0</v>
      </c>
      <c r="E307" s="8">
        <f>IF('Items sous domaines Sciences '!G309=7,'Items sous domaines Sciences '!E309,0)</f>
        <v>0</v>
      </c>
      <c r="F307" t="e">
        <f>IF('Items sous domaines Sciences '!#REF!=1,'Items sous domaines Sciences '!#REF!,0)</f>
        <v>#REF!</v>
      </c>
      <c r="G307"/>
    </row>
    <row r="308" spans="1:7" ht="13.2" hidden="1" x14ac:dyDescent="0.25">
      <c r="A308" s="12"/>
      <c r="B308" s="8">
        <f>IF('Items sous domaines Sciences '!G310=7,'Items sous domaines Sciences '!B310,0)</f>
        <v>0</v>
      </c>
      <c r="C308" s="8">
        <f>IF('Items sous domaines Sciences '!G310=7,'Items sous domaines Sciences '!C310,0)</f>
        <v>0</v>
      </c>
      <c r="D308" s="8">
        <f>IF('Items sous domaines Sciences '!G310=7,'Items sous domaines Sciences '!D310,0)</f>
        <v>0</v>
      </c>
      <c r="E308" s="8">
        <f>IF('Items sous domaines Sciences '!G310=7,'Items sous domaines Sciences '!E310,0)</f>
        <v>0</v>
      </c>
      <c r="F308" t="e">
        <f>IF('Items sous domaines Sciences '!#REF!=1,'Items sous domaines Sciences '!#REF!,0)</f>
        <v>#REF!</v>
      </c>
      <c r="G308"/>
    </row>
    <row r="309" spans="1:7" ht="13.5" hidden="1" customHeight="1" thickBot="1" x14ac:dyDescent="0.3">
      <c r="A309" s="533" t="s">
        <v>515</v>
      </c>
      <c r="B309" s="8">
        <f>IF('Items sous domaines Sciences '!G311=7,'Items sous domaines Sciences '!B311,0)</f>
        <v>0</v>
      </c>
      <c r="C309" s="8">
        <f>IF('Items sous domaines Sciences '!G311=7,'Items sous domaines Sciences '!C311,0)</f>
        <v>0</v>
      </c>
      <c r="D309" s="8">
        <f>IF('Items sous domaines Sciences '!G311=7,'Items sous domaines Sciences '!D311,0)</f>
        <v>0</v>
      </c>
      <c r="E309" s="8">
        <f>IF('Items sous domaines Sciences '!G311=7,'Items sous domaines Sciences '!E311,0)</f>
        <v>0</v>
      </c>
      <c r="F309" s="25"/>
      <c r="G309" s="28" t="s">
        <v>516</v>
      </c>
    </row>
    <row r="310" spans="1:7" ht="41.25" hidden="1" customHeight="1" thickBot="1" x14ac:dyDescent="0.3">
      <c r="A310" s="534"/>
      <c r="B310" s="8">
        <f>IF('Items sous domaines Sciences '!G312=7,'Items sous domaines Sciences '!B312,0)</f>
        <v>0</v>
      </c>
      <c r="C310" s="8">
        <f>IF('Items sous domaines Sciences '!G312=7,'Items sous domaines Sciences '!C312,0)</f>
        <v>0</v>
      </c>
      <c r="D310" s="8">
        <f>IF('Items sous domaines Sciences '!G312=7,'Items sous domaines Sciences '!D312,0)</f>
        <v>0</v>
      </c>
      <c r="E310" s="8">
        <f>IF('Items sous domaines Sciences '!G312=7,'Items sous domaines Sciences '!E312,0)</f>
        <v>0</v>
      </c>
      <c r="F310" s="26" t="s">
        <v>517</v>
      </c>
      <c r="G310"/>
    </row>
    <row r="311" spans="1:7" ht="41.25" hidden="1" customHeight="1" thickBot="1" x14ac:dyDescent="0.3">
      <c r="A311" s="20" t="s">
        <v>518</v>
      </c>
      <c r="B311" s="8">
        <f>IF('Items sous domaines Sciences '!G313=7,'Items sous domaines Sciences '!B313,0)</f>
        <v>0</v>
      </c>
      <c r="C311" s="8">
        <f>IF('Items sous domaines Sciences '!G313=7,'Items sous domaines Sciences '!C313,0)</f>
        <v>0</v>
      </c>
      <c r="D311" s="8">
        <f>IF('Items sous domaines Sciences '!G313=7,'Items sous domaines Sciences '!D313,0)</f>
        <v>0</v>
      </c>
      <c r="E311" s="8">
        <f>IF('Items sous domaines Sciences '!G313=7,'Items sous domaines Sciences '!E313,0)</f>
        <v>0</v>
      </c>
      <c r="F311" s="27"/>
      <c r="G311"/>
    </row>
    <row r="312" spans="1:7" ht="13.5" hidden="1" customHeight="1" thickBot="1" x14ac:dyDescent="0.3">
      <c r="A312" s="12"/>
      <c r="B312" s="8">
        <f>IF('Items sous domaines Sciences '!G314=7,'Items sous domaines Sciences '!B314,0)</f>
        <v>0</v>
      </c>
      <c r="C312" s="8">
        <f>IF('Items sous domaines Sciences '!G314=7,'Items sous domaines Sciences '!C314,0)</f>
        <v>0</v>
      </c>
      <c r="D312" s="8">
        <f>IF('Items sous domaines Sciences '!G314=7,'Items sous domaines Sciences '!D314,0)</f>
        <v>0</v>
      </c>
      <c r="E312" s="8">
        <f>IF('Items sous domaines Sciences '!G314=7,'Items sous domaines Sciences '!E314,0)</f>
        <v>0</v>
      </c>
      <c r="F312" t="e">
        <f>IF('Items sous domaines Sciences '!#REF!=1,'Items sous domaines Sciences '!#REF!,0)</f>
        <v>#REF!</v>
      </c>
      <c r="G312"/>
    </row>
    <row r="313" spans="1:7" ht="13.5" hidden="1" customHeight="1" thickBot="1" x14ac:dyDescent="0.3">
      <c r="A313" s="12"/>
      <c r="B313" s="8">
        <f>IF('Items sous domaines Sciences '!G315=7,'Items sous domaines Sciences '!B315,0)</f>
        <v>0</v>
      </c>
      <c r="C313" s="8">
        <f>IF('Items sous domaines Sciences '!G315=7,'Items sous domaines Sciences '!C315,0)</f>
        <v>0</v>
      </c>
      <c r="D313" s="8">
        <f>IF('Items sous domaines Sciences '!G315=7,'Items sous domaines Sciences '!D315,0)</f>
        <v>0</v>
      </c>
      <c r="E313" s="8">
        <f>IF('Items sous domaines Sciences '!G315=7,'Items sous domaines Sciences '!E315,0)</f>
        <v>0</v>
      </c>
      <c r="F313" t="e">
        <f>IF('Items sous domaines Sciences '!#REF!=1,'Items sous domaines Sciences '!#REF!,0)</f>
        <v>#REF!</v>
      </c>
      <c r="G313"/>
    </row>
    <row r="314" spans="1:7" ht="13.5" hidden="1" customHeight="1" thickBot="1" x14ac:dyDescent="0.3">
      <c r="A314" s="12"/>
      <c r="B314" s="8">
        <f>IF('Items sous domaines Sciences '!G316=7,'Items sous domaines Sciences '!B316,0)</f>
        <v>0</v>
      </c>
      <c r="C314" s="8">
        <f>IF('Items sous domaines Sciences '!G316=7,'Items sous domaines Sciences '!C316,0)</f>
        <v>0</v>
      </c>
      <c r="D314" s="8">
        <f>IF('Items sous domaines Sciences '!G316=7,'Items sous domaines Sciences '!D316,0)</f>
        <v>0</v>
      </c>
      <c r="E314" s="8">
        <f>IF('Items sous domaines Sciences '!G316=7,'Items sous domaines Sciences '!E316,0)</f>
        <v>0</v>
      </c>
      <c r="F314" t="e">
        <f>IF('Items sous domaines Sciences '!#REF!=1,'Items sous domaines Sciences '!#REF!,0)</f>
        <v>#REF!</v>
      </c>
      <c r="G314"/>
    </row>
    <row r="315" spans="1:7" ht="13.5" hidden="1" customHeight="1" thickBot="1" x14ac:dyDescent="0.3">
      <c r="A315" s="12"/>
      <c r="B315" s="8">
        <f>IF('Items sous domaines Sciences '!G317=7,'Items sous domaines Sciences '!B317,0)</f>
        <v>0</v>
      </c>
      <c r="C315" s="8">
        <f>IF('Items sous domaines Sciences '!G317=7,'Items sous domaines Sciences '!C317,0)</f>
        <v>0</v>
      </c>
      <c r="D315" s="8">
        <f>IF('Items sous domaines Sciences '!G317=7,'Items sous domaines Sciences '!D317,0)</f>
        <v>0</v>
      </c>
      <c r="E315" s="8">
        <f>IF('Items sous domaines Sciences '!G317=7,'Items sous domaines Sciences '!E317,0)</f>
        <v>0</v>
      </c>
      <c r="F315" t="e">
        <f>IF('Items sous domaines Sciences '!#REF!=1,'Items sous domaines Sciences '!#REF!,0)</f>
        <v>#REF!</v>
      </c>
      <c r="G315"/>
    </row>
    <row r="316" spans="1:7" ht="13.5" hidden="1" customHeight="1" thickBot="1" x14ac:dyDescent="0.3">
      <c r="A316" s="12"/>
      <c r="B316" s="8">
        <f>IF('Items sous domaines Sciences '!G318=7,'Items sous domaines Sciences '!B318,0)</f>
        <v>0</v>
      </c>
      <c r="C316" s="8">
        <f>IF('Items sous domaines Sciences '!G318=7,'Items sous domaines Sciences '!C318,0)</f>
        <v>0</v>
      </c>
      <c r="D316" s="8">
        <f>IF('Items sous domaines Sciences '!G318=7,'Items sous domaines Sciences '!D318,0)</f>
        <v>0</v>
      </c>
      <c r="E316" s="8">
        <f>IF('Items sous domaines Sciences '!G318=7,'Items sous domaines Sciences '!E318,0)</f>
        <v>0</v>
      </c>
      <c r="F316" t="e">
        <f>IF('Items sous domaines Sciences '!#REF!=1,'Items sous domaines Sciences '!#REF!,0)</f>
        <v>#REF!</v>
      </c>
      <c r="G316"/>
    </row>
    <row r="317" spans="1:7" ht="13.5" hidden="1" customHeight="1" thickBot="1" x14ac:dyDescent="0.3">
      <c r="A317" s="12"/>
      <c r="B317" s="8">
        <f>IF('Items sous domaines Sciences '!G319=7,'Items sous domaines Sciences '!B319,0)</f>
        <v>0</v>
      </c>
      <c r="C317" s="8">
        <f>IF('Items sous domaines Sciences '!G319=7,'Items sous domaines Sciences '!C319,0)</f>
        <v>0</v>
      </c>
      <c r="D317" s="8">
        <f>IF('Items sous domaines Sciences '!G319=7,'Items sous domaines Sciences '!D319,0)</f>
        <v>0</v>
      </c>
      <c r="E317" s="8">
        <f>IF('Items sous domaines Sciences '!G319=7,'Items sous domaines Sciences '!E319,0)</f>
        <v>0</v>
      </c>
      <c r="F317" t="e">
        <f>IF('Items sous domaines Sciences '!#REF!=1,'Items sous domaines Sciences '!#REF!,0)</f>
        <v>#REF!</v>
      </c>
      <c r="G317"/>
    </row>
    <row r="318" spans="1:7" ht="13.5" hidden="1" customHeight="1" thickBot="1" x14ac:dyDescent="0.3">
      <c r="A318" s="12"/>
      <c r="B318" s="8">
        <f>IF('Items sous domaines Sciences '!G320=7,'Items sous domaines Sciences '!B320,0)</f>
        <v>0</v>
      </c>
      <c r="C318" s="8">
        <f>IF('Items sous domaines Sciences '!G320=7,'Items sous domaines Sciences '!C320,0)</f>
        <v>0</v>
      </c>
      <c r="D318" s="8">
        <f>IF('Items sous domaines Sciences '!G320=7,'Items sous domaines Sciences '!D320,0)</f>
        <v>0</v>
      </c>
      <c r="E318" s="8">
        <f>IF('Items sous domaines Sciences '!G320=7,'Items sous domaines Sciences '!E320,0)</f>
        <v>0</v>
      </c>
      <c r="F318" t="e">
        <f>IF('Items sous domaines Sciences '!#REF!=1,'Items sous domaines Sciences '!#REF!,0)</f>
        <v>#REF!</v>
      </c>
      <c r="G318"/>
    </row>
    <row r="319" spans="1:7" ht="13.5" hidden="1" customHeight="1" thickBot="1" x14ac:dyDescent="0.3">
      <c r="A319" s="12"/>
      <c r="B319" s="8">
        <f>IF('Items sous domaines Sciences '!G321=7,'Items sous domaines Sciences '!B321,0)</f>
        <v>0</v>
      </c>
      <c r="C319" s="8">
        <f>IF('Items sous domaines Sciences '!G321=7,'Items sous domaines Sciences '!C321,0)</f>
        <v>0</v>
      </c>
      <c r="D319" s="8">
        <f>IF('Items sous domaines Sciences '!G321=7,'Items sous domaines Sciences '!D321,0)</f>
        <v>0</v>
      </c>
      <c r="E319" s="8">
        <f>IF('Items sous domaines Sciences '!G321=7,'Items sous domaines Sciences '!E321,0)</f>
        <v>0</v>
      </c>
      <c r="F319" t="e">
        <f>IF('Items sous domaines Sciences '!#REF!=1,'Items sous domaines Sciences '!#REF!,0)</f>
        <v>#REF!</v>
      </c>
      <c r="G319"/>
    </row>
    <row r="320" spans="1:7" ht="13.5" hidden="1" customHeight="1" thickBot="1" x14ac:dyDescent="0.3">
      <c r="A320" s="12"/>
      <c r="B320" s="8">
        <f>IF('Items sous domaines Sciences '!G322=7,'Items sous domaines Sciences '!B322,0)</f>
        <v>0</v>
      </c>
      <c r="C320" s="8">
        <f>IF('Items sous domaines Sciences '!G322=7,'Items sous domaines Sciences '!C322,0)</f>
        <v>0</v>
      </c>
      <c r="D320" s="8">
        <f>IF('Items sous domaines Sciences '!G322=7,'Items sous domaines Sciences '!D322,0)</f>
        <v>0</v>
      </c>
      <c r="E320" s="8">
        <f>IF('Items sous domaines Sciences '!G322=7,'Items sous domaines Sciences '!E322,0)</f>
        <v>0</v>
      </c>
      <c r="F320" t="e">
        <f>IF('Items sous domaines Sciences '!#REF!=1,'Items sous domaines Sciences '!#REF!,0)</f>
        <v>#REF!</v>
      </c>
      <c r="G320"/>
    </row>
    <row r="321" spans="1:7" ht="13.5" hidden="1" customHeight="1" thickBot="1" x14ac:dyDescent="0.3">
      <c r="A321" s="12"/>
      <c r="B321" s="8">
        <f>IF('Items sous domaines Sciences '!G323=7,'Items sous domaines Sciences '!B323,0)</f>
        <v>0</v>
      </c>
      <c r="C321" s="8">
        <f>IF('Items sous domaines Sciences '!G323=7,'Items sous domaines Sciences '!C323,0)</f>
        <v>0</v>
      </c>
      <c r="D321" s="8">
        <f>IF('Items sous domaines Sciences '!G323=7,'Items sous domaines Sciences '!D323,0)</f>
        <v>0</v>
      </c>
      <c r="E321" s="8">
        <f>IF('Items sous domaines Sciences '!G323=7,'Items sous domaines Sciences '!E323,0)</f>
        <v>0</v>
      </c>
      <c r="F321" t="e">
        <f>IF('Items sous domaines Sciences '!#REF!=1,'Items sous domaines Sciences '!#REF!,0)</f>
        <v>#REF!</v>
      </c>
      <c r="G321"/>
    </row>
    <row r="322" spans="1:7" ht="13.5" hidden="1" customHeight="1" thickBot="1" x14ac:dyDescent="0.3">
      <c r="A322" s="12"/>
      <c r="B322" s="8">
        <f>IF('Items sous domaines Sciences '!G324=7,'Items sous domaines Sciences '!B324,0)</f>
        <v>0</v>
      </c>
      <c r="C322" s="8">
        <f>IF('Items sous domaines Sciences '!G324=7,'Items sous domaines Sciences '!C324,0)</f>
        <v>0</v>
      </c>
      <c r="D322" s="8">
        <f>IF('Items sous domaines Sciences '!G324=7,'Items sous domaines Sciences '!D324,0)</f>
        <v>0</v>
      </c>
      <c r="E322" s="8">
        <f>IF('Items sous domaines Sciences '!G324=7,'Items sous domaines Sciences '!E324,0)</f>
        <v>0</v>
      </c>
      <c r="F322" t="e">
        <f>IF('Items sous domaines Sciences '!#REF!=1,'Items sous domaines Sciences '!#REF!,0)</f>
        <v>#REF!</v>
      </c>
      <c r="G322"/>
    </row>
    <row r="323" spans="1:7" ht="13.5" hidden="1" customHeight="1" thickBot="1" x14ac:dyDescent="0.3">
      <c r="A323" s="12"/>
      <c r="B323" s="8">
        <f>IF('Items sous domaines Sciences '!G325=7,'Items sous domaines Sciences '!B325,0)</f>
        <v>0</v>
      </c>
      <c r="C323" s="8">
        <f>IF('Items sous domaines Sciences '!G325=7,'Items sous domaines Sciences '!C325,0)</f>
        <v>0</v>
      </c>
      <c r="D323" s="8">
        <f>IF('Items sous domaines Sciences '!G325=7,'Items sous domaines Sciences '!D325,0)</f>
        <v>0</v>
      </c>
      <c r="E323" s="8">
        <f>IF('Items sous domaines Sciences '!G325=7,'Items sous domaines Sciences '!E325,0)</f>
        <v>0</v>
      </c>
      <c r="F323" t="e">
        <f>IF('Items sous domaines Sciences '!#REF!=1,'Items sous domaines Sciences '!#REF!,0)</f>
        <v>#REF!</v>
      </c>
      <c r="G323"/>
    </row>
    <row r="324" spans="1:7" ht="13.5" hidden="1" customHeight="1" thickBot="1" x14ac:dyDescent="0.3">
      <c r="A324" s="12"/>
      <c r="B324" s="8">
        <f>IF('Items sous domaines Sciences '!G326=7,'Items sous domaines Sciences '!B326,0)</f>
        <v>0</v>
      </c>
      <c r="C324" s="8">
        <f>IF('Items sous domaines Sciences '!G326=7,'Items sous domaines Sciences '!C326,0)</f>
        <v>0</v>
      </c>
      <c r="D324" s="8">
        <f>IF('Items sous domaines Sciences '!G326=7,'Items sous domaines Sciences '!D326,0)</f>
        <v>0</v>
      </c>
      <c r="E324" s="8">
        <f>IF('Items sous domaines Sciences '!G326=7,'Items sous domaines Sciences '!E326,0)</f>
        <v>0</v>
      </c>
      <c r="F324" t="e">
        <f>IF('Items sous domaines Sciences '!#REF!=1,'Items sous domaines Sciences '!#REF!,0)</f>
        <v>#REF!</v>
      </c>
      <c r="G324"/>
    </row>
    <row r="325" spans="1:7" ht="13.5" hidden="1" customHeight="1" thickBot="1" x14ac:dyDescent="0.3">
      <c r="A325" s="12"/>
      <c r="B325" s="8">
        <f>IF('Items sous domaines Sciences '!G327=7,'Items sous domaines Sciences '!B327,0)</f>
        <v>0</v>
      </c>
      <c r="C325" s="8">
        <f>IF('Items sous domaines Sciences '!G327=7,'Items sous domaines Sciences '!C327,0)</f>
        <v>0</v>
      </c>
      <c r="D325" s="8">
        <f>IF('Items sous domaines Sciences '!G327=7,'Items sous domaines Sciences '!D327,0)</f>
        <v>0</v>
      </c>
      <c r="E325" s="8">
        <f>IF('Items sous domaines Sciences '!G327=7,'Items sous domaines Sciences '!E327,0)</f>
        <v>0</v>
      </c>
      <c r="F325" t="e">
        <f>IF('Items sous domaines Sciences '!#REF!=1,'Items sous domaines Sciences '!#REF!,0)</f>
        <v>#REF!</v>
      </c>
      <c r="G325"/>
    </row>
    <row r="326" spans="1:7" ht="13.5" hidden="1" customHeight="1" thickBot="1" x14ac:dyDescent="0.3">
      <c r="A326" s="12"/>
      <c r="B326" s="8">
        <f>IF('Items sous domaines Sciences '!G328=7,'Items sous domaines Sciences '!B328,0)</f>
        <v>0</v>
      </c>
      <c r="C326" s="8">
        <f>IF('Items sous domaines Sciences '!G328=7,'Items sous domaines Sciences '!C328,0)</f>
        <v>0</v>
      </c>
      <c r="D326" s="8">
        <f>IF('Items sous domaines Sciences '!G328=7,'Items sous domaines Sciences '!D328,0)</f>
        <v>0</v>
      </c>
      <c r="E326" s="8">
        <f>IF('Items sous domaines Sciences '!G328=7,'Items sous domaines Sciences '!E328,0)</f>
        <v>0</v>
      </c>
      <c r="F326" t="e">
        <f>IF('Items sous domaines Sciences '!#REF!=1,'Items sous domaines Sciences '!#REF!,0)</f>
        <v>#REF!</v>
      </c>
      <c r="G326"/>
    </row>
    <row r="327" spans="1:7" ht="13.5" hidden="1" customHeight="1" thickBot="1" x14ac:dyDescent="0.3">
      <c r="A327" s="12"/>
      <c r="B327" s="8">
        <f>IF('Items sous domaines Sciences '!G329=7,'Items sous domaines Sciences '!B329,0)</f>
        <v>0</v>
      </c>
      <c r="C327" s="8">
        <f>IF('Items sous domaines Sciences '!G329=7,'Items sous domaines Sciences '!C329,0)</f>
        <v>0</v>
      </c>
      <c r="D327" s="8">
        <f>IF('Items sous domaines Sciences '!G329=7,'Items sous domaines Sciences '!D329,0)</f>
        <v>0</v>
      </c>
      <c r="E327" s="8">
        <f>IF('Items sous domaines Sciences '!G329=7,'Items sous domaines Sciences '!E329,0)</f>
        <v>0</v>
      </c>
      <c r="F327" t="e">
        <f>IF('Items sous domaines Sciences '!#REF!=1,'Items sous domaines Sciences '!#REF!,0)</f>
        <v>#REF!</v>
      </c>
      <c r="G327"/>
    </row>
    <row r="328" spans="1:7" ht="13.5" hidden="1" customHeight="1" thickBot="1" x14ac:dyDescent="0.3">
      <c r="A328" s="12"/>
      <c r="B328" s="8">
        <f>IF('Items sous domaines Sciences '!G330=7,'Items sous domaines Sciences '!B330,0)</f>
        <v>0</v>
      </c>
      <c r="C328" s="8">
        <f>IF('Items sous domaines Sciences '!G330=7,'Items sous domaines Sciences '!C330,0)</f>
        <v>0</v>
      </c>
      <c r="D328" s="8">
        <f>IF('Items sous domaines Sciences '!G330=7,'Items sous domaines Sciences '!D330,0)</f>
        <v>0</v>
      </c>
      <c r="E328" s="8">
        <f>IF('Items sous domaines Sciences '!G330=7,'Items sous domaines Sciences '!E330,0)</f>
        <v>0</v>
      </c>
      <c r="F328" t="e">
        <f>IF('Items sous domaines Sciences '!#REF!=1,'Items sous domaines Sciences '!#REF!,0)</f>
        <v>#REF!</v>
      </c>
      <c r="G328"/>
    </row>
    <row r="329" spans="1:7" ht="13.5" hidden="1" customHeight="1" thickBot="1" x14ac:dyDescent="0.3">
      <c r="A329" s="12"/>
      <c r="B329" s="8">
        <f>IF('Items sous domaines Sciences '!G331=7,'Items sous domaines Sciences '!B331,0)</f>
        <v>0</v>
      </c>
      <c r="C329" s="8">
        <f>IF('Items sous domaines Sciences '!G331=7,'Items sous domaines Sciences '!C331,0)</f>
        <v>0</v>
      </c>
      <c r="D329" s="8">
        <f>IF('Items sous domaines Sciences '!G331=7,'Items sous domaines Sciences '!D331,0)</f>
        <v>0</v>
      </c>
      <c r="E329" s="8">
        <f>IF('Items sous domaines Sciences '!G331=7,'Items sous domaines Sciences '!E331,0)</f>
        <v>0</v>
      </c>
      <c r="F329" t="e">
        <f>IF('Items sous domaines Sciences '!#REF!=1,'Items sous domaines Sciences '!#REF!,0)</f>
        <v>#REF!</v>
      </c>
      <c r="G329"/>
    </row>
    <row r="330" spans="1:7" ht="13.5" hidden="1" customHeight="1" thickBot="1" x14ac:dyDescent="0.3">
      <c r="A330" s="12"/>
      <c r="B330" s="8">
        <f>IF('Items sous domaines Sciences '!G332=7,'Items sous domaines Sciences '!B332,0)</f>
        <v>0</v>
      </c>
      <c r="C330" s="8">
        <f>IF('Items sous domaines Sciences '!G332=7,'Items sous domaines Sciences '!C332,0)</f>
        <v>0</v>
      </c>
      <c r="D330" s="8">
        <f>IF('Items sous domaines Sciences '!G332=7,'Items sous domaines Sciences '!D332,0)</f>
        <v>0</v>
      </c>
      <c r="E330" s="8">
        <f>IF('Items sous domaines Sciences '!G332=7,'Items sous domaines Sciences '!E332,0)</f>
        <v>0</v>
      </c>
      <c r="F330" t="e">
        <f>IF('Items sous domaines Sciences '!#REF!=1,'Items sous domaines Sciences '!#REF!,0)</f>
        <v>#REF!</v>
      </c>
      <c r="G330"/>
    </row>
    <row r="331" spans="1:7" ht="13.5" hidden="1" customHeight="1" thickBot="1" x14ac:dyDescent="0.3">
      <c r="A331" s="12"/>
      <c r="B331" s="8">
        <f>IF('Items sous domaines Sciences '!G333=7,'Items sous domaines Sciences '!B333,0)</f>
        <v>0</v>
      </c>
      <c r="C331" s="8">
        <f>IF('Items sous domaines Sciences '!G333=7,'Items sous domaines Sciences '!C333,0)</f>
        <v>0</v>
      </c>
      <c r="D331" s="8">
        <f>IF('Items sous domaines Sciences '!G333=7,'Items sous domaines Sciences '!D333,0)</f>
        <v>0</v>
      </c>
      <c r="E331" s="8">
        <f>IF('Items sous domaines Sciences '!G333=7,'Items sous domaines Sciences '!E333,0)</f>
        <v>0</v>
      </c>
      <c r="F331" t="e">
        <f>IF('Items sous domaines Sciences '!#REF!=1,'Items sous domaines Sciences '!#REF!,0)</f>
        <v>#REF!</v>
      </c>
      <c r="G331"/>
    </row>
    <row r="332" spans="1:7" ht="13.5" hidden="1" customHeight="1" thickBot="1" x14ac:dyDescent="0.3">
      <c r="A332" s="12"/>
      <c r="B332" s="8">
        <f>IF('Items sous domaines Sciences '!G334=7,'Items sous domaines Sciences '!B334,0)</f>
        <v>0</v>
      </c>
      <c r="C332" s="8">
        <f>IF('Items sous domaines Sciences '!G334=7,'Items sous domaines Sciences '!C334,0)</f>
        <v>0</v>
      </c>
      <c r="D332" s="8">
        <f>IF('Items sous domaines Sciences '!G334=7,'Items sous domaines Sciences '!D334,0)</f>
        <v>0</v>
      </c>
      <c r="E332" s="8">
        <f>IF('Items sous domaines Sciences '!G334=7,'Items sous domaines Sciences '!E334,0)</f>
        <v>0</v>
      </c>
      <c r="F332" t="e">
        <f>IF('Items sous domaines Sciences '!#REF!=1,'Items sous domaines Sciences '!#REF!,0)</f>
        <v>#REF!</v>
      </c>
      <c r="G332"/>
    </row>
    <row r="333" spans="1:7" ht="13.2" hidden="1" x14ac:dyDescent="0.25">
      <c r="A333" s="12"/>
      <c r="B333" s="8">
        <f>IF('Items sous domaines Sciences '!G335=7,'Items sous domaines Sciences '!B335,0)</f>
        <v>0</v>
      </c>
      <c r="C333" s="8">
        <f>IF('Items sous domaines Sciences '!G335=7,'Items sous domaines Sciences '!C335,0)</f>
        <v>0</v>
      </c>
      <c r="D333" s="8">
        <f>IF('Items sous domaines Sciences '!G335=7,'Items sous domaines Sciences '!D335,0)</f>
        <v>0</v>
      </c>
      <c r="E333" s="8">
        <f>IF('Items sous domaines Sciences '!G335=7,'Items sous domaines Sciences '!E335,0)</f>
        <v>0</v>
      </c>
      <c r="F333" t="e">
        <f>IF('Items sous domaines Sciences '!#REF!=1,'Items sous domaines Sciences '!#REF!,0)</f>
        <v>#REF!</v>
      </c>
      <c r="G333"/>
    </row>
    <row r="334" spans="1:7" ht="13.2" hidden="1" x14ac:dyDescent="0.25">
      <c r="A334" s="12"/>
      <c r="B334" s="8">
        <f>IF('Items sous domaines Sciences '!G336=7,'Items sous domaines Sciences '!B336,0)</f>
        <v>0</v>
      </c>
      <c r="C334" s="8">
        <f>IF('Items sous domaines Sciences '!G336=7,'Items sous domaines Sciences '!C336,0)</f>
        <v>0</v>
      </c>
      <c r="D334" s="8">
        <f>IF('Items sous domaines Sciences '!G336=7,'Items sous domaines Sciences '!D336,0)</f>
        <v>0</v>
      </c>
      <c r="E334" s="8">
        <f>IF('Items sous domaines Sciences '!G336=7,'Items sous domaines Sciences '!E336,0)</f>
        <v>0</v>
      </c>
      <c r="F334" t="e">
        <f>IF('Items sous domaines Sciences '!#REF!=1,'Items sous domaines Sciences '!#REF!,0)</f>
        <v>#REF!</v>
      </c>
      <c r="G334"/>
    </row>
    <row r="335" spans="1:7" ht="13.2" hidden="1" x14ac:dyDescent="0.25">
      <c r="A335" s="12"/>
      <c r="B335" s="8">
        <f>IF('Items sous domaines Sciences '!G337=7,'Items sous domaines Sciences '!B337,0)</f>
        <v>0</v>
      </c>
      <c r="C335" s="8">
        <f>IF('Items sous domaines Sciences '!G337=7,'Items sous domaines Sciences '!C337,0)</f>
        <v>0</v>
      </c>
      <c r="D335" s="8">
        <f>IF('Items sous domaines Sciences '!G337=7,'Items sous domaines Sciences '!D337,0)</f>
        <v>0</v>
      </c>
      <c r="E335" s="8">
        <f>IF('Items sous domaines Sciences '!G337=7,'Items sous domaines Sciences '!E337,0)</f>
        <v>0</v>
      </c>
      <c r="F335" t="e">
        <f>IF('Items sous domaines Sciences '!#REF!=1,'Items sous domaines Sciences '!#REF!,0)</f>
        <v>#REF!</v>
      </c>
      <c r="G335"/>
    </row>
    <row r="336" spans="1:7" ht="13.2" hidden="1" x14ac:dyDescent="0.25">
      <c r="A336" s="531" t="s">
        <v>519</v>
      </c>
      <c r="B336" s="8">
        <f>IF('Items sous domaines Sciences '!G338=7,'Items sous domaines Sciences '!B338,0)</f>
        <v>0</v>
      </c>
      <c r="C336" s="8">
        <f>IF('Items sous domaines Sciences '!G338=7,'Items sous domaines Sciences '!C338,0)</f>
        <v>0</v>
      </c>
      <c r="D336" s="8">
        <f>IF('Items sous domaines Sciences '!G338=7,'Items sous domaines Sciences '!D338,0)</f>
        <v>0</v>
      </c>
      <c r="E336" s="8">
        <f>IF('Items sous domaines Sciences '!G338=7,'Items sous domaines Sciences '!E338,0)</f>
        <v>0</v>
      </c>
      <c r="F336" t="e">
        <f>IF('Items sous domaines Sciences '!#REF!=1,'Items sous domaines Sciences '!#REF!,0)</f>
        <v>#REF!</v>
      </c>
      <c r="G336"/>
    </row>
    <row r="337" spans="1:7" ht="17.399999999999999" hidden="1" customHeight="1" thickBot="1" x14ac:dyDescent="0.3">
      <c r="A337" s="503"/>
      <c r="B337" s="8">
        <f>IF('Items sous domaines Sciences '!G339=7,'Items sous domaines Sciences '!B339,0)</f>
        <v>0</v>
      </c>
      <c r="C337" s="8">
        <f>IF('Items sous domaines Sciences '!G339=7,'Items sous domaines Sciences '!C339,0)</f>
        <v>0</v>
      </c>
      <c r="D337" s="8">
        <f>IF('Items sous domaines Sciences '!G339=7,'Items sous domaines Sciences '!D339,0)</f>
        <v>0</v>
      </c>
      <c r="E337" s="8">
        <f>IF('Items sous domaines Sciences '!G339=7,'Items sous domaines Sciences '!E339,0)</f>
        <v>0</v>
      </c>
      <c r="F337" t="e">
        <f>IF('Items sous domaines Sciences '!#REF!=1,'Items sous domaines Sciences '!#REF!,0)</f>
        <v>#REF!</v>
      </c>
      <c r="G337"/>
    </row>
    <row r="338" spans="1:7" ht="17.399999999999999" hidden="1" customHeight="1" thickBot="1" x14ac:dyDescent="0.3">
      <c r="A338" s="503"/>
      <c r="B338" s="8">
        <f>IF('Items sous domaines Sciences '!G340=7,'Items sous domaines Sciences '!B340,0)</f>
        <v>0</v>
      </c>
      <c r="C338" s="8">
        <f>IF('Items sous domaines Sciences '!G340=7,'Items sous domaines Sciences '!C340,0)</f>
        <v>0</v>
      </c>
      <c r="D338" s="8">
        <f>IF('Items sous domaines Sciences '!G340=7,'Items sous domaines Sciences '!D340,0)</f>
        <v>0</v>
      </c>
      <c r="E338" s="8">
        <f>IF('Items sous domaines Sciences '!G340=7,'Items sous domaines Sciences '!E340,0)</f>
        <v>0</v>
      </c>
      <c r="F338" t="e">
        <f>IF('Items sous domaines Sciences '!#REF!=1,'Items sous domaines Sciences '!#REF!,0)</f>
        <v>#REF!</v>
      </c>
      <c r="G338"/>
    </row>
    <row r="339" spans="1:7" ht="17.399999999999999" hidden="1" customHeight="1" thickBot="1" x14ac:dyDescent="0.3">
      <c r="A339" s="503"/>
      <c r="B339" s="8">
        <f>IF('Items sous domaines Sciences '!G341=7,'Items sous domaines Sciences '!B341,0)</f>
        <v>0</v>
      </c>
      <c r="C339" s="8">
        <f>IF('Items sous domaines Sciences '!G341=7,'Items sous domaines Sciences '!C341,0)</f>
        <v>0</v>
      </c>
      <c r="D339" s="8">
        <f>IF('Items sous domaines Sciences '!G341=7,'Items sous domaines Sciences '!D341,0)</f>
        <v>0</v>
      </c>
      <c r="E339" s="8">
        <f>IF('Items sous domaines Sciences '!G341=7,'Items sous domaines Sciences '!E341,0)</f>
        <v>0</v>
      </c>
      <c r="F339" t="e">
        <f>IF('Items sous domaines Sciences '!#REF!=1,'Items sous domaines Sciences '!#REF!,0)</f>
        <v>#REF!</v>
      </c>
      <c r="G339"/>
    </row>
    <row r="340" spans="1:7" ht="17.399999999999999" hidden="1" customHeight="1" thickBot="1" x14ac:dyDescent="0.3">
      <c r="A340" s="503"/>
      <c r="B340" s="8">
        <f>IF('Items sous domaines Sciences '!G342=7,'Items sous domaines Sciences '!B342,0)</f>
        <v>0</v>
      </c>
      <c r="C340" s="8">
        <f>IF('Items sous domaines Sciences '!G342=7,'Items sous domaines Sciences '!C342,0)</f>
        <v>0</v>
      </c>
      <c r="D340" s="8">
        <f>IF('Items sous domaines Sciences '!G342=7,'Items sous domaines Sciences '!D342,0)</f>
        <v>0</v>
      </c>
      <c r="E340" s="8">
        <f>IF('Items sous domaines Sciences '!G342=7,'Items sous domaines Sciences '!E342,0)</f>
        <v>0</v>
      </c>
      <c r="F340" t="e">
        <f>IF('Items sous domaines Sciences '!#REF!=1,'Items sous domaines Sciences '!#REF!,0)</f>
        <v>#REF!</v>
      </c>
      <c r="G340"/>
    </row>
    <row r="341" spans="1:7" ht="17.399999999999999" hidden="1" customHeight="1" thickBot="1" x14ac:dyDescent="0.3">
      <c r="A341" s="503"/>
      <c r="B341" s="8">
        <f>IF('Items sous domaines Sciences '!G343=7,'Items sous domaines Sciences '!B343,0)</f>
        <v>0</v>
      </c>
      <c r="C341" s="8">
        <f>IF('Items sous domaines Sciences '!G343=7,'Items sous domaines Sciences '!C343,0)</f>
        <v>0</v>
      </c>
      <c r="D341" s="8">
        <f>IF('Items sous domaines Sciences '!G343=7,'Items sous domaines Sciences '!D343,0)</f>
        <v>0</v>
      </c>
      <c r="E341" s="8">
        <f>IF('Items sous domaines Sciences '!G343=7,'Items sous domaines Sciences '!E343,0)</f>
        <v>0</v>
      </c>
      <c r="F341" t="e">
        <f>IF('Items sous domaines Sciences '!#REF!=1,'Items sous domaines Sciences '!#REF!,0)</f>
        <v>#REF!</v>
      </c>
      <c r="G341"/>
    </row>
    <row r="342" spans="1:7" ht="17.399999999999999" hidden="1" customHeight="1" thickBot="1" x14ac:dyDescent="0.3">
      <c r="A342" s="503"/>
      <c r="B342" s="8">
        <f>IF('Items sous domaines Sciences '!G344=7,'Items sous domaines Sciences '!B344,0)</f>
        <v>0</v>
      </c>
      <c r="C342" s="8">
        <f>IF('Items sous domaines Sciences '!G344=7,'Items sous domaines Sciences '!C344,0)</f>
        <v>0</v>
      </c>
      <c r="D342" s="8">
        <f>IF('Items sous domaines Sciences '!G344=7,'Items sous domaines Sciences '!D344,0)</f>
        <v>0</v>
      </c>
      <c r="E342" s="8">
        <f>IF('Items sous domaines Sciences '!G344=7,'Items sous domaines Sciences '!E344,0)</f>
        <v>0</v>
      </c>
      <c r="F342" t="e">
        <f>IF('Items sous domaines Sciences '!#REF!=1,'Items sous domaines Sciences '!#REF!,0)</f>
        <v>#REF!</v>
      </c>
      <c r="G342"/>
    </row>
    <row r="343" spans="1:7" ht="17.399999999999999" hidden="1" customHeight="1" thickBot="1" x14ac:dyDescent="0.3">
      <c r="A343" s="503"/>
      <c r="B343" s="8">
        <f>IF('Items sous domaines Sciences '!G345=7,'Items sous domaines Sciences '!B345,0)</f>
        <v>0</v>
      </c>
      <c r="C343" s="8">
        <f>IF('Items sous domaines Sciences '!G345=7,'Items sous domaines Sciences '!C345,0)</f>
        <v>0</v>
      </c>
      <c r="D343" s="8">
        <f>IF('Items sous domaines Sciences '!G345=7,'Items sous domaines Sciences '!D345,0)</f>
        <v>0</v>
      </c>
      <c r="E343" s="8">
        <f>IF('Items sous domaines Sciences '!G345=7,'Items sous domaines Sciences '!E345,0)</f>
        <v>0</v>
      </c>
      <c r="F343" t="e">
        <f>IF('Items sous domaines Sciences '!#REF!=1,'Items sous domaines Sciences '!#REF!,0)</f>
        <v>#REF!</v>
      </c>
      <c r="G343"/>
    </row>
    <row r="344" spans="1:7" ht="17.399999999999999" hidden="1" customHeight="1" thickBot="1" x14ac:dyDescent="0.3">
      <c r="A344" s="532"/>
      <c r="B344" s="8">
        <f>IF('Items sous domaines Sciences '!G346=7,'Items sous domaines Sciences '!B346,0)</f>
        <v>0</v>
      </c>
      <c r="C344" s="8">
        <f>IF('Items sous domaines Sciences '!G346=7,'Items sous domaines Sciences '!C346,0)</f>
        <v>0</v>
      </c>
      <c r="D344" s="8">
        <f>IF('Items sous domaines Sciences '!G346=7,'Items sous domaines Sciences '!D346,0)</f>
        <v>0</v>
      </c>
      <c r="E344" s="8">
        <f>IF('Items sous domaines Sciences '!G346=7,'Items sous domaines Sciences '!E346,0)</f>
        <v>0</v>
      </c>
      <c r="F344" t="e">
        <f>IF('Items sous domaines Sciences '!#REF!=1,'Items sous domaines Sciences '!#REF!,0)</f>
        <v>#REF!</v>
      </c>
      <c r="G344"/>
    </row>
    <row r="345" spans="1:7" ht="17.399999999999999" hidden="1" customHeight="1" thickBot="1" x14ac:dyDescent="0.3">
      <c r="A345" s="21"/>
      <c r="B345" s="8">
        <f>IF('Items sous domaines Sciences '!G347=7,'Items sous domaines Sciences '!B347,0)</f>
        <v>0</v>
      </c>
      <c r="C345" s="8">
        <f>IF('Items sous domaines Sciences '!G347=7,'Items sous domaines Sciences '!C347,0)</f>
        <v>0</v>
      </c>
      <c r="D345" s="8">
        <f>IF('Items sous domaines Sciences '!G347=7,'Items sous domaines Sciences '!D347,0)</f>
        <v>0</v>
      </c>
      <c r="E345" s="8">
        <f>IF('Items sous domaines Sciences '!G347=7,'Items sous domaines Sciences '!E347,0)</f>
        <v>0</v>
      </c>
      <c r="F345" t="e">
        <f>IF('Items sous domaines Sciences '!#REF!=1,'Items sous domaines Sciences '!#REF!,0)</f>
        <v>#REF!</v>
      </c>
      <c r="G345"/>
    </row>
    <row r="346" spans="1:7" ht="17.399999999999999" hidden="1" customHeight="1" thickBot="1" x14ac:dyDescent="0.3">
      <c r="A346" s="21"/>
      <c r="B346" s="8">
        <f>IF('Items sous domaines Sciences '!G348=7,'Items sous domaines Sciences '!B348,0)</f>
        <v>0</v>
      </c>
      <c r="C346" s="8">
        <f>IF('Items sous domaines Sciences '!G348=7,'Items sous domaines Sciences '!C348,0)</f>
        <v>0</v>
      </c>
      <c r="D346" s="8">
        <f>IF('Items sous domaines Sciences '!G348=7,'Items sous domaines Sciences '!D348,0)</f>
        <v>0</v>
      </c>
      <c r="E346" s="8">
        <f>IF('Items sous domaines Sciences '!G348=7,'Items sous domaines Sciences '!E348,0)</f>
        <v>0</v>
      </c>
      <c r="F346" t="e">
        <f>IF('Items sous domaines Sciences '!#REF!=1,'Items sous domaines Sciences '!#REF!,0)</f>
        <v>#REF!</v>
      </c>
      <c r="G346"/>
    </row>
    <row r="347" spans="1:7" ht="17.399999999999999" hidden="1" customHeight="1" thickBot="1" x14ac:dyDescent="0.3">
      <c r="A347" s="21"/>
      <c r="B347" s="8">
        <f>IF('Items sous domaines Sciences '!G349=7,'Items sous domaines Sciences '!B349,0)</f>
        <v>0</v>
      </c>
      <c r="C347" s="8">
        <f>IF('Items sous domaines Sciences '!G349=7,'Items sous domaines Sciences '!C349,0)</f>
        <v>0</v>
      </c>
      <c r="D347" s="8">
        <f>IF('Items sous domaines Sciences '!G349=7,'Items sous domaines Sciences '!D349,0)</f>
        <v>0</v>
      </c>
      <c r="E347" s="8">
        <f>IF('Items sous domaines Sciences '!G349=7,'Items sous domaines Sciences '!E349,0)</f>
        <v>0</v>
      </c>
      <c r="F347" t="e">
        <f>IF('Items sous domaines Sciences '!#REF!=1,'Items sous domaines Sciences '!#REF!,0)</f>
        <v>#REF!</v>
      </c>
      <c r="G347"/>
    </row>
    <row r="348" spans="1:7" ht="13.5" hidden="1" customHeight="1" thickBot="1" x14ac:dyDescent="0.3">
      <c r="A348" s="21"/>
      <c r="B348" s="8">
        <f>IF('Items sous domaines Sciences '!G350=7,'Items sous domaines Sciences '!B350,0)</f>
        <v>0</v>
      </c>
      <c r="C348" s="8">
        <f>IF('Items sous domaines Sciences '!G350=7,'Items sous domaines Sciences '!C350,0)</f>
        <v>0</v>
      </c>
      <c r="D348" s="8">
        <f>IF('Items sous domaines Sciences '!G350=7,'Items sous domaines Sciences '!D350,0)</f>
        <v>0</v>
      </c>
      <c r="E348" s="8">
        <f>IF('Items sous domaines Sciences '!G350=7,'Items sous domaines Sciences '!E350,0)</f>
        <v>0</v>
      </c>
      <c r="F348" t="e">
        <f>IF('Items sous domaines Sciences '!#REF!=1,'Items sous domaines Sciences '!#REF!,0)</f>
        <v>#REF!</v>
      </c>
      <c r="G348"/>
    </row>
    <row r="349" spans="1:7" ht="13.5" hidden="1" customHeight="1" thickBot="1" x14ac:dyDescent="0.3">
      <c r="A349" s="21"/>
      <c r="B349" s="8">
        <f>IF('Items sous domaines Sciences '!G351=7,'Items sous domaines Sciences '!B351,0)</f>
        <v>0</v>
      </c>
      <c r="C349" s="8">
        <f>IF('Items sous domaines Sciences '!G351=7,'Items sous domaines Sciences '!C351,0)</f>
        <v>0</v>
      </c>
      <c r="D349" s="8">
        <f>IF('Items sous domaines Sciences '!G351=7,'Items sous domaines Sciences '!D351,0)</f>
        <v>0</v>
      </c>
      <c r="E349" s="8">
        <f>IF('Items sous domaines Sciences '!G351=7,'Items sous domaines Sciences '!E351,0)</f>
        <v>0</v>
      </c>
      <c r="F349" t="e">
        <f>IF('Items sous domaines Sciences '!#REF!=1,'Items sous domaines Sciences '!#REF!,0)</f>
        <v>#REF!</v>
      </c>
      <c r="G349"/>
    </row>
    <row r="350" spans="1:7" ht="13.5" hidden="1" customHeight="1" thickBot="1" x14ac:dyDescent="0.3">
      <c r="A350" s="21"/>
      <c r="B350" s="8">
        <f>IF('Items sous domaines Sciences '!G352=7,'Items sous domaines Sciences '!B352,0)</f>
        <v>0</v>
      </c>
      <c r="C350" s="8">
        <f>IF('Items sous domaines Sciences '!G352=7,'Items sous domaines Sciences '!C352,0)</f>
        <v>0</v>
      </c>
      <c r="D350" s="8">
        <f>IF('Items sous domaines Sciences '!G352=7,'Items sous domaines Sciences '!D352,0)</f>
        <v>0</v>
      </c>
      <c r="E350" s="8">
        <f>IF('Items sous domaines Sciences '!G352=7,'Items sous domaines Sciences '!E352,0)</f>
        <v>0</v>
      </c>
      <c r="F350" t="e">
        <f>IF('Items sous domaines Sciences '!#REF!=1,'Items sous domaines Sciences '!#REF!,0)</f>
        <v>#REF!</v>
      </c>
      <c r="G350"/>
    </row>
    <row r="351" spans="1:7" ht="13.5" hidden="1" customHeight="1" thickBot="1" x14ac:dyDescent="0.3">
      <c r="A351" s="21"/>
      <c r="B351" s="8">
        <f>IF('Items sous domaines Sciences '!G353=7,'Items sous domaines Sciences '!B353,0)</f>
        <v>0</v>
      </c>
      <c r="C351" s="8">
        <f>IF('Items sous domaines Sciences '!G353=7,'Items sous domaines Sciences '!C353,0)</f>
        <v>0</v>
      </c>
      <c r="D351" s="8">
        <f>IF('Items sous domaines Sciences '!G353=7,'Items sous domaines Sciences '!D353,0)</f>
        <v>0</v>
      </c>
      <c r="E351" s="8">
        <f>IF('Items sous domaines Sciences '!G353=7,'Items sous domaines Sciences '!E353,0)</f>
        <v>0</v>
      </c>
      <c r="F351" t="e">
        <f>IF('Items sous domaines Sciences '!#REF!=1,'Items sous domaines Sciences '!#REF!,0)</f>
        <v>#REF!</v>
      </c>
      <c r="G351"/>
    </row>
    <row r="352" spans="1:7" ht="13.5" hidden="1" customHeight="1" thickBot="1" x14ac:dyDescent="0.3">
      <c r="A352" s="21"/>
      <c r="B352" s="8">
        <f>IF('Items sous domaines Sciences '!G354=7,'Items sous domaines Sciences '!B354,0)</f>
        <v>0</v>
      </c>
      <c r="C352" s="8">
        <f>IF('Items sous domaines Sciences '!G354=7,'Items sous domaines Sciences '!C354,0)</f>
        <v>0</v>
      </c>
      <c r="D352" s="8">
        <f>IF('Items sous domaines Sciences '!G354=7,'Items sous domaines Sciences '!D354,0)</f>
        <v>0</v>
      </c>
      <c r="E352" s="8">
        <f>IF('Items sous domaines Sciences '!G354=7,'Items sous domaines Sciences '!E354,0)</f>
        <v>0</v>
      </c>
      <c r="F352" t="e">
        <f>IF('Items sous domaines Sciences '!#REF!=1,'Items sous domaines Sciences '!#REF!,0)</f>
        <v>#REF!</v>
      </c>
      <c r="G352"/>
    </row>
    <row r="353" spans="1:7" ht="13.5" hidden="1" customHeight="1" thickBot="1" x14ac:dyDescent="0.3">
      <c r="A353" s="21"/>
      <c r="B353" s="8">
        <f>IF('Items sous domaines Sciences '!G355=7,'Items sous domaines Sciences '!B355,0)</f>
        <v>0</v>
      </c>
      <c r="C353" s="8">
        <f>IF('Items sous domaines Sciences '!G355=7,'Items sous domaines Sciences '!C355,0)</f>
        <v>0</v>
      </c>
      <c r="D353" s="8">
        <f>IF('Items sous domaines Sciences '!G355=7,'Items sous domaines Sciences '!D355,0)</f>
        <v>0</v>
      </c>
      <c r="E353" s="8">
        <f>IF('Items sous domaines Sciences '!G355=7,'Items sous domaines Sciences '!E355,0)</f>
        <v>0</v>
      </c>
      <c r="F353" t="e">
        <f>IF('Items sous domaines Sciences '!#REF!=1,'Items sous domaines Sciences '!#REF!,0)</f>
        <v>#REF!</v>
      </c>
      <c r="G353"/>
    </row>
    <row r="354" spans="1:7" ht="13.5" hidden="1" customHeight="1" thickBot="1" x14ac:dyDescent="0.3">
      <c r="A354" s="21"/>
      <c r="B354" s="8">
        <f>IF('Items sous domaines Sciences '!G356=7,'Items sous domaines Sciences '!B356,0)</f>
        <v>0</v>
      </c>
      <c r="C354" s="8">
        <f>IF('Items sous domaines Sciences '!G356=7,'Items sous domaines Sciences '!C356,0)</f>
        <v>0</v>
      </c>
      <c r="D354" s="8">
        <f>IF('Items sous domaines Sciences '!G356=7,'Items sous domaines Sciences '!D356,0)</f>
        <v>0</v>
      </c>
      <c r="E354" s="8">
        <f>IF('Items sous domaines Sciences '!G356=7,'Items sous domaines Sciences '!E356,0)</f>
        <v>0</v>
      </c>
      <c r="F354" t="e">
        <f>IF('Items sous domaines Sciences '!#REF!=1,'Items sous domaines Sciences '!#REF!,0)</f>
        <v>#REF!</v>
      </c>
      <c r="G354"/>
    </row>
    <row r="355" spans="1:7" ht="13.5" hidden="1" customHeight="1" thickBot="1" x14ac:dyDescent="0.3">
      <c r="A355" s="21"/>
      <c r="B355" s="8">
        <f>IF('Items sous domaines Sciences '!G357=7,'Items sous domaines Sciences '!B357,0)</f>
        <v>0</v>
      </c>
      <c r="C355" s="8">
        <f>IF('Items sous domaines Sciences '!G357=7,'Items sous domaines Sciences '!C357,0)</f>
        <v>0</v>
      </c>
      <c r="D355" s="8">
        <f>IF('Items sous domaines Sciences '!G357=7,'Items sous domaines Sciences '!D357,0)</f>
        <v>0</v>
      </c>
      <c r="E355" s="8">
        <f>IF('Items sous domaines Sciences '!G357=7,'Items sous domaines Sciences '!E357,0)</f>
        <v>0</v>
      </c>
      <c r="F355" t="e">
        <f>IF('Items sous domaines Sciences '!#REF!=1,'Items sous domaines Sciences '!#REF!,0)</f>
        <v>#REF!</v>
      </c>
      <c r="G355"/>
    </row>
    <row r="356" spans="1:7" ht="13.5" hidden="1" customHeight="1" thickBot="1" x14ac:dyDescent="0.3">
      <c r="A356" s="21"/>
      <c r="B356" s="8">
        <f>IF('Items sous domaines Sciences '!G358=7,'Items sous domaines Sciences '!B358,0)</f>
        <v>0</v>
      </c>
      <c r="C356" s="8">
        <f>IF('Items sous domaines Sciences '!G358=7,'Items sous domaines Sciences '!C358,0)</f>
        <v>0</v>
      </c>
      <c r="D356" s="8">
        <f>IF('Items sous domaines Sciences '!G358=7,'Items sous domaines Sciences '!D358,0)</f>
        <v>0</v>
      </c>
      <c r="E356" s="8">
        <f>IF('Items sous domaines Sciences '!G358=7,'Items sous domaines Sciences '!E358,0)</f>
        <v>0</v>
      </c>
      <c r="F356" t="e">
        <f>IF('Items sous domaines Sciences '!#REF!=1,'Items sous domaines Sciences '!#REF!,0)</f>
        <v>#REF!</v>
      </c>
      <c r="G356"/>
    </row>
    <row r="357" spans="1:7" ht="13.5" hidden="1" customHeight="1" thickBot="1" x14ac:dyDescent="0.3">
      <c r="A357" s="21"/>
      <c r="B357" s="8">
        <f>IF('Items sous domaines Sciences '!G359=7,'Items sous domaines Sciences '!B359,0)</f>
        <v>0</v>
      </c>
      <c r="C357" s="8">
        <f>IF('Items sous domaines Sciences '!G359=7,'Items sous domaines Sciences '!C359,0)</f>
        <v>0</v>
      </c>
      <c r="D357" s="8">
        <f>IF('Items sous domaines Sciences '!G359=7,'Items sous domaines Sciences '!D359,0)</f>
        <v>0</v>
      </c>
      <c r="E357" s="8">
        <f>IF('Items sous domaines Sciences '!G359=7,'Items sous domaines Sciences '!E359,0)</f>
        <v>0</v>
      </c>
      <c r="F357" t="e">
        <f>IF('Items sous domaines Sciences '!#REF!=1,'Items sous domaines Sciences '!#REF!,0)</f>
        <v>#REF!</v>
      </c>
      <c r="G357"/>
    </row>
    <row r="358" spans="1:7" ht="13.5" hidden="1" customHeight="1" thickBot="1" x14ac:dyDescent="0.3">
      <c r="A358" s="21"/>
      <c r="B358" s="8">
        <f>IF('Items sous domaines Sciences '!G360=7,'Items sous domaines Sciences '!B360,0)</f>
        <v>0</v>
      </c>
      <c r="C358" s="8">
        <f>IF('Items sous domaines Sciences '!G360=7,'Items sous domaines Sciences '!C360,0)</f>
        <v>0</v>
      </c>
      <c r="D358" s="8">
        <f>IF('Items sous domaines Sciences '!G360=7,'Items sous domaines Sciences '!D360,0)</f>
        <v>0</v>
      </c>
      <c r="E358" s="8">
        <f>IF('Items sous domaines Sciences '!G360=7,'Items sous domaines Sciences '!E360,0)</f>
        <v>0</v>
      </c>
      <c r="F358" t="e">
        <f>IF('Items sous domaines Sciences '!#REF!=1,'Items sous domaines Sciences '!#REF!,0)</f>
        <v>#REF!</v>
      </c>
      <c r="G358"/>
    </row>
    <row r="359" spans="1:7" ht="13.5" hidden="1" customHeight="1" thickBot="1" x14ac:dyDescent="0.3">
      <c r="A359" s="21"/>
      <c r="B359" s="8">
        <f>IF('Items sous domaines Sciences '!G361=7,'Items sous domaines Sciences '!B361,0)</f>
        <v>0</v>
      </c>
      <c r="C359" s="8">
        <f>IF('Items sous domaines Sciences '!G361=7,'Items sous domaines Sciences '!C361,0)</f>
        <v>0</v>
      </c>
      <c r="D359" s="8">
        <f>IF('Items sous domaines Sciences '!G361=7,'Items sous domaines Sciences '!D361,0)</f>
        <v>0</v>
      </c>
      <c r="E359" s="8">
        <f>IF('Items sous domaines Sciences '!G361=7,'Items sous domaines Sciences '!E361,0)</f>
        <v>0</v>
      </c>
      <c r="F359" t="e">
        <f>IF('Items sous domaines Sciences '!#REF!=1,'Items sous domaines Sciences '!#REF!,0)</f>
        <v>#REF!</v>
      </c>
      <c r="G359"/>
    </row>
    <row r="360" spans="1:7" ht="13.5" hidden="1" customHeight="1" thickBot="1" x14ac:dyDescent="0.3">
      <c r="A360" s="21"/>
      <c r="B360" s="8">
        <f>IF('Items sous domaines Sciences '!G362=7,'Items sous domaines Sciences '!B362,0)</f>
        <v>0</v>
      </c>
      <c r="C360" s="8">
        <f>IF('Items sous domaines Sciences '!G362=7,'Items sous domaines Sciences '!C362,0)</f>
        <v>0</v>
      </c>
      <c r="D360" s="8">
        <f>IF('Items sous domaines Sciences '!G362=7,'Items sous domaines Sciences '!D362,0)</f>
        <v>0</v>
      </c>
      <c r="E360" s="8">
        <f>IF('Items sous domaines Sciences '!G362=7,'Items sous domaines Sciences '!E362,0)</f>
        <v>0</v>
      </c>
      <c r="F360" t="e">
        <f>IF('Items sous domaines Sciences '!#REF!=1,'Items sous domaines Sciences '!#REF!,0)</f>
        <v>#REF!</v>
      </c>
      <c r="G360"/>
    </row>
    <row r="361" spans="1:7" ht="13.5" hidden="1" customHeight="1" thickBot="1" x14ac:dyDescent="0.3">
      <c r="A361" s="21"/>
      <c r="B361" s="8">
        <f>IF('Items sous domaines Sciences '!G363=7,'Items sous domaines Sciences '!B363,0)</f>
        <v>0</v>
      </c>
      <c r="C361" s="8">
        <f>IF('Items sous domaines Sciences '!G363=7,'Items sous domaines Sciences '!C363,0)</f>
        <v>0</v>
      </c>
      <c r="D361" s="8">
        <f>IF('Items sous domaines Sciences '!G363=7,'Items sous domaines Sciences '!D363,0)</f>
        <v>0</v>
      </c>
      <c r="E361" s="8">
        <f>IF('Items sous domaines Sciences '!G363=7,'Items sous domaines Sciences '!E363,0)</f>
        <v>0</v>
      </c>
      <c r="F361" t="e">
        <f>IF('Items sous domaines Sciences '!#REF!=1,'Items sous domaines Sciences '!#REF!,0)</f>
        <v>#REF!</v>
      </c>
      <c r="G361"/>
    </row>
    <row r="362" spans="1:7" ht="12.75" hidden="1" customHeight="1" thickBot="1" x14ac:dyDescent="0.3">
      <c r="A362" s="21"/>
      <c r="B362" s="8">
        <f>IF('Items sous domaines Sciences '!G364=7,'Items sous domaines Sciences '!B364,0)</f>
        <v>0</v>
      </c>
      <c r="C362" s="8">
        <f>IF('Items sous domaines Sciences '!G364=7,'Items sous domaines Sciences '!C364,0)</f>
        <v>0</v>
      </c>
      <c r="D362" s="8">
        <f>IF('Items sous domaines Sciences '!G364=7,'Items sous domaines Sciences '!D364,0)</f>
        <v>0</v>
      </c>
      <c r="E362" s="8">
        <f>IF('Items sous domaines Sciences '!G364=7,'Items sous domaines Sciences '!E364,0)</f>
        <v>0</v>
      </c>
      <c r="F362" t="e">
        <f>IF('Items sous domaines Sciences '!#REF!=1,'Items sous domaines Sciences '!#REF!,0)</f>
        <v>#REF!</v>
      </c>
      <c r="G362"/>
    </row>
    <row r="363" spans="1:7" ht="13.5" hidden="1" customHeight="1" thickBot="1" x14ac:dyDescent="0.3">
      <c r="A363" s="21"/>
      <c r="B363" s="8">
        <f>IF('Items sous domaines Sciences '!G365=7,'Items sous domaines Sciences '!B365,0)</f>
        <v>0</v>
      </c>
      <c r="C363" s="8">
        <f>IF('Items sous domaines Sciences '!G365=7,'Items sous domaines Sciences '!C365,0)</f>
        <v>0</v>
      </c>
      <c r="D363" s="8">
        <f>IF('Items sous domaines Sciences '!G365=7,'Items sous domaines Sciences '!D365,0)</f>
        <v>0</v>
      </c>
      <c r="E363" s="8">
        <f>IF('Items sous domaines Sciences '!G365=7,'Items sous domaines Sciences '!E365,0)</f>
        <v>0</v>
      </c>
      <c r="F363" t="e">
        <f>IF('Items sous domaines Sciences '!#REF!=1,'Items sous domaines Sciences '!#REF!,0)</f>
        <v>#REF!</v>
      </c>
      <c r="G363"/>
    </row>
    <row r="364" spans="1:7" ht="13.5" hidden="1" customHeight="1" thickBot="1" x14ac:dyDescent="0.3">
      <c r="A364" s="21"/>
      <c r="B364" s="8">
        <f>IF('Items sous domaines Sciences '!G366=7,'Items sous domaines Sciences '!B366,0)</f>
        <v>0</v>
      </c>
      <c r="C364" s="8">
        <f>IF('Items sous domaines Sciences '!G366=7,'Items sous domaines Sciences '!C366,0)</f>
        <v>0</v>
      </c>
      <c r="D364" s="8">
        <f>IF('Items sous domaines Sciences '!G366=7,'Items sous domaines Sciences '!D366,0)</f>
        <v>0</v>
      </c>
      <c r="E364" s="8">
        <f>IF('Items sous domaines Sciences '!G366=7,'Items sous domaines Sciences '!E366,0)</f>
        <v>0</v>
      </c>
      <c r="F364" t="e">
        <f>IF('Items sous domaines Sciences '!#REF!=1,'Items sous domaines Sciences '!#REF!,0)</f>
        <v>#REF!</v>
      </c>
      <c r="G364"/>
    </row>
    <row r="365" spans="1:7" ht="13.5" hidden="1" customHeight="1" thickBot="1" x14ac:dyDescent="0.3">
      <c r="A365" s="21"/>
      <c r="B365" s="8">
        <f>IF('Items sous domaines Sciences '!G367=7,'Items sous domaines Sciences '!B367,0)</f>
        <v>0</v>
      </c>
      <c r="C365" s="8">
        <f>IF('Items sous domaines Sciences '!G367=7,'Items sous domaines Sciences '!C367,0)</f>
        <v>0</v>
      </c>
      <c r="D365" s="8">
        <f>IF('Items sous domaines Sciences '!G367=7,'Items sous domaines Sciences '!D367,0)</f>
        <v>0</v>
      </c>
      <c r="E365" s="8">
        <f>IF('Items sous domaines Sciences '!G367=7,'Items sous domaines Sciences '!E367,0)</f>
        <v>0</v>
      </c>
      <c r="F365" t="e">
        <f>IF('Items sous domaines Sciences '!#REF!=1,'Items sous domaines Sciences '!#REF!,0)</f>
        <v>#REF!</v>
      </c>
      <c r="G365"/>
    </row>
    <row r="366" spans="1:7" ht="10.5" hidden="1" customHeight="1" thickBot="1" x14ac:dyDescent="0.3">
      <c r="A366" s="21"/>
      <c r="B366" s="8">
        <f>IF('Items sous domaines Sciences '!G368=7,'Items sous domaines Sciences '!B368,0)</f>
        <v>0</v>
      </c>
      <c r="C366" s="8">
        <f>IF('Items sous domaines Sciences '!G368=7,'Items sous domaines Sciences '!C368,0)</f>
        <v>0</v>
      </c>
      <c r="D366" s="8">
        <f>IF('Items sous domaines Sciences '!G368=7,'Items sous domaines Sciences '!D368,0)</f>
        <v>0</v>
      </c>
      <c r="E366" s="8">
        <f>IF('Items sous domaines Sciences '!G368=7,'Items sous domaines Sciences '!E368,0)</f>
        <v>0</v>
      </c>
      <c r="F366" t="e">
        <f>IF('Items sous domaines Sciences '!#REF!=1,'Items sous domaines Sciences '!#REF!,0)</f>
        <v>#REF!</v>
      </c>
      <c r="G366"/>
    </row>
    <row r="367" spans="1:7" ht="26.25" hidden="1" customHeight="1" thickBot="1" x14ac:dyDescent="0.3">
      <c r="A367" s="535" t="s">
        <v>520</v>
      </c>
      <c r="B367" s="8">
        <f>IF('Items sous domaines Sciences '!G369=7,'Items sous domaines Sciences '!B369,0)</f>
        <v>0</v>
      </c>
      <c r="C367" s="8">
        <f>IF('Items sous domaines Sciences '!G369=7,'Items sous domaines Sciences '!C369,0)</f>
        <v>0</v>
      </c>
      <c r="D367" s="8">
        <f>IF('Items sous domaines Sciences '!G369=7,'Items sous domaines Sciences '!D369,0)</f>
        <v>0</v>
      </c>
      <c r="E367" s="8">
        <f>IF('Items sous domaines Sciences '!G369=7,'Items sous domaines Sciences '!E369,0)</f>
        <v>0</v>
      </c>
      <c r="F367" s="25"/>
      <c r="G367" s="28" t="s">
        <v>521</v>
      </c>
    </row>
    <row r="368" spans="1:7" ht="13.2" hidden="1" x14ac:dyDescent="0.25">
      <c r="A368" s="391"/>
      <c r="B368" s="8">
        <f>IF('Items sous domaines Sciences '!G370=7,'Items sous domaines Sciences '!B370,0)</f>
        <v>0</v>
      </c>
      <c r="C368" s="8">
        <f>IF('Items sous domaines Sciences '!G370=7,'Items sous domaines Sciences '!C370,0)</f>
        <v>0</v>
      </c>
      <c r="D368" s="8">
        <f>IF('Items sous domaines Sciences '!G370=7,'Items sous domaines Sciences '!D370,0)</f>
        <v>0</v>
      </c>
      <c r="E368" s="8">
        <f>IF('Items sous domaines Sciences '!G370=7,'Items sous domaines Sciences '!E370,0)</f>
        <v>0</v>
      </c>
      <c r="F368" s="26"/>
      <c r="G368"/>
    </row>
    <row r="369" spans="1:7" ht="13.2" hidden="1" x14ac:dyDescent="0.25">
      <c r="A369" s="391"/>
      <c r="B369" s="8">
        <f>IF('Items sous domaines Sciences '!G371=7,'Items sous domaines Sciences '!B371,0)</f>
        <v>0</v>
      </c>
      <c r="C369" s="8">
        <f>IF('Items sous domaines Sciences '!G371=7,'Items sous domaines Sciences '!C371,0)</f>
        <v>0</v>
      </c>
      <c r="D369" s="8">
        <f>IF('Items sous domaines Sciences '!G371=7,'Items sous domaines Sciences '!D371,0)</f>
        <v>0</v>
      </c>
      <c r="E369" s="8">
        <f>IF('Items sous domaines Sciences '!G371=7,'Items sous domaines Sciences '!E371,0)</f>
        <v>0</v>
      </c>
      <c r="F369" s="26"/>
      <c r="G369"/>
    </row>
    <row r="370" spans="1:7" ht="13.2" hidden="1" x14ac:dyDescent="0.25">
      <c r="A370" s="391"/>
      <c r="B370" s="8">
        <f>IF('Items sous domaines Sciences '!G372=7,'Items sous domaines Sciences '!B372,0)</f>
        <v>0</v>
      </c>
      <c r="C370" s="8">
        <f>IF('Items sous domaines Sciences '!G372=7,'Items sous domaines Sciences '!C372,0)</f>
        <v>0</v>
      </c>
      <c r="D370" s="8">
        <f>IF('Items sous domaines Sciences '!G372=7,'Items sous domaines Sciences '!D372,0)</f>
        <v>0</v>
      </c>
      <c r="E370" s="8">
        <f>IF('Items sous domaines Sciences '!G372=7,'Items sous domaines Sciences '!E372,0)</f>
        <v>0</v>
      </c>
      <c r="F370" s="26"/>
      <c r="G370"/>
    </row>
    <row r="371" spans="1:7" ht="13.2" hidden="1" x14ac:dyDescent="0.25">
      <c r="A371" s="391"/>
      <c r="B371" s="8">
        <f>IF('Items sous domaines Sciences '!G373=7,'Items sous domaines Sciences '!B373,0)</f>
        <v>0</v>
      </c>
      <c r="C371" s="8">
        <f>IF('Items sous domaines Sciences '!G373=7,'Items sous domaines Sciences '!C373,0)</f>
        <v>0</v>
      </c>
      <c r="D371" s="8">
        <f>IF('Items sous domaines Sciences '!G373=7,'Items sous domaines Sciences '!D373,0)</f>
        <v>0</v>
      </c>
      <c r="E371" s="8">
        <f>IF('Items sous domaines Sciences '!G373=7,'Items sous domaines Sciences '!E373,0)</f>
        <v>0</v>
      </c>
      <c r="F371" s="26"/>
      <c r="G371"/>
    </row>
    <row r="372" spans="1:7" ht="13.2" hidden="1" x14ac:dyDescent="0.25">
      <c r="A372" s="391"/>
      <c r="B372" s="8">
        <f>IF('Items sous domaines Sciences '!G374=7,'Items sous domaines Sciences '!B374,0)</f>
        <v>0</v>
      </c>
      <c r="C372" s="8">
        <f>IF('Items sous domaines Sciences '!G374=7,'Items sous domaines Sciences '!C374,0)</f>
        <v>0</v>
      </c>
      <c r="D372" s="8">
        <f>IF('Items sous domaines Sciences '!G374=7,'Items sous domaines Sciences '!D374,0)</f>
        <v>0</v>
      </c>
      <c r="E372" s="8">
        <f>IF('Items sous domaines Sciences '!G374=7,'Items sous domaines Sciences '!E374,0)</f>
        <v>0</v>
      </c>
      <c r="F372" s="26"/>
      <c r="G372"/>
    </row>
    <row r="373" spans="1:7" ht="13.2" hidden="1" x14ac:dyDescent="0.25">
      <c r="A373" s="391"/>
      <c r="B373" s="8">
        <f>IF('Items sous domaines Sciences '!G375=7,'Items sous domaines Sciences '!B375,0)</f>
        <v>0</v>
      </c>
      <c r="C373" s="8">
        <f>IF('Items sous domaines Sciences '!G375=7,'Items sous domaines Sciences '!C375,0)</f>
        <v>0</v>
      </c>
      <c r="D373" s="8">
        <f>IF('Items sous domaines Sciences '!G375=7,'Items sous domaines Sciences '!D375,0)</f>
        <v>0</v>
      </c>
      <c r="E373" s="8">
        <f>IF('Items sous domaines Sciences '!G375=7,'Items sous domaines Sciences '!E375,0)</f>
        <v>0</v>
      </c>
      <c r="F373" s="26"/>
      <c r="G373"/>
    </row>
    <row r="374" spans="1:7" ht="13.2" hidden="1" x14ac:dyDescent="0.25">
      <c r="A374" s="391"/>
      <c r="B374" s="8">
        <f>IF('Items sous domaines Sciences '!G376=7,'Items sous domaines Sciences '!B376,0)</f>
        <v>0</v>
      </c>
      <c r="C374" s="8">
        <f>IF('Items sous domaines Sciences '!G376=7,'Items sous domaines Sciences '!C376,0)</f>
        <v>0</v>
      </c>
      <c r="D374" s="8">
        <f>IF('Items sous domaines Sciences '!G376=7,'Items sous domaines Sciences '!D376,0)</f>
        <v>0</v>
      </c>
      <c r="E374" s="8">
        <f>IF('Items sous domaines Sciences '!G376=7,'Items sous domaines Sciences '!E376,0)</f>
        <v>0</v>
      </c>
      <c r="F374" s="26"/>
      <c r="G374"/>
    </row>
    <row r="375" spans="1:7" ht="13.2" hidden="1" x14ac:dyDescent="0.25">
      <c r="A375" s="391"/>
      <c r="B375" s="8">
        <f>IF('Items sous domaines Sciences '!G377=7,'Items sous domaines Sciences '!B377,0)</f>
        <v>0</v>
      </c>
      <c r="C375" s="8">
        <f>IF('Items sous domaines Sciences '!G377=7,'Items sous domaines Sciences '!C377,0)</f>
        <v>0</v>
      </c>
      <c r="D375" s="8">
        <f>IF('Items sous domaines Sciences '!G377=7,'Items sous domaines Sciences '!D377,0)</f>
        <v>0</v>
      </c>
      <c r="E375" s="8">
        <f>IF('Items sous domaines Sciences '!G377=7,'Items sous domaines Sciences '!E377,0)</f>
        <v>0</v>
      </c>
      <c r="F375" s="26"/>
      <c r="G375"/>
    </row>
    <row r="376" spans="1:7" ht="13.2" hidden="1" x14ac:dyDescent="0.25">
      <c r="A376" s="391"/>
      <c r="B376" s="8">
        <f>IF('Items sous domaines Sciences '!G378=7,'Items sous domaines Sciences '!B378,0)</f>
        <v>0</v>
      </c>
      <c r="C376" s="8">
        <f>IF('Items sous domaines Sciences '!G378=7,'Items sous domaines Sciences '!C378,0)</f>
        <v>0</v>
      </c>
      <c r="D376" s="8">
        <f>IF('Items sous domaines Sciences '!G378=7,'Items sous domaines Sciences '!D378,0)</f>
        <v>0</v>
      </c>
      <c r="E376" s="8">
        <f>IF('Items sous domaines Sciences '!G378=7,'Items sous domaines Sciences '!E378,0)</f>
        <v>0</v>
      </c>
      <c r="F376" s="26"/>
      <c r="G376"/>
    </row>
    <row r="377" spans="1:7" ht="13.2" hidden="1" x14ac:dyDescent="0.25">
      <c r="A377" s="391"/>
      <c r="B377" s="8">
        <f>IF('Items sous domaines Sciences '!G379=7,'Items sous domaines Sciences '!B379,0)</f>
        <v>0</v>
      </c>
      <c r="C377" s="8">
        <f>IF('Items sous domaines Sciences '!G379=7,'Items sous domaines Sciences '!C379,0)</f>
        <v>0</v>
      </c>
      <c r="D377" s="8">
        <f>IF('Items sous domaines Sciences '!G379=7,'Items sous domaines Sciences '!D379,0)</f>
        <v>0</v>
      </c>
      <c r="E377" s="8">
        <f>IF('Items sous domaines Sciences '!G379=7,'Items sous domaines Sciences '!E379,0)</f>
        <v>0</v>
      </c>
      <c r="F377" s="26"/>
      <c r="G377"/>
    </row>
    <row r="378" spans="1:7" ht="13.2" hidden="1" x14ac:dyDescent="0.25">
      <c r="A378" s="391"/>
      <c r="B378" s="8">
        <f>IF('Items sous domaines Sciences '!G380=7,'Items sous domaines Sciences '!B380,0)</f>
        <v>0</v>
      </c>
      <c r="C378" s="8">
        <f>IF('Items sous domaines Sciences '!G380=7,'Items sous domaines Sciences '!C380,0)</f>
        <v>0</v>
      </c>
      <c r="D378" s="8">
        <f>IF('Items sous domaines Sciences '!G380=7,'Items sous domaines Sciences '!D380,0)</f>
        <v>0</v>
      </c>
      <c r="E378" s="8">
        <f>IF('Items sous domaines Sciences '!G380=7,'Items sous domaines Sciences '!E380,0)</f>
        <v>0</v>
      </c>
      <c r="F378" s="26"/>
      <c r="G378" s="28" t="s">
        <v>522</v>
      </c>
    </row>
    <row r="379" spans="1:7" ht="13.2" hidden="1" x14ac:dyDescent="0.25">
      <c r="A379" s="391"/>
      <c r="B379" s="8">
        <f>IF('Items sous domaines Sciences '!G381=7,'Items sous domaines Sciences '!B381,0)</f>
        <v>0</v>
      </c>
      <c r="C379" s="8">
        <f>IF('Items sous domaines Sciences '!G381=7,'Items sous domaines Sciences '!C381,0)</f>
        <v>0</v>
      </c>
      <c r="D379" s="8">
        <f>IF('Items sous domaines Sciences '!G381=7,'Items sous domaines Sciences '!D381,0)</f>
        <v>0</v>
      </c>
      <c r="E379" s="8">
        <f>IF('Items sous domaines Sciences '!G381=7,'Items sous domaines Sciences '!E381,0)</f>
        <v>0</v>
      </c>
      <c r="F379" s="26" t="s">
        <v>514</v>
      </c>
      <c r="G379"/>
    </row>
    <row r="380" spans="1:7" ht="13.2" hidden="1" x14ac:dyDescent="0.25">
      <c r="A380" s="391"/>
      <c r="B380" s="8">
        <f>IF('Items sous domaines Sciences '!G382=7,'Items sous domaines Sciences '!B382,0)</f>
        <v>0</v>
      </c>
      <c r="C380" s="8">
        <f>IF('Items sous domaines Sciences '!G382=7,'Items sous domaines Sciences '!C382,0)</f>
        <v>0</v>
      </c>
      <c r="D380" s="8">
        <f>IF('Items sous domaines Sciences '!G382=7,'Items sous domaines Sciences '!D382,0)</f>
        <v>0</v>
      </c>
      <c r="E380" s="8">
        <f>IF('Items sous domaines Sciences '!G382=7,'Items sous domaines Sciences '!E382,0)</f>
        <v>0</v>
      </c>
      <c r="F380" s="26"/>
      <c r="G380"/>
    </row>
    <row r="381" spans="1:7" ht="13.2" hidden="1" x14ac:dyDescent="0.25">
      <c r="A381" s="391"/>
      <c r="B381" s="8">
        <f>IF('Items sous domaines Sciences '!G383=7,'Items sous domaines Sciences '!B383,0)</f>
        <v>0</v>
      </c>
      <c r="C381" s="8">
        <f>IF('Items sous domaines Sciences '!G383=7,'Items sous domaines Sciences '!C383,0)</f>
        <v>0</v>
      </c>
      <c r="D381" s="8">
        <f>IF('Items sous domaines Sciences '!G383=7,'Items sous domaines Sciences '!D383,0)</f>
        <v>0</v>
      </c>
      <c r="E381" s="8">
        <f>IF('Items sous domaines Sciences '!G383=7,'Items sous domaines Sciences '!E383,0)</f>
        <v>0</v>
      </c>
      <c r="F381" s="26"/>
      <c r="G381"/>
    </row>
    <row r="382" spans="1:7" ht="13.2" hidden="1" x14ac:dyDescent="0.25">
      <c r="A382" s="391"/>
      <c r="B382" s="8">
        <f>IF('Items sous domaines Sciences '!G384=7,'Items sous domaines Sciences '!B384,0)</f>
        <v>0</v>
      </c>
      <c r="C382" s="8">
        <f>IF('Items sous domaines Sciences '!G384=7,'Items sous domaines Sciences '!C384,0)</f>
        <v>0</v>
      </c>
      <c r="D382" s="8">
        <f>IF('Items sous domaines Sciences '!G384=7,'Items sous domaines Sciences '!D384,0)</f>
        <v>0</v>
      </c>
      <c r="E382" s="8">
        <f>IF('Items sous domaines Sciences '!G384=7,'Items sous domaines Sciences '!E384,0)</f>
        <v>0</v>
      </c>
      <c r="F382" s="26"/>
      <c r="G382"/>
    </row>
    <row r="383" spans="1:7" ht="13.2" hidden="1" x14ac:dyDescent="0.25">
      <c r="A383" s="391"/>
      <c r="B383" s="8">
        <f>IF('Items sous domaines Sciences '!G385=7,'Items sous domaines Sciences '!B385,0)</f>
        <v>0</v>
      </c>
      <c r="C383" s="8">
        <f>IF('Items sous domaines Sciences '!G385=7,'Items sous domaines Sciences '!C385,0)</f>
        <v>0</v>
      </c>
      <c r="D383" s="8">
        <f>IF('Items sous domaines Sciences '!G385=7,'Items sous domaines Sciences '!D385,0)</f>
        <v>0</v>
      </c>
      <c r="E383" s="8">
        <f>IF('Items sous domaines Sciences '!G385=7,'Items sous domaines Sciences '!E385,0)</f>
        <v>0</v>
      </c>
      <c r="F383" s="26"/>
      <c r="G383"/>
    </row>
    <row r="384" spans="1:7" ht="13.5" hidden="1" customHeight="1" thickBot="1" x14ac:dyDescent="0.3">
      <c r="A384" s="391"/>
      <c r="B384" s="8">
        <f>IF('Items sous domaines Sciences '!G386=7,'Items sous domaines Sciences '!B386,0)</f>
        <v>0</v>
      </c>
      <c r="C384" s="8">
        <f>IF('Items sous domaines Sciences '!G386=7,'Items sous domaines Sciences '!C386,0)</f>
        <v>0</v>
      </c>
      <c r="D384" s="8">
        <f>IF('Items sous domaines Sciences '!G386=7,'Items sous domaines Sciences '!D386,0)</f>
        <v>0</v>
      </c>
      <c r="E384" s="8">
        <f>IF('Items sous domaines Sciences '!G386=7,'Items sous domaines Sciences '!E386,0)</f>
        <v>0</v>
      </c>
      <c r="F384" s="26"/>
      <c r="G384" s="28" t="s">
        <v>523</v>
      </c>
    </row>
    <row r="385" spans="1:7" ht="13.2" hidden="1" x14ac:dyDescent="0.25">
      <c r="A385" s="391"/>
      <c r="B385" s="8">
        <f>IF('Items sous domaines Sciences '!G387=7,'Items sous domaines Sciences '!B387,0)</f>
        <v>0</v>
      </c>
      <c r="C385" s="8">
        <f>IF('Items sous domaines Sciences '!G387=7,'Items sous domaines Sciences '!C387,0)</f>
        <v>0</v>
      </c>
      <c r="D385" s="8">
        <f>IF('Items sous domaines Sciences '!G387=7,'Items sous domaines Sciences '!D387,0)</f>
        <v>0</v>
      </c>
      <c r="E385" s="8">
        <f>IF('Items sous domaines Sciences '!G387=7,'Items sous domaines Sciences '!E387,0)</f>
        <v>0</v>
      </c>
      <c r="F385" s="26"/>
      <c r="G385"/>
    </row>
    <row r="386" spans="1:7" ht="13.2" hidden="1" x14ac:dyDescent="0.25">
      <c r="A386" s="391"/>
      <c r="B386" s="8">
        <f>IF('Items sous domaines Sciences '!G388=7,'Items sous domaines Sciences '!B388,0)</f>
        <v>0</v>
      </c>
      <c r="C386" s="8">
        <f>IF('Items sous domaines Sciences '!G388=7,'Items sous domaines Sciences '!C388,0)</f>
        <v>0</v>
      </c>
      <c r="D386" s="8">
        <f>IF('Items sous domaines Sciences '!G388=7,'Items sous domaines Sciences '!D388,0)</f>
        <v>0</v>
      </c>
      <c r="E386" s="8">
        <f>IF('Items sous domaines Sciences '!G388=7,'Items sous domaines Sciences '!E388,0)</f>
        <v>0</v>
      </c>
      <c r="F386" s="26"/>
      <c r="G386"/>
    </row>
    <row r="387" spans="1:7" ht="13.2" hidden="1" x14ac:dyDescent="0.25">
      <c r="A387" s="391"/>
      <c r="B387" s="8">
        <f>IF('Items sous domaines Sciences '!G389=7,'Items sous domaines Sciences '!B389,0)</f>
        <v>0</v>
      </c>
      <c r="C387" s="8">
        <f>IF('Items sous domaines Sciences '!G389=7,'Items sous domaines Sciences '!C389,0)</f>
        <v>0</v>
      </c>
      <c r="D387" s="8">
        <f>IF('Items sous domaines Sciences '!G389=7,'Items sous domaines Sciences '!D389,0)</f>
        <v>0</v>
      </c>
      <c r="E387" s="8">
        <f>IF('Items sous domaines Sciences '!G389=7,'Items sous domaines Sciences '!E389,0)</f>
        <v>0</v>
      </c>
      <c r="F387" s="26"/>
      <c r="G387"/>
    </row>
    <row r="388" spans="1:7" ht="13.2" hidden="1" x14ac:dyDescent="0.25">
      <c r="A388" s="391"/>
      <c r="B388" s="8">
        <f>IF('Items sous domaines Sciences '!G390=7,'Items sous domaines Sciences '!B390,0)</f>
        <v>0</v>
      </c>
      <c r="C388" s="8">
        <f>IF('Items sous domaines Sciences '!G390=7,'Items sous domaines Sciences '!C390,0)</f>
        <v>0</v>
      </c>
      <c r="D388" s="8">
        <f>IF('Items sous domaines Sciences '!G390=7,'Items sous domaines Sciences '!D390,0)</f>
        <v>0</v>
      </c>
      <c r="E388" s="8">
        <f>IF('Items sous domaines Sciences '!G390=7,'Items sous domaines Sciences '!E390,0)</f>
        <v>0</v>
      </c>
      <c r="F388" s="26"/>
      <c r="G388"/>
    </row>
    <row r="389" spans="1:7" ht="13.2" hidden="1" x14ac:dyDescent="0.25">
      <c r="A389" s="391"/>
      <c r="B389" s="8">
        <f>IF('Items sous domaines Sciences '!G391=7,'Items sous domaines Sciences '!B391,0)</f>
        <v>0</v>
      </c>
      <c r="C389" s="8">
        <f>IF('Items sous domaines Sciences '!G391=7,'Items sous domaines Sciences '!C391,0)</f>
        <v>0</v>
      </c>
      <c r="D389" s="8">
        <f>IF('Items sous domaines Sciences '!G391=7,'Items sous domaines Sciences '!D391,0)</f>
        <v>0</v>
      </c>
      <c r="E389" s="8">
        <f>IF('Items sous domaines Sciences '!G391=7,'Items sous domaines Sciences '!E391,0)</f>
        <v>0</v>
      </c>
      <c r="F389" s="26"/>
      <c r="G389"/>
    </row>
    <row r="390" spans="1:7" ht="13.2" hidden="1" x14ac:dyDescent="0.25">
      <c r="A390" s="391"/>
      <c r="B390" s="8">
        <f>IF('Items sous domaines Sciences '!G392=7,'Items sous domaines Sciences '!B392,0)</f>
        <v>0</v>
      </c>
      <c r="C390" s="8">
        <f>IF('Items sous domaines Sciences '!G392=7,'Items sous domaines Sciences '!C392,0)</f>
        <v>0</v>
      </c>
      <c r="D390" s="8">
        <f>IF('Items sous domaines Sciences '!G392=7,'Items sous domaines Sciences '!D392,0)</f>
        <v>0</v>
      </c>
      <c r="E390" s="8">
        <f>IF('Items sous domaines Sciences '!G392=7,'Items sous domaines Sciences '!E392,0)</f>
        <v>0</v>
      </c>
      <c r="F390" s="26"/>
      <c r="G390"/>
    </row>
    <row r="391" spans="1:7" ht="13.2" hidden="1" x14ac:dyDescent="0.25">
      <c r="A391" s="391"/>
      <c r="B391" s="8">
        <f>IF('Items sous domaines Sciences '!G393=7,'Items sous domaines Sciences '!B393,0)</f>
        <v>0</v>
      </c>
      <c r="C391" s="8">
        <f>IF('Items sous domaines Sciences '!G393=7,'Items sous domaines Sciences '!C393,0)</f>
        <v>0</v>
      </c>
      <c r="D391" s="8">
        <f>IF('Items sous domaines Sciences '!G393=7,'Items sous domaines Sciences '!D393,0)</f>
        <v>0</v>
      </c>
      <c r="E391" s="8">
        <f>IF('Items sous domaines Sciences '!G393=7,'Items sous domaines Sciences '!E393,0)</f>
        <v>0</v>
      </c>
      <c r="F391" s="26"/>
      <c r="G391"/>
    </row>
    <row r="392" spans="1:7" ht="13.2" hidden="1" x14ac:dyDescent="0.25">
      <c r="A392" s="391"/>
      <c r="B392" s="8">
        <f>IF('Items sous domaines Sciences '!G394=7,'Items sous domaines Sciences '!B394,0)</f>
        <v>0</v>
      </c>
      <c r="C392" s="8">
        <f>IF('Items sous domaines Sciences '!G394=7,'Items sous domaines Sciences '!C394,0)</f>
        <v>0</v>
      </c>
      <c r="D392" s="8">
        <f>IF('Items sous domaines Sciences '!G394=7,'Items sous domaines Sciences '!D394,0)</f>
        <v>0</v>
      </c>
      <c r="E392" s="8">
        <f>IF('Items sous domaines Sciences '!G394=7,'Items sous domaines Sciences '!E394,0)</f>
        <v>0</v>
      </c>
      <c r="F392" s="26"/>
      <c r="G392" s="28" t="s">
        <v>524</v>
      </c>
    </row>
    <row r="393" spans="1:7" ht="13.2" hidden="1" x14ac:dyDescent="0.25">
      <c r="A393" s="391"/>
      <c r="B393" s="8">
        <f>IF('Items sous domaines Sciences '!G395=7,'Items sous domaines Sciences '!B395,0)</f>
        <v>0</v>
      </c>
      <c r="C393" s="8">
        <f>IF('Items sous domaines Sciences '!G395=7,'Items sous domaines Sciences '!C395,0)</f>
        <v>0</v>
      </c>
      <c r="D393" s="8">
        <f>IF('Items sous domaines Sciences '!G395=7,'Items sous domaines Sciences '!D395,0)</f>
        <v>0</v>
      </c>
      <c r="E393" s="8">
        <f>IF('Items sous domaines Sciences '!G395=7,'Items sous domaines Sciences '!E395,0)</f>
        <v>0</v>
      </c>
      <c r="F393" s="26"/>
      <c r="G393"/>
    </row>
    <row r="394" spans="1:7" ht="13.2" hidden="1" x14ac:dyDescent="0.25">
      <c r="A394" s="391"/>
      <c r="B394" s="8">
        <f>IF('Items sous domaines Sciences '!G396=7,'Items sous domaines Sciences '!B396,0)</f>
        <v>0</v>
      </c>
      <c r="C394" s="8">
        <f>IF('Items sous domaines Sciences '!G396=7,'Items sous domaines Sciences '!C396,0)</f>
        <v>0</v>
      </c>
      <c r="D394" s="8">
        <f>IF('Items sous domaines Sciences '!G396=7,'Items sous domaines Sciences '!D396,0)</f>
        <v>0</v>
      </c>
      <c r="E394" s="8">
        <f>IF('Items sous domaines Sciences '!G396=7,'Items sous domaines Sciences '!E396,0)</f>
        <v>0</v>
      </c>
      <c r="F394" s="26"/>
      <c r="G394"/>
    </row>
    <row r="395" spans="1:7" ht="13.2" hidden="1" x14ac:dyDescent="0.25">
      <c r="A395" s="391"/>
      <c r="B395" s="8">
        <f>IF('Items sous domaines Sciences '!G397=7,'Items sous domaines Sciences '!B397,0)</f>
        <v>0</v>
      </c>
      <c r="C395" s="8">
        <f>IF('Items sous domaines Sciences '!G397=7,'Items sous domaines Sciences '!C397,0)</f>
        <v>0</v>
      </c>
      <c r="D395" s="8">
        <f>IF('Items sous domaines Sciences '!G397=7,'Items sous domaines Sciences '!D397,0)</f>
        <v>0</v>
      </c>
      <c r="E395" s="8">
        <f>IF('Items sous domaines Sciences '!G397=7,'Items sous domaines Sciences '!E397,0)</f>
        <v>0</v>
      </c>
      <c r="F395" s="26"/>
    </row>
    <row r="396" spans="1:7" ht="13.2" hidden="1" x14ac:dyDescent="0.25">
      <c r="A396" s="391"/>
      <c r="B396" s="8">
        <f>IF('Items sous domaines Sciences '!G398=7,'Items sous domaines Sciences '!B398,0)</f>
        <v>0</v>
      </c>
      <c r="C396" s="8">
        <f>IF('Items sous domaines Sciences '!G398=7,'Items sous domaines Sciences '!C398,0)</f>
        <v>0</v>
      </c>
      <c r="D396" s="8">
        <f>IF('Items sous domaines Sciences '!G398=7,'Items sous domaines Sciences '!D398,0)</f>
        <v>0</v>
      </c>
      <c r="E396" s="8">
        <f>IF('Items sous domaines Sciences '!G398=7,'Items sous domaines Sciences '!E398,0)</f>
        <v>0</v>
      </c>
      <c r="F396" s="26"/>
    </row>
    <row r="397" spans="1:7" ht="13.8" hidden="1" thickBot="1" x14ac:dyDescent="0.3">
      <c r="A397" s="382" t="s">
        <v>525</v>
      </c>
      <c r="B397" s="8">
        <f>IF('Items sous domaines Sciences '!G399=7,'Items sous domaines Sciences '!B399,0)</f>
        <v>0</v>
      </c>
      <c r="C397" s="8">
        <f>IF('Items sous domaines Sciences '!G399=7,'Items sous domaines Sciences '!C399,0)</f>
        <v>0</v>
      </c>
      <c r="D397" s="8">
        <f>IF('Items sous domaines Sciences '!G399=7,'Items sous domaines Sciences '!D399,0)</f>
        <v>0</v>
      </c>
      <c r="E397" s="8">
        <f>IF('Items sous domaines Sciences '!G399=7,'Items sous domaines Sciences '!E399,0)</f>
        <v>0</v>
      </c>
      <c r="F397" s="27"/>
    </row>
    <row r="398" spans="1:7" ht="13.2" hidden="1" x14ac:dyDescent="0.25">
      <c r="A398" s="382"/>
      <c r="B398" s="8">
        <f>IF('Items sous domaines Sciences '!G400=7,'Items sous domaines Sciences '!B400,0)</f>
        <v>0</v>
      </c>
      <c r="C398" s="8">
        <f>IF('Items sous domaines Sciences '!G400=7,'Items sous domaines Sciences '!C400,0)</f>
        <v>0</v>
      </c>
      <c r="D398" s="8">
        <f>IF('Items sous domaines Sciences '!G400=7,'Items sous domaines Sciences '!D400,0)</f>
        <v>0</v>
      </c>
      <c r="E398" s="8">
        <f>IF('Items sous domaines Sciences '!G400=7,'Items sous domaines Sciences '!E400,0)</f>
        <v>0</v>
      </c>
      <c r="F398" t="e">
        <f>IF('Items sous domaines Sciences '!#REF!=1,'Items sous domaines Sciences '!#REF!,0)</f>
        <v>#REF!</v>
      </c>
    </row>
    <row r="399" spans="1:7" ht="13.2" hidden="1" x14ac:dyDescent="0.25">
      <c r="A399" s="382"/>
      <c r="B399" s="8">
        <f>IF('Items sous domaines Sciences '!G401=7,'Items sous domaines Sciences '!B401,0)</f>
        <v>0</v>
      </c>
      <c r="C399" s="8">
        <f>IF('Items sous domaines Sciences '!G401=7,'Items sous domaines Sciences '!C401,0)</f>
        <v>0</v>
      </c>
      <c r="D399" s="8">
        <f>IF('Items sous domaines Sciences '!G401=7,'Items sous domaines Sciences '!D401,0)</f>
        <v>0</v>
      </c>
      <c r="E399" s="8">
        <f>IF('Items sous domaines Sciences '!G401=7,'Items sous domaines Sciences '!E401,0)</f>
        <v>0</v>
      </c>
      <c r="F399" t="e">
        <f>IF('Items sous domaines Sciences '!#REF!=1,'Items sous domaines Sciences '!#REF!,0)</f>
        <v>#REF!</v>
      </c>
    </row>
    <row r="400" spans="1:7" ht="13.2" hidden="1" x14ac:dyDescent="0.25">
      <c r="A400" s="382"/>
      <c r="B400" s="8">
        <f>IF('Items sous domaines Sciences '!G402=7,'Items sous domaines Sciences '!B402,0)</f>
        <v>0</v>
      </c>
      <c r="C400" s="8">
        <f>IF('Items sous domaines Sciences '!G402=7,'Items sous domaines Sciences '!C402,0)</f>
        <v>0</v>
      </c>
      <c r="D400" s="8">
        <f>IF('Items sous domaines Sciences '!G402=7,'Items sous domaines Sciences '!D402,0)</f>
        <v>0</v>
      </c>
      <c r="E400" s="8">
        <f>IF('Items sous domaines Sciences '!G402=7,'Items sous domaines Sciences '!E402,0)</f>
        <v>0</v>
      </c>
      <c r="F400" t="e">
        <f>IF('Items sous domaines Sciences '!#REF!=1,'Items sous domaines Sciences '!#REF!,0)</f>
        <v>#REF!</v>
      </c>
    </row>
    <row r="401" spans="1:6" ht="13.2" hidden="1" x14ac:dyDescent="0.25">
      <c r="A401" s="382"/>
      <c r="B401" s="8">
        <f>IF('Items sous domaines Sciences '!G403=7,'Items sous domaines Sciences '!B403,0)</f>
        <v>0</v>
      </c>
      <c r="C401" s="8">
        <f>IF('Items sous domaines Sciences '!G403=7,'Items sous domaines Sciences '!C403,0)</f>
        <v>0</v>
      </c>
      <c r="D401" s="8">
        <f>IF('Items sous domaines Sciences '!G403=7,'Items sous domaines Sciences '!D403,0)</f>
        <v>0</v>
      </c>
      <c r="E401" s="8">
        <f>IF('Items sous domaines Sciences '!G403=7,'Items sous domaines Sciences '!E403,0)</f>
        <v>0</v>
      </c>
      <c r="F401" t="e">
        <f>IF('Items sous domaines Sciences '!#REF!=1,'Items sous domaines Sciences '!#REF!,0)</f>
        <v>#REF!</v>
      </c>
    </row>
    <row r="402" spans="1:6" ht="13.2" hidden="1" x14ac:dyDescent="0.25">
      <c r="A402" s="382"/>
      <c r="B402" s="8">
        <f>IF('Items sous domaines Sciences '!G404=7,'Items sous domaines Sciences '!B404,0)</f>
        <v>0</v>
      </c>
      <c r="C402" s="8">
        <f>IF('Items sous domaines Sciences '!G404=7,'Items sous domaines Sciences '!C404,0)</f>
        <v>0</v>
      </c>
      <c r="D402" s="8">
        <f>IF('Items sous domaines Sciences '!G404=7,'Items sous domaines Sciences '!D404,0)</f>
        <v>0</v>
      </c>
      <c r="E402" s="8">
        <f>IF('Items sous domaines Sciences '!G404=7,'Items sous domaines Sciences '!E404,0)</f>
        <v>0</v>
      </c>
      <c r="F402" t="e">
        <f>IF('Items sous domaines Sciences '!#REF!=1,'Items sous domaines Sciences '!#REF!,0)</f>
        <v>#REF!</v>
      </c>
    </row>
    <row r="403" spans="1:6" ht="13.2" hidden="1" x14ac:dyDescent="0.25">
      <c r="A403" s="382"/>
      <c r="B403" s="8">
        <f>IF('Items sous domaines Sciences '!G405=7,'Items sous domaines Sciences '!B405,0)</f>
        <v>0</v>
      </c>
      <c r="C403" s="8">
        <f>IF('Items sous domaines Sciences '!G405=7,'Items sous domaines Sciences '!C405,0)</f>
        <v>0</v>
      </c>
      <c r="D403" s="8">
        <f>IF('Items sous domaines Sciences '!G405=7,'Items sous domaines Sciences '!D405,0)</f>
        <v>0</v>
      </c>
      <c r="E403" s="8">
        <f>IF('Items sous domaines Sciences '!G405=7,'Items sous domaines Sciences '!E405,0)</f>
        <v>0</v>
      </c>
      <c r="F403" t="e">
        <f>IF('Items sous domaines Sciences '!#REF!=1,'Items sous domaines Sciences '!#REF!,0)</f>
        <v>#REF!</v>
      </c>
    </row>
    <row r="404" spans="1:6" ht="13.2" hidden="1" x14ac:dyDescent="0.25">
      <c r="A404" s="382"/>
      <c r="B404" s="8">
        <f>IF('Items sous domaines Sciences '!G406=7,'Items sous domaines Sciences '!B406,0)</f>
        <v>0</v>
      </c>
      <c r="C404" s="8">
        <f>IF('Items sous domaines Sciences '!G406=7,'Items sous domaines Sciences '!C406,0)</f>
        <v>0</v>
      </c>
      <c r="D404" s="8">
        <f>IF('Items sous domaines Sciences '!G406=7,'Items sous domaines Sciences '!D406,0)</f>
        <v>0</v>
      </c>
      <c r="E404" s="8">
        <f>IF('Items sous domaines Sciences '!G406=7,'Items sous domaines Sciences '!E406,0)</f>
        <v>0</v>
      </c>
      <c r="F404" t="e">
        <f>IF('Items sous domaines Sciences '!#REF!=1,'Items sous domaines Sciences '!#REF!,0)</f>
        <v>#REF!</v>
      </c>
    </row>
    <row r="405" spans="1:6" ht="13.2" hidden="1" x14ac:dyDescent="0.25">
      <c r="A405" s="382"/>
      <c r="B405" s="8">
        <f>IF('Items sous domaines Sciences '!G407=7,'Items sous domaines Sciences '!B407,0)</f>
        <v>0</v>
      </c>
      <c r="C405" s="8">
        <f>IF('Items sous domaines Sciences '!G407=7,'Items sous domaines Sciences '!C407,0)</f>
        <v>0</v>
      </c>
      <c r="D405" s="8">
        <f>IF('Items sous domaines Sciences '!G407=7,'Items sous domaines Sciences '!D407,0)</f>
        <v>0</v>
      </c>
      <c r="E405" s="8">
        <f>IF('Items sous domaines Sciences '!G407=7,'Items sous domaines Sciences '!E407,0)</f>
        <v>0</v>
      </c>
      <c r="F405" t="e">
        <f>IF('Items sous domaines Sciences '!#REF!=1,'Items sous domaines Sciences '!#REF!,0)</f>
        <v>#REF!</v>
      </c>
    </row>
    <row r="406" spans="1:6" ht="13.2" hidden="1" x14ac:dyDescent="0.25">
      <c r="A406" s="382"/>
      <c r="B406" s="8">
        <f>IF('Items sous domaines Sciences '!G408=7,'Items sous domaines Sciences '!B408,0)</f>
        <v>0</v>
      </c>
      <c r="C406" s="8">
        <f>IF('Items sous domaines Sciences '!G408=7,'Items sous domaines Sciences '!C408,0)</f>
        <v>0</v>
      </c>
      <c r="D406" s="8">
        <f>IF('Items sous domaines Sciences '!G408=7,'Items sous domaines Sciences '!D408,0)</f>
        <v>0</v>
      </c>
      <c r="E406" s="8">
        <f>IF('Items sous domaines Sciences '!G408=7,'Items sous domaines Sciences '!E408,0)</f>
        <v>0</v>
      </c>
      <c r="F406" t="e">
        <f>IF('Items sous domaines Sciences '!#REF!=1,'Items sous domaines Sciences '!#REF!,0)</f>
        <v>#REF!</v>
      </c>
    </row>
    <row r="407" spans="1:6" ht="13.2" hidden="1" x14ac:dyDescent="0.25">
      <c r="A407" s="382"/>
      <c r="B407" s="8">
        <f>IF('Items sous domaines Sciences '!G409=7,'Items sous domaines Sciences '!B409,0)</f>
        <v>0</v>
      </c>
      <c r="C407" s="8">
        <f>IF('Items sous domaines Sciences '!G409=7,'Items sous domaines Sciences '!C409,0)</f>
        <v>0</v>
      </c>
      <c r="D407" s="8">
        <f>IF('Items sous domaines Sciences '!G409=7,'Items sous domaines Sciences '!D409,0)</f>
        <v>0</v>
      </c>
      <c r="E407" s="8">
        <f>IF('Items sous domaines Sciences '!G409=7,'Items sous domaines Sciences '!E409,0)</f>
        <v>0</v>
      </c>
      <c r="F407" t="e">
        <f>IF('Items sous domaines Sciences '!#REF!=1,'Items sous domaines Sciences '!#REF!,0)</f>
        <v>#REF!</v>
      </c>
    </row>
    <row r="408" spans="1:6" ht="13.2" hidden="1" x14ac:dyDescent="0.25">
      <c r="A408" s="382"/>
      <c r="B408" s="8">
        <f>IF('Items sous domaines Sciences '!G410=7,'Items sous domaines Sciences '!B410,0)</f>
        <v>0</v>
      </c>
      <c r="C408" s="8">
        <f>IF('Items sous domaines Sciences '!G410=7,'Items sous domaines Sciences '!C410,0)</f>
        <v>0</v>
      </c>
      <c r="D408" s="8">
        <f>IF('Items sous domaines Sciences '!G410=7,'Items sous domaines Sciences '!D410,0)</f>
        <v>0</v>
      </c>
      <c r="E408" s="8">
        <f>IF('Items sous domaines Sciences '!G410=7,'Items sous domaines Sciences '!E410,0)</f>
        <v>0</v>
      </c>
      <c r="F408" t="e">
        <f>IF('Items sous domaines Sciences '!#REF!=1,'Items sous domaines Sciences '!#REF!,0)</f>
        <v>#REF!</v>
      </c>
    </row>
    <row r="409" spans="1:6" ht="13.2" hidden="1" x14ac:dyDescent="0.25">
      <c r="A409" s="382"/>
      <c r="B409" s="8">
        <f>IF('Items sous domaines Sciences '!G411=7,'Items sous domaines Sciences '!B411,0)</f>
        <v>0</v>
      </c>
      <c r="C409" s="8">
        <f>IF('Items sous domaines Sciences '!G411=7,'Items sous domaines Sciences '!C411,0)</f>
        <v>0</v>
      </c>
      <c r="D409" s="8">
        <f>IF('Items sous domaines Sciences '!G411=7,'Items sous domaines Sciences '!D411,0)</f>
        <v>0</v>
      </c>
      <c r="E409" s="8">
        <f>IF('Items sous domaines Sciences '!G411=7,'Items sous domaines Sciences '!E411,0)</f>
        <v>0</v>
      </c>
      <c r="F409" t="e">
        <f>IF('Items sous domaines Sciences '!#REF!=1,'Items sous domaines Sciences '!#REF!,0)</f>
        <v>#REF!</v>
      </c>
    </row>
    <row r="410" spans="1:6" ht="13.2" hidden="1" x14ac:dyDescent="0.25">
      <c r="A410"/>
      <c r="B410" s="8">
        <f>IF('Items sous domaines Sciences '!G412=7,'Items sous domaines Sciences '!B412,0)</f>
        <v>0</v>
      </c>
      <c r="C410" s="8">
        <f>IF('Items sous domaines Sciences '!G412=7,'Items sous domaines Sciences '!C412,0)</f>
        <v>0</v>
      </c>
      <c r="D410" s="8">
        <f>IF('Items sous domaines Sciences '!G412=7,'Items sous domaines Sciences '!D412,0)</f>
        <v>0</v>
      </c>
      <c r="E410" s="8">
        <f>IF('Items sous domaines Sciences '!G412=7,'Items sous domaines Sciences '!E412,0)</f>
        <v>0</v>
      </c>
      <c r="F410" t="e">
        <f>IF('Items sous domaines Sciences '!#REF!=1,'Items sous domaines Sciences '!#REF!,0)</f>
        <v>#REF!</v>
      </c>
    </row>
    <row r="411" spans="1:6" ht="13.2" hidden="1" x14ac:dyDescent="0.25">
      <c r="A411"/>
      <c r="B411" s="8">
        <f>IF('Items sous domaines Sciences '!G413=7,'Items sous domaines Sciences '!B413,0)</f>
        <v>0</v>
      </c>
      <c r="C411" s="8">
        <f>IF('Items sous domaines Sciences '!G413=7,'Items sous domaines Sciences '!C413,0)</f>
        <v>0</v>
      </c>
      <c r="D411" s="8">
        <f>IF('Items sous domaines Sciences '!G413=7,'Items sous domaines Sciences '!D413,0)</f>
        <v>0</v>
      </c>
      <c r="E411" s="8">
        <f>IF('Items sous domaines Sciences '!G413=7,'Items sous domaines Sciences '!E413,0)</f>
        <v>0</v>
      </c>
      <c r="F411" t="e">
        <f>IF('Items sous domaines Sciences '!#REF!=1,'Items sous domaines Sciences '!F311,0)</f>
        <v>#REF!</v>
      </c>
    </row>
    <row r="412" spans="1:6" ht="13.2" hidden="1" x14ac:dyDescent="0.25">
      <c r="A412"/>
      <c r="B412" s="8">
        <f>IF('Items sous domaines Sciences '!G414=7,'Items sous domaines Sciences '!B414,0)</f>
        <v>0</v>
      </c>
      <c r="C412" s="8">
        <f>IF('Items sous domaines Sciences '!G414=7,'Items sous domaines Sciences '!C414,0)</f>
        <v>0</v>
      </c>
      <c r="D412" s="8">
        <f>IF('Items sous domaines Sciences '!G414=7,'Items sous domaines Sciences '!D414,0)</f>
        <v>0</v>
      </c>
      <c r="E412" s="8">
        <f>IF('Items sous domaines Sciences '!G414=7,'Items sous domaines Sciences '!E414,0)</f>
        <v>0</v>
      </c>
      <c r="F412" t="e">
        <f>IF('Items sous domaines Sciences '!#REF!=1,'Items sous domaines Sciences '!F312,0)</f>
        <v>#REF!</v>
      </c>
    </row>
    <row r="413" spans="1:6" ht="13.2" hidden="1" x14ac:dyDescent="0.25">
      <c r="A413"/>
      <c r="B413" s="8">
        <f>IF('Items sous domaines Sciences '!G415=7,'Items sous domaines Sciences '!B415,0)</f>
        <v>0</v>
      </c>
      <c r="C413" s="8">
        <f>IF('Items sous domaines Sciences '!G415=7,'Items sous domaines Sciences '!C415,0)</f>
        <v>0</v>
      </c>
      <c r="D413" s="8">
        <f>IF('Items sous domaines Sciences '!G415=7,'Items sous domaines Sciences '!D415,0)</f>
        <v>0</v>
      </c>
      <c r="E413" s="8">
        <f>IF('Items sous domaines Sciences '!G415=7,'Items sous domaines Sciences '!E415,0)</f>
        <v>0</v>
      </c>
      <c r="F413" t="e">
        <f>IF('Items sous domaines Sciences '!#REF!=1,'Items sous domaines Sciences '!F313,0)</f>
        <v>#REF!</v>
      </c>
    </row>
    <row r="414" spans="1:6" ht="13.2" hidden="1" x14ac:dyDescent="0.25">
      <c r="A414"/>
      <c r="B414" s="8">
        <f>IF('Items sous domaines Sciences '!G416=7,'Items sous domaines Sciences '!B416,0)</f>
        <v>0</v>
      </c>
      <c r="C414" s="8">
        <f>IF('Items sous domaines Sciences '!G416=7,'Items sous domaines Sciences '!C416,0)</f>
        <v>0</v>
      </c>
      <c r="D414" s="8">
        <f>IF('Items sous domaines Sciences '!G416=7,'Items sous domaines Sciences '!D416,0)</f>
        <v>0</v>
      </c>
      <c r="E414" s="8">
        <f>IF('Items sous domaines Sciences '!G416=7,'Items sous domaines Sciences '!E416,0)</f>
        <v>0</v>
      </c>
      <c r="F414" t="e">
        <f>IF('Items sous domaines Sciences '!#REF!=1,'Items sous domaines Sciences '!F314,0)</f>
        <v>#REF!</v>
      </c>
    </row>
    <row r="415" spans="1:6" ht="13.2" hidden="1" x14ac:dyDescent="0.25">
      <c r="A415"/>
      <c r="B415" s="8">
        <f>IF('Items sous domaines Sciences '!G417=7,'Items sous domaines Sciences '!B417,0)</f>
        <v>0</v>
      </c>
      <c r="C415" s="8">
        <f>IF('Items sous domaines Sciences '!G417=7,'Items sous domaines Sciences '!C417,0)</f>
        <v>0</v>
      </c>
      <c r="D415" s="8">
        <f>IF('Items sous domaines Sciences '!G417=7,'Items sous domaines Sciences '!D417,0)</f>
        <v>0</v>
      </c>
      <c r="E415" s="8">
        <f>IF('Items sous domaines Sciences '!G417=7,'Items sous domaines Sciences '!E417,0)</f>
        <v>0</v>
      </c>
      <c r="F415" t="e">
        <f>IF('Items sous domaines Sciences '!#REF!=1,'Items sous domaines Sciences '!F315,0)</f>
        <v>#REF!</v>
      </c>
    </row>
    <row r="416" spans="1:6" ht="13.5" hidden="1" customHeight="1" thickBot="1" x14ac:dyDescent="0.3">
      <c r="A416" s="503" t="s">
        <v>526</v>
      </c>
      <c r="B416" s="8">
        <f>IF('Items sous domaines Sciences '!G418=7,'Items sous domaines Sciences '!B418,0)</f>
        <v>0</v>
      </c>
      <c r="C416" s="8">
        <f>IF('Items sous domaines Sciences '!G418=7,'Items sous domaines Sciences '!C418,0)</f>
        <v>0</v>
      </c>
      <c r="D416" s="8">
        <f>IF('Items sous domaines Sciences '!G418=7,'Items sous domaines Sciences '!D418,0)</f>
        <v>0</v>
      </c>
      <c r="E416" s="8">
        <f>IF('Items sous domaines Sciences '!G418=7,'Items sous domaines Sciences '!E418,0)</f>
        <v>0</v>
      </c>
      <c r="F416" t="e">
        <f>IF('Items sous domaines Sciences '!#REF!=1,'Items sous domaines Sciences '!F316,0)</f>
        <v>#REF!</v>
      </c>
    </row>
    <row r="417" spans="1:7" ht="13.2" hidden="1" x14ac:dyDescent="0.25">
      <c r="A417" s="503"/>
      <c r="B417" s="8">
        <f>IF('Items sous domaines Sciences '!G419=7,'Items sous domaines Sciences '!B419,0)</f>
        <v>0</v>
      </c>
      <c r="C417" s="8">
        <f>IF('Items sous domaines Sciences '!G419=7,'Items sous domaines Sciences '!C419,0)</f>
        <v>0</v>
      </c>
      <c r="D417" s="8">
        <f>IF('Items sous domaines Sciences '!G419=7,'Items sous domaines Sciences '!D419,0)</f>
        <v>0</v>
      </c>
      <c r="E417" s="8">
        <f>IF('Items sous domaines Sciences '!G419=7,'Items sous domaines Sciences '!E419,0)</f>
        <v>0</v>
      </c>
      <c r="F417" s="25"/>
      <c r="G417" s="496" t="s">
        <v>504</v>
      </c>
    </row>
    <row r="418" spans="1:7" ht="13.2" hidden="1" x14ac:dyDescent="0.25">
      <c r="A418" s="503"/>
      <c r="B418" s="8">
        <f>IF('Items sous domaines Sciences '!G420=7,'Items sous domaines Sciences '!B420,0)</f>
        <v>0</v>
      </c>
      <c r="C418" s="8">
        <f>IF('Items sous domaines Sciences '!G420=7,'Items sous domaines Sciences '!C420,0)</f>
        <v>0</v>
      </c>
      <c r="D418" s="8">
        <f>IF('Items sous domaines Sciences '!G420=7,'Items sous domaines Sciences '!D420,0)</f>
        <v>0</v>
      </c>
      <c r="E418" s="8">
        <f>IF('Items sous domaines Sciences '!G420=7,'Items sous domaines Sciences '!E420,0)</f>
        <v>0</v>
      </c>
      <c r="F418" s="26"/>
      <c r="G418" s="372"/>
    </row>
    <row r="419" spans="1:7" ht="13.2" hidden="1" x14ac:dyDescent="0.25">
      <c r="A419" s="503"/>
      <c r="B419" s="8">
        <f>IF('Items sous domaines Sciences '!G421=7,'Items sous domaines Sciences '!B421,0)</f>
        <v>0</v>
      </c>
      <c r="C419" s="8">
        <f>IF('Items sous domaines Sciences '!G421=7,'Items sous domaines Sciences '!C421,0)</f>
        <v>0</v>
      </c>
      <c r="D419" s="8">
        <f>IF('Items sous domaines Sciences '!G421=7,'Items sous domaines Sciences '!D421,0)</f>
        <v>0</v>
      </c>
      <c r="E419" s="8">
        <f>IF('Items sous domaines Sciences '!G421=7,'Items sous domaines Sciences '!E421,0)</f>
        <v>0</v>
      </c>
      <c r="F419" s="26"/>
      <c r="G419" s="372"/>
    </row>
    <row r="420" spans="1:7" ht="13.2" hidden="1" x14ac:dyDescent="0.25">
      <c r="A420" s="503"/>
      <c r="B420" s="8">
        <f>IF('Items sous domaines Sciences '!G422=7,'Items sous domaines Sciences '!B422,0)</f>
        <v>0</v>
      </c>
      <c r="C420" s="8">
        <f>IF('Items sous domaines Sciences '!G422=7,'Items sous domaines Sciences '!C422,0)</f>
        <v>0</v>
      </c>
      <c r="D420" s="8">
        <f>IF('Items sous domaines Sciences '!G422=7,'Items sous domaines Sciences '!D422,0)</f>
        <v>0</v>
      </c>
      <c r="E420" s="8">
        <f>IF('Items sous domaines Sciences '!G422=7,'Items sous domaines Sciences '!E422,0)</f>
        <v>0</v>
      </c>
      <c r="F420" s="26" t="s">
        <v>527</v>
      </c>
      <c r="G420" s="372"/>
    </row>
    <row r="421" spans="1:7" ht="13.2" hidden="1" x14ac:dyDescent="0.25">
      <c r="A421" s="503"/>
      <c r="B421" s="8">
        <f>IF('Items sous domaines Sciences '!G423=7,'Items sous domaines Sciences '!B423,0)</f>
        <v>0</v>
      </c>
      <c r="C421" s="8">
        <f>IF('Items sous domaines Sciences '!G423=7,'Items sous domaines Sciences '!C423,0)</f>
        <v>0</v>
      </c>
      <c r="D421" s="8">
        <f>IF('Items sous domaines Sciences '!G423=7,'Items sous domaines Sciences '!D423,0)</f>
        <v>0</v>
      </c>
      <c r="E421" s="8">
        <f>IF('Items sous domaines Sciences '!G423=7,'Items sous domaines Sciences '!E423,0)</f>
        <v>0</v>
      </c>
      <c r="F421" s="26"/>
      <c r="G421" s="372"/>
    </row>
    <row r="422" spans="1:7" ht="13.2" hidden="1" x14ac:dyDescent="0.25">
      <c r="A422" s="503"/>
      <c r="B422" s="8">
        <f>IF('Items sous domaines Sciences '!G424=7,'Items sous domaines Sciences '!B424,0)</f>
        <v>0</v>
      </c>
      <c r="C422" s="8">
        <f>IF('Items sous domaines Sciences '!G424=7,'Items sous domaines Sciences '!C424,0)</f>
        <v>0</v>
      </c>
      <c r="D422" s="8">
        <f>IF('Items sous domaines Sciences '!G424=7,'Items sous domaines Sciences '!D424,0)</f>
        <v>0</v>
      </c>
      <c r="E422" s="8">
        <f>IF('Items sous domaines Sciences '!G424=7,'Items sous domaines Sciences '!E424,0)</f>
        <v>0</v>
      </c>
      <c r="F422" s="26"/>
      <c r="G422" s="372"/>
    </row>
    <row r="423" spans="1:7" ht="13.2" hidden="1" x14ac:dyDescent="0.25">
      <c r="A423" s="503"/>
      <c r="B423" s="8">
        <f>IF('Items sous domaines Sciences '!G425=7,'Items sous domaines Sciences '!B425,0)</f>
        <v>0</v>
      </c>
      <c r="C423" s="8">
        <f>IF('Items sous domaines Sciences '!G425=7,'Items sous domaines Sciences '!C425,0)</f>
        <v>0</v>
      </c>
      <c r="D423" s="8">
        <f>IF('Items sous domaines Sciences '!G425=7,'Items sous domaines Sciences '!D425,0)</f>
        <v>0</v>
      </c>
      <c r="E423" s="8">
        <f>IF('Items sous domaines Sciences '!G425=7,'Items sous domaines Sciences '!E425,0)</f>
        <v>0</v>
      </c>
      <c r="F423" s="26"/>
      <c r="G423" s="372"/>
    </row>
    <row r="424" spans="1:7" ht="13.2" hidden="1" x14ac:dyDescent="0.25">
      <c r="A424" s="503"/>
      <c r="B424" s="8">
        <f>IF('Items sous domaines Sciences '!G426=7,'Items sous domaines Sciences '!B426,0)</f>
        <v>0</v>
      </c>
      <c r="C424" s="8">
        <f>IF('Items sous domaines Sciences '!G426=7,'Items sous domaines Sciences '!C426,0)</f>
        <v>0</v>
      </c>
      <c r="D424" s="8">
        <f>IF('Items sous domaines Sciences '!G426=7,'Items sous domaines Sciences '!D426,0)</f>
        <v>0</v>
      </c>
      <c r="E424" s="8">
        <f>IF('Items sous domaines Sciences '!G426=7,'Items sous domaines Sciences '!E426,0)</f>
        <v>0</v>
      </c>
      <c r="F424" s="26"/>
      <c r="G424" s="372"/>
    </row>
    <row r="425" spans="1:7" ht="13.2" hidden="1" x14ac:dyDescent="0.25">
      <c r="A425" s="503"/>
      <c r="B425" s="8">
        <f>IF('Items sous domaines Sciences '!G427=7,'Items sous domaines Sciences '!B427,0)</f>
        <v>0</v>
      </c>
      <c r="C425" s="8">
        <f>IF('Items sous domaines Sciences '!G427=7,'Items sous domaines Sciences '!C427,0)</f>
        <v>0</v>
      </c>
      <c r="D425" s="8">
        <f>IF('Items sous domaines Sciences '!G427=7,'Items sous domaines Sciences '!D427,0)</f>
        <v>0</v>
      </c>
      <c r="E425" s="8">
        <f>IF('Items sous domaines Sciences '!G427=7,'Items sous domaines Sciences '!E427,0)</f>
        <v>0</v>
      </c>
      <c r="F425" s="26"/>
      <c r="G425" s="372"/>
    </row>
    <row r="426" spans="1:7" ht="13.2" hidden="1" x14ac:dyDescent="0.25">
      <c r="A426" s="503"/>
      <c r="B426" s="8">
        <f>IF('Items sous domaines Sciences '!G428=7,'Items sous domaines Sciences '!B428,0)</f>
        <v>0</v>
      </c>
      <c r="C426" s="8">
        <f>IF('Items sous domaines Sciences '!G428=7,'Items sous domaines Sciences '!C428,0)</f>
        <v>0</v>
      </c>
      <c r="D426" s="8">
        <f>IF('Items sous domaines Sciences '!G428=7,'Items sous domaines Sciences '!D428,0)</f>
        <v>0</v>
      </c>
      <c r="E426" s="8">
        <f>IF('Items sous domaines Sciences '!G428=7,'Items sous domaines Sciences '!E428,0)</f>
        <v>0</v>
      </c>
      <c r="F426" s="26"/>
      <c r="G426" s="372"/>
    </row>
    <row r="427" spans="1:7" ht="13.2" hidden="1" x14ac:dyDescent="0.25">
      <c r="A427" s="503"/>
      <c r="B427" s="8">
        <f>IF('Items sous domaines Sciences '!G429=7,'Items sous domaines Sciences '!B429,0)</f>
        <v>0</v>
      </c>
      <c r="C427" s="8">
        <f>IF('Items sous domaines Sciences '!G429=7,'Items sous domaines Sciences '!C429,0)</f>
        <v>0</v>
      </c>
      <c r="D427" s="8">
        <f>IF('Items sous domaines Sciences '!G429=7,'Items sous domaines Sciences '!D429,0)</f>
        <v>0</v>
      </c>
      <c r="E427" s="8">
        <f>IF('Items sous domaines Sciences '!G429=7,'Items sous domaines Sciences '!E429,0)</f>
        <v>0</v>
      </c>
      <c r="F427" s="26"/>
      <c r="G427" s="372"/>
    </row>
    <row r="428" spans="1:7" ht="13.2" hidden="1" x14ac:dyDescent="0.25">
      <c r="A428" s="503"/>
      <c r="B428" s="8">
        <f>IF('Items sous domaines Sciences '!G430=7,'Items sous domaines Sciences '!B430,0)</f>
        <v>0</v>
      </c>
      <c r="C428" s="8">
        <f>IF('Items sous domaines Sciences '!G430=7,'Items sous domaines Sciences '!C430,0)</f>
        <v>0</v>
      </c>
      <c r="D428" s="8">
        <f>IF('Items sous domaines Sciences '!G430=7,'Items sous domaines Sciences '!D430,0)</f>
        <v>0</v>
      </c>
      <c r="E428" s="8">
        <f>IF('Items sous domaines Sciences '!G430=7,'Items sous domaines Sciences '!E430,0)</f>
        <v>0</v>
      </c>
      <c r="F428" s="26"/>
      <c r="G428" s="372"/>
    </row>
    <row r="429" spans="1:7" ht="13.8" hidden="1" thickBot="1" x14ac:dyDescent="0.3">
      <c r="A429"/>
      <c r="B429" s="8">
        <f>IF('Items sous domaines Sciences '!G431=7,'Items sous domaines Sciences '!B431,0)</f>
        <v>0</v>
      </c>
      <c r="C429" s="8">
        <f>IF('Items sous domaines Sciences '!G431=7,'Items sous domaines Sciences '!C431,0)</f>
        <v>0</v>
      </c>
      <c r="D429" s="8">
        <f>IF('Items sous domaines Sciences '!G431=7,'Items sous domaines Sciences '!D431,0)</f>
        <v>0</v>
      </c>
      <c r="E429" s="8">
        <f>IF('Items sous domaines Sciences '!G431=7,'Items sous domaines Sciences '!E431,0)</f>
        <v>0</v>
      </c>
      <c r="F429" s="27"/>
      <c r="G429" s="372"/>
    </row>
    <row r="430" spans="1:7" ht="13.2" hidden="1" x14ac:dyDescent="0.25">
      <c r="A430"/>
      <c r="B430" s="8">
        <f>IF('Items sous domaines Sciences '!G432=7,'Items sous domaines Sciences '!B432,0)</f>
        <v>0</v>
      </c>
      <c r="C430" s="8">
        <f>IF('Items sous domaines Sciences '!G432=7,'Items sous domaines Sciences '!C432,0)</f>
        <v>0</v>
      </c>
      <c r="D430" s="8">
        <f>IF('Items sous domaines Sciences '!G432=7,'Items sous domaines Sciences '!D432,0)</f>
        <v>0</v>
      </c>
      <c r="E430" s="8">
        <f>IF('Items sous domaines Sciences '!G432=7,'Items sous domaines Sciences '!E432,0)</f>
        <v>0</v>
      </c>
      <c r="F430" t="e">
        <f>IF('Items sous domaines Sciences '!#REF!=1,'Items sous domaines Sciences '!F330,0)</f>
        <v>#REF!</v>
      </c>
    </row>
    <row r="431" spans="1:7" ht="13.2" hidden="1" x14ac:dyDescent="0.25">
      <c r="A431"/>
      <c r="B431" s="8">
        <f>IF('Items sous domaines Sciences '!G433=7,'Items sous domaines Sciences '!B433,0)</f>
        <v>0</v>
      </c>
      <c r="C431" s="8">
        <f>IF('Items sous domaines Sciences '!G433=7,'Items sous domaines Sciences '!C433,0)</f>
        <v>0</v>
      </c>
      <c r="D431" s="8">
        <f>IF('Items sous domaines Sciences '!G433=7,'Items sous domaines Sciences '!D433,0)</f>
        <v>0</v>
      </c>
      <c r="E431" s="8">
        <f>IF('Items sous domaines Sciences '!G433=7,'Items sous domaines Sciences '!E433,0)</f>
        <v>0</v>
      </c>
      <c r="F431" t="e">
        <f>IF('Items sous domaines Sciences '!#REF!=1,'Items sous domaines Sciences '!F331,0)</f>
        <v>#REF!</v>
      </c>
    </row>
    <row r="432" spans="1:7" ht="13.2" hidden="1" x14ac:dyDescent="0.25">
      <c r="A432"/>
      <c r="B432" s="8">
        <f>IF('Items sous domaines Sciences '!G434=7,'Items sous domaines Sciences '!B434,0)</f>
        <v>0</v>
      </c>
      <c r="C432" s="8">
        <f>IF('Items sous domaines Sciences '!G434=7,'Items sous domaines Sciences '!C434,0)</f>
        <v>0</v>
      </c>
      <c r="D432" s="8">
        <f>IF('Items sous domaines Sciences '!G434=7,'Items sous domaines Sciences '!D434,0)</f>
        <v>0</v>
      </c>
      <c r="E432" s="8">
        <f>IF('Items sous domaines Sciences '!G434=7,'Items sous domaines Sciences '!E434,0)</f>
        <v>0</v>
      </c>
      <c r="F432">
        <f>IF('Items sous domaines Sciences '!G332=1,'Items sous domaines Sciences '!#REF!,0)</f>
        <v>0</v>
      </c>
    </row>
    <row r="433" spans="2:7" customFormat="1" ht="13.2" hidden="1" x14ac:dyDescent="0.25">
      <c r="B433" s="8">
        <f>IF('Items sous domaines Sciences '!G435=7,'Items sous domaines Sciences '!B435,0)</f>
        <v>0</v>
      </c>
      <c r="C433" s="8">
        <f>IF('Items sous domaines Sciences '!G435=7,'Items sous domaines Sciences '!C435,0)</f>
        <v>0</v>
      </c>
      <c r="D433" s="8">
        <f>IF('Items sous domaines Sciences '!G435=7,'Items sous domaines Sciences '!D435,0)</f>
        <v>0</v>
      </c>
      <c r="E433" s="8">
        <f>IF('Items sous domaines Sciences '!G435=7,'Items sous domaines Sciences '!E435,0)</f>
        <v>0</v>
      </c>
      <c r="F433">
        <f>IF('Items sous domaines Sciences '!G333=1,'Items sous domaines Sciences '!#REF!,0)</f>
        <v>0</v>
      </c>
      <c r="G433" s="3"/>
    </row>
    <row r="434" spans="2:7" customFormat="1" ht="13.2" hidden="1" x14ac:dyDescent="0.25">
      <c r="B434" s="8">
        <f>IF('Items sous domaines Sciences '!G436=7,'Items sous domaines Sciences '!B436,0)</f>
        <v>0</v>
      </c>
      <c r="C434" s="8">
        <f>IF('Items sous domaines Sciences '!G436=7,'Items sous domaines Sciences '!C436,0)</f>
        <v>0</v>
      </c>
      <c r="D434" s="8">
        <f>IF('Items sous domaines Sciences '!G436=7,'Items sous domaines Sciences '!D436,0)</f>
        <v>0</v>
      </c>
      <c r="E434" s="8">
        <f>IF('Items sous domaines Sciences '!G436=7,'Items sous domaines Sciences '!E436,0)</f>
        <v>0</v>
      </c>
      <c r="F434">
        <f>IF('Items sous domaines Sciences '!G334=1,'Items sous domaines Sciences '!#REF!,0)</f>
        <v>0</v>
      </c>
      <c r="G434" s="3"/>
    </row>
    <row r="435" spans="2:7" customFormat="1" ht="13.2" hidden="1" x14ac:dyDescent="0.25">
      <c r="B435" s="8">
        <f>IF('Items sous domaines Sciences '!G437=7,'Items sous domaines Sciences '!B437,0)</f>
        <v>0</v>
      </c>
      <c r="C435" s="8">
        <f>IF('Items sous domaines Sciences '!G437=7,'Items sous domaines Sciences '!C437,0)</f>
        <v>0</v>
      </c>
      <c r="D435" s="8">
        <f>IF('Items sous domaines Sciences '!G437=7,'Items sous domaines Sciences '!D437,0)</f>
        <v>0</v>
      </c>
      <c r="E435" s="8">
        <f>IF('Items sous domaines Sciences '!G437=7,'Items sous domaines Sciences '!E437,0)</f>
        <v>0</v>
      </c>
      <c r="F435">
        <f>IF('Items sous domaines Sciences '!G335=1,'Items sous domaines Sciences '!#REF!,0)</f>
        <v>0</v>
      </c>
      <c r="G435" s="3"/>
    </row>
    <row r="436" spans="2:7" customFormat="1" ht="13.2" hidden="1" x14ac:dyDescent="0.25">
      <c r="B436" s="8">
        <f>IF('Items sous domaines Sciences '!G438=7,'Items sous domaines Sciences '!B438,0)</f>
        <v>0</v>
      </c>
      <c r="C436" s="8">
        <f>IF('Items sous domaines Sciences '!G438=7,'Items sous domaines Sciences '!C438,0)</f>
        <v>0</v>
      </c>
      <c r="D436" s="8">
        <f>IF('Items sous domaines Sciences '!G438=7,'Items sous domaines Sciences '!D438,0)</f>
        <v>0</v>
      </c>
      <c r="E436" s="8">
        <f>IF('Items sous domaines Sciences '!G438=7,'Items sous domaines Sciences '!E438,0)</f>
        <v>0</v>
      </c>
      <c r="F436">
        <f>IF('Items sous domaines Sciences '!G336=1,'Items sous domaines Sciences '!#REF!,0)</f>
        <v>0</v>
      </c>
      <c r="G436" s="3"/>
    </row>
    <row r="437" spans="2:7" customFormat="1" ht="13.2" hidden="1" x14ac:dyDescent="0.25">
      <c r="B437" s="8">
        <f>IF('Items sous domaines Sciences '!G439=7,'Items sous domaines Sciences '!B439,0)</f>
        <v>0</v>
      </c>
      <c r="C437" s="8">
        <f>IF('Items sous domaines Sciences '!G439=7,'Items sous domaines Sciences '!C439,0)</f>
        <v>0</v>
      </c>
      <c r="D437" s="8">
        <f>IF('Items sous domaines Sciences '!G439=7,'Items sous domaines Sciences '!D439,0)</f>
        <v>0</v>
      </c>
      <c r="E437" s="8">
        <f>IF('Items sous domaines Sciences '!G439=7,'Items sous domaines Sciences '!E439,0)</f>
        <v>0</v>
      </c>
      <c r="F437">
        <f>IF('Items sous domaines Sciences '!G337=1,'Items sous domaines Sciences '!#REF!,0)</f>
        <v>0</v>
      </c>
      <c r="G437" s="3"/>
    </row>
    <row r="438" spans="2:7" customFormat="1" ht="13.2" hidden="1" x14ac:dyDescent="0.25">
      <c r="B438" s="8">
        <f>IF('Items sous domaines Sciences '!G440=7,'Items sous domaines Sciences '!B440,0)</f>
        <v>0</v>
      </c>
      <c r="C438" s="8">
        <f>IF('Items sous domaines Sciences '!G440=7,'Items sous domaines Sciences '!C440,0)</f>
        <v>0</v>
      </c>
      <c r="D438" s="8">
        <f>IF('Items sous domaines Sciences '!G440=7,'Items sous domaines Sciences '!D440,0)</f>
        <v>0</v>
      </c>
      <c r="E438" s="8">
        <f>IF('Items sous domaines Sciences '!G440=7,'Items sous domaines Sciences '!E440,0)</f>
        <v>0</v>
      </c>
      <c r="F438">
        <f>IF('Items sous domaines Sciences '!G338=1,'Items sous domaines Sciences '!#REF!,0)</f>
        <v>0</v>
      </c>
      <c r="G438" s="3"/>
    </row>
    <row r="439" spans="2:7" customFormat="1" ht="13.2" hidden="1" x14ac:dyDescent="0.25">
      <c r="B439" s="8">
        <f>IF('Items sous domaines Sciences '!G441=7,'Items sous domaines Sciences '!B441,0)</f>
        <v>0</v>
      </c>
      <c r="C439" s="8">
        <f>IF('Items sous domaines Sciences '!G441=7,'Items sous domaines Sciences '!C441,0)</f>
        <v>0</v>
      </c>
      <c r="D439" s="8">
        <f>IF('Items sous domaines Sciences '!G441=7,'Items sous domaines Sciences '!D441,0)</f>
        <v>0</v>
      </c>
      <c r="E439" s="8">
        <f>IF('Items sous domaines Sciences '!G441=7,'Items sous domaines Sciences '!E441,0)</f>
        <v>0</v>
      </c>
      <c r="F439">
        <f>IF('Items sous domaines Sciences '!G339=1,'Items sous domaines Sciences '!#REF!,0)</f>
        <v>0</v>
      </c>
      <c r="G439" s="3"/>
    </row>
    <row r="440" spans="2:7" customFormat="1" ht="13.2" hidden="1" x14ac:dyDescent="0.25">
      <c r="B440" s="8">
        <f>IF('Items sous domaines Sciences '!G442=7,'Items sous domaines Sciences '!B442,0)</f>
        <v>0</v>
      </c>
      <c r="C440" s="8">
        <f>IF('Items sous domaines Sciences '!G442=7,'Items sous domaines Sciences '!C442,0)</f>
        <v>0</v>
      </c>
      <c r="D440" s="8">
        <f>IF('Items sous domaines Sciences '!G442=7,'Items sous domaines Sciences '!D442,0)</f>
        <v>0</v>
      </c>
      <c r="E440" s="8">
        <f>IF('Items sous domaines Sciences '!G442=7,'Items sous domaines Sciences '!E442,0)</f>
        <v>0</v>
      </c>
      <c r="F440">
        <f>IF('Items sous domaines Sciences '!G340=1,'Items sous domaines Sciences '!#REF!,0)</f>
        <v>0</v>
      </c>
      <c r="G440" s="3"/>
    </row>
    <row r="441" spans="2:7" customFormat="1" ht="13.2" hidden="1" x14ac:dyDescent="0.25">
      <c r="B441" s="8">
        <f>IF('Items sous domaines Sciences '!G443=7,'Items sous domaines Sciences '!B443,0)</f>
        <v>0</v>
      </c>
      <c r="C441" s="8">
        <f>IF('Items sous domaines Sciences '!G443=7,'Items sous domaines Sciences '!C443,0)</f>
        <v>0</v>
      </c>
      <c r="D441" s="8">
        <f>IF('Items sous domaines Sciences '!G443=7,'Items sous domaines Sciences '!D443,0)</f>
        <v>0</v>
      </c>
      <c r="E441" s="8">
        <f>IF('Items sous domaines Sciences '!G443=7,'Items sous domaines Sciences '!E443,0)</f>
        <v>0</v>
      </c>
      <c r="F441">
        <f>IF('Items sous domaines Sciences '!G341=1,'Items sous domaines Sciences '!#REF!,0)</f>
        <v>0</v>
      </c>
      <c r="G441" s="3"/>
    </row>
    <row r="442" spans="2:7" customFormat="1" ht="13.2" hidden="1" x14ac:dyDescent="0.25">
      <c r="B442" s="8">
        <f>IF('Items sous domaines Sciences '!G444=7,'Items sous domaines Sciences '!B444,0)</f>
        <v>0</v>
      </c>
      <c r="C442" s="8">
        <f>IF('Items sous domaines Sciences '!G444=7,'Items sous domaines Sciences '!C444,0)</f>
        <v>0</v>
      </c>
      <c r="D442" s="8">
        <f>IF('Items sous domaines Sciences '!G444=7,'Items sous domaines Sciences '!D444,0)</f>
        <v>0</v>
      </c>
      <c r="E442" s="8">
        <f>IF('Items sous domaines Sciences '!G444=7,'Items sous domaines Sciences '!E444,0)</f>
        <v>0</v>
      </c>
      <c r="F442">
        <f>IF('Items sous domaines Sciences '!G342=1,'Items sous domaines Sciences '!#REF!,0)</f>
        <v>0</v>
      </c>
      <c r="G442" s="3"/>
    </row>
    <row r="443" spans="2:7" customFormat="1" ht="13.2" hidden="1" x14ac:dyDescent="0.25">
      <c r="B443" s="8">
        <f>IF('Items sous domaines Sciences '!G445=7,'Items sous domaines Sciences '!B445,0)</f>
        <v>0</v>
      </c>
      <c r="C443" s="8">
        <f>IF('Items sous domaines Sciences '!G445=7,'Items sous domaines Sciences '!C445,0)</f>
        <v>0</v>
      </c>
      <c r="D443" s="8">
        <f>IF('Items sous domaines Sciences '!G445=7,'Items sous domaines Sciences '!D445,0)</f>
        <v>0</v>
      </c>
      <c r="E443" s="8">
        <f>IF('Items sous domaines Sciences '!G445=7,'Items sous domaines Sciences '!E445,0)</f>
        <v>0</v>
      </c>
      <c r="F443">
        <f>IF('Items sous domaines Sciences '!G343=1,'Items sous domaines Sciences '!#REF!,0)</f>
        <v>0</v>
      </c>
      <c r="G443" s="3"/>
    </row>
    <row r="444" spans="2:7" customFormat="1" ht="13.2" hidden="1" x14ac:dyDescent="0.25">
      <c r="B444" s="8">
        <f>IF('Items sous domaines Sciences '!G446=7,'Items sous domaines Sciences '!B446,0)</f>
        <v>0</v>
      </c>
      <c r="C444" s="8">
        <f>IF('Items sous domaines Sciences '!G446=7,'Items sous domaines Sciences '!C446,0)</f>
        <v>0</v>
      </c>
      <c r="D444" s="8">
        <f>IF('Items sous domaines Sciences '!G446=7,'Items sous domaines Sciences '!D446,0)</f>
        <v>0</v>
      </c>
      <c r="E444" s="8">
        <f>IF('Items sous domaines Sciences '!G446=7,'Items sous domaines Sciences '!E446,0)</f>
        <v>0</v>
      </c>
      <c r="F444">
        <f>IF('Items sous domaines Sciences '!G344=1,'Items sous domaines Sciences '!#REF!,0)</f>
        <v>0</v>
      </c>
      <c r="G444" s="3"/>
    </row>
    <row r="445" spans="2:7" customFormat="1" ht="13.2" hidden="1" x14ac:dyDescent="0.25">
      <c r="B445" s="8">
        <f>IF('Items sous domaines Sciences '!G447=7,'Items sous domaines Sciences '!B447,0)</f>
        <v>0</v>
      </c>
      <c r="C445" s="8">
        <f>IF('Items sous domaines Sciences '!G447=7,'Items sous domaines Sciences '!C447,0)</f>
        <v>0</v>
      </c>
      <c r="D445" s="8">
        <f>IF('Items sous domaines Sciences '!G447=7,'Items sous domaines Sciences '!D447,0)</f>
        <v>0</v>
      </c>
      <c r="E445" s="8">
        <f>IF('Items sous domaines Sciences '!G447=7,'Items sous domaines Sciences '!E447,0)</f>
        <v>0</v>
      </c>
      <c r="F445">
        <f>IF('Items sous domaines Sciences '!G345=1,'Items sous domaines Sciences '!#REF!,0)</f>
        <v>0</v>
      </c>
      <c r="G445" s="3"/>
    </row>
    <row r="446" spans="2:7" customFormat="1" ht="13.2" hidden="1" x14ac:dyDescent="0.25">
      <c r="B446" s="8">
        <f>IF('Items sous domaines Sciences '!G448=7,'Items sous domaines Sciences '!B448,0)</f>
        <v>0</v>
      </c>
      <c r="C446" s="8">
        <f>IF('Items sous domaines Sciences '!G448=7,'Items sous domaines Sciences '!C448,0)</f>
        <v>0</v>
      </c>
      <c r="D446" s="8">
        <f>IF('Items sous domaines Sciences '!G448=7,'Items sous domaines Sciences '!D448,0)</f>
        <v>0</v>
      </c>
      <c r="E446" s="8">
        <f>IF('Items sous domaines Sciences '!G448=7,'Items sous domaines Sciences '!E448,0)</f>
        <v>0</v>
      </c>
      <c r="F446">
        <f>IF('Items sous domaines Sciences '!G346=1,'Items sous domaines Sciences '!#REF!,0)</f>
        <v>0</v>
      </c>
      <c r="G446" s="3"/>
    </row>
    <row r="447" spans="2:7" customFormat="1" ht="13.2" hidden="1" x14ac:dyDescent="0.25">
      <c r="B447" s="8">
        <f>IF('Items sous domaines Sciences '!G449=7,'Items sous domaines Sciences '!B449,0)</f>
        <v>0</v>
      </c>
      <c r="C447" s="8">
        <f>IF('Items sous domaines Sciences '!G449=7,'Items sous domaines Sciences '!C449,0)</f>
        <v>0</v>
      </c>
      <c r="D447" s="8">
        <f>IF('Items sous domaines Sciences '!G449=7,'Items sous domaines Sciences '!D449,0)</f>
        <v>0</v>
      </c>
      <c r="E447" s="8">
        <f>IF('Items sous domaines Sciences '!G449=7,'Items sous domaines Sciences '!E449,0)</f>
        <v>0</v>
      </c>
      <c r="F447">
        <f>IF('Items sous domaines Sciences '!G347=1,'Items sous domaines Sciences '!#REF!,0)</f>
        <v>0</v>
      </c>
      <c r="G447" s="3"/>
    </row>
    <row r="448" spans="2:7" customFormat="1" ht="13.2" hidden="1" x14ac:dyDescent="0.25">
      <c r="B448" s="8">
        <f>IF('Items sous domaines Sciences '!G450=7,'Items sous domaines Sciences '!B450,0)</f>
        <v>0</v>
      </c>
      <c r="C448" s="8">
        <f>IF('Items sous domaines Sciences '!G450=7,'Items sous domaines Sciences '!C450,0)</f>
        <v>0</v>
      </c>
      <c r="D448" s="8">
        <f>IF('Items sous domaines Sciences '!G450=7,'Items sous domaines Sciences '!D450,0)</f>
        <v>0</v>
      </c>
      <c r="E448" s="8">
        <f>IF('Items sous domaines Sciences '!G450=7,'Items sous domaines Sciences '!E450,0)</f>
        <v>0</v>
      </c>
      <c r="F448">
        <f>IF('Items sous domaines Sciences '!G348=1,'Items sous domaines Sciences '!#REF!,0)</f>
        <v>0</v>
      </c>
      <c r="G448" s="3"/>
    </row>
    <row r="449" spans="2:7" customFormat="1" ht="13.2" hidden="1" x14ac:dyDescent="0.25">
      <c r="B449" s="8">
        <f>IF('Items sous domaines Sciences '!G451=7,'Items sous domaines Sciences '!B451,0)</f>
        <v>0</v>
      </c>
      <c r="C449" s="8">
        <f>IF('Items sous domaines Sciences '!G451=7,'Items sous domaines Sciences '!C451,0)</f>
        <v>0</v>
      </c>
      <c r="D449" s="8">
        <f>IF('Items sous domaines Sciences '!G451=7,'Items sous domaines Sciences '!D451,0)</f>
        <v>0</v>
      </c>
      <c r="E449" s="8">
        <f>IF('Items sous domaines Sciences '!G451=7,'Items sous domaines Sciences '!E451,0)</f>
        <v>0</v>
      </c>
      <c r="F449">
        <f>IF('Items sous domaines Sciences '!G349=1,'Items sous domaines Sciences '!#REF!,0)</f>
        <v>0</v>
      </c>
      <c r="G449" s="3"/>
    </row>
    <row r="450" spans="2:7" customFormat="1" ht="13.2" hidden="1" x14ac:dyDescent="0.25">
      <c r="B450" s="8">
        <f>IF('Items sous domaines Sciences '!G452=7,'Items sous domaines Sciences '!B452,0)</f>
        <v>0</v>
      </c>
      <c r="C450" s="8">
        <f>IF('Items sous domaines Sciences '!G452=7,'Items sous domaines Sciences '!C452,0)</f>
        <v>0</v>
      </c>
      <c r="D450" s="8">
        <f>IF('Items sous domaines Sciences '!G452=7,'Items sous domaines Sciences '!D452,0)</f>
        <v>0</v>
      </c>
      <c r="E450" s="8">
        <f>IF('Items sous domaines Sciences '!G452=7,'Items sous domaines Sciences '!E452,0)</f>
        <v>0</v>
      </c>
      <c r="F450">
        <f>IF('Items sous domaines Sciences '!G350=1,'Items sous domaines Sciences '!#REF!,0)</f>
        <v>0</v>
      </c>
      <c r="G450" s="3"/>
    </row>
    <row r="451" spans="2:7" customFormat="1" ht="13.2" hidden="1" x14ac:dyDescent="0.25">
      <c r="B451" s="8">
        <f>IF('Items sous domaines Sciences '!G453=7,'Items sous domaines Sciences '!B453,0)</f>
        <v>0</v>
      </c>
      <c r="C451" s="8">
        <f>IF('Items sous domaines Sciences '!G453=7,'Items sous domaines Sciences '!C453,0)</f>
        <v>0</v>
      </c>
      <c r="D451" s="8">
        <f>IF('Items sous domaines Sciences '!G453=7,'Items sous domaines Sciences '!D453,0)</f>
        <v>0</v>
      </c>
      <c r="E451" s="8">
        <f>IF('Items sous domaines Sciences '!G453=7,'Items sous domaines Sciences '!E453,0)</f>
        <v>0</v>
      </c>
      <c r="F451">
        <f>IF('Items sous domaines Sciences '!G351=1,'Items sous domaines Sciences '!#REF!,0)</f>
        <v>0</v>
      </c>
      <c r="G451" s="3"/>
    </row>
    <row r="452" spans="2:7" customFormat="1" ht="13.2" hidden="1" x14ac:dyDescent="0.25">
      <c r="B452" s="8">
        <f>IF('Items sous domaines Sciences '!G454=7,'Items sous domaines Sciences '!B454,0)</f>
        <v>0</v>
      </c>
      <c r="C452" s="8">
        <f>IF('Items sous domaines Sciences '!G454=7,'Items sous domaines Sciences '!C454,0)</f>
        <v>0</v>
      </c>
      <c r="D452" s="8">
        <f>IF('Items sous domaines Sciences '!G454=7,'Items sous domaines Sciences '!D454,0)</f>
        <v>0</v>
      </c>
      <c r="E452" s="8">
        <f>IF('Items sous domaines Sciences '!G454=7,'Items sous domaines Sciences '!E454,0)</f>
        <v>0</v>
      </c>
      <c r="F452">
        <f>IF('Items sous domaines Sciences '!G352=1,'Items sous domaines Sciences '!#REF!,0)</f>
        <v>0</v>
      </c>
      <c r="G452" s="3"/>
    </row>
    <row r="453" spans="2:7" customFormat="1" ht="13.2" hidden="1" x14ac:dyDescent="0.25">
      <c r="B453" s="8">
        <f>IF('Items sous domaines Sciences '!G455=7,'Items sous domaines Sciences '!B455,0)</f>
        <v>0</v>
      </c>
      <c r="C453" s="8">
        <f>IF('Items sous domaines Sciences '!G455=7,'Items sous domaines Sciences '!C455,0)</f>
        <v>0</v>
      </c>
      <c r="D453" s="8">
        <f>IF('Items sous domaines Sciences '!G455=7,'Items sous domaines Sciences '!D455,0)</f>
        <v>0</v>
      </c>
      <c r="E453" s="8">
        <f>IF('Items sous domaines Sciences '!G455=7,'Items sous domaines Sciences '!E455,0)</f>
        <v>0</v>
      </c>
      <c r="F453">
        <f>IF('Items sous domaines Sciences '!G353=1,'Items sous domaines Sciences '!#REF!,0)</f>
        <v>0</v>
      </c>
      <c r="G453" s="3"/>
    </row>
    <row r="454" spans="2:7" customFormat="1" ht="13.2" hidden="1" x14ac:dyDescent="0.25">
      <c r="B454" s="8">
        <f>IF('Items sous domaines Sciences '!G456=7,'Items sous domaines Sciences '!B456,0)</f>
        <v>0</v>
      </c>
      <c r="C454" s="8">
        <f>IF('Items sous domaines Sciences '!G456=7,'Items sous domaines Sciences '!C456,0)</f>
        <v>0</v>
      </c>
      <c r="D454" s="8">
        <f>IF('Items sous domaines Sciences '!G456=7,'Items sous domaines Sciences '!D456,0)</f>
        <v>0</v>
      </c>
      <c r="E454" s="8">
        <f>IF('Items sous domaines Sciences '!G456=7,'Items sous domaines Sciences '!E456,0)</f>
        <v>0</v>
      </c>
      <c r="F454">
        <f>IF('Items sous domaines Sciences '!G354=1,'Items sous domaines Sciences '!#REF!,0)</f>
        <v>0</v>
      </c>
      <c r="G454" s="3"/>
    </row>
    <row r="455" spans="2:7" customFormat="1" ht="13.2" hidden="1" x14ac:dyDescent="0.25">
      <c r="B455" s="8">
        <f>IF('Items sous domaines Sciences '!G457=7,'Items sous domaines Sciences '!B457,0)</f>
        <v>0</v>
      </c>
      <c r="C455" s="8">
        <f>IF('Items sous domaines Sciences '!G457=7,'Items sous domaines Sciences '!C457,0)</f>
        <v>0</v>
      </c>
      <c r="D455" s="8">
        <f>IF('Items sous domaines Sciences '!G457=7,'Items sous domaines Sciences '!D457,0)</f>
        <v>0</v>
      </c>
      <c r="E455" s="8">
        <f>IF('Items sous domaines Sciences '!G457=7,'Items sous domaines Sciences '!E457,0)</f>
        <v>0</v>
      </c>
      <c r="F455">
        <f>IF('Items sous domaines Sciences '!G355=1,'Items sous domaines Sciences '!#REF!,0)</f>
        <v>0</v>
      </c>
      <c r="G455" s="3"/>
    </row>
    <row r="456" spans="2:7" customFormat="1" ht="13.2" hidden="1" x14ac:dyDescent="0.25">
      <c r="B456" s="8">
        <f>IF('Items sous domaines Sciences '!G458=7,'Items sous domaines Sciences '!B458,0)</f>
        <v>0</v>
      </c>
      <c r="C456" s="8">
        <f>IF('Items sous domaines Sciences '!G458=7,'Items sous domaines Sciences '!C458,0)</f>
        <v>0</v>
      </c>
      <c r="D456" s="8">
        <f>IF('Items sous domaines Sciences '!G458=7,'Items sous domaines Sciences '!D458,0)</f>
        <v>0</v>
      </c>
      <c r="E456" s="8">
        <f>IF('Items sous domaines Sciences '!G458=7,'Items sous domaines Sciences '!E458,0)</f>
        <v>0</v>
      </c>
      <c r="F456">
        <f>IF('Items sous domaines Sciences '!G356=1,'Items sous domaines Sciences '!#REF!,0)</f>
        <v>0</v>
      </c>
      <c r="G456" s="3"/>
    </row>
    <row r="457" spans="2:7" customFormat="1" ht="13.2" hidden="1" x14ac:dyDescent="0.25">
      <c r="B457" s="8">
        <f>IF('Items sous domaines Sciences '!G459=7,'Items sous domaines Sciences '!B459,0)</f>
        <v>0</v>
      </c>
      <c r="C457" s="8">
        <f>IF('Items sous domaines Sciences '!G459=7,'Items sous domaines Sciences '!C459,0)</f>
        <v>0</v>
      </c>
      <c r="D457" s="8">
        <f>IF('Items sous domaines Sciences '!G459=7,'Items sous domaines Sciences '!D459,0)</f>
        <v>0</v>
      </c>
      <c r="E457" s="8">
        <f>IF('Items sous domaines Sciences '!G459=7,'Items sous domaines Sciences '!E459,0)</f>
        <v>0</v>
      </c>
      <c r="F457">
        <f>IF('Items sous domaines Sciences '!G357=1,'Items sous domaines Sciences '!#REF!,0)</f>
        <v>0</v>
      </c>
      <c r="G457" s="3"/>
    </row>
    <row r="458" spans="2:7" customFormat="1" ht="13.2" hidden="1" x14ac:dyDescent="0.25">
      <c r="B458" s="8">
        <f>IF('Items sous domaines Sciences '!G460=7,'Items sous domaines Sciences '!B460,0)</f>
        <v>0</v>
      </c>
      <c r="C458" s="8">
        <f>IF('Items sous domaines Sciences '!G460=7,'Items sous domaines Sciences '!C460,0)</f>
        <v>0</v>
      </c>
      <c r="D458" s="8">
        <f>IF('Items sous domaines Sciences '!G460=7,'Items sous domaines Sciences '!D460,0)</f>
        <v>0</v>
      </c>
      <c r="E458" s="8">
        <f>IF('Items sous domaines Sciences '!G460=7,'Items sous domaines Sciences '!E460,0)</f>
        <v>0</v>
      </c>
      <c r="F458">
        <f>IF('Items sous domaines Sciences '!G358=1,'Items sous domaines Sciences '!#REF!,0)</f>
        <v>0</v>
      </c>
      <c r="G458" s="3"/>
    </row>
    <row r="459" spans="2:7" customFormat="1" ht="13.2" hidden="1" x14ac:dyDescent="0.25">
      <c r="B459" s="8">
        <f>IF('Items sous domaines Sciences '!G461=7,'Items sous domaines Sciences '!B461,0)</f>
        <v>0</v>
      </c>
      <c r="C459" s="8">
        <f>IF('Items sous domaines Sciences '!G461=7,'Items sous domaines Sciences '!C461,0)</f>
        <v>0</v>
      </c>
      <c r="D459" s="8">
        <f>IF('Items sous domaines Sciences '!G461=7,'Items sous domaines Sciences '!D461,0)</f>
        <v>0</v>
      </c>
      <c r="E459" s="8">
        <f>IF('Items sous domaines Sciences '!G461=7,'Items sous domaines Sciences '!E461,0)</f>
        <v>0</v>
      </c>
      <c r="F459">
        <f>IF('Items sous domaines Sciences '!G359=1,'Items sous domaines Sciences '!#REF!,0)</f>
        <v>0</v>
      </c>
      <c r="G459" s="3"/>
    </row>
    <row r="460" spans="2:7" customFormat="1" ht="13.2" hidden="1" x14ac:dyDescent="0.25">
      <c r="B460" s="8">
        <f>IF('Items sous domaines Sciences '!G462=7,'Items sous domaines Sciences '!B462,0)</f>
        <v>0</v>
      </c>
      <c r="C460" s="8">
        <f>IF('Items sous domaines Sciences '!G462=7,'Items sous domaines Sciences '!C462,0)</f>
        <v>0</v>
      </c>
      <c r="D460" s="8">
        <f>IF('Items sous domaines Sciences '!G462=7,'Items sous domaines Sciences '!D462,0)</f>
        <v>0</v>
      </c>
      <c r="E460" s="8">
        <f>IF('Items sous domaines Sciences '!G462=7,'Items sous domaines Sciences '!E462,0)</f>
        <v>0</v>
      </c>
      <c r="F460">
        <f>IF('Items sous domaines Sciences '!G360=1,'Items sous domaines Sciences '!#REF!,0)</f>
        <v>0</v>
      </c>
      <c r="G460" s="3"/>
    </row>
    <row r="461" spans="2:7" customFormat="1" ht="13.2" hidden="1" x14ac:dyDescent="0.25">
      <c r="B461" s="8">
        <f>IF('Items sous domaines Sciences '!G463=7,'Items sous domaines Sciences '!B463,0)</f>
        <v>0</v>
      </c>
      <c r="C461" s="8">
        <f>IF('Items sous domaines Sciences '!G463=7,'Items sous domaines Sciences '!C463,0)</f>
        <v>0</v>
      </c>
      <c r="D461" s="8">
        <f>IF('Items sous domaines Sciences '!G463=7,'Items sous domaines Sciences '!D463,0)</f>
        <v>0</v>
      </c>
      <c r="E461" s="8">
        <f>IF('Items sous domaines Sciences '!G463=7,'Items sous domaines Sciences '!E463,0)</f>
        <v>0</v>
      </c>
      <c r="F461">
        <f>IF('Items sous domaines Sciences '!G361=1,'Items sous domaines Sciences '!#REF!,0)</f>
        <v>0</v>
      </c>
      <c r="G461" s="3"/>
    </row>
    <row r="462" spans="2:7" customFormat="1" ht="13.2" hidden="1" x14ac:dyDescent="0.25">
      <c r="B462" s="8">
        <f>IF('Items sous domaines Sciences '!G464=7,'Items sous domaines Sciences '!B464,0)</f>
        <v>0</v>
      </c>
      <c r="C462" s="8">
        <f>IF('Items sous domaines Sciences '!G464=7,'Items sous domaines Sciences '!C464,0)</f>
        <v>0</v>
      </c>
      <c r="D462" s="8">
        <f>IF('Items sous domaines Sciences '!G464=7,'Items sous domaines Sciences '!D464,0)</f>
        <v>0</v>
      </c>
      <c r="E462" s="8">
        <f>IF('Items sous domaines Sciences '!G464=7,'Items sous domaines Sciences '!E464,0)</f>
        <v>0</v>
      </c>
      <c r="F462">
        <f>IF('Items sous domaines Sciences '!G362=1,'Items sous domaines Sciences '!#REF!,0)</f>
        <v>0</v>
      </c>
      <c r="G462" s="3"/>
    </row>
    <row r="463" spans="2:7" customFormat="1" ht="13.2" hidden="1" x14ac:dyDescent="0.25">
      <c r="B463" s="8">
        <f>IF('Items sous domaines Sciences '!G465=7,'Items sous domaines Sciences '!B465,0)</f>
        <v>0</v>
      </c>
      <c r="C463" s="8">
        <f>IF('Items sous domaines Sciences '!G465=7,'Items sous domaines Sciences '!C465,0)</f>
        <v>0</v>
      </c>
      <c r="D463" s="8">
        <f>IF('Items sous domaines Sciences '!G465=7,'Items sous domaines Sciences '!D465,0)</f>
        <v>0</v>
      </c>
      <c r="E463" s="8">
        <f>IF('Items sous domaines Sciences '!G465=7,'Items sous domaines Sciences '!E465,0)</f>
        <v>0</v>
      </c>
      <c r="F463">
        <f>IF('Items sous domaines Sciences '!G363=1,'Items sous domaines Sciences '!#REF!,0)</f>
        <v>0</v>
      </c>
      <c r="G463" s="3"/>
    </row>
    <row r="464" spans="2:7" customFormat="1" ht="13.2" hidden="1" x14ac:dyDescent="0.25">
      <c r="B464" s="8">
        <f>IF('Items sous domaines Sciences '!G466=7,'Items sous domaines Sciences '!B466,0)</f>
        <v>0</v>
      </c>
      <c r="C464" s="8">
        <f>IF('Items sous domaines Sciences '!G466=7,'Items sous domaines Sciences '!C466,0)</f>
        <v>0</v>
      </c>
      <c r="D464" s="8">
        <f>IF('Items sous domaines Sciences '!G466=7,'Items sous domaines Sciences '!D466,0)</f>
        <v>0</v>
      </c>
      <c r="E464" s="8">
        <f>IF('Items sous domaines Sciences '!G466=7,'Items sous domaines Sciences '!E466,0)</f>
        <v>0</v>
      </c>
      <c r="F464">
        <f>IF('Items sous domaines Sciences '!G364=1,'Items sous domaines Sciences '!#REF!,0)</f>
        <v>0</v>
      </c>
      <c r="G464" s="3"/>
    </row>
    <row r="465" spans="2:7" customFormat="1" ht="13.2" hidden="1" x14ac:dyDescent="0.25">
      <c r="B465" s="8">
        <f>IF('Items sous domaines Sciences '!G467=7,'Items sous domaines Sciences '!B467,0)</f>
        <v>0</v>
      </c>
      <c r="C465" s="8">
        <f>IF('Items sous domaines Sciences '!G467=7,'Items sous domaines Sciences '!C467,0)</f>
        <v>0</v>
      </c>
      <c r="D465" s="8">
        <f>IF('Items sous domaines Sciences '!G467=7,'Items sous domaines Sciences '!D467,0)</f>
        <v>0</v>
      </c>
      <c r="E465" s="8">
        <f>IF('Items sous domaines Sciences '!G467=7,'Items sous domaines Sciences '!E467,0)</f>
        <v>0</v>
      </c>
      <c r="F465">
        <f>IF('Items sous domaines Sciences '!G365=1,'Items sous domaines Sciences '!#REF!,0)</f>
        <v>0</v>
      </c>
      <c r="G465" s="3"/>
    </row>
    <row r="466" spans="2:7" customFormat="1" ht="13.2" hidden="1" x14ac:dyDescent="0.25">
      <c r="B466" s="8">
        <f>IF('Items sous domaines Sciences '!G468=7,'Items sous domaines Sciences '!B468,0)</f>
        <v>0</v>
      </c>
      <c r="C466" s="8">
        <f>IF('Items sous domaines Sciences '!G468=7,'Items sous domaines Sciences '!C468,0)</f>
        <v>0</v>
      </c>
      <c r="D466" s="8">
        <f>IF('Items sous domaines Sciences '!G468=7,'Items sous domaines Sciences '!D468,0)</f>
        <v>0</v>
      </c>
      <c r="E466" s="8">
        <f>IF('Items sous domaines Sciences '!G468=7,'Items sous domaines Sciences '!E468,0)</f>
        <v>0</v>
      </c>
      <c r="F466">
        <f>IF('Items sous domaines Sciences '!G366=1,'Items sous domaines Sciences '!#REF!,0)</f>
        <v>0</v>
      </c>
      <c r="G466" s="3"/>
    </row>
    <row r="467" spans="2:7" customFormat="1" ht="13.2" hidden="1" x14ac:dyDescent="0.25">
      <c r="B467" s="8">
        <f>IF('Items sous domaines Sciences '!G469=7,'Items sous domaines Sciences '!B469,0)</f>
        <v>0</v>
      </c>
      <c r="C467" s="8">
        <f>IF('Items sous domaines Sciences '!G469=7,'Items sous domaines Sciences '!C469,0)</f>
        <v>0</v>
      </c>
      <c r="D467" s="8">
        <f>IF('Items sous domaines Sciences '!G469=7,'Items sous domaines Sciences '!D469,0)</f>
        <v>0</v>
      </c>
      <c r="E467" s="8">
        <f>IF('Items sous domaines Sciences '!G469=7,'Items sous domaines Sciences '!E469,0)</f>
        <v>0</v>
      </c>
      <c r="F467">
        <f>IF('Items sous domaines Sciences '!G367=1,'Items sous domaines Sciences '!#REF!,0)</f>
        <v>0</v>
      </c>
      <c r="G467" s="3"/>
    </row>
    <row r="468" spans="2:7" customFormat="1" ht="13.2" hidden="1" x14ac:dyDescent="0.25">
      <c r="B468" s="8">
        <f>IF('Items sous domaines Sciences '!G470=7,'Items sous domaines Sciences '!B470,0)</f>
        <v>0</v>
      </c>
      <c r="C468" s="8">
        <f>IF('Items sous domaines Sciences '!G470=7,'Items sous domaines Sciences '!C470,0)</f>
        <v>0</v>
      </c>
      <c r="D468" s="8">
        <f>IF('Items sous domaines Sciences '!G470=7,'Items sous domaines Sciences '!D470,0)</f>
        <v>0</v>
      </c>
      <c r="E468" s="8">
        <f>IF('Items sous domaines Sciences '!G470=7,'Items sous domaines Sciences '!E470,0)</f>
        <v>0</v>
      </c>
      <c r="F468">
        <f>IF('Items sous domaines Sciences '!G368=1,'Items sous domaines Sciences '!#REF!,0)</f>
        <v>0</v>
      </c>
      <c r="G468" s="3"/>
    </row>
    <row r="469" spans="2:7" customFormat="1" ht="13.2" hidden="1" x14ac:dyDescent="0.25">
      <c r="B469" s="8">
        <f>IF('Items sous domaines Sciences '!G471=7,'Items sous domaines Sciences '!B471,0)</f>
        <v>0</v>
      </c>
      <c r="C469" s="8">
        <f>IF('Items sous domaines Sciences '!G471=7,'Items sous domaines Sciences '!C471,0)</f>
        <v>0</v>
      </c>
      <c r="D469" s="8">
        <f>IF('Items sous domaines Sciences '!G471=7,'Items sous domaines Sciences '!D471,0)</f>
        <v>0</v>
      </c>
      <c r="E469" s="8">
        <f>IF('Items sous domaines Sciences '!G471=7,'Items sous domaines Sciences '!E471,0)</f>
        <v>0</v>
      </c>
      <c r="F469">
        <f>IF('Items sous domaines Sciences '!G369=1,'Items sous domaines Sciences '!#REF!,0)</f>
        <v>0</v>
      </c>
      <c r="G469" s="3"/>
    </row>
    <row r="470" spans="2:7" customFormat="1" ht="13.2" hidden="1" x14ac:dyDescent="0.25">
      <c r="B470" s="8">
        <f>IF('Items sous domaines Sciences '!G472=7,'Items sous domaines Sciences '!B472,0)</f>
        <v>0</v>
      </c>
      <c r="C470" s="8">
        <f>IF('Items sous domaines Sciences '!G472=7,'Items sous domaines Sciences '!C472,0)</f>
        <v>0</v>
      </c>
      <c r="D470" s="8">
        <f>IF('Items sous domaines Sciences '!G472=7,'Items sous domaines Sciences '!D472,0)</f>
        <v>0</v>
      </c>
      <c r="E470" s="8">
        <f>IF('Items sous domaines Sciences '!G472=7,'Items sous domaines Sciences '!E472,0)</f>
        <v>0</v>
      </c>
      <c r="F470">
        <f>IF('Items sous domaines Sciences '!G370=1,'Items sous domaines Sciences '!#REF!,0)</f>
        <v>0</v>
      </c>
      <c r="G470" s="3"/>
    </row>
    <row r="471" spans="2:7" customFormat="1" ht="13.2" hidden="1" x14ac:dyDescent="0.25">
      <c r="B471" s="8">
        <f>IF('Items sous domaines Sciences '!G473=7,'Items sous domaines Sciences '!B473,0)</f>
        <v>0</v>
      </c>
      <c r="C471" s="8">
        <f>IF('Items sous domaines Sciences '!G473=7,'Items sous domaines Sciences '!C473,0)</f>
        <v>0</v>
      </c>
      <c r="D471" s="8">
        <f>IF('Items sous domaines Sciences '!G473=7,'Items sous domaines Sciences '!D473,0)</f>
        <v>0</v>
      </c>
      <c r="E471" s="8">
        <f>IF('Items sous domaines Sciences '!G473=7,'Items sous domaines Sciences '!E473,0)</f>
        <v>0</v>
      </c>
      <c r="F471">
        <f>IF('Items sous domaines Sciences '!G371=1,'Items sous domaines Sciences '!#REF!,0)</f>
        <v>0</v>
      </c>
      <c r="G471" s="3"/>
    </row>
    <row r="472" spans="2:7" customFormat="1" ht="13.2" hidden="1" x14ac:dyDescent="0.25">
      <c r="B472" s="8">
        <f>IF('Items sous domaines Sciences '!G474=7,'Items sous domaines Sciences '!B474,0)</f>
        <v>0</v>
      </c>
      <c r="C472" s="8">
        <f>IF('Items sous domaines Sciences '!G474=7,'Items sous domaines Sciences '!C474,0)</f>
        <v>0</v>
      </c>
      <c r="D472" s="8">
        <f>IF('Items sous domaines Sciences '!G474=7,'Items sous domaines Sciences '!D474,0)</f>
        <v>0</v>
      </c>
      <c r="E472" s="8">
        <f>IF('Items sous domaines Sciences '!G474=7,'Items sous domaines Sciences '!E474,0)</f>
        <v>0</v>
      </c>
      <c r="F472">
        <f>IF('Items sous domaines Sciences '!G372=1,'Items sous domaines Sciences '!#REF!,0)</f>
        <v>0</v>
      </c>
      <c r="G472" s="3"/>
    </row>
    <row r="473" spans="2:7" customFormat="1" ht="13.2" hidden="1" x14ac:dyDescent="0.25">
      <c r="B473" s="8">
        <f>IF('Items sous domaines Sciences '!G475=7,'Items sous domaines Sciences '!B475,0)</f>
        <v>0</v>
      </c>
      <c r="C473" s="8">
        <f>IF('Items sous domaines Sciences '!G475=7,'Items sous domaines Sciences '!C475,0)</f>
        <v>0</v>
      </c>
      <c r="D473" s="8">
        <f>IF('Items sous domaines Sciences '!G475=7,'Items sous domaines Sciences '!D475,0)</f>
        <v>0</v>
      </c>
      <c r="E473" s="8">
        <f>IF('Items sous domaines Sciences '!G475=7,'Items sous domaines Sciences '!E475,0)</f>
        <v>0</v>
      </c>
      <c r="F473">
        <f>IF('Items sous domaines Sciences '!G373=1,'Items sous domaines Sciences '!#REF!,0)</f>
        <v>0</v>
      </c>
      <c r="G473" s="3"/>
    </row>
    <row r="474" spans="2:7" customFormat="1" ht="13.2" hidden="1" x14ac:dyDescent="0.25">
      <c r="B474" s="8">
        <f>IF('Items sous domaines Sciences '!G476=7,'Items sous domaines Sciences '!B476,0)</f>
        <v>0</v>
      </c>
      <c r="C474" s="8">
        <f>IF('Items sous domaines Sciences '!G476=7,'Items sous domaines Sciences '!C476,0)</f>
        <v>0</v>
      </c>
      <c r="D474" s="8">
        <f>IF('Items sous domaines Sciences '!G476=7,'Items sous domaines Sciences '!D476,0)</f>
        <v>0</v>
      </c>
      <c r="E474" s="8">
        <f>IF('Items sous domaines Sciences '!G476=7,'Items sous domaines Sciences '!E476,0)</f>
        <v>0</v>
      </c>
      <c r="F474">
        <f>IF('Items sous domaines Sciences '!G374=1,'Items sous domaines Sciences '!#REF!,0)</f>
        <v>0</v>
      </c>
      <c r="G474" s="3"/>
    </row>
    <row r="475" spans="2:7" customFormat="1" ht="13.2" hidden="1" x14ac:dyDescent="0.25">
      <c r="B475" s="8">
        <f>IF('Items sous domaines Sciences '!G477=7,'Items sous domaines Sciences '!B477,0)</f>
        <v>0</v>
      </c>
      <c r="C475" s="8">
        <f>IF('Items sous domaines Sciences '!G477=7,'Items sous domaines Sciences '!C477,0)</f>
        <v>0</v>
      </c>
      <c r="D475" s="8">
        <f>IF('Items sous domaines Sciences '!G477=7,'Items sous domaines Sciences '!D477,0)</f>
        <v>0</v>
      </c>
      <c r="E475" s="8">
        <f>IF('Items sous domaines Sciences '!G477=7,'Items sous domaines Sciences '!E477,0)</f>
        <v>0</v>
      </c>
      <c r="F475">
        <f>IF('Items sous domaines Sciences '!G375=1,'Items sous domaines Sciences '!#REF!,0)</f>
        <v>0</v>
      </c>
      <c r="G475" s="3"/>
    </row>
    <row r="476" spans="2:7" customFormat="1" ht="13.2" hidden="1" x14ac:dyDescent="0.25">
      <c r="B476" s="8">
        <f>IF('Items sous domaines Sciences '!G478=7,'Items sous domaines Sciences '!B478,0)</f>
        <v>0</v>
      </c>
      <c r="C476" s="8">
        <f>IF('Items sous domaines Sciences '!G478=7,'Items sous domaines Sciences '!C478,0)</f>
        <v>0</v>
      </c>
      <c r="D476" s="8">
        <f>IF('Items sous domaines Sciences '!G478=7,'Items sous domaines Sciences '!D478,0)</f>
        <v>0</v>
      </c>
      <c r="E476" s="8">
        <f>IF('Items sous domaines Sciences '!G478=7,'Items sous domaines Sciences '!E478,0)</f>
        <v>0</v>
      </c>
      <c r="F476">
        <f>IF('Items sous domaines Sciences '!G376=1,'Items sous domaines Sciences '!#REF!,0)</f>
        <v>0</v>
      </c>
      <c r="G476" s="3"/>
    </row>
    <row r="477" spans="2:7" customFormat="1" ht="13.2" hidden="1" x14ac:dyDescent="0.25">
      <c r="B477" s="8">
        <f>IF('Items sous domaines Sciences '!G479=7,'Items sous domaines Sciences '!B479,0)</f>
        <v>0</v>
      </c>
      <c r="C477" s="8">
        <f>IF('Items sous domaines Sciences '!G479=7,'Items sous domaines Sciences '!C479,0)</f>
        <v>0</v>
      </c>
      <c r="D477" s="8">
        <f>IF('Items sous domaines Sciences '!G479=7,'Items sous domaines Sciences '!D479,0)</f>
        <v>0</v>
      </c>
      <c r="E477" s="8">
        <f>IF('Items sous domaines Sciences '!G479=7,'Items sous domaines Sciences '!E479,0)</f>
        <v>0</v>
      </c>
      <c r="F477">
        <f>IF('Items sous domaines Sciences '!G377=1,'Items sous domaines Sciences '!#REF!,0)</f>
        <v>0</v>
      </c>
      <c r="G477" s="3"/>
    </row>
    <row r="478" spans="2:7" customFormat="1" ht="13.2" hidden="1" x14ac:dyDescent="0.25">
      <c r="B478" s="8">
        <f>IF('Items sous domaines Sciences '!G480=7,'Items sous domaines Sciences '!B480,0)</f>
        <v>0</v>
      </c>
      <c r="C478" s="8">
        <f>IF('Items sous domaines Sciences '!G480=7,'Items sous domaines Sciences '!C480,0)</f>
        <v>0</v>
      </c>
      <c r="D478" s="8">
        <f>IF('Items sous domaines Sciences '!G480=7,'Items sous domaines Sciences '!D480,0)</f>
        <v>0</v>
      </c>
      <c r="E478" s="8">
        <f>IF('Items sous domaines Sciences '!G480=7,'Items sous domaines Sciences '!E480,0)</f>
        <v>0</v>
      </c>
      <c r="F478">
        <f>IF('Items sous domaines Sciences '!G378=1,'Items sous domaines Sciences '!#REF!,0)</f>
        <v>0</v>
      </c>
      <c r="G478" s="3"/>
    </row>
    <row r="479" spans="2:7" customFormat="1" ht="13.2" hidden="1" x14ac:dyDescent="0.25">
      <c r="B479" s="8">
        <f>IF('Items sous domaines Sciences '!G481=7,'Items sous domaines Sciences '!B481,0)</f>
        <v>0</v>
      </c>
      <c r="C479" s="8">
        <f>IF('Items sous domaines Sciences '!G481=7,'Items sous domaines Sciences '!C481,0)</f>
        <v>0</v>
      </c>
      <c r="D479" s="8">
        <f>IF('Items sous domaines Sciences '!G481=7,'Items sous domaines Sciences '!D481,0)</f>
        <v>0</v>
      </c>
      <c r="E479" s="8">
        <f>IF('Items sous domaines Sciences '!G481=7,'Items sous domaines Sciences '!E481,0)</f>
        <v>0</v>
      </c>
      <c r="F479">
        <f>IF('Items sous domaines Sciences '!G379=1,'Items sous domaines Sciences '!#REF!,0)</f>
        <v>0</v>
      </c>
      <c r="G479" s="3"/>
    </row>
    <row r="480" spans="2:7" customFormat="1" ht="13.2" hidden="1" x14ac:dyDescent="0.25">
      <c r="B480" s="8">
        <f>IF('Items sous domaines Sciences '!G482=7,'Items sous domaines Sciences '!B482,0)</f>
        <v>0</v>
      </c>
      <c r="C480" s="8">
        <f>IF('Items sous domaines Sciences '!G482=7,'Items sous domaines Sciences '!C482,0)</f>
        <v>0</v>
      </c>
      <c r="D480" s="8">
        <f>IF('Items sous domaines Sciences '!G482=7,'Items sous domaines Sciences '!D482,0)</f>
        <v>0</v>
      </c>
      <c r="E480" s="8">
        <f>IF('Items sous domaines Sciences '!G482=7,'Items sous domaines Sciences '!E482,0)</f>
        <v>0</v>
      </c>
      <c r="F480">
        <f>IF('Items sous domaines Sciences '!G380=1,'Items sous domaines Sciences '!#REF!,0)</f>
        <v>0</v>
      </c>
      <c r="G480" s="3"/>
    </row>
    <row r="481" spans="1:6" ht="13.2" hidden="1" x14ac:dyDescent="0.25">
      <c r="A481"/>
      <c r="B481" s="8">
        <f>IF('Items sous domaines Sciences '!G483=7,'Items sous domaines Sciences '!B483,0)</f>
        <v>0</v>
      </c>
      <c r="C481" s="8">
        <f>IF('Items sous domaines Sciences '!G483=7,'Items sous domaines Sciences '!C483,0)</f>
        <v>0</v>
      </c>
      <c r="D481" s="8">
        <f>IF('Items sous domaines Sciences '!G483=7,'Items sous domaines Sciences '!D483,0)</f>
        <v>0</v>
      </c>
      <c r="E481" s="8">
        <f>IF('Items sous domaines Sciences '!G483=7,'Items sous domaines Sciences '!E483,0)</f>
        <v>0</v>
      </c>
      <c r="F481">
        <f>IF('Items sous domaines Sciences '!G381=1,'Items sous domaines Sciences '!#REF!,0)</f>
        <v>0</v>
      </c>
    </row>
    <row r="482" spans="1:6" ht="13.2" hidden="1" x14ac:dyDescent="0.25">
      <c r="A482"/>
      <c r="B482" s="8">
        <f>IF('Items sous domaines Sciences '!G484=7,'Items sous domaines Sciences '!B484,0)</f>
        <v>0</v>
      </c>
      <c r="C482" s="8">
        <f>IF('Items sous domaines Sciences '!G484=7,'Items sous domaines Sciences '!C484,0)</f>
        <v>0</v>
      </c>
      <c r="D482" s="8">
        <f>IF('Items sous domaines Sciences '!G484=7,'Items sous domaines Sciences '!D484,0)</f>
        <v>0</v>
      </c>
      <c r="E482" s="8">
        <f>IF('Items sous domaines Sciences '!G484=7,'Items sous domaines Sciences '!E484,0)</f>
        <v>0</v>
      </c>
      <c r="F482">
        <f>IF('Items sous domaines Sciences '!G382=1,'Items sous domaines Sciences '!#REF!,0)</f>
        <v>0</v>
      </c>
    </row>
    <row r="483" spans="1:6" ht="13.2" hidden="1" x14ac:dyDescent="0.25">
      <c r="A483"/>
      <c r="B483" s="8">
        <f>IF('Items sous domaines Sciences '!G485=7,'Items sous domaines Sciences '!B485,0)</f>
        <v>0</v>
      </c>
      <c r="C483" s="8">
        <f>IF('Items sous domaines Sciences '!G485=7,'Items sous domaines Sciences '!C485,0)</f>
        <v>0</v>
      </c>
      <c r="D483" s="8">
        <f>IF('Items sous domaines Sciences '!G485=7,'Items sous domaines Sciences '!D485,0)</f>
        <v>0</v>
      </c>
      <c r="E483" s="8">
        <f>IF('Items sous domaines Sciences '!G485=7,'Items sous domaines Sciences '!E485,0)</f>
        <v>0</v>
      </c>
      <c r="F483">
        <f>IF('Items sous domaines Sciences '!G383=1,'Items sous domaines Sciences '!#REF!,0)</f>
        <v>0</v>
      </c>
    </row>
    <row r="484" spans="1:6" ht="13.2" hidden="1" x14ac:dyDescent="0.25">
      <c r="A484"/>
      <c r="B484" s="8">
        <f>IF('Items sous domaines Sciences '!G486=7,'Items sous domaines Sciences '!B486,0)</f>
        <v>0</v>
      </c>
      <c r="C484" s="8">
        <f>IF('Items sous domaines Sciences '!G486=7,'Items sous domaines Sciences '!C486,0)</f>
        <v>0</v>
      </c>
      <c r="D484" s="8">
        <f>IF('Items sous domaines Sciences '!G486=7,'Items sous domaines Sciences '!D486,0)</f>
        <v>0</v>
      </c>
      <c r="E484" s="8">
        <f>IF('Items sous domaines Sciences '!G486=7,'Items sous domaines Sciences '!E486,0)</f>
        <v>0</v>
      </c>
      <c r="F484">
        <f>IF('Items sous domaines Sciences '!G384=1,'Items sous domaines Sciences '!#REF!,0)</f>
        <v>0</v>
      </c>
    </row>
    <row r="485" spans="1:6" ht="13.2" hidden="1" x14ac:dyDescent="0.25">
      <c r="A485"/>
      <c r="B485" s="8">
        <f>IF('Items sous domaines Sciences '!G487=7,'Items sous domaines Sciences '!B487,0)</f>
        <v>0</v>
      </c>
      <c r="C485" s="8">
        <f>IF('Items sous domaines Sciences '!G487=7,'Items sous domaines Sciences '!C487,0)</f>
        <v>0</v>
      </c>
      <c r="D485" s="8">
        <f>IF('Items sous domaines Sciences '!G487=7,'Items sous domaines Sciences '!D487,0)</f>
        <v>0</v>
      </c>
      <c r="E485" s="8">
        <f>IF('Items sous domaines Sciences '!G487=7,'Items sous domaines Sciences '!E487,0)</f>
        <v>0</v>
      </c>
      <c r="F485">
        <f>IF('Items sous domaines Sciences '!G385=1,'Items sous domaines Sciences '!#REF!,0)</f>
        <v>0</v>
      </c>
    </row>
    <row r="486" spans="1:6" ht="13.2" hidden="1" x14ac:dyDescent="0.25">
      <c r="A486"/>
      <c r="B486" s="8">
        <f>IF('Items sous domaines Sciences '!G488=7,'Items sous domaines Sciences '!B488,0)</f>
        <v>0</v>
      </c>
      <c r="C486" s="8">
        <f>IF('Items sous domaines Sciences '!G488=7,'Items sous domaines Sciences '!C488,0)</f>
        <v>0</v>
      </c>
      <c r="D486" s="8">
        <f>IF('Items sous domaines Sciences '!G488=7,'Items sous domaines Sciences '!D488,0)</f>
        <v>0</v>
      </c>
      <c r="E486" s="8">
        <f>IF('Items sous domaines Sciences '!G488=7,'Items sous domaines Sciences '!E488,0)</f>
        <v>0</v>
      </c>
      <c r="F486">
        <f>IF('Items sous domaines Sciences '!G386=1,'Items sous domaines Sciences '!#REF!,0)</f>
        <v>0</v>
      </c>
    </row>
    <row r="487" spans="1:6" ht="13.2" hidden="1" x14ac:dyDescent="0.25">
      <c r="A487"/>
      <c r="B487" s="8">
        <f>IF('Items sous domaines Sciences '!G489=7,'Items sous domaines Sciences '!B489,0)</f>
        <v>0</v>
      </c>
      <c r="C487" s="8">
        <f>IF('Items sous domaines Sciences '!G489=7,'Items sous domaines Sciences '!C489,0)</f>
        <v>0</v>
      </c>
      <c r="D487" s="8">
        <f>IF('Items sous domaines Sciences '!G489=7,'Items sous domaines Sciences '!D489,0)</f>
        <v>0</v>
      </c>
      <c r="E487" s="8">
        <f>IF('Items sous domaines Sciences '!G489=7,'Items sous domaines Sciences '!E489,0)</f>
        <v>0</v>
      </c>
      <c r="F487">
        <f>IF('Items sous domaines Sciences '!G387=1,'Items sous domaines Sciences '!#REF!,0)</f>
        <v>0</v>
      </c>
    </row>
    <row r="488" spans="1:6" ht="13.2" hidden="1" x14ac:dyDescent="0.25">
      <c r="A488"/>
      <c r="B488" s="8" t="e">
        <f>IF(OR('Items sous domaines Sciences '!G368=7,'Items sous domaines Sciences '!#REF!=7 ),'Items sous domaines Sciences '!B368,0)</f>
        <v>#REF!</v>
      </c>
      <c r="C488" s="8" t="e">
        <f>IF(OR('Items sous domaines Sciences '!G368=7,'Items sous domaines Sciences '!#REF!=7 ),'Items sous domaines Sciences '!C368)</f>
        <v>#REF!</v>
      </c>
      <c r="D488" s="8" t="e">
        <f>IF(OR('Items sous domaines Sciences '!G368=7,'Items sous domaines Sciences '!#REF!=7 ),'Items sous domaines Sciences '!D368,0)</f>
        <v>#REF!</v>
      </c>
      <c r="E488" s="8" t="e">
        <f>IF(OR('Items sous domaines Sciences '!G368=7,'Items sous domaines Sciences '!#REF!=7 ),'Items sous domaines Sciences '!E368,0)</f>
        <v>#REF!</v>
      </c>
      <c r="F488">
        <f>IF('Items sous domaines Sciences '!G388=1,'Items sous domaines Sciences '!#REF!,0)</f>
        <v>0</v>
      </c>
    </row>
    <row r="489" spans="1:6" ht="18" thickTop="1" x14ac:dyDescent="0.25"/>
  </sheetData>
  <autoFilter ref="A7:H488" xr:uid="{00000000-0009-0000-0000-000008000000}">
    <filterColumn colId="1">
      <filters>
        <filter val="Electricité-electromagnétisme"/>
      </filters>
    </filterColumn>
  </autoFilter>
  <mergeCells count="24">
    <mergeCell ref="A129:A192"/>
    <mergeCell ref="F132:F192"/>
    <mergeCell ref="G132:G184"/>
    <mergeCell ref="G417:G429"/>
    <mergeCell ref="A416:A428"/>
    <mergeCell ref="A397:A409"/>
    <mergeCell ref="A336:A344"/>
    <mergeCell ref="A309:A310"/>
    <mergeCell ref="A367:A396"/>
    <mergeCell ref="A301:A306"/>
    <mergeCell ref="G301:G306"/>
    <mergeCell ref="G3:G5"/>
    <mergeCell ref="G6:G7"/>
    <mergeCell ref="F8:F72"/>
    <mergeCell ref="F73:F86"/>
    <mergeCell ref="F113:F127"/>
    <mergeCell ref="A1:F3"/>
    <mergeCell ref="A4:F6"/>
    <mergeCell ref="A8:A72"/>
    <mergeCell ref="A73:A86"/>
    <mergeCell ref="A113:A127"/>
    <mergeCell ref="G113:G127"/>
    <mergeCell ref="G46:G62"/>
    <mergeCell ref="G8:G35"/>
  </mergeCells>
  <hyperlinks>
    <hyperlink ref="G309" r:id="rId1" xr:uid="{00000000-0004-0000-0800-000000000000}"/>
    <hyperlink ref="G113" r:id="rId2" display="https://www.lelivrescolaire.fr/page/14235244" xr:uid="{00000000-0004-0000-0800-000001000000}"/>
    <hyperlink ref="G73" r:id="rId3" xr:uid="{00000000-0004-0000-0800-000002000000}"/>
    <hyperlink ref="G79" r:id="rId4" xr:uid="{00000000-0004-0000-0800-000003000000}"/>
    <hyperlink ref="G46" r:id="rId5" xr:uid="{00000000-0004-0000-0800-000004000000}"/>
    <hyperlink ref="G8" r:id="rId6" xr:uid="{00000000-0004-0000-0800-000005000000}"/>
    <hyperlink ref="G301" r:id="rId7" tooltip="Automatique : Systèmes linéaires, non linéaires, à temps continu, à temps discret, représentation d'états... Ed. 4 page 3 à 24 inclus (nouvelle fenêtre)" display="https://univ.scholarvox.com/catalog/book/docid/88919449?searchterm=transform%C3%A9e%20de%20laplace" xr:uid="{00000000-0004-0000-0800-000006000000}"/>
    <hyperlink ref="G130" r:id="rId8" display="https://ressources.unisciel.fr/sillages/mathematiques/algebre_revisions/15_Espaces_vectoriels_euclidiens/co/04_Base_orthonormale.html" xr:uid="{00000000-0004-0000-0800-000007000000}"/>
    <hyperlink ref="G367" r:id="rId9" display="https://www.lelivrescolaire.fr/page/6956999" xr:uid="{00000000-0004-0000-0800-000008000000}"/>
    <hyperlink ref="G378" r:id="rId10" display="http://pac.unisciel.fr/statistiques-et-probabilites/" xr:uid="{00000000-0004-0000-0800-000009000000}"/>
    <hyperlink ref="G384" r:id="rId11" display="https://uel.unisciel.fr/biologie/genepop/genepop_ch01/co/apprendre_ch1_05.html" xr:uid="{00000000-0004-0000-0800-00000A000000}"/>
    <hyperlink ref="G392" r:id="rId12" display="https://www.canal-u.tv/chaines/canal-unisciel/statistique-pour-ingenieur" xr:uid="{00000000-0004-0000-0800-00000B000000}"/>
  </hyperlinks>
  <pageMargins left="0.7" right="0.7" top="0.75" bottom="0.75" header="0.3" footer="0.3"/>
  <pageSetup paperSize="9" orientation="portrait"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E2155AF8726D44BD53D59EA0FED089" ma:contentTypeVersion="17" ma:contentTypeDescription="Crée un document." ma:contentTypeScope="" ma:versionID="eb9539cb5a589b879e76c187c798d0ab">
  <xsd:schema xmlns:xsd="http://www.w3.org/2001/XMLSchema" xmlns:xs="http://www.w3.org/2001/XMLSchema" xmlns:p="http://schemas.microsoft.com/office/2006/metadata/properties" xmlns:ns2="0a29f275-95d5-4c98-a418-22eb01667c78" xmlns:ns3="ada32706-2fe3-47f6-933d-4c5ffaeaed01" targetNamespace="http://schemas.microsoft.com/office/2006/metadata/properties" ma:root="true" ma:fieldsID="e9ba4adfdc89c88b0aa4e7ff706cc56d" ns2:_="" ns3:_="">
    <xsd:import namespace="0a29f275-95d5-4c98-a418-22eb01667c78"/>
    <xsd:import namespace="ada32706-2fe3-47f6-933d-4c5ffaeaed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9f275-95d5-4c98-a418-22eb01667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aa141cfe-7933-482d-bbb8-97c86f16e5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32706-2fe3-47f6-933d-4c5ffaeaed0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0519279-afa0-4ad1-ad7d-5b6157afc9fe}" ma:internalName="TaxCatchAll" ma:showField="CatchAllData" ma:web="ada32706-2fe3-47f6-933d-4c5ffaeaed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29f275-95d5-4c98-a418-22eb01667c78">
      <Terms xmlns="http://schemas.microsoft.com/office/infopath/2007/PartnerControls"/>
    </lcf76f155ced4ddcb4097134ff3c332f>
    <TaxCatchAll xmlns="ada32706-2fe3-47f6-933d-4c5ffaeaed01" xsi:nil="true"/>
  </documentManagement>
</p:properties>
</file>

<file path=customXml/itemProps1.xml><?xml version="1.0" encoding="utf-8"?>
<ds:datastoreItem xmlns:ds="http://schemas.openxmlformats.org/officeDocument/2006/customXml" ds:itemID="{ABB1C3A3-DA08-4496-AAA3-C46D2D0E62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2B7CEA-5333-4C11-81F8-E313383E17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29f275-95d5-4c98-a418-22eb01667c78"/>
    <ds:schemaRef ds:uri="ada32706-2fe3-47f6-933d-4c5ffaeae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69BFA9-AA6F-4330-A349-317C94F368A9}">
  <ds:schemaRefs>
    <ds:schemaRef ds:uri="http://schemas.microsoft.com/office/2006/metadata/properties"/>
    <ds:schemaRef ds:uri="http://schemas.microsoft.com/office/infopath/2007/PartnerControls"/>
    <ds:schemaRef ds:uri="0a29f275-95d5-4c98-a418-22eb01667c78"/>
    <ds:schemaRef ds:uri="ada32706-2fe3-47f6-933d-4c5ffaeaed0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Objectifs Sciences 2022-2023</vt:lpstr>
      <vt:lpstr>Items sous domaines Sciences </vt:lpstr>
      <vt:lpstr>Remédiation A3</vt:lpstr>
      <vt:lpstr>A1 CPI S1</vt:lpstr>
      <vt:lpstr>A1 CPI S2</vt:lpstr>
      <vt:lpstr>A2 CPI Géné  S3 </vt:lpstr>
      <vt:lpstr>A3 CI Géné S5</vt:lpstr>
      <vt:lpstr>A3 CI Géné S6</vt:lpstr>
      <vt:lpstr>A4 CI Géné S7-8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DESCHAMPS Guillaume</dc:creator>
  <cp:keywords/>
  <dc:description/>
  <cp:lastModifiedBy>GAME AMÉLIE</cp:lastModifiedBy>
  <cp:revision/>
  <dcterms:created xsi:type="dcterms:W3CDTF">2021-09-27T08:16:08Z</dcterms:created>
  <dcterms:modified xsi:type="dcterms:W3CDTF">2023-10-01T14:02:17Z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0x010100F3E2155AF8726D44BD53D59EA0FED089</vt:lpwstr>
  </property>
  <property fmtid="{D5CDD505-2E9C-101B-9397-08002B2CF9AE}" pid="3" name="MediaServiceImageTags">
    <vt:lpwstr/>
  </property>
</Properties>
</file>