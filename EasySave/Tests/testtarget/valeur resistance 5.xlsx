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\Documents\1ere année\"/>
    </mc:Choice>
  </mc:AlternateContent>
  <xr:revisionPtr revIDLastSave="0" documentId="13_ncr:1_{5E5503B1-F790-4CB8-A9E0-D73A5B7EE441}" xr6:coauthVersionLast="47" xr6:coauthVersionMax="47" xr10:uidLastSave="{00000000-0000-0000-0000-000000000000}"/>
  <bookViews>
    <workbookView xWindow="-108" yWindow="-108" windowWidth="23256" windowHeight="12456" xr2:uid="{030B7131-EDFF-409F-9177-885EF975F17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3" i="1"/>
  <c r="J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I3" i="1"/>
  <c r="H3" i="1"/>
  <c r="G3" i="1"/>
  <c r="F3" i="1"/>
  <c r="E3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4" i="1"/>
  <c r="B3" i="1"/>
</calcChain>
</file>

<file path=xl/sharedStrings.xml><?xml version="1.0" encoding="utf-8"?>
<sst xmlns="http://schemas.openxmlformats.org/spreadsheetml/2006/main" count="18" uniqueCount="15">
  <si>
    <t>resistance E24</t>
  </si>
  <si>
    <t>modele1</t>
  </si>
  <si>
    <t>modele 2</t>
  </si>
  <si>
    <t>modele 3</t>
  </si>
  <si>
    <t>modele4</t>
  </si>
  <si>
    <t>modele5</t>
  </si>
  <si>
    <t xml:space="preserve"> modele 6</t>
  </si>
  <si>
    <t>modele 7</t>
  </si>
  <si>
    <t>modele8</t>
  </si>
  <si>
    <t>ecart type</t>
  </si>
  <si>
    <t>modele 1</t>
  </si>
  <si>
    <t>modele 4</t>
  </si>
  <si>
    <t>modele 5</t>
  </si>
  <si>
    <t>modele 6</t>
  </si>
  <si>
    <t>modele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</si>
</sst>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1" fillId="3" borderId="0" xfId="2"/>
    <xf numFmtId="0" fontId="1" fillId="4" borderId="0" xfId="3"/>
    <xf numFmtId="0" fontId="2" fillId="4" borderId="0" xfId="3" applyFont="1"/>
    <xf numFmtId="0" fontId="2" fillId="3" borderId="0" xfId="2" applyFont="1"/>
    <xf numFmtId="0" fontId="4" fillId="0" borderId="0" xfId="0" applyFont="1" applyAlignment="1">
      <alignment horizontal="right" vertical="center"/>
    </xf>
  </cellXfs>
  <cellStyles count="4">
    <cellStyle name="40 % - Accent1" xfId="1" builtinId="31"/>
    <cellStyle name="40 % - Accent2" xfId="2" builtinId="35"/>
    <cellStyle name="60 % - Accent6" xfId="3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Feuil1!$B$1:$I$1</c:f>
              <c:strCache>
                <c:ptCount val="8"/>
                <c:pt idx="0">
                  <c:v>modele1</c:v>
                </c:pt>
                <c:pt idx="1">
                  <c:v>modele 2</c:v>
                </c:pt>
                <c:pt idx="2">
                  <c:v>modele 3</c:v>
                </c:pt>
                <c:pt idx="3">
                  <c:v>modele4</c:v>
                </c:pt>
                <c:pt idx="4">
                  <c:v>modele5</c:v>
                </c:pt>
                <c:pt idx="5">
                  <c:v> modele 6</c:v>
                </c:pt>
                <c:pt idx="6">
                  <c:v>modele 7</c:v>
                </c:pt>
                <c:pt idx="7">
                  <c:v>modele8</c:v>
                </c:pt>
              </c:strCache>
            </c:strRef>
          </c:xVal>
          <c:yVal>
            <c:numRef>
              <c:f>Feuil1!$B$5:$I$5</c:f>
              <c:numCache>
                <c:formatCode>General</c:formatCode>
                <c:ptCount val="8"/>
                <c:pt idx="0">
                  <c:v>0.87457627118644066</c:v>
                </c:pt>
                <c:pt idx="1">
                  <c:v>1.5176470588235293</c:v>
                </c:pt>
                <c:pt idx="2">
                  <c:v>1.911111111111111</c:v>
                </c:pt>
                <c:pt idx="3">
                  <c:v>2.3454545454545452</c:v>
                </c:pt>
                <c:pt idx="4">
                  <c:v>2.5544554455445541</c:v>
                </c:pt>
                <c:pt idx="5">
                  <c:v>2.7301587301587298</c:v>
                </c:pt>
                <c:pt idx="6">
                  <c:v>3.0898203592814371</c:v>
                </c:pt>
                <c:pt idx="7">
                  <c:v>3.3947368421052633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9-4009-932E-614E83233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872383"/>
        <c:axId val="1641448399"/>
      </c:scatterChart>
      <c:valAx>
        <c:axId val="171987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1448399"/>
        <c:crosses val="autoZero"/>
        <c:crossBetween val="midCat"/>
      </c:valAx>
      <c:valAx>
        <c:axId val="164144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9872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Feuil2!$A$1:$H$1</c:f>
              <c:strCache>
                <c:ptCount val="8"/>
                <c:pt idx="0">
                  <c:v>modele 1</c:v>
                </c:pt>
                <c:pt idx="1">
                  <c:v>modele 2</c:v>
                </c:pt>
                <c:pt idx="2">
                  <c:v>modele 3</c:v>
                </c:pt>
                <c:pt idx="3">
                  <c:v>modele 4</c:v>
                </c:pt>
                <c:pt idx="4">
                  <c:v>modele 5</c:v>
                </c:pt>
                <c:pt idx="5">
                  <c:v>modele 6</c:v>
                </c:pt>
                <c:pt idx="6">
                  <c:v>modele 7</c:v>
                </c:pt>
                <c:pt idx="7">
                  <c:v>modele 8</c:v>
                </c:pt>
              </c:strCache>
            </c:strRef>
          </c:xVal>
          <c:yVal>
            <c:numRef>
              <c:f>Feuil2!$A$3:$H$3</c:f>
              <c:numCache>
                <c:formatCode>General</c:formatCode>
                <c:ptCount val="8"/>
                <c:pt idx="0">
                  <c:v>0.87457627000000004</c:v>
                </c:pt>
                <c:pt idx="1">
                  <c:v>1.51764706</c:v>
                </c:pt>
                <c:pt idx="2">
                  <c:v>1.91111111</c:v>
                </c:pt>
                <c:pt idx="3">
                  <c:v>2.3454545499999999</c:v>
                </c:pt>
                <c:pt idx="4">
                  <c:v>2.5544554499999998</c:v>
                </c:pt>
                <c:pt idx="5">
                  <c:v>2.7301587299999999</c:v>
                </c:pt>
                <c:pt idx="6">
                  <c:v>3.08982036</c:v>
                </c:pt>
                <c:pt idx="7">
                  <c:v>3.3947368400000002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1F-442F-9984-CEFD407710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79730559"/>
        <c:axId val="554352687"/>
      </c:scatterChart>
      <c:valAx>
        <c:axId val="37973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4352687"/>
        <c:crosses val="autoZero"/>
        <c:crossBetween val="midCat"/>
      </c:valAx>
      <c:valAx>
        <c:axId val="5543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973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24847</xdr:colOff>
      <xdr:row>7</xdr:row>
      <xdr:rowOff>94421</xdr:rowOff>
    </xdr:from>
    <xdr:to>
      <xdr:col>19</xdr:col>
      <xdr:colOff>621195</xdr:colOff>
      <xdr:row>22</xdr:row>
      <xdr:rowOff>104360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BF2445-FAE9-5549-6CF2-F2A153415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9</xdr:row>
      <xdr:rowOff>147638</xdr:rowOff>
    </xdr:from>
    <xdr:to>
      <xdr:col>8</xdr:col>
      <xdr:colOff>276225</xdr:colOff>
      <xdr:row>24</xdr:row>
      <xdr:rowOff>176213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631F245-3D0B-1661-059E-8A6FA6BB3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6E9E-248F-45E0-8989-D8386190D693}">
  <dimension ref="A1:J27"/>
  <sheetViews>
    <sheetView tabSelected="1" topLeftCell="G1" zoomScale="92" workbookViewId="0">
      <selection activeCell="U10" sqref="U10"/>
    </sheetView>
  </sheetViews>
  <sheetFormatPr baseColWidth="10" defaultRowHeight="14.4" x14ac:dyDescent="0.3"/>
  <cols>
    <col min="1" max="1" width="14.109375" customWidth="1"/>
  </cols>
  <sheetData>
    <row r="1" spans="1:10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2"/>
      <c r="B2" s="1">
        <v>470</v>
      </c>
      <c r="C2" s="1">
        <v>220</v>
      </c>
      <c r="D2" s="1">
        <v>150</v>
      </c>
      <c r="E2" s="1">
        <v>100</v>
      </c>
      <c r="F2" s="1">
        <v>82</v>
      </c>
      <c r="G2" s="1">
        <v>69</v>
      </c>
      <c r="H2" s="1">
        <v>47</v>
      </c>
      <c r="I2" s="1">
        <v>32</v>
      </c>
      <c r="J2" s="3" t="s">
        <v>9</v>
      </c>
    </row>
    <row r="3" spans="1:10" x14ac:dyDescent="0.3">
      <c r="A3" s="2">
        <v>100</v>
      </c>
      <c r="B3">
        <f>(A3)/(A3+470)*4.3</f>
        <v>0.7543859649122806</v>
      </c>
      <c r="C3">
        <f>(A3)/(220+A3)*4.3</f>
        <v>1.34375</v>
      </c>
      <c r="D3">
        <f>(A3)/(150+A3)*4.3</f>
        <v>1.72</v>
      </c>
      <c r="E3">
        <f>(A3)/(100+A3)*4.3</f>
        <v>2.15</v>
      </c>
      <c r="F3">
        <f>(A3)/(82+A3)*4.3</f>
        <v>2.3626373626373627</v>
      </c>
      <c r="G3">
        <f>(A3)/(69+A3)*4.3</f>
        <v>2.5443786982248522</v>
      </c>
      <c r="H3">
        <f>(A3)/(47+A3)*4.3</f>
        <v>2.9251700680272106</v>
      </c>
      <c r="I3">
        <f>(A3)/(32+A3)*4.3</f>
        <v>3.2575757575757573</v>
      </c>
      <c r="J3" s="3">
        <f>STDEV(B3,C3,D3,E3,F3,G3,H3,I3)</f>
        <v>0.82881286605698645</v>
      </c>
    </row>
    <row r="4" spans="1:10" x14ac:dyDescent="0.3">
      <c r="A4" s="2">
        <v>110</v>
      </c>
      <c r="B4">
        <f t="shared" ref="B4:B27" si="0">(A4)/(A4+470)*4.3</f>
        <v>0.81551724137931025</v>
      </c>
      <c r="C4">
        <f t="shared" ref="C4:C27" si="1">(A4)/(220+A4)*4.3</f>
        <v>1.4333333333333331</v>
      </c>
      <c r="D4">
        <f t="shared" ref="D4:D27" si="2">(A4)/(150+A4)*4.3</f>
        <v>1.8192307692307692</v>
      </c>
      <c r="E4">
        <f t="shared" ref="E4:E27" si="3">(A4)/(100+A4)*4.3</f>
        <v>2.2523809523809524</v>
      </c>
      <c r="F4">
        <f t="shared" ref="F4:F27" si="4">(A4)/(82+A4)*4.3</f>
        <v>2.4635416666666665</v>
      </c>
      <c r="G4">
        <f t="shared" ref="G4:G27" si="5">(A4)/(69+A4)*4.3</f>
        <v>2.6424581005586592</v>
      </c>
      <c r="H4">
        <f t="shared" ref="H4:H27" si="6">(A4)/(47+A4)*4.3</f>
        <v>3.0127388535031843</v>
      </c>
      <c r="I4">
        <f t="shared" ref="I4:I27" si="7">(A4)/(32+A4)*4.3</f>
        <v>3.3309859154929575</v>
      </c>
      <c r="J4" s="3">
        <f>STDEV(B4,C4,D4,E4,F4,G4,H4,I4)</f>
        <v>0.83268719723544071</v>
      </c>
    </row>
    <row r="5" spans="1:10" x14ac:dyDescent="0.3">
      <c r="A5" s="5">
        <v>120</v>
      </c>
      <c r="B5">
        <f>(A5)/(A5+470)*4.3</f>
        <v>0.87457627118644066</v>
      </c>
      <c r="C5">
        <f t="shared" si="1"/>
        <v>1.5176470588235293</v>
      </c>
      <c r="D5">
        <f t="shared" si="2"/>
        <v>1.911111111111111</v>
      </c>
      <c r="E5">
        <f t="shared" si="3"/>
        <v>2.3454545454545452</v>
      </c>
      <c r="F5">
        <f t="shared" si="4"/>
        <v>2.5544554455445541</v>
      </c>
      <c r="G5">
        <f t="shared" si="5"/>
        <v>2.7301587301587298</v>
      </c>
      <c r="H5">
        <f t="shared" si="6"/>
        <v>3.0898203592814371</v>
      </c>
      <c r="I5">
        <f t="shared" si="7"/>
        <v>3.3947368421052633</v>
      </c>
      <c r="J5" s="4">
        <f t="shared" ref="J5:J27" si="8">STDEV(B5,C5,D5,E5,F5,G5,H5,I5)</f>
        <v>0.83402795031103438</v>
      </c>
    </row>
    <row r="6" spans="1:10" x14ac:dyDescent="0.3">
      <c r="A6" s="2">
        <v>130</v>
      </c>
      <c r="B6">
        <f t="shared" si="0"/>
        <v>0.93166666666666664</v>
      </c>
      <c r="C6">
        <f t="shared" si="1"/>
        <v>1.5971428571428572</v>
      </c>
      <c r="D6">
        <f t="shared" si="2"/>
        <v>1.9964285714285714</v>
      </c>
      <c r="E6">
        <f t="shared" si="3"/>
        <v>2.4304347826086952</v>
      </c>
      <c r="F6">
        <f t="shared" si="4"/>
        <v>2.6367924528301883</v>
      </c>
      <c r="G6">
        <f t="shared" si="5"/>
        <v>2.8090452261306535</v>
      </c>
      <c r="H6">
        <f t="shared" si="6"/>
        <v>3.1581920903954801</v>
      </c>
      <c r="I6">
        <f t="shared" si="7"/>
        <v>3.4506172839506171</v>
      </c>
      <c r="J6" s="3">
        <f t="shared" si="8"/>
        <v>0.83340281921367465</v>
      </c>
    </row>
    <row r="7" spans="1:10" x14ac:dyDescent="0.3">
      <c r="A7" s="2">
        <v>150</v>
      </c>
      <c r="B7">
        <f t="shared" si="0"/>
        <v>1.0403225806451613</v>
      </c>
      <c r="C7">
        <f t="shared" si="1"/>
        <v>1.7432432432432432</v>
      </c>
      <c r="D7">
        <f t="shared" si="2"/>
        <v>2.15</v>
      </c>
      <c r="E7">
        <f t="shared" si="3"/>
        <v>2.5799999999999996</v>
      </c>
      <c r="F7">
        <f t="shared" si="4"/>
        <v>2.7801724137931032</v>
      </c>
      <c r="G7">
        <f t="shared" si="5"/>
        <v>2.9452054794520546</v>
      </c>
      <c r="H7">
        <f t="shared" si="6"/>
        <v>3.2741116751269033</v>
      </c>
      <c r="I7">
        <f t="shared" si="7"/>
        <v>3.5439560439560438</v>
      </c>
      <c r="J7" s="3">
        <f t="shared" si="8"/>
        <v>0.82787423796077175</v>
      </c>
    </row>
    <row r="8" spans="1:10" x14ac:dyDescent="0.3">
      <c r="A8" s="2">
        <v>160</v>
      </c>
      <c r="B8">
        <f t="shared" si="0"/>
        <v>1.092063492063492</v>
      </c>
      <c r="C8">
        <f t="shared" si="1"/>
        <v>1.8105263157894735</v>
      </c>
      <c r="D8">
        <f t="shared" si="2"/>
        <v>2.2193548387096773</v>
      </c>
      <c r="E8">
        <f t="shared" si="3"/>
        <v>2.6461538461538461</v>
      </c>
      <c r="F8">
        <f t="shared" si="4"/>
        <v>2.8429752066115701</v>
      </c>
      <c r="G8">
        <f t="shared" si="5"/>
        <v>3.0043668122270741</v>
      </c>
      <c r="H8">
        <f t="shared" si="6"/>
        <v>3.3236714975845407</v>
      </c>
      <c r="I8">
        <f t="shared" si="7"/>
        <v>3.5833333333333335</v>
      </c>
      <c r="J8" s="3">
        <f t="shared" si="8"/>
        <v>0.82355734500546773</v>
      </c>
    </row>
    <row r="9" spans="1:10" x14ac:dyDescent="0.3">
      <c r="A9" s="2">
        <v>180</v>
      </c>
      <c r="B9">
        <f t="shared" si="0"/>
        <v>1.1907692307692308</v>
      </c>
      <c r="C9">
        <f t="shared" si="1"/>
        <v>1.9350000000000001</v>
      </c>
      <c r="D9">
        <f t="shared" si="2"/>
        <v>2.3454545454545452</v>
      </c>
      <c r="E9">
        <f t="shared" si="3"/>
        <v>2.7642857142857142</v>
      </c>
      <c r="F9">
        <f t="shared" si="4"/>
        <v>2.9541984732824429</v>
      </c>
      <c r="G9">
        <f t="shared" si="5"/>
        <v>3.1084337349397591</v>
      </c>
      <c r="H9">
        <f t="shared" si="6"/>
        <v>3.4096916299559465</v>
      </c>
      <c r="I9">
        <f t="shared" si="7"/>
        <v>3.6509433962264151</v>
      </c>
      <c r="J9" s="3">
        <f t="shared" si="8"/>
        <v>0.81283934414668635</v>
      </c>
    </row>
    <row r="10" spans="1:10" x14ac:dyDescent="0.3">
      <c r="A10" s="2">
        <v>200</v>
      </c>
      <c r="B10">
        <f t="shared" si="0"/>
        <v>1.2835820895522387</v>
      </c>
      <c r="C10">
        <f t="shared" si="1"/>
        <v>2.0476190476190474</v>
      </c>
      <c r="D10">
        <f t="shared" si="2"/>
        <v>2.4571428571428569</v>
      </c>
      <c r="E10">
        <f t="shared" si="3"/>
        <v>2.8666666666666663</v>
      </c>
      <c r="F10">
        <f t="shared" si="4"/>
        <v>3.0496453900709222</v>
      </c>
      <c r="G10">
        <f t="shared" si="5"/>
        <v>3.1970260223048323</v>
      </c>
      <c r="H10">
        <f t="shared" si="6"/>
        <v>3.4817813765182186</v>
      </c>
      <c r="I10">
        <f t="shared" si="7"/>
        <v>3.7068965517241375</v>
      </c>
      <c r="J10" s="3">
        <f t="shared" si="8"/>
        <v>0.80025450500591899</v>
      </c>
    </row>
    <row r="11" spans="1:10" x14ac:dyDescent="0.3">
      <c r="A11" s="2">
        <v>220</v>
      </c>
      <c r="B11">
        <f t="shared" si="0"/>
        <v>1.371014492753623</v>
      </c>
      <c r="C11">
        <f t="shared" si="1"/>
        <v>2.15</v>
      </c>
      <c r="D11">
        <f t="shared" si="2"/>
        <v>2.5567567567567568</v>
      </c>
      <c r="E11">
        <f t="shared" si="3"/>
        <v>2.9562499999999998</v>
      </c>
      <c r="F11">
        <f t="shared" si="4"/>
        <v>3.1324503311258276</v>
      </c>
      <c r="G11">
        <f t="shared" si="5"/>
        <v>3.273356401384083</v>
      </c>
      <c r="H11">
        <f t="shared" si="6"/>
        <v>3.5430711610486889</v>
      </c>
      <c r="I11">
        <f t="shared" si="7"/>
        <v>3.753968253968254</v>
      </c>
      <c r="J11" s="3">
        <f t="shared" si="8"/>
        <v>0.78655629602934374</v>
      </c>
    </row>
    <row r="12" spans="1:10" x14ac:dyDescent="0.3">
      <c r="A12" s="2">
        <v>240</v>
      </c>
      <c r="B12">
        <f t="shared" si="0"/>
        <v>1.4535211267605632</v>
      </c>
      <c r="C12">
        <f t="shared" si="1"/>
        <v>2.2434782608695651</v>
      </c>
      <c r="D12">
        <f t="shared" si="2"/>
        <v>2.6461538461538461</v>
      </c>
      <c r="E12">
        <f t="shared" si="3"/>
        <v>3.0352941176470587</v>
      </c>
      <c r="F12">
        <f t="shared" si="4"/>
        <v>3.2049689440993787</v>
      </c>
      <c r="G12">
        <f t="shared" si="5"/>
        <v>3.3398058252427183</v>
      </c>
      <c r="H12">
        <f t="shared" si="6"/>
        <v>3.5958188153310102</v>
      </c>
      <c r="I12">
        <f t="shared" si="7"/>
        <v>3.7941176470588234</v>
      </c>
      <c r="J12" s="3">
        <f t="shared" si="8"/>
        <v>0.7722424763529826</v>
      </c>
    </row>
    <row r="13" spans="1:10" x14ac:dyDescent="0.3">
      <c r="A13" s="2">
        <v>270</v>
      </c>
      <c r="B13">
        <f t="shared" si="0"/>
        <v>1.5689189189189188</v>
      </c>
      <c r="C13">
        <f t="shared" si="1"/>
        <v>2.3693877551020406</v>
      </c>
      <c r="D13">
        <f t="shared" si="2"/>
        <v>2.7642857142857142</v>
      </c>
      <c r="E13">
        <f t="shared" si="3"/>
        <v>3.1378378378378375</v>
      </c>
      <c r="F13">
        <f t="shared" si="4"/>
        <v>3.2982954545454546</v>
      </c>
      <c r="G13">
        <f t="shared" si="5"/>
        <v>3.4247787610619467</v>
      </c>
      <c r="H13">
        <f t="shared" si="6"/>
        <v>3.6624605678233437</v>
      </c>
      <c r="I13">
        <f t="shared" si="7"/>
        <v>3.8443708609271523</v>
      </c>
      <c r="J13" s="3">
        <f t="shared" si="8"/>
        <v>0.75031805589302236</v>
      </c>
    </row>
    <row r="14" spans="1:10" x14ac:dyDescent="0.3">
      <c r="A14" s="2">
        <v>300</v>
      </c>
      <c r="B14">
        <f t="shared" si="0"/>
        <v>1.6753246753246753</v>
      </c>
      <c r="C14">
        <f t="shared" si="1"/>
        <v>2.4807692307692304</v>
      </c>
      <c r="D14">
        <f t="shared" si="2"/>
        <v>2.8666666666666663</v>
      </c>
      <c r="E14">
        <f t="shared" si="3"/>
        <v>3.2249999999999996</v>
      </c>
      <c r="F14">
        <f t="shared" si="4"/>
        <v>3.3769633507853403</v>
      </c>
      <c r="G14">
        <f t="shared" si="5"/>
        <v>3.4959349593495932</v>
      </c>
      <c r="H14">
        <f t="shared" si="6"/>
        <v>3.7175792507204606</v>
      </c>
      <c r="I14">
        <f t="shared" si="7"/>
        <v>3.8855421686746987</v>
      </c>
      <c r="J14" s="3">
        <f t="shared" si="8"/>
        <v>0.72844684185458686</v>
      </c>
    </row>
    <row r="15" spans="1:10" x14ac:dyDescent="0.3">
      <c r="A15" s="2">
        <v>330</v>
      </c>
      <c r="B15">
        <f t="shared" si="0"/>
        <v>1.7737499999999999</v>
      </c>
      <c r="C15">
        <f t="shared" si="1"/>
        <v>2.5799999999999996</v>
      </c>
      <c r="D15">
        <f t="shared" si="2"/>
        <v>2.9562499999999998</v>
      </c>
      <c r="E15">
        <f t="shared" si="3"/>
        <v>3.3</v>
      </c>
      <c r="F15">
        <f t="shared" si="4"/>
        <v>3.4441747572815533</v>
      </c>
      <c r="G15">
        <f t="shared" si="5"/>
        <v>3.5563909774436087</v>
      </c>
      <c r="H15">
        <f t="shared" si="6"/>
        <v>3.7639257294429704</v>
      </c>
      <c r="I15">
        <f t="shared" si="7"/>
        <v>3.9198895027624308</v>
      </c>
      <c r="J15" s="3">
        <f t="shared" si="8"/>
        <v>0.70702765315087823</v>
      </c>
    </row>
    <row r="16" spans="1:10" x14ac:dyDescent="0.3">
      <c r="A16" s="2">
        <v>360</v>
      </c>
      <c r="B16">
        <f t="shared" si="0"/>
        <v>1.8650602409638555</v>
      </c>
      <c r="C16">
        <f t="shared" si="1"/>
        <v>2.6689655172413791</v>
      </c>
      <c r="D16">
        <f t="shared" si="2"/>
        <v>3.0352941176470587</v>
      </c>
      <c r="E16">
        <f t="shared" si="3"/>
        <v>3.3652173913043479</v>
      </c>
      <c r="F16">
        <f t="shared" si="4"/>
        <v>3.502262443438914</v>
      </c>
      <c r="G16">
        <f t="shared" si="5"/>
        <v>3.6083916083916083</v>
      </c>
      <c r="H16">
        <f t="shared" si="6"/>
        <v>3.8034398034398031</v>
      </c>
      <c r="I16">
        <f t="shared" si="7"/>
        <v>3.9489795918367347</v>
      </c>
      <c r="J16" s="3">
        <f t="shared" si="8"/>
        <v>0.68627999937426665</v>
      </c>
    </row>
    <row r="17" spans="1:10" x14ac:dyDescent="0.3">
      <c r="A17" s="2">
        <v>390</v>
      </c>
      <c r="B17">
        <f t="shared" si="0"/>
        <v>1.9499999999999997</v>
      </c>
      <c r="C17">
        <f t="shared" si="1"/>
        <v>2.7491803278688525</v>
      </c>
      <c r="D17">
        <f t="shared" si="2"/>
        <v>3.1055555555555552</v>
      </c>
      <c r="E17">
        <f t="shared" si="3"/>
        <v>3.4224489795918367</v>
      </c>
      <c r="F17">
        <f t="shared" si="4"/>
        <v>3.5529661016949152</v>
      </c>
      <c r="G17">
        <f t="shared" si="5"/>
        <v>3.65359477124183</v>
      </c>
      <c r="H17">
        <f t="shared" si="6"/>
        <v>3.8375286041189929</v>
      </c>
      <c r="I17">
        <f t="shared" si="7"/>
        <v>3.9739336492890995</v>
      </c>
      <c r="J17" s="3">
        <f t="shared" si="8"/>
        <v>0.66631763229085827</v>
      </c>
    </row>
    <row r="18" spans="1:10" x14ac:dyDescent="0.3">
      <c r="A18" s="2">
        <v>430</v>
      </c>
      <c r="B18">
        <f t="shared" si="0"/>
        <v>2.0544444444444445</v>
      </c>
      <c r="C18">
        <f t="shared" si="1"/>
        <v>2.8446153846153845</v>
      </c>
      <c r="D18">
        <f t="shared" si="2"/>
        <v>3.1879310344827587</v>
      </c>
      <c r="E18">
        <f t="shared" si="3"/>
        <v>3.4886792452830191</v>
      </c>
      <c r="F18">
        <f t="shared" si="4"/>
        <v>3.611328125</v>
      </c>
      <c r="G18">
        <f t="shared" si="5"/>
        <v>3.7054108216432864</v>
      </c>
      <c r="H18">
        <f t="shared" si="6"/>
        <v>3.8763102725366871</v>
      </c>
      <c r="I18">
        <f t="shared" si="7"/>
        <v>4.0021645021645025</v>
      </c>
      <c r="J18" s="3">
        <f t="shared" si="8"/>
        <v>0.6410037221481496</v>
      </c>
    </row>
    <row r="19" spans="1:10" x14ac:dyDescent="0.3">
      <c r="A19" s="2">
        <v>470</v>
      </c>
      <c r="B19">
        <f t="shared" si="0"/>
        <v>2.15</v>
      </c>
      <c r="C19">
        <f t="shared" si="1"/>
        <v>2.9289855072463769</v>
      </c>
      <c r="D19">
        <f t="shared" si="2"/>
        <v>3.2596774193548383</v>
      </c>
      <c r="E19">
        <f t="shared" si="3"/>
        <v>3.545614035087719</v>
      </c>
      <c r="F19">
        <f t="shared" si="4"/>
        <v>3.6612318840579707</v>
      </c>
      <c r="G19">
        <f t="shared" si="5"/>
        <v>3.7495361781076064</v>
      </c>
      <c r="H19">
        <f t="shared" si="6"/>
        <v>3.9090909090909087</v>
      </c>
      <c r="I19">
        <f t="shared" si="7"/>
        <v>4.025896414342629</v>
      </c>
      <c r="J19" s="3">
        <f t="shared" si="8"/>
        <v>0.61719102110893997</v>
      </c>
    </row>
    <row r="20" spans="1:10" x14ac:dyDescent="0.3">
      <c r="A20" s="2">
        <v>510</v>
      </c>
      <c r="B20">
        <f t="shared" si="0"/>
        <v>2.2377551020408162</v>
      </c>
      <c r="C20">
        <f t="shared" si="1"/>
        <v>3.004109589041096</v>
      </c>
      <c r="D20">
        <f t="shared" si="2"/>
        <v>3.3227272727272723</v>
      </c>
      <c r="E20">
        <f t="shared" si="3"/>
        <v>3.5950819672131149</v>
      </c>
      <c r="F20">
        <f t="shared" si="4"/>
        <v>3.7043918918918917</v>
      </c>
      <c r="G20">
        <f t="shared" si="5"/>
        <v>3.7875647668393784</v>
      </c>
      <c r="H20">
        <f t="shared" si="6"/>
        <v>3.937163375224416</v>
      </c>
      <c r="I20">
        <f t="shared" si="7"/>
        <v>4.0461254612546123</v>
      </c>
      <c r="J20" s="3">
        <f t="shared" si="8"/>
        <v>0.59483606156027025</v>
      </c>
    </row>
    <row r="21" spans="1:10" x14ac:dyDescent="0.3">
      <c r="A21" s="2">
        <v>560</v>
      </c>
      <c r="B21">
        <f t="shared" si="0"/>
        <v>2.3378640776699027</v>
      </c>
      <c r="C21">
        <f t="shared" si="1"/>
        <v>3.0871794871794869</v>
      </c>
      <c r="D21">
        <f t="shared" si="2"/>
        <v>3.3915492957746474</v>
      </c>
      <c r="E21">
        <f t="shared" si="3"/>
        <v>3.6484848484848484</v>
      </c>
      <c r="F21">
        <f t="shared" si="4"/>
        <v>3.7507788161993769</v>
      </c>
      <c r="G21">
        <f t="shared" si="5"/>
        <v>3.8282988871224162</v>
      </c>
      <c r="H21">
        <f t="shared" si="6"/>
        <v>3.9670510708401974</v>
      </c>
      <c r="I21">
        <f t="shared" si="7"/>
        <v>4.0675675675675675</v>
      </c>
      <c r="J21" s="3">
        <f t="shared" si="8"/>
        <v>0.56882763329927555</v>
      </c>
    </row>
    <row r="22" spans="1:10" x14ac:dyDescent="0.3">
      <c r="A22" s="2">
        <v>620</v>
      </c>
      <c r="B22">
        <f t="shared" si="0"/>
        <v>2.4458715596330274</v>
      </c>
      <c r="C22">
        <f t="shared" si="1"/>
        <v>3.1738095238095241</v>
      </c>
      <c r="D22">
        <f t="shared" si="2"/>
        <v>3.4623376623376623</v>
      </c>
      <c r="E22">
        <f t="shared" si="3"/>
        <v>3.7027777777777779</v>
      </c>
      <c r="F22">
        <f t="shared" si="4"/>
        <v>3.7977207977207978</v>
      </c>
      <c r="G22">
        <f t="shared" si="5"/>
        <v>3.8693759071117562</v>
      </c>
      <c r="H22">
        <f t="shared" si="6"/>
        <v>3.9970014992503744</v>
      </c>
      <c r="I22">
        <f t="shared" si="7"/>
        <v>4.0889570552147232</v>
      </c>
      <c r="J22" s="3">
        <f t="shared" si="8"/>
        <v>0.54022757693149159</v>
      </c>
    </row>
    <row r="23" spans="1:10" x14ac:dyDescent="0.3">
      <c r="A23" s="2">
        <v>680</v>
      </c>
      <c r="B23">
        <f t="shared" si="0"/>
        <v>2.5426086956521741</v>
      </c>
      <c r="C23">
        <f t="shared" si="1"/>
        <v>3.2488888888888887</v>
      </c>
      <c r="D23">
        <f t="shared" si="2"/>
        <v>3.5228915662650602</v>
      </c>
      <c r="E23">
        <f t="shared" si="3"/>
        <v>3.7487179487179487</v>
      </c>
      <c r="F23">
        <f t="shared" si="4"/>
        <v>3.8372703412073492</v>
      </c>
      <c r="G23">
        <f t="shared" si="5"/>
        <v>3.9038718291054737</v>
      </c>
      <c r="H23">
        <f t="shared" si="6"/>
        <v>4.0220082530949108</v>
      </c>
      <c r="I23">
        <f t="shared" si="7"/>
        <v>4.106741573033708</v>
      </c>
      <c r="J23" s="3">
        <f t="shared" si="8"/>
        <v>0.5141873362890943</v>
      </c>
    </row>
    <row r="24" spans="1:10" x14ac:dyDescent="0.3">
      <c r="A24" s="2">
        <v>750</v>
      </c>
      <c r="B24">
        <f t="shared" si="0"/>
        <v>2.6434426229508197</v>
      </c>
      <c r="C24">
        <f t="shared" si="1"/>
        <v>3.3247422680412373</v>
      </c>
      <c r="D24">
        <f t="shared" si="2"/>
        <v>3.5833333333333335</v>
      </c>
      <c r="E24">
        <f t="shared" si="3"/>
        <v>3.7941176470588234</v>
      </c>
      <c r="F24">
        <f t="shared" si="4"/>
        <v>3.8762019230769229</v>
      </c>
      <c r="G24">
        <f t="shared" si="5"/>
        <v>3.9377289377289375</v>
      </c>
      <c r="H24">
        <f t="shared" si="6"/>
        <v>4.0464240903387703</v>
      </c>
      <c r="I24">
        <f t="shared" si="7"/>
        <v>4.1240409207161122</v>
      </c>
      <c r="J24" s="3">
        <f t="shared" si="8"/>
        <v>0.48666111116940625</v>
      </c>
    </row>
    <row r="25" spans="1:10" x14ac:dyDescent="0.3">
      <c r="A25" s="2">
        <v>820</v>
      </c>
      <c r="B25">
        <f t="shared" si="0"/>
        <v>2.7333333333333334</v>
      </c>
      <c r="C25">
        <f t="shared" si="1"/>
        <v>3.3903846153846153</v>
      </c>
      <c r="D25">
        <f t="shared" si="2"/>
        <v>3.6350515463917525</v>
      </c>
      <c r="E25">
        <f t="shared" si="3"/>
        <v>3.8326086956521737</v>
      </c>
      <c r="F25">
        <f t="shared" si="4"/>
        <v>3.9090909090909087</v>
      </c>
      <c r="G25">
        <f t="shared" si="5"/>
        <v>3.9662542182227218</v>
      </c>
      <c r="H25">
        <f t="shared" si="6"/>
        <v>4.0668973471741632</v>
      </c>
      <c r="I25">
        <f t="shared" si="7"/>
        <v>4.1384976525821591</v>
      </c>
      <c r="J25" s="3">
        <f t="shared" si="8"/>
        <v>0.46182302405360626</v>
      </c>
    </row>
    <row r="26" spans="1:10" x14ac:dyDescent="0.3">
      <c r="A26" s="2">
        <v>910</v>
      </c>
      <c r="B26">
        <f t="shared" si="0"/>
        <v>2.8355072463768116</v>
      </c>
      <c r="C26">
        <f t="shared" si="1"/>
        <v>3.4628318584070796</v>
      </c>
      <c r="D26">
        <f t="shared" si="2"/>
        <v>3.6915094339622643</v>
      </c>
      <c r="E26">
        <f t="shared" si="3"/>
        <v>3.8742574257425741</v>
      </c>
      <c r="F26">
        <f t="shared" si="4"/>
        <v>3.944556451612903</v>
      </c>
      <c r="G26">
        <f t="shared" si="5"/>
        <v>3.9969356486210414</v>
      </c>
      <c r="H26">
        <f t="shared" si="6"/>
        <v>4.0888192267502612</v>
      </c>
      <c r="I26">
        <f t="shared" si="7"/>
        <v>4.1539278131634818</v>
      </c>
      <c r="J26" s="3">
        <f t="shared" si="8"/>
        <v>0.43327935727539579</v>
      </c>
    </row>
    <row r="27" spans="1:10" x14ac:dyDescent="0.3">
      <c r="A27" s="2">
        <v>1000</v>
      </c>
      <c r="B27">
        <f t="shared" si="0"/>
        <v>2.9251700680272106</v>
      </c>
      <c r="C27">
        <f t="shared" si="1"/>
        <v>3.5245901639344264</v>
      </c>
      <c r="D27">
        <f t="shared" si="2"/>
        <v>3.7391304347826084</v>
      </c>
      <c r="E27">
        <f t="shared" si="3"/>
        <v>3.9090909090909087</v>
      </c>
      <c r="F27">
        <f t="shared" si="4"/>
        <v>3.9741219963031424</v>
      </c>
      <c r="G27">
        <f t="shared" si="5"/>
        <v>4.0224508886810098</v>
      </c>
      <c r="H27">
        <f t="shared" si="6"/>
        <v>4.1069723018147082</v>
      </c>
      <c r="I27">
        <f t="shared" si="7"/>
        <v>4.1666666666666661</v>
      </c>
      <c r="J27" s="3">
        <f t="shared" si="8"/>
        <v>0.40798052594424128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87F9-6160-4385-99BB-ED93658D3218}">
  <dimension ref="A1:H14"/>
  <sheetViews>
    <sheetView topLeftCell="A4" zoomScale="98" workbookViewId="0">
      <selection activeCell="E6" sqref="E6"/>
    </sheetView>
  </sheetViews>
  <sheetFormatPr baseColWidth="10" defaultRowHeight="14.4" x14ac:dyDescent="0.3"/>
  <sheetData>
    <row r="1" spans="1:8" x14ac:dyDescent="0.3">
      <c r="A1" t="s">
        <v>10</v>
      </c>
      <c r="B1" t="s">
        <v>2</v>
      </c>
      <c r="C1" t="s">
        <v>3</v>
      </c>
      <c r="D1" t="s">
        <v>11</v>
      </c>
      <c r="E1" t="s">
        <v>12</v>
      </c>
      <c r="F1" t="s">
        <v>13</v>
      </c>
      <c r="G1" t="s">
        <v>7</v>
      </c>
      <c r="H1" t="s">
        <v>14</v>
      </c>
    </row>
    <row r="3" spans="1:8" x14ac:dyDescent="0.3">
      <c r="A3" s="6">
        <v>0.87457627000000004</v>
      </c>
      <c r="B3" s="6">
        <v>1.51764706</v>
      </c>
      <c r="C3" s="6">
        <v>1.91111111</v>
      </c>
      <c r="D3" s="6">
        <v>2.3454545499999999</v>
      </c>
      <c r="E3" s="6">
        <v>2.5544554499999998</v>
      </c>
      <c r="F3" s="6">
        <v>2.7301587299999999</v>
      </c>
      <c r="G3" s="6">
        <v>3.08982036</v>
      </c>
      <c r="H3" s="6">
        <v>3.3947368400000002</v>
      </c>
    </row>
    <row r="14" spans="1:8" x14ac:dyDescent="0.3">
      <c r="B14" s="4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 AMÉLIE</dc:creator>
  <cp:lastModifiedBy>GAME AMÉLIE</cp:lastModifiedBy>
  <dcterms:created xsi:type="dcterms:W3CDTF">2023-10-14T16:11:06Z</dcterms:created>
  <dcterms:modified xsi:type="dcterms:W3CDTF">2023-10-16T14:57:19Z</dcterms:modified>
</cp:coreProperties>
</file>