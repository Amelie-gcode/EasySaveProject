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ameli\Documents\1ere année\"/>
    </mc:Choice>
  </mc:AlternateContent>
  <xr:revisionPtr revIDLastSave="0" documentId="8_{C4F819C8-28DA-42EC-B098-30B3FEE280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definedNames>
    <definedName name="_xlnm._FilterDatabase" localSheetId="0" hidden="1">Worksheet!$A$2:$AE$2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1" l="1"/>
  <c r="E38" i="1"/>
  <c r="B38" i="1"/>
</calcChain>
</file>

<file path=xl/sharedStrings.xml><?xml version="1.0" encoding="utf-8"?>
<sst xmlns="http://schemas.openxmlformats.org/spreadsheetml/2006/main" count="581" uniqueCount="230">
  <si>
    <t>Temps de jeu</t>
  </si>
  <si>
    <t>Performance</t>
  </si>
  <si>
    <t>Par 90 minutes</t>
  </si>
  <si>
    <t>Attendu</t>
  </si>
  <si>
    <t>Nation</t>
  </si>
  <si>
    <t>Pos</t>
  </si>
  <si>
    <t>Ã‚ge</t>
  </si>
  <si>
    <t>MJ</t>
  </si>
  <si>
    <t>Titulaire</t>
  </si>
  <si>
    <t>Min</t>
  </si>
  <si>
    <t>Buts</t>
  </si>
  <si>
    <t>PD</t>
  </si>
  <si>
    <t>CJ</t>
  </si>
  <si>
    <t>CR</t>
  </si>
  <si>
    <t>B+PD</t>
  </si>
  <si>
    <t>xG</t>
  </si>
  <si>
    <t>npxG</t>
  </si>
  <si>
    <t>xA</t>
  </si>
  <si>
    <t>npxG+xA</t>
  </si>
  <si>
    <t>xG+xA</t>
  </si>
  <si>
    <t>Matchs</t>
  </si>
  <si>
    <t>Edouard Mendy</t>
  </si>
  <si>
    <t>sn SEN</t>
  </si>
  <si>
    <t>GB</t>
  </si>
  <si>
    <t>34.0</t>
  </si>
  <si>
    <t>0.00</t>
  </si>
  <si>
    <t>0.0</t>
  </si>
  <si>
    <t>Antonio RÃ¼diger</t>
  </si>
  <si>
    <t>de GER</t>
  </si>
  <si>
    <t>DF</t>
  </si>
  <si>
    <t>33.7</t>
  </si>
  <si>
    <t>0.09</t>
  </si>
  <si>
    <t>2.8</t>
  </si>
  <si>
    <t>1.1</t>
  </si>
  <si>
    <t>3.9</t>
  </si>
  <si>
    <t>0.08</t>
  </si>
  <si>
    <t>0.03</t>
  </si>
  <si>
    <t>0.12</t>
  </si>
  <si>
    <t>Thiago Silva</t>
  </si>
  <si>
    <t>br BRA</t>
  </si>
  <si>
    <t>29.4</t>
  </si>
  <si>
    <t>0.10</t>
  </si>
  <si>
    <t>0.9</t>
  </si>
  <si>
    <t>0.2</t>
  </si>
  <si>
    <t>0.01</t>
  </si>
  <si>
    <t>0.04</t>
  </si>
  <si>
    <t>Mason Mount</t>
  </si>
  <si>
    <t>eng ENG</t>
  </si>
  <si>
    <t>MT,AT</t>
  </si>
  <si>
    <t>26.3</t>
  </si>
  <si>
    <t>0.42</t>
  </si>
  <si>
    <t>0.38</t>
  </si>
  <si>
    <t>0.80</t>
  </si>
  <si>
    <t>0.76</t>
  </si>
  <si>
    <t>8.9</t>
  </si>
  <si>
    <t>8.1</t>
  </si>
  <si>
    <t>6.7</t>
  </si>
  <si>
    <t>14.8</t>
  </si>
  <si>
    <t>0.34</t>
  </si>
  <si>
    <t>0.25</t>
  </si>
  <si>
    <t>0.59</t>
  </si>
  <si>
    <t>0.31</t>
  </si>
  <si>
    <t>0.56</t>
  </si>
  <si>
    <t>Jorginho</t>
  </si>
  <si>
    <t>it ITA</t>
  </si>
  <si>
    <t>MT</t>
  </si>
  <si>
    <t>25.3</t>
  </si>
  <si>
    <t>0.24</t>
  </si>
  <si>
    <t>0.32</t>
  </si>
  <si>
    <t>5.7</t>
  </si>
  <si>
    <t>0.4</t>
  </si>
  <si>
    <t>3.2</t>
  </si>
  <si>
    <t>0.23</t>
  </si>
  <si>
    <t>0.11</t>
  </si>
  <si>
    <t>0.02</t>
  </si>
  <si>
    <t>0.13</t>
  </si>
  <si>
    <t>Marcos Alonso</t>
  </si>
  <si>
    <t>es ESP</t>
  </si>
  <si>
    <t>24.1</t>
  </si>
  <si>
    <t>0.17</t>
  </si>
  <si>
    <t>0.33</t>
  </si>
  <si>
    <t>3.3</t>
  </si>
  <si>
    <t>4.6</t>
  </si>
  <si>
    <t>7.9</t>
  </si>
  <si>
    <t>0.14</t>
  </si>
  <si>
    <t>0.19</t>
  </si>
  <si>
    <t>23.0</t>
  </si>
  <si>
    <t>1.2</t>
  </si>
  <si>
    <t>2.1</t>
  </si>
  <si>
    <t>0.05</t>
  </si>
  <si>
    <t>Reece James</t>
  </si>
  <si>
    <t>20.7</t>
  </si>
  <si>
    <t>0.43</t>
  </si>
  <si>
    <t>0.68</t>
  </si>
  <si>
    <t>2.6</t>
  </si>
  <si>
    <t>8.3</t>
  </si>
  <si>
    <t>0.28</t>
  </si>
  <si>
    <t>0.40</t>
  </si>
  <si>
    <t>Kai Havertz</t>
  </si>
  <si>
    <t>AT,MT</t>
  </si>
  <si>
    <t>20.1</t>
  </si>
  <si>
    <t>0.15</t>
  </si>
  <si>
    <t>0.55</t>
  </si>
  <si>
    <t>9.7</t>
  </si>
  <si>
    <t>2.0</t>
  </si>
  <si>
    <t>11.6</t>
  </si>
  <si>
    <t>0.48</t>
  </si>
  <si>
    <t>0.58</t>
  </si>
  <si>
    <t>fr FRA</t>
  </si>
  <si>
    <t>19.7</t>
  </si>
  <si>
    <t>0.20</t>
  </si>
  <si>
    <t>0.30</t>
  </si>
  <si>
    <t>1.8</t>
  </si>
  <si>
    <t>2.3</t>
  </si>
  <si>
    <t>4.2</t>
  </si>
  <si>
    <t>0.21</t>
  </si>
  <si>
    <t>Andreas Christensen</t>
  </si>
  <si>
    <t>dk DEN</t>
  </si>
  <si>
    <t>16.6</t>
  </si>
  <si>
    <t>0.7</t>
  </si>
  <si>
    <t>Trevoh Chalobah</t>
  </si>
  <si>
    <t>16.1</t>
  </si>
  <si>
    <t>0.06</t>
  </si>
  <si>
    <t>1.0</t>
  </si>
  <si>
    <t>Romelu Lukaku</t>
  </si>
  <si>
    <t>be BEL</t>
  </si>
  <si>
    <t>AT</t>
  </si>
  <si>
    <t>17.7</t>
  </si>
  <si>
    <t>0.45</t>
  </si>
  <si>
    <t>6.8</t>
  </si>
  <si>
    <t>6.1</t>
  </si>
  <si>
    <t>3.0</t>
  </si>
  <si>
    <t>9.0</t>
  </si>
  <si>
    <t>0.39</t>
  </si>
  <si>
    <t>0.51</t>
  </si>
  <si>
    <t>Mateo KovaÄiÄ‡</t>
  </si>
  <si>
    <t>hr CRO</t>
  </si>
  <si>
    <t>17.3</t>
  </si>
  <si>
    <t>0.29</t>
  </si>
  <si>
    <t>3.6</t>
  </si>
  <si>
    <t>5.5</t>
  </si>
  <si>
    <t>Timo Werner</t>
  </si>
  <si>
    <t>14.3</t>
  </si>
  <si>
    <t>0.07</t>
  </si>
  <si>
    <t>0.35</t>
  </si>
  <si>
    <t>7.6</t>
  </si>
  <si>
    <t>8.0</t>
  </si>
  <si>
    <t>0.53</t>
  </si>
  <si>
    <t>Hakim Ziyech</t>
  </si>
  <si>
    <t>ma MAR</t>
  </si>
  <si>
    <t>14.7</t>
  </si>
  <si>
    <t>0.27</t>
  </si>
  <si>
    <t>3.4</t>
  </si>
  <si>
    <t>3.5</t>
  </si>
  <si>
    <t>6.9</t>
  </si>
  <si>
    <t>0.47</t>
  </si>
  <si>
    <t>Ruben Loftus-Cheek</t>
  </si>
  <si>
    <t>MT,DF</t>
  </si>
  <si>
    <t>15.5</t>
  </si>
  <si>
    <t>1.9</t>
  </si>
  <si>
    <t>3.1</t>
  </si>
  <si>
    <t>Christian Pulisic</t>
  </si>
  <si>
    <t>us USA</t>
  </si>
  <si>
    <t>5.1</t>
  </si>
  <si>
    <t>6.3</t>
  </si>
  <si>
    <t>0.44</t>
  </si>
  <si>
    <t>Callum Hudson-Odoi</t>
  </si>
  <si>
    <t>10.7</t>
  </si>
  <si>
    <t>4.4</t>
  </si>
  <si>
    <t>0.41</t>
  </si>
  <si>
    <t>Malang Sarr</t>
  </si>
  <si>
    <t>Ben Chilwell</t>
  </si>
  <si>
    <t>6.0</t>
  </si>
  <si>
    <t>0.50</t>
  </si>
  <si>
    <t>0.66</t>
  </si>
  <si>
    <t>SaÃºl Ã‘Ã­guez</t>
  </si>
  <si>
    <t>5.3</t>
  </si>
  <si>
    <t>0.3</t>
  </si>
  <si>
    <t>0.5</t>
  </si>
  <si>
    <t>Kepa Arrizabalaga</t>
  </si>
  <si>
    <t>4.0</t>
  </si>
  <si>
    <t>Ross Barkley</t>
  </si>
  <si>
    <t>0.60</t>
  </si>
  <si>
    <t>0.94</t>
  </si>
  <si>
    <t>Kenedy</t>
  </si>
  <si>
    <t>0.6</t>
  </si>
  <si>
    <t>1.55</t>
  </si>
  <si>
    <t>0.1</t>
  </si>
  <si>
    <t>1.35</t>
  </si>
  <si>
    <t>1.48</t>
  </si>
  <si>
    <t>Emerson Palmieri</t>
  </si>
  <si>
    <t>Tammy Abraham</t>
  </si>
  <si>
    <t>Marcus Bettinelli</t>
  </si>
  <si>
    <t>Lewis Hall</t>
  </si>
  <si>
    <t>Harvey Vale</t>
  </si>
  <si>
    <t>Kurt Zouma</t>
  </si>
  <si>
    <t>27.4</t>
  </si>
  <si>
    <t>38.0</t>
  </si>
  <si>
    <t>1.97</t>
  </si>
  <si>
    <t>1.37</t>
  </si>
  <si>
    <t>3.34</t>
  </si>
  <si>
    <t>1.76</t>
  </si>
  <si>
    <t>3.13</t>
  </si>
  <si>
    <t>67.2</t>
  </si>
  <si>
    <t>60.7</t>
  </si>
  <si>
    <t>46.9</t>
  </si>
  <si>
    <t>107.6</t>
  </si>
  <si>
    <t>1.77</t>
  </si>
  <si>
    <t>1.23</t>
  </si>
  <si>
    <t>3.00</t>
  </si>
  <si>
    <t>1.60</t>
  </si>
  <si>
    <t>2.83</t>
  </si>
  <si>
    <t>Total adversaire</t>
  </si>
  <si>
    <t>26.7</t>
  </si>
  <si>
    <t>0.84</t>
  </si>
  <si>
    <t>1.21</t>
  </si>
  <si>
    <t>36.0</t>
  </si>
  <si>
    <t>31.9</t>
  </si>
  <si>
    <t>22.4</t>
  </si>
  <si>
    <t>54.3</t>
  </si>
  <si>
    <t>0.95</t>
  </si>
  <si>
    <t>1.54</t>
  </si>
  <si>
    <t>1.43</t>
  </si>
  <si>
    <t>B-PénM</t>
  </si>
  <si>
    <t>PénM</t>
  </si>
  <si>
    <t>PénT</t>
  </si>
  <si>
    <t>B+PD-PénM</t>
  </si>
  <si>
    <t>César Azpilicueta</t>
  </si>
  <si>
    <t>N'Golo Kanté</t>
  </si>
  <si>
    <t>Total de l'équipe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</si>
</sst>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33" borderId="0" xfId="0" applyFill="1"/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16" fillId="34" borderId="0" xfId="0" applyFont="1" applyFill="1" applyAlignment="1">
      <alignment horizontal="center" vertical="center" wrapText="1"/>
    </xf>
    <xf numFmtId="0" fontId="0" fillId="34" borderId="0" xfId="0" applyFill="1" applyAlignment="1">
      <alignment wrapText="1"/>
    </xf>
    <xf numFmtId="0" fontId="19" fillId="34" borderId="0" xfId="0" applyFont="1" applyFill="1" applyAlignment="1">
      <alignment wrapText="1"/>
    </xf>
    <xf numFmtId="0" fontId="0" fillId="34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de buts marqués par joueur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Worksheet!$I$1:$I$2</c:f>
              <c:strCache>
                <c:ptCount val="2"/>
                <c:pt idx="0">
                  <c:v>Performance</c:v>
                </c:pt>
                <c:pt idx="1">
                  <c:v>Buts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Worksheet!$A$3:$A$38</c:f>
              <c:strCache>
                <c:ptCount val="33"/>
                <c:pt idx="0">
                  <c:v>Edouard Mendy</c:v>
                </c:pt>
                <c:pt idx="1">
                  <c:v>Antonio RÃ¼diger</c:v>
                </c:pt>
                <c:pt idx="2">
                  <c:v>Thiago Silva</c:v>
                </c:pt>
                <c:pt idx="3">
                  <c:v>Mason Mount</c:v>
                </c:pt>
                <c:pt idx="4">
                  <c:v>Jorginho</c:v>
                </c:pt>
                <c:pt idx="5">
                  <c:v>Marcos Alonso</c:v>
                </c:pt>
                <c:pt idx="6">
                  <c:v>César Azpilicueta</c:v>
                </c:pt>
                <c:pt idx="7">
                  <c:v>Reece James</c:v>
                </c:pt>
                <c:pt idx="8">
                  <c:v>Kai Havertz</c:v>
                </c:pt>
                <c:pt idx="9">
                  <c:v>N'Golo Kanté</c:v>
                </c:pt>
                <c:pt idx="10">
                  <c:v>Andreas Christensen</c:v>
                </c:pt>
                <c:pt idx="11">
                  <c:v>Trevoh Chalobah</c:v>
                </c:pt>
                <c:pt idx="12">
                  <c:v>Romelu Lukaku</c:v>
                </c:pt>
                <c:pt idx="13">
                  <c:v>Mateo KovaÄiÄ‡</c:v>
                </c:pt>
                <c:pt idx="14">
                  <c:v>Timo Werner</c:v>
                </c:pt>
                <c:pt idx="15">
                  <c:v>Hakim Ziyech</c:v>
                </c:pt>
                <c:pt idx="16">
                  <c:v>Ruben Loftus-Cheek</c:v>
                </c:pt>
                <c:pt idx="17">
                  <c:v>Christian Pulisic</c:v>
                </c:pt>
                <c:pt idx="18">
                  <c:v>Callum Hudson-Odoi</c:v>
                </c:pt>
                <c:pt idx="19">
                  <c:v>Malang Sarr</c:v>
                </c:pt>
                <c:pt idx="20">
                  <c:v>Ben Chilwell</c:v>
                </c:pt>
                <c:pt idx="21">
                  <c:v>SaÃºl Ã‘Ã­guez</c:v>
                </c:pt>
                <c:pt idx="22">
                  <c:v>Kepa Arrizabalaga</c:v>
                </c:pt>
                <c:pt idx="23">
                  <c:v>Ross Barkley</c:v>
                </c:pt>
                <c:pt idx="24">
                  <c:v>Kenedy</c:v>
                </c:pt>
                <c:pt idx="25">
                  <c:v>Emerson Palmieri</c:v>
                </c:pt>
                <c:pt idx="26">
                  <c:v>Tammy Abraham</c:v>
                </c:pt>
                <c:pt idx="27">
                  <c:v>Marcus Bettinelli</c:v>
                </c:pt>
                <c:pt idx="28">
                  <c:v>Lewis Hall</c:v>
                </c:pt>
                <c:pt idx="29">
                  <c:v>Harvey Vale</c:v>
                </c:pt>
                <c:pt idx="30">
                  <c:v>Kurt Zouma</c:v>
                </c:pt>
                <c:pt idx="31">
                  <c:v>Total de l'équipe</c:v>
                </c:pt>
                <c:pt idx="32">
                  <c:v>Total adversaire</c:v>
                </c:pt>
              </c:strCache>
            </c:strRef>
          </c:cat>
          <c:val>
            <c:numRef>
              <c:f>Worksheet!$I$3:$I$38</c:f>
              <c:numCache>
                <c:formatCode>General</c:formatCode>
                <c:ptCount val="36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11</c:v>
                </c:pt>
                <c:pt idx="4">
                  <c:v>6</c:v>
                </c:pt>
                <c:pt idx="5">
                  <c:v>4</c:v>
                </c:pt>
                <c:pt idx="6">
                  <c:v>1</c:v>
                </c:pt>
                <c:pt idx="7">
                  <c:v>5</c:v>
                </c:pt>
                <c:pt idx="8">
                  <c:v>8</c:v>
                </c:pt>
                <c:pt idx="9">
                  <c:v>2</c:v>
                </c:pt>
                <c:pt idx="10">
                  <c:v>0</c:v>
                </c:pt>
                <c:pt idx="11">
                  <c:v>3</c:v>
                </c:pt>
                <c:pt idx="12">
                  <c:v>8</c:v>
                </c:pt>
                <c:pt idx="13">
                  <c:v>2</c:v>
                </c:pt>
                <c:pt idx="14">
                  <c:v>4</c:v>
                </c:pt>
                <c:pt idx="15">
                  <c:v>4</c:v>
                </c:pt>
                <c:pt idx="16">
                  <c:v>0</c:v>
                </c:pt>
                <c:pt idx="17">
                  <c:v>6</c:v>
                </c:pt>
                <c:pt idx="18">
                  <c:v>1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31">
                  <c:v>75</c:v>
                </c:pt>
                <c:pt idx="32">
                  <c:v>32</c:v>
                </c:pt>
                <c:pt idx="3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0-4A40-9D0F-31BAF3194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7188815"/>
        <c:axId val="778091423"/>
      </c:barChart>
      <c:catAx>
        <c:axId val="85718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8091423"/>
        <c:crosses val="autoZero"/>
        <c:auto val="1"/>
        <c:lblAlgn val="ctr"/>
        <c:lblOffset val="100"/>
        <c:noMultiLvlLbl val="0"/>
      </c:catAx>
      <c:valAx>
        <c:axId val="77809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718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160020</xdr:colOff>
      <xdr:row>35</xdr:row>
      <xdr:rowOff>133350</xdr:rowOff>
    </xdr:from>
    <xdr:to>
      <xdr:col>22</xdr:col>
      <xdr:colOff>312420</xdr:colOff>
      <xdr:row>50</xdr:row>
      <xdr:rowOff>133350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D95370A-B161-F85D-8D55-C5D12AB3B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8"/>
  <sheetViews>
    <sheetView tabSelected="1" workbookViewId="0">
      <selection activeCell="B38" sqref="B38"/>
    </sheetView>
  </sheetViews>
  <sheetFormatPr baseColWidth="10" defaultColWidth="9.109375" defaultRowHeight="14.4" x14ac:dyDescent="0.3"/>
  <cols>
    <col min="1" max="1" width="19.44140625" bestFit="1" customWidth="1"/>
    <col min="2" max="2" width="8.44140625" bestFit="1" customWidth="1"/>
    <col min="3" max="3" width="6.5546875" bestFit="1" customWidth="1"/>
    <col min="4" max="4" width="5" bestFit="1" customWidth="1"/>
    <col min="5" max="5" width="3.5546875" bestFit="1" customWidth="1"/>
    <col min="6" max="6" width="8.44140625" bestFit="1" customWidth="1"/>
    <col min="7" max="7" width="6" bestFit="1" customWidth="1"/>
    <col min="8" max="8" width="4.5546875" bestFit="1" customWidth="1"/>
    <col min="9" max="9" width="4.88671875" bestFit="1" customWidth="1"/>
    <col min="10" max="10" width="3.44140625" style="11" bestFit="1" customWidth="1"/>
    <col min="11" max="11" width="10.109375" bestFit="1" customWidth="1"/>
    <col min="12" max="12" width="8.33203125" bestFit="1" customWidth="1"/>
    <col min="13" max="13" width="7.44140625" bestFit="1" customWidth="1"/>
    <col min="14" max="14" width="7.44140625" customWidth="1"/>
    <col min="15" max="15" width="3" bestFit="1" customWidth="1"/>
    <col min="16" max="16" width="3.33203125" bestFit="1" customWidth="1"/>
    <col min="17" max="17" width="4.88671875" bestFit="1" customWidth="1"/>
    <col min="18" max="18" width="4.5546875" bestFit="1" customWidth="1"/>
    <col min="19" max="19" width="5.5546875" bestFit="1" customWidth="1"/>
    <col min="20" max="20" width="10.109375" bestFit="1" customWidth="1"/>
    <col min="21" max="21" width="13.5546875" bestFit="1" customWidth="1"/>
    <col min="22" max="22" width="4.5546875" bestFit="1" customWidth="1"/>
    <col min="23" max="23" width="5.6640625" bestFit="1" customWidth="1"/>
    <col min="24" max="24" width="4.5546875" bestFit="1" customWidth="1"/>
    <col min="25" max="25" width="9" bestFit="1" customWidth="1"/>
    <col min="26" max="27" width="4.5546875" bestFit="1" customWidth="1"/>
    <col min="28" max="28" width="6.6640625" bestFit="1" customWidth="1"/>
    <col min="29" max="29" width="5.6640625" bestFit="1" customWidth="1"/>
    <col min="30" max="30" width="9" bestFit="1" customWidth="1"/>
    <col min="31" max="31" width="7.44140625" bestFit="1" customWidth="1"/>
  </cols>
  <sheetData>
    <row r="1" spans="1:31" ht="15" customHeight="1" x14ac:dyDescent="0.3">
      <c r="A1" s="4"/>
      <c r="B1" s="4"/>
      <c r="C1" s="4"/>
      <c r="D1" s="4"/>
      <c r="E1" s="1"/>
      <c r="F1" s="4" t="s">
        <v>0</v>
      </c>
      <c r="G1" s="4"/>
      <c r="H1" s="4"/>
      <c r="I1" s="4" t="s">
        <v>1</v>
      </c>
      <c r="J1" s="4"/>
      <c r="K1" s="4"/>
      <c r="L1" s="4"/>
      <c r="M1" s="4"/>
      <c r="N1" s="4"/>
      <c r="O1" s="4"/>
      <c r="P1" s="4"/>
      <c r="Q1" s="4" t="s">
        <v>2</v>
      </c>
      <c r="R1" s="4"/>
      <c r="S1" s="4"/>
      <c r="T1" s="4"/>
      <c r="U1" s="4"/>
      <c r="V1" s="4" t="s">
        <v>3</v>
      </c>
      <c r="W1" s="4"/>
      <c r="X1" s="4"/>
      <c r="Y1" s="4"/>
      <c r="Z1" s="4" t="s">
        <v>2</v>
      </c>
      <c r="AA1" s="4"/>
      <c r="AB1" s="4"/>
      <c r="AC1" s="4"/>
      <c r="AD1" s="4"/>
      <c r="AE1" s="1"/>
    </row>
    <row r="2" spans="1:31" x14ac:dyDescent="0.3">
      <c r="A2" s="1"/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>
        <v>90</v>
      </c>
      <c r="I2" s="1" t="s">
        <v>10</v>
      </c>
      <c r="J2" s="8" t="s">
        <v>11</v>
      </c>
      <c r="K2" s="1" t="s">
        <v>223</v>
      </c>
      <c r="L2" s="1" t="s">
        <v>224</v>
      </c>
      <c r="M2" s="1" t="s">
        <v>225</v>
      </c>
      <c r="N2" s="1"/>
      <c r="O2" s="1" t="s">
        <v>12</v>
      </c>
      <c r="P2" s="1" t="s">
        <v>13</v>
      </c>
      <c r="Q2" s="1" t="s">
        <v>10</v>
      </c>
      <c r="R2" s="1" t="s">
        <v>11</v>
      </c>
      <c r="S2" s="1" t="s">
        <v>14</v>
      </c>
      <c r="T2" s="1" t="s">
        <v>223</v>
      </c>
      <c r="U2" s="1" t="s">
        <v>226</v>
      </c>
      <c r="V2" s="1" t="s">
        <v>15</v>
      </c>
      <c r="W2" s="1" t="s">
        <v>16</v>
      </c>
      <c r="X2" s="1" t="s">
        <v>17</v>
      </c>
      <c r="Y2" s="1" t="s">
        <v>18</v>
      </c>
      <c r="Z2" s="1" t="s">
        <v>15</v>
      </c>
      <c r="AA2" s="1" t="s">
        <v>17</v>
      </c>
      <c r="AB2" s="1" t="s">
        <v>19</v>
      </c>
      <c r="AC2" s="1" t="s">
        <v>16</v>
      </c>
      <c r="AD2" s="1" t="s">
        <v>18</v>
      </c>
      <c r="AE2" s="1" t="s">
        <v>20</v>
      </c>
    </row>
    <row r="3" spans="1:31" x14ac:dyDescent="0.3">
      <c r="A3" s="1" t="s">
        <v>21</v>
      </c>
      <c r="B3" s="2" t="s">
        <v>22</v>
      </c>
      <c r="C3" s="2" t="s">
        <v>23</v>
      </c>
      <c r="D3" s="2">
        <v>29</v>
      </c>
      <c r="E3" s="2">
        <v>34</v>
      </c>
      <c r="F3" s="2">
        <v>34</v>
      </c>
      <c r="G3" s="2">
        <v>3.06</v>
      </c>
      <c r="H3" s="2" t="s">
        <v>24</v>
      </c>
      <c r="I3" s="2">
        <v>0</v>
      </c>
      <c r="J3" s="9">
        <v>0</v>
      </c>
      <c r="K3" s="2">
        <v>0</v>
      </c>
      <c r="L3" s="2">
        <v>0</v>
      </c>
      <c r="M3" s="2">
        <v>0</v>
      </c>
      <c r="N3" s="2"/>
      <c r="O3" s="2">
        <v>3</v>
      </c>
      <c r="P3" s="2">
        <v>0</v>
      </c>
      <c r="Q3" s="2" t="s">
        <v>25</v>
      </c>
      <c r="R3" s="2" t="s">
        <v>25</v>
      </c>
      <c r="S3" s="2" t="s">
        <v>25</v>
      </c>
      <c r="T3" s="2" t="s">
        <v>25</v>
      </c>
      <c r="U3" s="2" t="s">
        <v>25</v>
      </c>
      <c r="V3" s="2" t="s">
        <v>26</v>
      </c>
      <c r="W3" s="2" t="s">
        <v>26</v>
      </c>
      <c r="X3" s="2" t="s">
        <v>26</v>
      </c>
      <c r="Y3" s="2" t="s">
        <v>26</v>
      </c>
      <c r="Z3" s="2" t="s">
        <v>25</v>
      </c>
      <c r="AA3" s="2" t="s">
        <v>25</v>
      </c>
      <c r="AB3" s="2" t="s">
        <v>25</v>
      </c>
      <c r="AC3" s="2" t="s">
        <v>25</v>
      </c>
      <c r="AD3" s="2" t="s">
        <v>25</v>
      </c>
      <c r="AE3" s="2" t="s">
        <v>20</v>
      </c>
    </row>
    <row r="4" spans="1:31" x14ac:dyDescent="0.3">
      <c r="A4" s="1" t="s">
        <v>27</v>
      </c>
      <c r="B4" s="2" t="s">
        <v>28</v>
      </c>
      <c r="C4" s="2" t="s">
        <v>29</v>
      </c>
      <c r="D4" s="2">
        <v>28</v>
      </c>
      <c r="E4" s="2">
        <v>34</v>
      </c>
      <c r="F4" s="2">
        <v>34</v>
      </c>
      <c r="G4" s="2">
        <v>3.0350000000000001</v>
      </c>
      <c r="H4" s="2" t="s">
        <v>30</v>
      </c>
      <c r="I4" s="2">
        <v>3</v>
      </c>
      <c r="J4" s="9">
        <v>0</v>
      </c>
      <c r="K4" s="2">
        <v>3</v>
      </c>
      <c r="L4" s="2">
        <v>0</v>
      </c>
      <c r="M4" s="2">
        <v>0</v>
      </c>
      <c r="N4" s="2"/>
      <c r="O4" s="2">
        <v>9</v>
      </c>
      <c r="P4" s="2">
        <v>0</v>
      </c>
      <c r="Q4" s="2" t="s">
        <v>31</v>
      </c>
      <c r="R4" s="2" t="s">
        <v>25</v>
      </c>
      <c r="S4" s="2" t="s">
        <v>31</v>
      </c>
      <c r="T4" s="2" t="s">
        <v>31</v>
      </c>
      <c r="U4" s="2" t="s">
        <v>31</v>
      </c>
      <c r="V4" s="2" t="s">
        <v>32</v>
      </c>
      <c r="W4" s="2" t="s">
        <v>32</v>
      </c>
      <c r="X4" s="2" t="s">
        <v>33</v>
      </c>
      <c r="Y4" s="2" t="s">
        <v>34</v>
      </c>
      <c r="Z4" s="2" t="s">
        <v>35</v>
      </c>
      <c r="AA4" s="2" t="s">
        <v>36</v>
      </c>
      <c r="AB4" s="2" t="s">
        <v>37</v>
      </c>
      <c r="AC4" s="2" t="s">
        <v>35</v>
      </c>
      <c r="AD4" s="2" t="s">
        <v>37</v>
      </c>
      <c r="AE4" s="2" t="s">
        <v>20</v>
      </c>
    </row>
    <row r="5" spans="1:31" x14ac:dyDescent="0.3">
      <c r="A5" s="1" t="s">
        <v>38</v>
      </c>
      <c r="B5" s="2" t="s">
        <v>39</v>
      </c>
      <c r="C5" s="2" t="s">
        <v>29</v>
      </c>
      <c r="D5" s="2">
        <v>36</v>
      </c>
      <c r="E5" s="2">
        <v>32</v>
      </c>
      <c r="F5" s="2">
        <v>28</v>
      </c>
      <c r="G5" s="2">
        <v>2.65</v>
      </c>
      <c r="H5" s="2" t="s">
        <v>40</v>
      </c>
      <c r="I5" s="2">
        <v>3</v>
      </c>
      <c r="J5" s="9">
        <v>0</v>
      </c>
      <c r="K5" s="2">
        <v>3</v>
      </c>
      <c r="L5" s="2">
        <v>0</v>
      </c>
      <c r="M5" s="2">
        <v>0</v>
      </c>
      <c r="N5" s="2"/>
      <c r="O5" s="2">
        <v>2</v>
      </c>
      <c r="P5" s="2">
        <v>0</v>
      </c>
      <c r="Q5" s="2" t="s">
        <v>41</v>
      </c>
      <c r="R5" s="2" t="s">
        <v>25</v>
      </c>
      <c r="S5" s="2" t="s">
        <v>41</v>
      </c>
      <c r="T5" s="2" t="s">
        <v>41</v>
      </c>
      <c r="U5" s="2" t="s">
        <v>41</v>
      </c>
      <c r="V5" s="2" t="s">
        <v>42</v>
      </c>
      <c r="W5" s="2" t="s">
        <v>42</v>
      </c>
      <c r="X5" s="2" t="s">
        <v>43</v>
      </c>
      <c r="Y5" s="2" t="s">
        <v>33</v>
      </c>
      <c r="Z5" s="2" t="s">
        <v>36</v>
      </c>
      <c r="AA5" s="2" t="s">
        <v>44</v>
      </c>
      <c r="AB5" s="2" t="s">
        <v>45</v>
      </c>
      <c r="AC5" s="2" t="s">
        <v>36</v>
      </c>
      <c r="AD5" s="2" t="s">
        <v>45</v>
      </c>
      <c r="AE5" s="2" t="s">
        <v>20</v>
      </c>
    </row>
    <row r="6" spans="1:31" x14ac:dyDescent="0.3">
      <c r="A6" s="1" t="s">
        <v>46</v>
      </c>
      <c r="B6" s="2" t="s">
        <v>47</v>
      </c>
      <c r="C6" s="2" t="s">
        <v>48</v>
      </c>
      <c r="D6" s="2">
        <v>22</v>
      </c>
      <c r="E6" s="2">
        <v>32</v>
      </c>
      <c r="F6" s="2">
        <v>27</v>
      </c>
      <c r="G6" s="2">
        <v>2.363</v>
      </c>
      <c r="H6" s="2" t="s">
        <v>49</v>
      </c>
      <c r="I6" s="2">
        <v>11</v>
      </c>
      <c r="J6" s="9">
        <v>10</v>
      </c>
      <c r="K6" s="2">
        <v>10</v>
      </c>
      <c r="L6" s="2">
        <v>1</v>
      </c>
      <c r="M6" s="2">
        <v>1</v>
      </c>
      <c r="N6" s="2"/>
      <c r="O6" s="2">
        <v>4</v>
      </c>
      <c r="P6" s="2">
        <v>0</v>
      </c>
      <c r="Q6" s="2" t="s">
        <v>50</v>
      </c>
      <c r="R6" s="2" t="s">
        <v>51</v>
      </c>
      <c r="S6" s="2" t="s">
        <v>52</v>
      </c>
      <c r="T6" s="2" t="s">
        <v>51</v>
      </c>
      <c r="U6" s="2" t="s">
        <v>53</v>
      </c>
      <c r="V6" s="2" t="s">
        <v>54</v>
      </c>
      <c r="W6" s="2" t="s">
        <v>55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60</v>
      </c>
      <c r="AC6" s="2" t="s">
        <v>61</v>
      </c>
      <c r="AD6" s="2" t="s">
        <v>62</v>
      </c>
      <c r="AE6" s="2" t="s">
        <v>20</v>
      </c>
    </row>
    <row r="7" spans="1:31" x14ac:dyDescent="0.3">
      <c r="A7" s="1" t="s">
        <v>63</v>
      </c>
      <c r="B7" s="2" t="s">
        <v>64</v>
      </c>
      <c r="C7" s="2" t="s">
        <v>65</v>
      </c>
      <c r="D7" s="2">
        <v>29</v>
      </c>
      <c r="E7" s="2">
        <v>29</v>
      </c>
      <c r="F7" s="2">
        <v>26</v>
      </c>
      <c r="G7" s="2">
        <v>2.2730000000000001</v>
      </c>
      <c r="H7" s="2" t="s">
        <v>66</v>
      </c>
      <c r="I7" s="2">
        <v>6</v>
      </c>
      <c r="J7" s="9">
        <v>2</v>
      </c>
      <c r="K7" s="2">
        <v>0</v>
      </c>
      <c r="L7" s="2">
        <v>6</v>
      </c>
      <c r="M7" s="2">
        <v>7</v>
      </c>
      <c r="N7" s="2"/>
      <c r="O7" s="2">
        <v>5</v>
      </c>
      <c r="P7" s="2">
        <v>0</v>
      </c>
      <c r="Q7" s="2" t="s">
        <v>67</v>
      </c>
      <c r="R7" s="2" t="s">
        <v>35</v>
      </c>
      <c r="S7" s="2" t="s">
        <v>68</v>
      </c>
      <c r="T7" s="2" t="s">
        <v>25</v>
      </c>
      <c r="U7" s="2" t="s">
        <v>35</v>
      </c>
      <c r="V7" s="2" t="s">
        <v>69</v>
      </c>
      <c r="W7" s="2" t="s">
        <v>70</v>
      </c>
      <c r="X7" s="2" t="s">
        <v>32</v>
      </c>
      <c r="Y7" s="2" t="s">
        <v>71</v>
      </c>
      <c r="Z7" s="2" t="s">
        <v>72</v>
      </c>
      <c r="AA7" s="2" t="s">
        <v>73</v>
      </c>
      <c r="AB7" s="2" t="s">
        <v>58</v>
      </c>
      <c r="AC7" s="2" t="s">
        <v>74</v>
      </c>
      <c r="AD7" s="2" t="s">
        <v>75</v>
      </c>
      <c r="AE7" s="2" t="s">
        <v>20</v>
      </c>
    </row>
    <row r="8" spans="1:31" x14ac:dyDescent="0.3">
      <c r="A8" s="1" t="s">
        <v>76</v>
      </c>
      <c r="B8" s="2" t="s">
        <v>77</v>
      </c>
      <c r="C8" s="2" t="s">
        <v>29</v>
      </c>
      <c r="D8" s="2">
        <v>30</v>
      </c>
      <c r="E8" s="2">
        <v>28</v>
      </c>
      <c r="F8" s="2">
        <v>25</v>
      </c>
      <c r="G8" s="2">
        <v>2.1669999999999998</v>
      </c>
      <c r="H8" s="2" t="s">
        <v>78</v>
      </c>
      <c r="I8" s="2">
        <v>4</v>
      </c>
      <c r="J8" s="9">
        <v>4</v>
      </c>
      <c r="K8" s="2">
        <v>4</v>
      </c>
      <c r="L8" s="2">
        <v>0</v>
      </c>
      <c r="M8" s="2">
        <v>0</v>
      </c>
      <c r="N8" s="2"/>
      <c r="O8" s="2">
        <v>8</v>
      </c>
      <c r="P8" s="2">
        <v>0</v>
      </c>
      <c r="Q8" s="2" t="s">
        <v>79</v>
      </c>
      <c r="R8" s="2" t="s">
        <v>79</v>
      </c>
      <c r="S8" s="2" t="s">
        <v>80</v>
      </c>
      <c r="T8" s="2" t="s">
        <v>79</v>
      </c>
      <c r="U8" s="2" t="s">
        <v>80</v>
      </c>
      <c r="V8" s="2" t="s">
        <v>81</v>
      </c>
      <c r="W8" s="2" t="s">
        <v>81</v>
      </c>
      <c r="X8" s="2" t="s">
        <v>82</v>
      </c>
      <c r="Y8" s="2" t="s">
        <v>83</v>
      </c>
      <c r="Z8" s="2" t="s">
        <v>84</v>
      </c>
      <c r="AA8" s="2" t="s">
        <v>85</v>
      </c>
      <c r="AB8" s="2" t="s">
        <v>80</v>
      </c>
      <c r="AC8" s="2" t="s">
        <v>84</v>
      </c>
      <c r="AD8" s="2" t="s">
        <v>80</v>
      </c>
      <c r="AE8" s="2" t="s">
        <v>20</v>
      </c>
    </row>
    <row r="9" spans="1:31" x14ac:dyDescent="0.3">
      <c r="A9" s="1" t="s">
        <v>227</v>
      </c>
      <c r="B9" s="2" t="s">
        <v>77</v>
      </c>
      <c r="C9" s="2" t="s">
        <v>29</v>
      </c>
      <c r="D9" s="2">
        <v>31</v>
      </c>
      <c r="E9" s="2">
        <v>27</v>
      </c>
      <c r="F9" s="2">
        <v>24</v>
      </c>
      <c r="G9" s="2">
        <v>2.0699999999999998</v>
      </c>
      <c r="H9" s="2" t="s">
        <v>86</v>
      </c>
      <c r="I9" s="2">
        <v>1</v>
      </c>
      <c r="J9" s="9">
        <v>2</v>
      </c>
      <c r="K9" s="2">
        <v>1</v>
      </c>
      <c r="L9" s="2">
        <v>0</v>
      </c>
      <c r="M9" s="2">
        <v>0</v>
      </c>
      <c r="N9" s="2"/>
      <c r="O9" s="2">
        <v>3</v>
      </c>
      <c r="P9" s="2">
        <v>0</v>
      </c>
      <c r="Q9" s="2" t="s">
        <v>45</v>
      </c>
      <c r="R9" s="2" t="s">
        <v>31</v>
      </c>
      <c r="S9" s="2" t="s">
        <v>75</v>
      </c>
      <c r="T9" s="2" t="s">
        <v>45</v>
      </c>
      <c r="U9" s="2" t="s">
        <v>75</v>
      </c>
      <c r="V9" s="2" t="s">
        <v>87</v>
      </c>
      <c r="W9" s="2" t="s">
        <v>87</v>
      </c>
      <c r="X9" s="2" t="s">
        <v>88</v>
      </c>
      <c r="Y9" s="2" t="s">
        <v>81</v>
      </c>
      <c r="Z9" s="2" t="s">
        <v>89</v>
      </c>
      <c r="AA9" s="2" t="s">
        <v>31</v>
      </c>
      <c r="AB9" s="2" t="s">
        <v>84</v>
      </c>
      <c r="AC9" s="2" t="s">
        <v>89</v>
      </c>
      <c r="AD9" s="2" t="s">
        <v>84</v>
      </c>
      <c r="AE9" s="2" t="s">
        <v>20</v>
      </c>
    </row>
    <row r="10" spans="1:31" x14ac:dyDescent="0.3">
      <c r="A10" s="1" t="s">
        <v>90</v>
      </c>
      <c r="B10" s="2" t="s">
        <v>47</v>
      </c>
      <c r="C10" s="2" t="s">
        <v>29</v>
      </c>
      <c r="D10" s="2">
        <v>21</v>
      </c>
      <c r="E10" s="2">
        <v>26</v>
      </c>
      <c r="F10" s="2">
        <v>22</v>
      </c>
      <c r="G10" s="2">
        <v>1.8640000000000001</v>
      </c>
      <c r="H10" s="2" t="s">
        <v>91</v>
      </c>
      <c r="I10" s="2">
        <v>5</v>
      </c>
      <c r="J10" s="9">
        <v>9</v>
      </c>
      <c r="K10" s="2">
        <v>5</v>
      </c>
      <c r="L10" s="2">
        <v>0</v>
      </c>
      <c r="M10" s="2">
        <v>0</v>
      </c>
      <c r="N10" s="2"/>
      <c r="O10" s="2">
        <v>4</v>
      </c>
      <c r="P10" s="2">
        <v>1</v>
      </c>
      <c r="Q10" s="2" t="s">
        <v>67</v>
      </c>
      <c r="R10" s="2" t="s">
        <v>92</v>
      </c>
      <c r="S10" s="2" t="s">
        <v>93</v>
      </c>
      <c r="T10" s="2" t="s">
        <v>67</v>
      </c>
      <c r="U10" s="2" t="s">
        <v>93</v>
      </c>
      <c r="V10" s="2" t="s">
        <v>94</v>
      </c>
      <c r="W10" s="2" t="s">
        <v>94</v>
      </c>
      <c r="X10" s="2" t="s">
        <v>69</v>
      </c>
      <c r="Y10" s="2" t="s">
        <v>95</v>
      </c>
      <c r="Z10" s="2" t="s">
        <v>37</v>
      </c>
      <c r="AA10" s="2" t="s">
        <v>96</v>
      </c>
      <c r="AB10" s="2" t="s">
        <v>97</v>
      </c>
      <c r="AC10" s="2" t="s">
        <v>37</v>
      </c>
      <c r="AD10" s="2" t="s">
        <v>97</v>
      </c>
      <c r="AE10" s="2" t="s">
        <v>20</v>
      </c>
    </row>
    <row r="11" spans="1:31" x14ac:dyDescent="0.3">
      <c r="A11" s="1" t="s">
        <v>98</v>
      </c>
      <c r="B11" s="2" t="s">
        <v>28</v>
      </c>
      <c r="C11" s="2" t="s">
        <v>99</v>
      </c>
      <c r="D11" s="2">
        <v>22</v>
      </c>
      <c r="E11" s="2">
        <v>29</v>
      </c>
      <c r="F11" s="2">
        <v>22</v>
      </c>
      <c r="G11" s="2">
        <v>1.8089999999999999</v>
      </c>
      <c r="H11" s="2" t="s">
        <v>100</v>
      </c>
      <c r="I11" s="2">
        <v>8</v>
      </c>
      <c r="J11" s="9">
        <v>3</v>
      </c>
      <c r="K11" s="2">
        <v>8</v>
      </c>
      <c r="L11" s="2">
        <v>0</v>
      </c>
      <c r="M11" s="2">
        <v>0</v>
      </c>
      <c r="N11" s="2"/>
      <c r="O11" s="2">
        <v>3</v>
      </c>
      <c r="P11" s="2">
        <v>0</v>
      </c>
      <c r="Q11" s="2" t="s">
        <v>97</v>
      </c>
      <c r="R11" s="2" t="s">
        <v>101</v>
      </c>
      <c r="S11" s="2" t="s">
        <v>102</v>
      </c>
      <c r="T11" s="2" t="s">
        <v>97</v>
      </c>
      <c r="U11" s="2" t="s">
        <v>102</v>
      </c>
      <c r="V11" s="2" t="s">
        <v>103</v>
      </c>
      <c r="W11" s="2" t="s">
        <v>103</v>
      </c>
      <c r="X11" s="2" t="s">
        <v>104</v>
      </c>
      <c r="Y11" s="2" t="s">
        <v>105</v>
      </c>
      <c r="Z11" s="2" t="s">
        <v>106</v>
      </c>
      <c r="AA11" s="2" t="s">
        <v>41</v>
      </c>
      <c r="AB11" s="2" t="s">
        <v>107</v>
      </c>
      <c r="AC11" s="2" t="s">
        <v>106</v>
      </c>
      <c r="AD11" s="2" t="s">
        <v>107</v>
      </c>
      <c r="AE11" s="2" t="s">
        <v>20</v>
      </c>
    </row>
    <row r="12" spans="1:31" x14ac:dyDescent="0.3">
      <c r="A12" s="1" t="s">
        <v>228</v>
      </c>
      <c r="B12" s="2" t="s">
        <v>108</v>
      </c>
      <c r="C12" s="2" t="s">
        <v>65</v>
      </c>
      <c r="D12" s="2">
        <v>30</v>
      </c>
      <c r="E12" s="2">
        <v>26</v>
      </c>
      <c r="F12" s="2">
        <v>21</v>
      </c>
      <c r="G12" s="2">
        <v>1.7729999999999999</v>
      </c>
      <c r="H12" s="2" t="s">
        <v>109</v>
      </c>
      <c r="I12" s="2">
        <v>2</v>
      </c>
      <c r="J12" s="9">
        <v>4</v>
      </c>
      <c r="K12" s="2">
        <v>2</v>
      </c>
      <c r="L12" s="2">
        <v>0</v>
      </c>
      <c r="M12" s="2">
        <v>0</v>
      </c>
      <c r="N12" s="2"/>
      <c r="O12" s="2">
        <v>2</v>
      </c>
      <c r="P12" s="2">
        <v>0</v>
      </c>
      <c r="Q12" s="2" t="s">
        <v>41</v>
      </c>
      <c r="R12" s="2" t="s">
        <v>110</v>
      </c>
      <c r="S12" s="2" t="s">
        <v>111</v>
      </c>
      <c r="T12" s="2" t="s">
        <v>41</v>
      </c>
      <c r="U12" s="2" t="s">
        <v>111</v>
      </c>
      <c r="V12" s="2" t="s">
        <v>112</v>
      </c>
      <c r="W12" s="2" t="s">
        <v>112</v>
      </c>
      <c r="X12" s="2" t="s">
        <v>113</v>
      </c>
      <c r="Y12" s="2" t="s">
        <v>114</v>
      </c>
      <c r="Z12" s="2" t="s">
        <v>31</v>
      </c>
      <c r="AA12" s="2" t="s">
        <v>37</v>
      </c>
      <c r="AB12" s="2" t="s">
        <v>115</v>
      </c>
      <c r="AC12" s="2" t="s">
        <v>31</v>
      </c>
      <c r="AD12" s="2" t="s">
        <v>115</v>
      </c>
      <c r="AE12" s="2" t="s">
        <v>20</v>
      </c>
    </row>
    <row r="13" spans="1:31" s="7" customFormat="1" ht="28.8" x14ac:dyDescent="0.3">
      <c r="A13" s="5" t="s">
        <v>116</v>
      </c>
      <c r="B13" s="6" t="s">
        <v>117</v>
      </c>
      <c r="C13" s="6" t="s">
        <v>29</v>
      </c>
      <c r="D13" s="6">
        <v>25</v>
      </c>
      <c r="E13" s="6">
        <v>19</v>
      </c>
      <c r="F13" s="6">
        <v>17</v>
      </c>
      <c r="G13" s="6">
        <v>1.496</v>
      </c>
      <c r="H13" s="6" t="s">
        <v>118</v>
      </c>
      <c r="I13" s="6">
        <v>0</v>
      </c>
      <c r="J13" s="10">
        <v>0</v>
      </c>
      <c r="K13" s="6">
        <v>0</v>
      </c>
      <c r="L13" s="6">
        <v>0</v>
      </c>
      <c r="M13" s="6">
        <v>0</v>
      </c>
      <c r="N13" s="6"/>
      <c r="O13" s="6">
        <v>2</v>
      </c>
      <c r="P13" s="6">
        <v>0</v>
      </c>
      <c r="Q13" s="6" t="s">
        <v>25</v>
      </c>
      <c r="R13" s="6" t="s">
        <v>25</v>
      </c>
      <c r="S13" s="6" t="s">
        <v>25</v>
      </c>
      <c r="T13" s="6" t="s">
        <v>25</v>
      </c>
      <c r="U13" s="6" t="s">
        <v>25</v>
      </c>
      <c r="V13" s="6" t="s">
        <v>70</v>
      </c>
      <c r="W13" s="6" t="s">
        <v>70</v>
      </c>
      <c r="X13" s="6" t="s">
        <v>43</v>
      </c>
      <c r="Y13" s="6" t="s">
        <v>119</v>
      </c>
      <c r="Z13" s="6" t="s">
        <v>36</v>
      </c>
      <c r="AA13" s="6" t="s">
        <v>44</v>
      </c>
      <c r="AB13" s="6" t="s">
        <v>45</v>
      </c>
      <c r="AC13" s="6" t="s">
        <v>36</v>
      </c>
      <c r="AD13" s="6" t="s">
        <v>45</v>
      </c>
      <c r="AE13" s="6" t="s">
        <v>20</v>
      </c>
    </row>
    <row r="14" spans="1:31" x14ac:dyDescent="0.3">
      <c r="A14" s="1" t="s">
        <v>120</v>
      </c>
      <c r="B14" s="2" t="s">
        <v>47</v>
      </c>
      <c r="C14" s="2" t="s">
        <v>29</v>
      </c>
      <c r="D14" s="2">
        <v>22</v>
      </c>
      <c r="E14" s="2">
        <v>20</v>
      </c>
      <c r="F14" s="2">
        <v>17</v>
      </c>
      <c r="G14" s="2">
        <v>1.4490000000000001</v>
      </c>
      <c r="H14" s="2" t="s">
        <v>121</v>
      </c>
      <c r="I14" s="2">
        <v>3</v>
      </c>
      <c r="J14" s="9">
        <v>1</v>
      </c>
      <c r="K14" s="2">
        <v>3</v>
      </c>
      <c r="L14" s="2">
        <v>0</v>
      </c>
      <c r="M14" s="2">
        <v>0</v>
      </c>
      <c r="N14" s="2"/>
      <c r="O14" s="2">
        <v>2</v>
      </c>
      <c r="P14" s="2">
        <v>0</v>
      </c>
      <c r="Q14" s="2" t="s">
        <v>85</v>
      </c>
      <c r="R14" s="2" t="s">
        <v>122</v>
      </c>
      <c r="S14" s="2" t="s">
        <v>59</v>
      </c>
      <c r="T14" s="2" t="s">
        <v>85</v>
      </c>
      <c r="U14" s="2" t="s">
        <v>59</v>
      </c>
      <c r="V14" s="2" t="s">
        <v>123</v>
      </c>
      <c r="W14" s="2" t="s">
        <v>123</v>
      </c>
      <c r="X14" s="2" t="s">
        <v>43</v>
      </c>
      <c r="Y14" s="2" t="s">
        <v>87</v>
      </c>
      <c r="Z14" s="2" t="s">
        <v>122</v>
      </c>
      <c r="AA14" s="2" t="s">
        <v>44</v>
      </c>
      <c r="AB14" s="2" t="s">
        <v>35</v>
      </c>
      <c r="AC14" s="2" t="s">
        <v>122</v>
      </c>
      <c r="AD14" s="2" t="s">
        <v>35</v>
      </c>
      <c r="AE14" s="2" t="s">
        <v>20</v>
      </c>
    </row>
    <row r="15" spans="1:31" x14ac:dyDescent="0.3">
      <c r="A15" s="1" t="s">
        <v>124</v>
      </c>
      <c r="B15" s="2" t="s">
        <v>125</v>
      </c>
      <c r="C15" s="2" t="s">
        <v>126</v>
      </c>
      <c r="D15" s="2">
        <v>28</v>
      </c>
      <c r="E15" s="2">
        <v>26</v>
      </c>
      <c r="F15" s="2">
        <v>16</v>
      </c>
      <c r="G15" s="2">
        <v>1.589</v>
      </c>
      <c r="H15" s="2" t="s">
        <v>127</v>
      </c>
      <c r="I15" s="2">
        <v>8</v>
      </c>
      <c r="J15" s="9">
        <v>0</v>
      </c>
      <c r="K15" s="2">
        <v>7</v>
      </c>
      <c r="L15" s="2">
        <v>1</v>
      </c>
      <c r="M15" s="2">
        <v>1</v>
      </c>
      <c r="N15" s="2"/>
      <c r="O15" s="2">
        <v>1</v>
      </c>
      <c r="P15" s="2">
        <v>0</v>
      </c>
      <c r="Q15" s="2" t="s">
        <v>128</v>
      </c>
      <c r="R15" s="2" t="s">
        <v>25</v>
      </c>
      <c r="S15" s="2" t="s">
        <v>128</v>
      </c>
      <c r="T15" s="2" t="s">
        <v>97</v>
      </c>
      <c r="U15" s="2" t="s">
        <v>97</v>
      </c>
      <c r="V15" s="2" t="s">
        <v>129</v>
      </c>
      <c r="W15" s="2" t="s">
        <v>130</v>
      </c>
      <c r="X15" s="2" t="s">
        <v>131</v>
      </c>
      <c r="Y15" s="2" t="s">
        <v>132</v>
      </c>
      <c r="Z15" s="2" t="s">
        <v>133</v>
      </c>
      <c r="AA15" s="2" t="s">
        <v>79</v>
      </c>
      <c r="AB15" s="2" t="s">
        <v>102</v>
      </c>
      <c r="AC15" s="2" t="s">
        <v>58</v>
      </c>
      <c r="AD15" s="2" t="s">
        <v>134</v>
      </c>
      <c r="AE15" s="2" t="s">
        <v>20</v>
      </c>
    </row>
    <row r="16" spans="1:31" x14ac:dyDescent="0.3">
      <c r="A16" s="1" t="s">
        <v>135</v>
      </c>
      <c r="B16" s="2" t="s">
        <v>136</v>
      </c>
      <c r="C16" s="2" t="s">
        <v>65</v>
      </c>
      <c r="D16" s="2">
        <v>27</v>
      </c>
      <c r="E16" s="2">
        <v>25</v>
      </c>
      <c r="F16" s="2">
        <v>16</v>
      </c>
      <c r="G16" s="2">
        <v>1.5580000000000001</v>
      </c>
      <c r="H16" s="2" t="s">
        <v>137</v>
      </c>
      <c r="I16" s="2">
        <v>2</v>
      </c>
      <c r="J16" s="9">
        <v>5</v>
      </c>
      <c r="K16" s="2">
        <v>2</v>
      </c>
      <c r="L16" s="2">
        <v>0</v>
      </c>
      <c r="M16" s="2">
        <v>0</v>
      </c>
      <c r="N16" s="2"/>
      <c r="O16" s="2">
        <v>4</v>
      </c>
      <c r="P16" s="2">
        <v>0</v>
      </c>
      <c r="Q16" s="2" t="s">
        <v>37</v>
      </c>
      <c r="R16" s="2" t="s">
        <v>138</v>
      </c>
      <c r="S16" s="2" t="s">
        <v>97</v>
      </c>
      <c r="T16" s="2" t="s">
        <v>37</v>
      </c>
      <c r="U16" s="2" t="s">
        <v>97</v>
      </c>
      <c r="V16" s="2" t="s">
        <v>112</v>
      </c>
      <c r="W16" s="2" t="s">
        <v>112</v>
      </c>
      <c r="X16" s="2" t="s">
        <v>139</v>
      </c>
      <c r="Y16" s="2" t="s">
        <v>140</v>
      </c>
      <c r="Z16" s="2" t="s">
        <v>73</v>
      </c>
      <c r="AA16" s="2" t="s">
        <v>115</v>
      </c>
      <c r="AB16" s="2" t="s">
        <v>68</v>
      </c>
      <c r="AC16" s="2" t="s">
        <v>73</v>
      </c>
      <c r="AD16" s="2" t="s">
        <v>68</v>
      </c>
      <c r="AE16" s="2" t="s">
        <v>20</v>
      </c>
    </row>
    <row r="17" spans="1:31" x14ac:dyDescent="0.3">
      <c r="A17" s="1" t="s">
        <v>141</v>
      </c>
      <c r="B17" s="2" t="s">
        <v>28</v>
      </c>
      <c r="C17" s="2" t="s">
        <v>99</v>
      </c>
      <c r="D17" s="2">
        <v>25</v>
      </c>
      <c r="E17" s="2">
        <v>21</v>
      </c>
      <c r="F17" s="2">
        <v>15</v>
      </c>
      <c r="G17" s="2">
        <v>1.2829999999999999</v>
      </c>
      <c r="H17" s="2" t="s">
        <v>142</v>
      </c>
      <c r="I17" s="2">
        <v>4</v>
      </c>
      <c r="J17" s="9">
        <v>1</v>
      </c>
      <c r="K17" s="2">
        <v>4</v>
      </c>
      <c r="L17" s="2">
        <v>0</v>
      </c>
      <c r="M17" s="2">
        <v>0</v>
      </c>
      <c r="N17" s="2"/>
      <c r="O17" s="2">
        <v>1</v>
      </c>
      <c r="P17" s="2">
        <v>0</v>
      </c>
      <c r="Q17" s="2" t="s">
        <v>96</v>
      </c>
      <c r="R17" s="2" t="s">
        <v>143</v>
      </c>
      <c r="S17" s="2" t="s">
        <v>144</v>
      </c>
      <c r="T17" s="2" t="s">
        <v>96</v>
      </c>
      <c r="U17" s="2" t="s">
        <v>144</v>
      </c>
      <c r="V17" s="2" t="s">
        <v>145</v>
      </c>
      <c r="W17" s="2" t="s">
        <v>145</v>
      </c>
      <c r="X17" s="2" t="s">
        <v>70</v>
      </c>
      <c r="Y17" s="2" t="s">
        <v>146</v>
      </c>
      <c r="Z17" s="2" t="s">
        <v>147</v>
      </c>
      <c r="AA17" s="2" t="s">
        <v>36</v>
      </c>
      <c r="AB17" s="2" t="s">
        <v>62</v>
      </c>
      <c r="AC17" s="2" t="s">
        <v>147</v>
      </c>
      <c r="AD17" s="2" t="s">
        <v>62</v>
      </c>
      <c r="AE17" s="2" t="s">
        <v>20</v>
      </c>
    </row>
    <row r="18" spans="1:31" x14ac:dyDescent="0.3">
      <c r="A18" s="1" t="s">
        <v>148</v>
      </c>
      <c r="B18" s="2" t="s">
        <v>149</v>
      </c>
      <c r="C18" s="2" t="s">
        <v>99</v>
      </c>
      <c r="D18" s="2">
        <v>28</v>
      </c>
      <c r="E18" s="2">
        <v>23</v>
      </c>
      <c r="F18" s="2">
        <v>14</v>
      </c>
      <c r="G18" s="2">
        <v>1.319</v>
      </c>
      <c r="H18" s="2" t="s">
        <v>150</v>
      </c>
      <c r="I18" s="2">
        <v>4</v>
      </c>
      <c r="J18" s="9">
        <v>3</v>
      </c>
      <c r="K18" s="2">
        <v>4</v>
      </c>
      <c r="L18" s="2">
        <v>0</v>
      </c>
      <c r="M18" s="2">
        <v>0</v>
      </c>
      <c r="N18" s="2"/>
      <c r="O18" s="2">
        <v>3</v>
      </c>
      <c r="P18" s="2">
        <v>0</v>
      </c>
      <c r="Q18" s="2" t="s">
        <v>151</v>
      </c>
      <c r="R18" s="2" t="s">
        <v>110</v>
      </c>
      <c r="S18" s="2" t="s">
        <v>106</v>
      </c>
      <c r="T18" s="2" t="s">
        <v>151</v>
      </c>
      <c r="U18" s="2" t="s">
        <v>106</v>
      </c>
      <c r="V18" s="2" t="s">
        <v>152</v>
      </c>
      <c r="W18" s="2" t="s">
        <v>152</v>
      </c>
      <c r="X18" s="2" t="s">
        <v>153</v>
      </c>
      <c r="Y18" s="2" t="s">
        <v>154</v>
      </c>
      <c r="Z18" s="2" t="s">
        <v>72</v>
      </c>
      <c r="AA18" s="2" t="s">
        <v>67</v>
      </c>
      <c r="AB18" s="2" t="s">
        <v>155</v>
      </c>
      <c r="AC18" s="2" t="s">
        <v>72</v>
      </c>
      <c r="AD18" s="2" t="s">
        <v>155</v>
      </c>
      <c r="AE18" s="2" t="s">
        <v>20</v>
      </c>
    </row>
    <row r="19" spans="1:31" x14ac:dyDescent="0.3">
      <c r="A19" s="1" t="s">
        <v>156</v>
      </c>
      <c r="B19" s="2" t="s">
        <v>47</v>
      </c>
      <c r="C19" s="2" t="s">
        <v>157</v>
      </c>
      <c r="D19" s="2">
        <v>25</v>
      </c>
      <c r="E19" s="2">
        <v>24</v>
      </c>
      <c r="F19" s="2">
        <v>13</v>
      </c>
      <c r="G19" s="2">
        <v>1.3939999999999999</v>
      </c>
      <c r="H19" s="2" t="s">
        <v>158</v>
      </c>
      <c r="I19" s="2">
        <v>0</v>
      </c>
      <c r="J19" s="9">
        <v>2</v>
      </c>
      <c r="K19" s="2">
        <v>0</v>
      </c>
      <c r="L19" s="2">
        <v>0</v>
      </c>
      <c r="M19" s="2">
        <v>0</v>
      </c>
      <c r="N19" s="2"/>
      <c r="O19" s="2">
        <v>1</v>
      </c>
      <c r="P19" s="2">
        <v>0</v>
      </c>
      <c r="Q19" s="2" t="s">
        <v>25</v>
      </c>
      <c r="R19" s="2" t="s">
        <v>75</v>
      </c>
      <c r="S19" s="2" t="s">
        <v>75</v>
      </c>
      <c r="T19" s="2" t="s">
        <v>25</v>
      </c>
      <c r="U19" s="2" t="s">
        <v>75</v>
      </c>
      <c r="V19" s="2" t="s">
        <v>87</v>
      </c>
      <c r="W19" s="2" t="s">
        <v>87</v>
      </c>
      <c r="X19" s="2" t="s">
        <v>159</v>
      </c>
      <c r="Y19" s="2" t="s">
        <v>160</v>
      </c>
      <c r="Z19" s="2" t="s">
        <v>35</v>
      </c>
      <c r="AA19" s="2" t="s">
        <v>37</v>
      </c>
      <c r="AB19" s="2" t="s">
        <v>110</v>
      </c>
      <c r="AC19" s="2" t="s">
        <v>35</v>
      </c>
      <c r="AD19" s="2" t="s">
        <v>110</v>
      </c>
      <c r="AE19" s="2" t="s">
        <v>20</v>
      </c>
    </row>
    <row r="20" spans="1:31" x14ac:dyDescent="0.3">
      <c r="A20" s="1" t="s">
        <v>161</v>
      </c>
      <c r="B20" s="2" t="s">
        <v>162</v>
      </c>
      <c r="C20" s="2" t="s">
        <v>48</v>
      </c>
      <c r="D20" s="2">
        <v>22</v>
      </c>
      <c r="E20" s="2">
        <v>22</v>
      </c>
      <c r="F20" s="2">
        <v>13</v>
      </c>
      <c r="G20" s="2">
        <v>1.29</v>
      </c>
      <c r="H20" s="2" t="s">
        <v>142</v>
      </c>
      <c r="I20" s="2">
        <v>6</v>
      </c>
      <c r="J20" s="9">
        <v>2</v>
      </c>
      <c r="K20" s="2">
        <v>6</v>
      </c>
      <c r="L20" s="2">
        <v>0</v>
      </c>
      <c r="M20" s="2">
        <v>0</v>
      </c>
      <c r="N20" s="2"/>
      <c r="O20" s="2">
        <v>2</v>
      </c>
      <c r="P20" s="2">
        <v>0</v>
      </c>
      <c r="Q20" s="2" t="s">
        <v>50</v>
      </c>
      <c r="R20" s="2" t="s">
        <v>84</v>
      </c>
      <c r="S20" s="2" t="s">
        <v>62</v>
      </c>
      <c r="T20" s="2" t="s">
        <v>50</v>
      </c>
      <c r="U20" s="2" t="s">
        <v>62</v>
      </c>
      <c r="V20" s="2" t="s">
        <v>163</v>
      </c>
      <c r="W20" s="2" t="s">
        <v>163</v>
      </c>
      <c r="X20" s="2" t="s">
        <v>87</v>
      </c>
      <c r="Y20" s="2" t="s">
        <v>164</v>
      </c>
      <c r="Z20" s="2" t="s">
        <v>144</v>
      </c>
      <c r="AA20" s="2" t="s">
        <v>35</v>
      </c>
      <c r="AB20" s="2" t="s">
        <v>165</v>
      </c>
      <c r="AC20" s="2" t="s">
        <v>144</v>
      </c>
      <c r="AD20" s="2" t="s">
        <v>165</v>
      </c>
      <c r="AE20" s="2" t="s">
        <v>20</v>
      </c>
    </row>
    <row r="21" spans="1:31" x14ac:dyDescent="0.3">
      <c r="A21" s="1" t="s">
        <v>166</v>
      </c>
      <c r="B21" s="2" t="s">
        <v>47</v>
      </c>
      <c r="C21" s="2" t="s">
        <v>99</v>
      </c>
      <c r="D21" s="2">
        <v>20</v>
      </c>
      <c r="E21" s="2">
        <v>15</v>
      </c>
      <c r="F21" s="2">
        <v>11</v>
      </c>
      <c r="G21" s="2">
        <v>962</v>
      </c>
      <c r="H21" s="2" t="s">
        <v>167</v>
      </c>
      <c r="I21" s="2">
        <v>1</v>
      </c>
      <c r="J21" s="9">
        <v>2</v>
      </c>
      <c r="K21" s="2">
        <v>1</v>
      </c>
      <c r="L21" s="2">
        <v>0</v>
      </c>
      <c r="M21" s="2">
        <v>0</v>
      </c>
      <c r="N21" s="2"/>
      <c r="O21" s="2">
        <v>1</v>
      </c>
      <c r="P21" s="2">
        <v>0</v>
      </c>
      <c r="Q21" s="2" t="s">
        <v>31</v>
      </c>
      <c r="R21" s="2" t="s">
        <v>85</v>
      </c>
      <c r="S21" s="2" t="s">
        <v>96</v>
      </c>
      <c r="T21" s="2" t="s">
        <v>31</v>
      </c>
      <c r="U21" s="2" t="s">
        <v>96</v>
      </c>
      <c r="V21" s="2" t="s">
        <v>88</v>
      </c>
      <c r="W21" s="2" t="s">
        <v>88</v>
      </c>
      <c r="X21" s="2" t="s">
        <v>113</v>
      </c>
      <c r="Y21" s="2" t="s">
        <v>168</v>
      </c>
      <c r="Z21" s="2" t="s">
        <v>110</v>
      </c>
      <c r="AA21" s="2" t="s">
        <v>115</v>
      </c>
      <c r="AB21" s="2" t="s">
        <v>169</v>
      </c>
      <c r="AC21" s="2" t="s">
        <v>110</v>
      </c>
      <c r="AD21" s="2" t="s">
        <v>169</v>
      </c>
      <c r="AE21" s="2" t="s">
        <v>20</v>
      </c>
    </row>
    <row r="22" spans="1:31" x14ac:dyDescent="0.3">
      <c r="A22" s="1" t="s">
        <v>170</v>
      </c>
      <c r="B22" s="2" t="s">
        <v>108</v>
      </c>
      <c r="C22" s="2" t="s">
        <v>29</v>
      </c>
      <c r="D22" s="2">
        <v>22</v>
      </c>
      <c r="E22" s="2">
        <v>8</v>
      </c>
      <c r="F22" s="2">
        <v>6</v>
      </c>
      <c r="G22" s="2">
        <v>546</v>
      </c>
      <c r="H22" s="2" t="s">
        <v>130</v>
      </c>
      <c r="I22" s="2">
        <v>0</v>
      </c>
      <c r="J22" s="9">
        <v>0</v>
      </c>
      <c r="K22" s="2">
        <v>0</v>
      </c>
      <c r="L22" s="2">
        <v>0</v>
      </c>
      <c r="M22" s="2">
        <v>0</v>
      </c>
      <c r="N22" s="2"/>
      <c r="O22" s="2">
        <v>2</v>
      </c>
      <c r="P22" s="2">
        <v>0</v>
      </c>
      <c r="Q22" s="2" t="s">
        <v>25</v>
      </c>
      <c r="R22" s="2" t="s">
        <v>25</v>
      </c>
      <c r="S22" s="2" t="s">
        <v>25</v>
      </c>
      <c r="T22" s="2" t="s">
        <v>25</v>
      </c>
      <c r="U22" s="2" t="s">
        <v>25</v>
      </c>
      <c r="V22" s="2" t="s">
        <v>26</v>
      </c>
      <c r="W22" s="2" t="s">
        <v>26</v>
      </c>
      <c r="X22" s="2" t="s">
        <v>70</v>
      </c>
      <c r="Y22" s="2" t="s">
        <v>70</v>
      </c>
      <c r="Z22" s="2" t="s">
        <v>44</v>
      </c>
      <c r="AA22" s="2" t="s">
        <v>122</v>
      </c>
      <c r="AB22" s="2" t="s">
        <v>143</v>
      </c>
      <c r="AC22" s="2" t="s">
        <v>44</v>
      </c>
      <c r="AD22" s="2" t="s">
        <v>143</v>
      </c>
      <c r="AE22" s="2" t="s">
        <v>20</v>
      </c>
    </row>
    <row r="23" spans="1:31" x14ac:dyDescent="0.3">
      <c r="A23" s="1" t="s">
        <v>171</v>
      </c>
      <c r="B23" s="2" t="s">
        <v>47</v>
      </c>
      <c r="C23" s="2" t="s">
        <v>29</v>
      </c>
      <c r="D23" s="2">
        <v>24</v>
      </c>
      <c r="E23" s="2">
        <v>7</v>
      </c>
      <c r="F23" s="2">
        <v>6</v>
      </c>
      <c r="G23" s="2">
        <v>542</v>
      </c>
      <c r="H23" s="2" t="s">
        <v>172</v>
      </c>
      <c r="I23" s="2">
        <v>3</v>
      </c>
      <c r="J23" s="9">
        <v>1</v>
      </c>
      <c r="K23" s="2">
        <v>3</v>
      </c>
      <c r="L23" s="2">
        <v>0</v>
      </c>
      <c r="M23" s="2">
        <v>0</v>
      </c>
      <c r="N23" s="2"/>
      <c r="O23" s="2">
        <v>0</v>
      </c>
      <c r="P23" s="2">
        <v>0</v>
      </c>
      <c r="Q23" s="2" t="s">
        <v>173</v>
      </c>
      <c r="R23" s="2" t="s">
        <v>79</v>
      </c>
      <c r="S23" s="2" t="s">
        <v>174</v>
      </c>
      <c r="T23" s="2" t="s">
        <v>173</v>
      </c>
      <c r="U23" s="2" t="s">
        <v>174</v>
      </c>
      <c r="V23" s="2" t="s">
        <v>87</v>
      </c>
      <c r="W23" s="2" t="s">
        <v>87</v>
      </c>
      <c r="X23" s="2" t="s">
        <v>42</v>
      </c>
      <c r="Y23" s="2" t="s">
        <v>88</v>
      </c>
      <c r="Z23" s="2" t="s">
        <v>85</v>
      </c>
      <c r="AA23" s="2" t="s">
        <v>101</v>
      </c>
      <c r="AB23" s="2" t="s">
        <v>58</v>
      </c>
      <c r="AC23" s="2" t="s">
        <v>85</v>
      </c>
      <c r="AD23" s="2" t="s">
        <v>58</v>
      </c>
      <c r="AE23" s="2" t="s">
        <v>20</v>
      </c>
    </row>
    <row r="24" spans="1:31" x14ac:dyDescent="0.3">
      <c r="A24" s="1" t="s">
        <v>175</v>
      </c>
      <c r="B24" s="2" t="s">
        <v>77</v>
      </c>
      <c r="C24" s="2" t="s">
        <v>157</v>
      </c>
      <c r="D24" s="2">
        <v>26</v>
      </c>
      <c r="E24" s="2">
        <v>10</v>
      </c>
      <c r="F24" s="2">
        <v>5</v>
      </c>
      <c r="G24" s="2">
        <v>480</v>
      </c>
      <c r="H24" s="2" t="s">
        <v>176</v>
      </c>
      <c r="I24" s="2">
        <v>0</v>
      </c>
      <c r="J24" s="9">
        <v>0</v>
      </c>
      <c r="K24" s="2">
        <v>0</v>
      </c>
      <c r="L24" s="2">
        <v>0</v>
      </c>
      <c r="M24" s="2">
        <v>0</v>
      </c>
      <c r="N24" s="2"/>
      <c r="O24" s="2">
        <v>1</v>
      </c>
      <c r="P24" s="2">
        <v>0</v>
      </c>
      <c r="Q24" s="2" t="s">
        <v>25</v>
      </c>
      <c r="R24" s="2" t="s">
        <v>25</v>
      </c>
      <c r="S24" s="2" t="s">
        <v>25</v>
      </c>
      <c r="T24" s="2" t="s">
        <v>25</v>
      </c>
      <c r="U24" s="2" t="s">
        <v>25</v>
      </c>
      <c r="V24" s="2" t="s">
        <v>43</v>
      </c>
      <c r="W24" s="2" t="s">
        <v>43</v>
      </c>
      <c r="X24" s="2" t="s">
        <v>177</v>
      </c>
      <c r="Y24" s="2" t="s">
        <v>178</v>
      </c>
      <c r="Z24" s="2" t="s">
        <v>45</v>
      </c>
      <c r="AA24" s="2" t="s">
        <v>122</v>
      </c>
      <c r="AB24" s="2" t="s">
        <v>41</v>
      </c>
      <c r="AC24" s="2" t="s">
        <v>45</v>
      </c>
      <c r="AD24" s="2" t="s">
        <v>41</v>
      </c>
      <c r="AE24" s="2" t="s">
        <v>20</v>
      </c>
    </row>
    <row r="25" spans="1:31" x14ac:dyDescent="0.3">
      <c r="A25" s="1" t="s">
        <v>179</v>
      </c>
      <c r="B25" s="2" t="s">
        <v>77</v>
      </c>
      <c r="C25" s="2" t="s">
        <v>23</v>
      </c>
      <c r="D25" s="2">
        <v>26</v>
      </c>
      <c r="E25" s="2">
        <v>4</v>
      </c>
      <c r="F25" s="2">
        <v>4</v>
      </c>
      <c r="G25" s="2">
        <v>360</v>
      </c>
      <c r="H25" s="2" t="s">
        <v>180</v>
      </c>
      <c r="I25" s="2">
        <v>0</v>
      </c>
      <c r="J25" s="9">
        <v>0</v>
      </c>
      <c r="K25" s="2">
        <v>0</v>
      </c>
      <c r="L25" s="2">
        <v>0</v>
      </c>
      <c r="M25" s="2">
        <v>0</v>
      </c>
      <c r="N25" s="2"/>
      <c r="O25" s="2">
        <v>0</v>
      </c>
      <c r="P25" s="2">
        <v>0</v>
      </c>
      <c r="Q25" s="2" t="s">
        <v>25</v>
      </c>
      <c r="R25" s="2" t="s">
        <v>25</v>
      </c>
      <c r="S25" s="2" t="s">
        <v>25</v>
      </c>
      <c r="T25" s="2" t="s">
        <v>25</v>
      </c>
      <c r="U25" s="2" t="s">
        <v>25</v>
      </c>
      <c r="V25" s="2" t="s">
        <v>26</v>
      </c>
      <c r="W25" s="2" t="s">
        <v>26</v>
      </c>
      <c r="X25" s="2" t="s">
        <v>26</v>
      </c>
      <c r="Y25" s="2" t="s">
        <v>26</v>
      </c>
      <c r="Z25" s="2" t="s">
        <v>25</v>
      </c>
      <c r="AA25" s="2" t="s">
        <v>25</v>
      </c>
      <c r="AB25" s="2" t="s">
        <v>25</v>
      </c>
      <c r="AC25" s="2" t="s">
        <v>25</v>
      </c>
      <c r="AD25" s="2" t="s">
        <v>25</v>
      </c>
      <c r="AE25" s="2" t="s">
        <v>20</v>
      </c>
    </row>
    <row r="26" spans="1:31" x14ac:dyDescent="0.3">
      <c r="A26" s="1" t="s">
        <v>181</v>
      </c>
      <c r="B26" s="2" t="s">
        <v>47</v>
      </c>
      <c r="C26" s="2" t="s">
        <v>65</v>
      </c>
      <c r="D26" s="2">
        <v>27</v>
      </c>
      <c r="E26" s="2">
        <v>6</v>
      </c>
      <c r="F26" s="2">
        <v>1</v>
      </c>
      <c r="G26" s="2">
        <v>179</v>
      </c>
      <c r="H26" s="2" t="s">
        <v>104</v>
      </c>
      <c r="I26" s="2">
        <v>1</v>
      </c>
      <c r="J26" s="9">
        <v>0</v>
      </c>
      <c r="K26" s="2">
        <v>1</v>
      </c>
      <c r="L26" s="2">
        <v>0</v>
      </c>
      <c r="M26" s="2">
        <v>0</v>
      </c>
      <c r="N26" s="2"/>
      <c r="O26" s="2">
        <v>0</v>
      </c>
      <c r="P26" s="2">
        <v>0</v>
      </c>
      <c r="Q26" s="2" t="s">
        <v>173</v>
      </c>
      <c r="R26" s="2" t="s">
        <v>25</v>
      </c>
      <c r="S26" s="2" t="s">
        <v>173</v>
      </c>
      <c r="T26" s="2" t="s">
        <v>173</v>
      </c>
      <c r="U26" s="2" t="s">
        <v>173</v>
      </c>
      <c r="V26" s="2" t="s">
        <v>87</v>
      </c>
      <c r="W26" s="2" t="s">
        <v>87</v>
      </c>
      <c r="X26" s="2" t="s">
        <v>119</v>
      </c>
      <c r="Y26" s="2" t="s">
        <v>159</v>
      </c>
      <c r="Z26" s="2" t="s">
        <v>182</v>
      </c>
      <c r="AA26" s="2" t="s">
        <v>80</v>
      </c>
      <c r="AB26" s="2" t="s">
        <v>183</v>
      </c>
      <c r="AC26" s="2" t="s">
        <v>182</v>
      </c>
      <c r="AD26" s="2" t="s">
        <v>183</v>
      </c>
      <c r="AE26" s="2" t="s">
        <v>20</v>
      </c>
    </row>
    <row r="27" spans="1:31" x14ac:dyDescent="0.3">
      <c r="A27" s="1" t="s">
        <v>184</v>
      </c>
      <c r="B27" s="2" t="s">
        <v>39</v>
      </c>
      <c r="C27" s="2" t="s">
        <v>29</v>
      </c>
      <c r="D27" s="2">
        <v>25</v>
      </c>
      <c r="E27" s="2">
        <v>1</v>
      </c>
      <c r="F27" s="2">
        <v>1</v>
      </c>
      <c r="G27" s="2">
        <v>58</v>
      </c>
      <c r="H27" s="2" t="s">
        <v>185</v>
      </c>
      <c r="I27" s="2">
        <v>0</v>
      </c>
      <c r="J27" s="9">
        <v>1</v>
      </c>
      <c r="K27" s="2">
        <v>0</v>
      </c>
      <c r="L27" s="2">
        <v>0</v>
      </c>
      <c r="M27" s="2">
        <v>0</v>
      </c>
      <c r="N27" s="2"/>
      <c r="O27" s="2">
        <v>0</v>
      </c>
      <c r="P27" s="2">
        <v>0</v>
      </c>
      <c r="Q27" s="2" t="s">
        <v>25</v>
      </c>
      <c r="R27" s="2" t="s">
        <v>186</v>
      </c>
      <c r="S27" s="2" t="s">
        <v>186</v>
      </c>
      <c r="T27" s="2" t="s">
        <v>25</v>
      </c>
      <c r="U27" s="2" t="s">
        <v>186</v>
      </c>
      <c r="V27" s="2" t="s">
        <v>187</v>
      </c>
      <c r="W27" s="2" t="s">
        <v>187</v>
      </c>
      <c r="X27" s="2" t="s">
        <v>42</v>
      </c>
      <c r="Y27" s="2" t="s">
        <v>123</v>
      </c>
      <c r="Z27" s="2" t="s">
        <v>75</v>
      </c>
      <c r="AA27" s="2" t="s">
        <v>188</v>
      </c>
      <c r="AB27" s="2" t="s">
        <v>189</v>
      </c>
      <c r="AC27" s="2" t="s">
        <v>75</v>
      </c>
      <c r="AD27" s="2" t="s">
        <v>189</v>
      </c>
      <c r="AE27" s="2" t="s">
        <v>20</v>
      </c>
    </row>
    <row r="28" spans="1:31" x14ac:dyDescent="0.3">
      <c r="A28" s="1" t="s">
        <v>190</v>
      </c>
      <c r="B28" s="2" t="s">
        <v>64</v>
      </c>
      <c r="C28" s="2" t="s">
        <v>29</v>
      </c>
      <c r="D28" s="2">
        <v>26</v>
      </c>
      <c r="E28" s="2">
        <v>1</v>
      </c>
      <c r="F28" s="2">
        <v>0</v>
      </c>
      <c r="G28" s="2">
        <v>5</v>
      </c>
      <c r="H28" s="2" t="s">
        <v>187</v>
      </c>
      <c r="I28" s="2">
        <v>0</v>
      </c>
      <c r="J28" s="9">
        <v>0</v>
      </c>
      <c r="K28" s="2">
        <v>0</v>
      </c>
      <c r="L28" s="2">
        <v>0</v>
      </c>
      <c r="M28" s="2">
        <v>0</v>
      </c>
      <c r="N28" s="2"/>
      <c r="O28" s="2">
        <v>0</v>
      </c>
      <c r="P28" s="2">
        <v>0</v>
      </c>
      <c r="Q28" s="2" t="s">
        <v>25</v>
      </c>
      <c r="R28" s="2" t="s">
        <v>25</v>
      </c>
      <c r="S28" s="2" t="s">
        <v>25</v>
      </c>
      <c r="T28" s="2" t="s">
        <v>25</v>
      </c>
      <c r="U28" s="2" t="s">
        <v>25</v>
      </c>
      <c r="V28" s="2" t="s">
        <v>26</v>
      </c>
      <c r="W28" s="2" t="s">
        <v>26</v>
      </c>
      <c r="X28" s="2" t="s">
        <v>26</v>
      </c>
      <c r="Y28" s="2" t="s">
        <v>26</v>
      </c>
      <c r="Z28" s="2" t="s">
        <v>25</v>
      </c>
      <c r="AA28" s="2" t="s">
        <v>25</v>
      </c>
      <c r="AB28" s="2" t="s">
        <v>25</v>
      </c>
      <c r="AC28" s="2" t="s">
        <v>25</v>
      </c>
      <c r="AD28" s="2" t="s">
        <v>25</v>
      </c>
      <c r="AE28" s="2" t="s">
        <v>20</v>
      </c>
    </row>
    <row r="29" spans="1:31" x14ac:dyDescent="0.3">
      <c r="A29" s="1" t="s">
        <v>191</v>
      </c>
      <c r="B29" s="2" t="s">
        <v>47</v>
      </c>
      <c r="C29" s="2" t="s">
        <v>126</v>
      </c>
      <c r="D29" s="2">
        <v>23</v>
      </c>
      <c r="E29" s="2">
        <v>0</v>
      </c>
      <c r="F29" s="2">
        <v>0</v>
      </c>
      <c r="G29" s="2"/>
      <c r="H29" s="2"/>
      <c r="I29" s="2"/>
      <c r="J29" s="9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 t="s">
        <v>20</v>
      </c>
    </row>
    <row r="30" spans="1:31" x14ac:dyDescent="0.3">
      <c r="A30" s="1" t="s">
        <v>192</v>
      </c>
      <c r="B30" s="2" t="s">
        <v>47</v>
      </c>
      <c r="C30" s="2" t="s">
        <v>23</v>
      </c>
      <c r="D30" s="2">
        <v>29</v>
      </c>
      <c r="E30" s="2">
        <v>0</v>
      </c>
      <c r="F30" s="2">
        <v>0</v>
      </c>
      <c r="G30" s="2"/>
      <c r="H30" s="2"/>
      <c r="I30" s="2"/>
      <c r="J30" s="9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 t="s">
        <v>20</v>
      </c>
    </row>
    <row r="31" spans="1:31" x14ac:dyDescent="0.3">
      <c r="A31" s="1" t="s">
        <v>193</v>
      </c>
      <c r="B31" s="2" t="s">
        <v>47</v>
      </c>
      <c r="C31" s="2" t="s">
        <v>65</v>
      </c>
      <c r="D31" s="2">
        <v>16</v>
      </c>
      <c r="E31" s="2">
        <v>0</v>
      </c>
      <c r="F31" s="2">
        <v>0</v>
      </c>
      <c r="G31" s="2"/>
      <c r="H31" s="2"/>
      <c r="I31" s="2"/>
      <c r="J31" s="9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 t="s">
        <v>20</v>
      </c>
    </row>
    <row r="32" spans="1:31" x14ac:dyDescent="0.3">
      <c r="A32" s="1" t="s">
        <v>194</v>
      </c>
      <c r="B32" s="2" t="s">
        <v>47</v>
      </c>
      <c r="C32" s="2" t="s">
        <v>65</v>
      </c>
      <c r="D32" s="2">
        <v>17</v>
      </c>
      <c r="E32" s="2">
        <v>0</v>
      </c>
      <c r="F32" s="2">
        <v>0</v>
      </c>
      <c r="G32" s="2"/>
      <c r="H32" s="2"/>
      <c r="I32" s="2"/>
      <c r="J32" s="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 t="s">
        <v>20</v>
      </c>
    </row>
    <row r="33" spans="1:31" x14ac:dyDescent="0.3">
      <c r="A33" s="1" t="s">
        <v>195</v>
      </c>
      <c r="B33" s="2" t="s">
        <v>108</v>
      </c>
      <c r="C33" s="2" t="s">
        <v>29</v>
      </c>
      <c r="D33" s="2">
        <v>26</v>
      </c>
      <c r="E33" s="2">
        <v>0</v>
      </c>
      <c r="F33" s="2">
        <v>0</v>
      </c>
      <c r="G33" s="2"/>
      <c r="H33" s="2"/>
      <c r="I33" s="2"/>
      <c r="J33" s="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 t="s">
        <v>20</v>
      </c>
    </row>
    <row r="34" spans="1:31" x14ac:dyDescent="0.3">
      <c r="A34" s="1" t="s">
        <v>229</v>
      </c>
      <c r="B34" s="2"/>
      <c r="C34" s="2"/>
      <c r="D34" s="2" t="s">
        <v>196</v>
      </c>
      <c r="E34" s="2">
        <v>38</v>
      </c>
      <c r="F34" s="2">
        <v>418</v>
      </c>
      <c r="G34" s="2">
        <v>3.42</v>
      </c>
      <c r="H34" s="2" t="s">
        <v>197</v>
      </c>
      <c r="I34" s="2">
        <v>75</v>
      </c>
      <c r="J34" s="9">
        <v>52</v>
      </c>
      <c r="K34" s="2">
        <v>67</v>
      </c>
      <c r="L34" s="2">
        <v>8</v>
      </c>
      <c r="M34" s="2">
        <v>9</v>
      </c>
      <c r="N34" s="2"/>
      <c r="O34" s="2">
        <v>63</v>
      </c>
      <c r="P34" s="2">
        <v>1</v>
      </c>
      <c r="Q34" s="2" t="s">
        <v>198</v>
      </c>
      <c r="R34" s="2" t="s">
        <v>199</v>
      </c>
      <c r="S34" s="2" t="s">
        <v>200</v>
      </c>
      <c r="T34" s="2" t="s">
        <v>201</v>
      </c>
      <c r="U34" s="2" t="s">
        <v>202</v>
      </c>
      <c r="V34" s="2" t="s">
        <v>203</v>
      </c>
      <c r="W34" s="2" t="s">
        <v>204</v>
      </c>
      <c r="X34" s="2" t="s">
        <v>205</v>
      </c>
      <c r="Y34" s="2" t="s">
        <v>206</v>
      </c>
      <c r="Z34" s="2" t="s">
        <v>207</v>
      </c>
      <c r="AA34" s="2" t="s">
        <v>208</v>
      </c>
      <c r="AB34" s="2" t="s">
        <v>209</v>
      </c>
      <c r="AC34" s="2" t="s">
        <v>210</v>
      </c>
      <c r="AD34" s="2" t="s">
        <v>211</v>
      </c>
      <c r="AE34" s="2"/>
    </row>
    <row r="35" spans="1:31" x14ac:dyDescent="0.3">
      <c r="A35" s="1" t="s">
        <v>212</v>
      </c>
      <c r="B35" s="2"/>
      <c r="C35" s="2"/>
      <c r="D35" s="2" t="s">
        <v>213</v>
      </c>
      <c r="E35" s="2">
        <v>38</v>
      </c>
      <c r="F35" s="2">
        <v>418</v>
      </c>
      <c r="G35" s="2">
        <v>3.42</v>
      </c>
      <c r="H35" s="2" t="s">
        <v>197</v>
      </c>
      <c r="I35" s="2">
        <v>32</v>
      </c>
      <c r="J35" s="9">
        <v>20</v>
      </c>
      <c r="K35" s="2">
        <v>26</v>
      </c>
      <c r="L35" s="2">
        <v>6</v>
      </c>
      <c r="M35" s="2">
        <v>6</v>
      </c>
      <c r="N35" s="2"/>
      <c r="O35" s="2">
        <v>69</v>
      </c>
      <c r="P35" s="2">
        <v>4</v>
      </c>
      <c r="Q35" s="2" t="s">
        <v>214</v>
      </c>
      <c r="R35" s="2" t="s">
        <v>147</v>
      </c>
      <c r="S35" s="2" t="s">
        <v>199</v>
      </c>
      <c r="T35" s="2" t="s">
        <v>93</v>
      </c>
      <c r="U35" s="2" t="s">
        <v>215</v>
      </c>
      <c r="V35" s="2" t="s">
        <v>216</v>
      </c>
      <c r="W35" s="2" t="s">
        <v>217</v>
      </c>
      <c r="X35" s="2" t="s">
        <v>218</v>
      </c>
      <c r="Y35" s="2" t="s">
        <v>219</v>
      </c>
      <c r="Z35" s="2" t="s">
        <v>220</v>
      </c>
      <c r="AA35" s="2" t="s">
        <v>60</v>
      </c>
      <c r="AB35" s="2" t="s">
        <v>221</v>
      </c>
      <c r="AC35" s="2" t="s">
        <v>214</v>
      </c>
      <c r="AD35" s="2" t="s">
        <v>222</v>
      </c>
      <c r="AE35" s="2"/>
    </row>
    <row r="38" spans="1:31" x14ac:dyDescent="0.3">
      <c r="B38" s="3">
        <f>COUNTIF(B3:B33,"pt POR")</f>
        <v>0</v>
      </c>
      <c r="E38" s="3">
        <f>AVERAGE(E3:E33)</f>
        <v>17.06451612903226</v>
      </c>
      <c r="I38" s="3">
        <f ca="1">RANDBETWEEN(0,12)</f>
        <v>5</v>
      </c>
    </row>
  </sheetData>
  <autoFilter ref="A2:AE2" xr:uid="{00000000-0001-0000-0000-000000000000}"/>
  <mergeCells count="6">
    <mergeCell ref="Z1:AD1"/>
    <mergeCell ref="A1:D1"/>
    <mergeCell ref="F1:H1"/>
    <mergeCell ref="I1:P1"/>
    <mergeCell ref="Q1:U1"/>
    <mergeCell ref="V1:Y1"/>
  </mergeCells>
  <conditionalFormatting sqref="B1:B1048576">
    <cfRule type="containsText" dxfId="0" priority="1" operator="containsText" text="fr FRA">
      <formula>NOT(ISERROR(SEARCH("fr FRA",B1)))</formula>
    </cfRule>
  </conditionalFormatting>
  <pageMargins left="0.78740157499999996" right="0.78740157499999996" top="0.984251969" bottom="0.984251969" header="0.4921259845" footer="0.492125984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DESCHAMPS Guillaume</dc:creator>
  <cp:lastModifiedBy>GAME AMÉLIE</cp:lastModifiedBy>
  <dcterms:created xsi:type="dcterms:W3CDTF">2022-09-14T14:27:25Z</dcterms:created>
  <dcterms:modified xsi:type="dcterms:W3CDTF">2023-10-10T12:59:02Z</dcterms:modified>
</cp:coreProperties>
</file>