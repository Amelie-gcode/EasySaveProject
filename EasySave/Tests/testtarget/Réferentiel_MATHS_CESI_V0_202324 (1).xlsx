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ameli\Documents\1ere année\"/>
    </mc:Choice>
  </mc:AlternateContent>
  <xr:revisionPtr revIDLastSave="0" documentId="8_{9F9BF3F7-8C2E-4AC1-853F-770AE3690C6C}" xr6:coauthVersionLast="47" xr6:coauthVersionMax="47" xr10:uidLastSave="{00000000-0000-0000-0000-000000000000}"/>
  <bookViews>
    <workbookView xWindow="11424" yWindow="0" windowWidth="11712" windowHeight="12336" tabRatio="735" activeTab="2" xr2:uid="{00000000-000D-0000-FFFF-FFFF00000000}"/>
  </bookViews>
  <sheets>
    <sheet name="Objectifs Maths 2023-2024" sheetId="6" r:id="rId1"/>
    <sheet name="Items sous domaines Maths " sheetId="21" state="hidden" r:id="rId2"/>
    <sheet name="Remédiation" sheetId="24" r:id="rId3"/>
    <sheet name="Aide1" sheetId="25" state="hidden" r:id="rId4"/>
    <sheet name="Aide2" sheetId="27" state="hidden" r:id="rId5"/>
    <sheet name="Aide3" sheetId="26" state="hidden" r:id="rId6"/>
    <sheet name="A1 CPI S1" sheetId="17" r:id="rId7"/>
    <sheet name="A1 CPI S2" sheetId="22" r:id="rId8"/>
    <sheet name="A2 CPI S3 " sheetId="18" r:id="rId9"/>
    <sheet name="A3 CI S5" sheetId="23" r:id="rId10"/>
    <sheet name="A3 CI S6" sheetId="19" r:id="rId11"/>
  </sheets>
  <definedNames>
    <definedName name="_xlnm._FilterDatabase" localSheetId="6" hidden="1">'A1 CPI S1'!$A$3:$X$484</definedName>
    <definedName name="_xlnm._FilterDatabase" localSheetId="7" hidden="1">'A1 CPI S2'!$A$3:$Y$488</definedName>
    <definedName name="_xlnm._FilterDatabase" localSheetId="8" hidden="1">'A2 CPI S3 '!$A$3:$G$484</definedName>
    <definedName name="_xlnm._FilterDatabase" localSheetId="9" hidden="1">'A3 CI S5'!$A$3:$J$485</definedName>
    <definedName name="_xlnm._FilterDatabase" localSheetId="10" hidden="1">'A3 CI S6'!$A$3:$J$426</definedName>
    <definedName name="_xlnm._FilterDatabase" localSheetId="1" hidden="1">'Items sous domaines Maths '!$A$2:$H$398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6" i="24" l="1"/>
  <c r="B26" i="24"/>
  <c r="D41" i="18"/>
  <c r="F228" i="18" l="1"/>
  <c r="F227" i="18"/>
  <c r="F226" i="18"/>
  <c r="F224" i="18"/>
  <c r="F223" i="18"/>
  <c r="F222" i="18"/>
  <c r="F219" i="18"/>
  <c r="F218" i="18"/>
  <c r="F217" i="18"/>
  <c r="F216" i="18"/>
  <c r="F215" i="18"/>
  <c r="F214" i="18"/>
  <c r="F213" i="18"/>
  <c r="F212" i="18"/>
  <c r="F210" i="18"/>
  <c r="F209" i="18"/>
  <c r="F208" i="18"/>
  <c r="E228" i="18"/>
  <c r="E227" i="18"/>
  <c r="E226" i="18"/>
  <c r="E224" i="18"/>
  <c r="E223" i="18"/>
  <c r="E222" i="18"/>
  <c r="E219" i="18"/>
  <c r="E218" i="18"/>
  <c r="E217" i="18"/>
  <c r="E216" i="18"/>
  <c r="E215" i="18"/>
  <c r="E214" i="18"/>
  <c r="E213" i="18"/>
  <c r="E212" i="18"/>
  <c r="E210" i="18"/>
  <c r="E209" i="18"/>
  <c r="E208" i="18"/>
  <c r="D219" i="18"/>
  <c r="D218" i="18"/>
  <c r="D217" i="18"/>
  <c r="D216" i="18"/>
  <c r="D215" i="18"/>
  <c r="D214" i="18"/>
  <c r="D213" i="18"/>
  <c r="D212" i="18"/>
  <c r="D210" i="18"/>
  <c r="D209" i="18"/>
  <c r="D208" i="18"/>
  <c r="C228" i="18"/>
  <c r="C227" i="18"/>
  <c r="C226" i="18"/>
  <c r="C224" i="18"/>
  <c r="C223" i="18"/>
  <c r="C222" i="18"/>
  <c r="C219" i="18"/>
  <c r="C218" i="18"/>
  <c r="C217" i="18"/>
  <c r="C216" i="18"/>
  <c r="C215" i="18"/>
  <c r="C214" i="18"/>
  <c r="C213" i="18"/>
  <c r="C212" i="18"/>
  <c r="C210" i="18"/>
  <c r="C209" i="18"/>
  <c r="C208" i="18"/>
  <c r="B228" i="18"/>
  <c r="B227" i="18"/>
  <c r="B226" i="18"/>
  <c r="B224" i="18"/>
  <c r="B223" i="18"/>
  <c r="B222" i="18"/>
  <c r="B219" i="18"/>
  <c r="B218" i="18"/>
  <c r="B217" i="18"/>
  <c r="B216" i="18"/>
  <c r="B215" i="18"/>
  <c r="B214" i="18"/>
  <c r="B213" i="18"/>
  <c r="B212" i="18"/>
  <c r="B210" i="18"/>
  <c r="B209" i="18"/>
  <c r="B208" i="18"/>
  <c r="C155" i="17"/>
  <c r="C154" i="17"/>
  <c r="B154" i="17"/>
  <c r="B155" i="17"/>
  <c r="B5" i="17"/>
  <c r="B6" i="17"/>
  <c r="B7" i="17"/>
  <c r="B8" i="17"/>
  <c r="A55" i="24" l="1"/>
  <c r="A56" i="24"/>
  <c r="A57" i="24"/>
  <c r="A58" i="24"/>
  <c r="A36" i="24" l="1"/>
  <c r="A37" i="24"/>
  <c r="A38" i="24"/>
  <c r="A39" i="24"/>
  <c r="A40" i="24"/>
  <c r="A41" i="24"/>
  <c r="A16" i="24"/>
  <c r="A17" i="24"/>
  <c r="A18" i="24"/>
  <c r="A19" i="24"/>
  <c r="A20" i="24"/>
  <c r="A21" i="24"/>
  <c r="A22" i="24"/>
  <c r="A23" i="24"/>
  <c r="A24" i="24"/>
  <c r="A25" i="24"/>
  <c r="A15" i="24"/>
  <c r="A51" i="24"/>
  <c r="A52" i="24"/>
  <c r="A53" i="24"/>
  <c r="A54" i="24"/>
  <c r="A50" i="24"/>
  <c r="A32" i="24"/>
  <c r="A33" i="24"/>
  <c r="A34" i="24"/>
  <c r="A35" i="24"/>
  <c r="A12" i="24"/>
  <c r="H20" i="23"/>
  <c r="H21" i="23"/>
  <c r="H22" i="23"/>
  <c r="H35" i="23"/>
  <c r="H36" i="23"/>
  <c r="H53" i="23"/>
  <c r="H54" i="23"/>
  <c r="H55" i="23"/>
  <c r="H56" i="23"/>
  <c r="H57" i="23"/>
  <c r="H58" i="23"/>
  <c r="H59" i="23"/>
  <c r="H69" i="23"/>
  <c r="H70" i="23"/>
  <c r="H71" i="23"/>
  <c r="H72" i="23"/>
  <c r="H73" i="23"/>
  <c r="H74" i="23"/>
  <c r="H75" i="23"/>
  <c r="H76" i="23"/>
  <c r="H77" i="23"/>
  <c r="H78" i="23"/>
  <c r="H79" i="23"/>
  <c r="H80" i="23"/>
  <c r="H81" i="23"/>
  <c r="H82" i="23"/>
  <c r="H83" i="23"/>
  <c r="H84" i="23"/>
  <c r="H108" i="23"/>
  <c r="H109" i="23"/>
  <c r="H121" i="23"/>
  <c r="H122" i="23"/>
  <c r="H123" i="23"/>
  <c r="H124" i="23"/>
  <c r="H125" i="23"/>
  <c r="H126" i="23"/>
  <c r="H127" i="23"/>
  <c r="H128" i="23"/>
  <c r="H129" i="23"/>
  <c r="H130" i="23"/>
  <c r="H131" i="23"/>
  <c r="H132" i="23"/>
  <c r="H133" i="23"/>
  <c r="H134" i="23"/>
  <c r="H135" i="23"/>
  <c r="H136" i="23"/>
  <c r="H137" i="23"/>
  <c r="H138" i="23"/>
  <c r="H139" i="23"/>
  <c r="H140" i="23"/>
  <c r="H141" i="23"/>
  <c r="H142" i="23"/>
  <c r="H143" i="23"/>
  <c r="H144" i="23"/>
  <c r="H145" i="23"/>
  <c r="H146" i="23"/>
  <c r="H147" i="23"/>
  <c r="H148" i="23"/>
  <c r="H149" i="23"/>
  <c r="H150" i="23"/>
  <c r="H151" i="23"/>
  <c r="H152" i="23"/>
  <c r="H153" i="23"/>
  <c r="H154" i="23"/>
  <c r="H155" i="23"/>
  <c r="H156" i="23"/>
  <c r="H157" i="23"/>
  <c r="H168" i="23"/>
  <c r="H172" i="23"/>
  <c r="H173" i="23"/>
  <c r="H174" i="23"/>
  <c r="H175" i="23"/>
  <c r="H176" i="23"/>
  <c r="H177" i="23"/>
  <c r="H178" i="23"/>
  <c r="H179" i="23"/>
  <c r="H180" i="23"/>
  <c r="H181" i="23"/>
  <c r="H182" i="23"/>
  <c r="H183" i="23"/>
  <c r="H184" i="23"/>
  <c r="H185" i="23"/>
  <c r="H186" i="23"/>
  <c r="H187" i="23"/>
  <c r="H196" i="23"/>
  <c r="H207" i="23"/>
  <c r="H229" i="23"/>
  <c r="H243" i="23"/>
  <c r="H244" i="23"/>
  <c r="H277" i="23"/>
  <c r="H278" i="23"/>
  <c r="H295" i="23"/>
  <c r="H296" i="23"/>
  <c r="H297" i="23"/>
  <c r="H298" i="23"/>
  <c r="H299" i="23"/>
  <c r="H300" i="23"/>
  <c r="H301" i="23"/>
  <c r="H302" i="23"/>
  <c r="H303" i="23"/>
  <c r="H304" i="23"/>
  <c r="H305" i="23"/>
  <c r="H306" i="23"/>
  <c r="H318" i="23"/>
  <c r="H319" i="23"/>
  <c r="H320" i="23"/>
  <c r="H321" i="23"/>
  <c r="H322" i="23"/>
  <c r="H323" i="23"/>
  <c r="H324" i="23"/>
  <c r="H325" i="23"/>
  <c r="H326" i="23"/>
  <c r="H327" i="23"/>
  <c r="H328" i="23"/>
  <c r="H329" i="23"/>
  <c r="H330" i="23"/>
  <c r="H331" i="23"/>
  <c r="H332" i="23"/>
  <c r="H333" i="23"/>
  <c r="H334" i="23"/>
  <c r="H335" i="23"/>
  <c r="H336" i="23"/>
  <c r="H337" i="23"/>
  <c r="H338" i="23"/>
  <c r="H376" i="23"/>
  <c r="H377" i="23"/>
  <c r="H378" i="23"/>
  <c r="H379" i="23"/>
  <c r="H380" i="23"/>
  <c r="H381" i="23"/>
  <c r="H382" i="23"/>
  <c r="H383" i="23"/>
  <c r="H384" i="23"/>
  <c r="H385" i="23"/>
  <c r="H386" i="23"/>
  <c r="H387" i="23"/>
  <c r="H388" i="23"/>
  <c r="H389" i="23"/>
  <c r="H390" i="23"/>
  <c r="H391" i="23"/>
  <c r="H392" i="23"/>
  <c r="H393" i="23"/>
  <c r="H394" i="23"/>
  <c r="H395" i="23"/>
  <c r="H396" i="23"/>
  <c r="H397" i="23"/>
  <c r="H398" i="23"/>
  <c r="H399" i="23"/>
  <c r="H400" i="23"/>
  <c r="H401" i="23"/>
  <c r="H402" i="23"/>
  <c r="H403" i="23"/>
  <c r="H404" i="23"/>
  <c r="H405" i="23"/>
  <c r="H406" i="23"/>
  <c r="H407" i="23"/>
  <c r="H408" i="23"/>
  <c r="H409" i="23"/>
  <c r="H410" i="23"/>
  <c r="H411" i="23"/>
  <c r="H412" i="23"/>
  <c r="H413" i="23"/>
  <c r="H414" i="23"/>
  <c r="H415" i="23"/>
  <c r="H416" i="23"/>
  <c r="H417" i="23"/>
  <c r="H418" i="23"/>
  <c r="H419" i="23"/>
  <c r="H420" i="23"/>
  <c r="H421" i="23"/>
  <c r="H422" i="23"/>
  <c r="H423" i="23"/>
  <c r="H424" i="23"/>
  <c r="H425" i="23"/>
  <c r="H426" i="23"/>
  <c r="H427" i="23"/>
  <c r="H428" i="23"/>
  <c r="H429" i="23"/>
  <c r="H430" i="23"/>
  <c r="H431" i="23"/>
  <c r="H432" i="23"/>
  <c r="H433" i="23"/>
  <c r="H434" i="23"/>
  <c r="H435" i="23"/>
  <c r="H436" i="23"/>
  <c r="H437" i="23"/>
  <c r="H438" i="23"/>
  <c r="H439" i="23"/>
  <c r="H440" i="23"/>
  <c r="H441" i="23"/>
  <c r="H442" i="23"/>
  <c r="H443" i="23"/>
  <c r="H444" i="23"/>
  <c r="H445" i="23"/>
  <c r="H446" i="23"/>
  <c r="H447" i="23"/>
  <c r="H448" i="23"/>
  <c r="H449" i="23"/>
  <c r="H450" i="23"/>
  <c r="H451" i="23"/>
  <c r="H452" i="23"/>
  <c r="H453" i="23"/>
  <c r="H454" i="23"/>
  <c r="H455" i="23"/>
  <c r="H456" i="23"/>
  <c r="H457" i="23"/>
  <c r="H458" i="23"/>
  <c r="H459" i="23"/>
  <c r="H460" i="23"/>
  <c r="H461" i="23"/>
  <c r="H462" i="23"/>
  <c r="H463" i="23"/>
  <c r="H464" i="23"/>
  <c r="H465" i="23"/>
  <c r="H466" i="23"/>
  <c r="H467" i="23"/>
  <c r="H468" i="23"/>
  <c r="H469" i="23"/>
  <c r="H470" i="23"/>
  <c r="H471" i="23"/>
  <c r="H472" i="23"/>
  <c r="H473" i="23"/>
  <c r="H474" i="23"/>
  <c r="H475" i="23"/>
  <c r="H476" i="23"/>
  <c r="H477" i="23"/>
  <c r="H478" i="23"/>
  <c r="H479" i="23"/>
  <c r="H480" i="23"/>
  <c r="H481" i="23"/>
  <c r="H482" i="23"/>
  <c r="G3" i="18"/>
  <c r="B34" i="25"/>
  <c r="B42" i="24" s="1"/>
  <c r="C33" i="26"/>
  <c r="D33" i="26"/>
  <c r="E33" i="26"/>
  <c r="F33" i="26"/>
  <c r="G33" i="26"/>
  <c r="B33" i="26"/>
  <c r="C51" i="26"/>
  <c r="D51" i="26"/>
  <c r="E51" i="26"/>
  <c r="F51" i="26"/>
  <c r="G51" i="26"/>
  <c r="B51" i="26"/>
  <c r="H48" i="26"/>
  <c r="H47" i="26"/>
  <c r="H46" i="26"/>
  <c r="H45" i="26"/>
  <c r="H44" i="26"/>
  <c r="H43" i="26"/>
  <c r="H42" i="26"/>
  <c r="H41" i="26"/>
  <c r="H40" i="26"/>
  <c r="H39" i="26"/>
  <c r="H38" i="26"/>
  <c r="H37" i="26"/>
  <c r="H32" i="26"/>
  <c r="H31" i="26"/>
  <c r="H30" i="26"/>
  <c r="H29" i="26"/>
  <c r="H28" i="26"/>
  <c r="H27" i="26"/>
  <c r="H26" i="26"/>
  <c r="H25" i="26"/>
  <c r="H24" i="26"/>
  <c r="H23" i="26"/>
  <c r="H22" i="26"/>
  <c r="H21" i="26"/>
  <c r="H20" i="26"/>
  <c r="H19" i="26"/>
  <c r="C51" i="25"/>
  <c r="C59" i="24" s="1"/>
  <c r="D51" i="25"/>
  <c r="E51" i="25"/>
  <c r="E59" i="24" s="1"/>
  <c r="F51" i="25"/>
  <c r="G51" i="25"/>
  <c r="B51" i="25"/>
  <c r="B59" i="24" s="1"/>
  <c r="H26" i="25"/>
  <c r="H38" i="24" s="1"/>
  <c r="H27" i="25"/>
  <c r="H28" i="25"/>
  <c r="H40" i="24" s="1"/>
  <c r="H29" i="25"/>
  <c r="H30" i="25"/>
  <c r="H31" i="25"/>
  <c r="H32" i="25"/>
  <c r="H33" i="25"/>
  <c r="H16" i="24"/>
  <c r="H17" i="24"/>
  <c r="H18" i="24"/>
  <c r="H19" i="24"/>
  <c r="H20" i="24"/>
  <c r="H21" i="24"/>
  <c r="H22" i="24"/>
  <c r="H23" i="24"/>
  <c r="H24" i="24"/>
  <c r="H25" i="24"/>
  <c r="H15" i="24"/>
  <c r="C34" i="25"/>
  <c r="D34" i="25"/>
  <c r="E34" i="25"/>
  <c r="F34" i="25"/>
  <c r="G34" i="25"/>
  <c r="H50" i="25"/>
  <c r="H49" i="25"/>
  <c r="H48" i="25"/>
  <c r="H47" i="25"/>
  <c r="H46" i="25"/>
  <c r="H45" i="25"/>
  <c r="H56" i="24" s="1"/>
  <c r="H44" i="25"/>
  <c r="H55" i="24" s="1"/>
  <c r="H43" i="25"/>
  <c r="H54" i="24" s="1"/>
  <c r="H42" i="25"/>
  <c r="H53" i="24" s="1"/>
  <c r="H41" i="25"/>
  <c r="H52" i="24" s="1"/>
  <c r="H40" i="25"/>
  <c r="H51" i="24" s="1"/>
  <c r="H39" i="25"/>
  <c r="H50" i="24" s="1"/>
  <c r="H25" i="25"/>
  <c r="H37" i="24" s="1"/>
  <c r="H24" i="25"/>
  <c r="H36" i="24" s="1"/>
  <c r="H23" i="25"/>
  <c r="H35" i="24" s="1"/>
  <c r="H22" i="25"/>
  <c r="H34" i="24" s="1"/>
  <c r="H21" i="25"/>
  <c r="H33" i="24" s="1"/>
  <c r="H20" i="25"/>
  <c r="H32" i="24" s="1"/>
  <c r="D26" i="24"/>
  <c r="E26" i="24"/>
  <c r="G26" i="24"/>
  <c r="F26" i="24"/>
  <c r="G15" i="26"/>
  <c r="F15" i="26"/>
  <c r="E15" i="26"/>
  <c r="D15" i="26"/>
  <c r="C15" i="26"/>
  <c r="B15" i="26"/>
  <c r="H14" i="26"/>
  <c r="H13" i="26"/>
  <c r="H12" i="26"/>
  <c r="H11" i="26"/>
  <c r="H10" i="26"/>
  <c r="H9" i="26"/>
  <c r="H8" i="26"/>
  <c r="H7" i="26"/>
  <c r="H6" i="26"/>
  <c r="H5" i="26"/>
  <c r="H4" i="26"/>
  <c r="F42" i="24" l="1"/>
  <c r="G42" i="24"/>
  <c r="H57" i="24"/>
  <c r="D42" i="24"/>
  <c r="H58" i="24"/>
  <c r="H41" i="24"/>
  <c r="H39" i="24"/>
  <c r="E42" i="24"/>
  <c r="C42" i="24"/>
  <c r="F59" i="24"/>
  <c r="D59" i="24"/>
  <c r="G59" i="24"/>
  <c r="H51" i="26"/>
  <c r="H51" i="25"/>
  <c r="H34" i="25"/>
  <c r="H33" i="26"/>
  <c r="H15" i="26"/>
  <c r="G15" i="25" l="1"/>
  <c r="F15" i="25"/>
  <c r="E15" i="25"/>
  <c r="D15" i="25"/>
  <c r="C15" i="25"/>
  <c r="B15" i="25"/>
  <c r="H14" i="25"/>
  <c r="H13" i="25"/>
  <c r="H12" i="25"/>
  <c r="H11" i="25"/>
  <c r="H10" i="25"/>
  <c r="H9" i="25"/>
  <c r="H8" i="25"/>
  <c r="H7" i="25"/>
  <c r="H6" i="25"/>
  <c r="H5" i="25"/>
  <c r="H4" i="25"/>
  <c r="H15" i="25" l="1"/>
  <c r="B5" i="19"/>
  <c r="C5" i="19"/>
  <c r="D5" i="19"/>
  <c r="E5" i="19"/>
  <c r="F5" i="19"/>
  <c r="B6" i="19"/>
  <c r="C6" i="19"/>
  <c r="D6" i="19"/>
  <c r="E6" i="19"/>
  <c r="F6" i="19"/>
  <c r="B7" i="19"/>
  <c r="C7" i="19"/>
  <c r="D7" i="19"/>
  <c r="E7" i="19"/>
  <c r="F7" i="19"/>
  <c r="B8" i="19"/>
  <c r="C8" i="19"/>
  <c r="D8" i="19"/>
  <c r="E8" i="19"/>
  <c r="F8" i="19"/>
  <c r="B9" i="19"/>
  <c r="C9" i="19"/>
  <c r="D9" i="19"/>
  <c r="E9" i="19"/>
  <c r="F9" i="19"/>
  <c r="B10" i="19"/>
  <c r="C10" i="19"/>
  <c r="D10" i="19"/>
  <c r="E10" i="19"/>
  <c r="F10" i="19"/>
  <c r="B11" i="19"/>
  <c r="C11" i="19"/>
  <c r="D11" i="19"/>
  <c r="E11" i="19"/>
  <c r="F11" i="19"/>
  <c r="B12" i="19"/>
  <c r="C12" i="19"/>
  <c r="D12" i="19"/>
  <c r="E12" i="19"/>
  <c r="F12" i="19"/>
  <c r="B13" i="19"/>
  <c r="C13" i="19"/>
  <c r="D13" i="19"/>
  <c r="E13" i="19"/>
  <c r="F13" i="19"/>
  <c r="B14" i="19"/>
  <c r="C14" i="19"/>
  <c r="D14" i="19"/>
  <c r="E14" i="19"/>
  <c r="F14" i="19"/>
  <c r="B15" i="19"/>
  <c r="C15" i="19"/>
  <c r="D15" i="19"/>
  <c r="E15" i="19"/>
  <c r="F15" i="19"/>
  <c r="B16" i="19"/>
  <c r="C16" i="19"/>
  <c r="D16" i="19"/>
  <c r="E16" i="19"/>
  <c r="F16" i="19"/>
  <c r="B17" i="19"/>
  <c r="C17" i="19"/>
  <c r="D17" i="19"/>
  <c r="E17" i="19"/>
  <c r="F17" i="19"/>
  <c r="B18" i="19"/>
  <c r="C18" i="19"/>
  <c r="D18" i="19"/>
  <c r="E18" i="19"/>
  <c r="F18" i="19"/>
  <c r="B19" i="19"/>
  <c r="C19" i="19"/>
  <c r="D19" i="19"/>
  <c r="E19" i="19"/>
  <c r="F19" i="19"/>
  <c r="B20" i="19"/>
  <c r="C20" i="19"/>
  <c r="D20" i="19"/>
  <c r="E20" i="19"/>
  <c r="F20" i="19"/>
  <c r="B21" i="19"/>
  <c r="C21" i="19"/>
  <c r="D21" i="19"/>
  <c r="E21" i="19"/>
  <c r="F21" i="19"/>
  <c r="B22" i="19"/>
  <c r="C22" i="19"/>
  <c r="D22" i="19"/>
  <c r="E22" i="19"/>
  <c r="F22" i="19"/>
  <c r="B23" i="19"/>
  <c r="C23" i="19"/>
  <c r="D23" i="19"/>
  <c r="E23" i="19"/>
  <c r="F23" i="19"/>
  <c r="B24" i="19"/>
  <c r="C24" i="19"/>
  <c r="D24" i="19"/>
  <c r="E24" i="19"/>
  <c r="F24" i="19"/>
  <c r="B25" i="19"/>
  <c r="C25" i="19"/>
  <c r="D25" i="19"/>
  <c r="E25" i="19"/>
  <c r="F25" i="19"/>
  <c r="B26" i="19"/>
  <c r="C26" i="19"/>
  <c r="D26" i="19"/>
  <c r="E26" i="19"/>
  <c r="F26" i="19"/>
  <c r="B27" i="19"/>
  <c r="C27" i="19"/>
  <c r="D27" i="19"/>
  <c r="E27" i="19"/>
  <c r="F27" i="19"/>
  <c r="B28" i="19"/>
  <c r="C28" i="19"/>
  <c r="D28" i="19"/>
  <c r="E28" i="19"/>
  <c r="F28" i="19"/>
  <c r="B29" i="19"/>
  <c r="C29" i="19"/>
  <c r="D29" i="19"/>
  <c r="E29" i="19"/>
  <c r="F29" i="19"/>
  <c r="B30" i="19"/>
  <c r="C30" i="19"/>
  <c r="D30" i="19"/>
  <c r="E30" i="19"/>
  <c r="F30" i="19"/>
  <c r="B31" i="19"/>
  <c r="C31" i="19"/>
  <c r="D31" i="19"/>
  <c r="E31" i="19"/>
  <c r="F31" i="19"/>
  <c r="B32" i="19"/>
  <c r="C32" i="19"/>
  <c r="D32" i="19"/>
  <c r="E32" i="19"/>
  <c r="F32" i="19"/>
  <c r="B33" i="19"/>
  <c r="C33" i="19"/>
  <c r="D33" i="19"/>
  <c r="E33" i="19"/>
  <c r="F33" i="19"/>
  <c r="B34" i="19"/>
  <c r="C34" i="19"/>
  <c r="D34" i="19"/>
  <c r="E34" i="19"/>
  <c r="F34" i="19"/>
  <c r="B35" i="19"/>
  <c r="C35" i="19"/>
  <c r="D35" i="19"/>
  <c r="E35" i="19"/>
  <c r="F35" i="19"/>
  <c r="B36" i="19"/>
  <c r="C36" i="19"/>
  <c r="D36" i="19"/>
  <c r="E36" i="19"/>
  <c r="F36" i="19"/>
  <c r="B37" i="19"/>
  <c r="C37" i="19"/>
  <c r="D37" i="19"/>
  <c r="E37" i="19"/>
  <c r="F37" i="19"/>
  <c r="B38" i="19"/>
  <c r="C38" i="19"/>
  <c r="D38" i="19"/>
  <c r="E38" i="19"/>
  <c r="F38" i="19"/>
  <c r="B39" i="19"/>
  <c r="C39" i="19"/>
  <c r="D39" i="19"/>
  <c r="E39" i="19"/>
  <c r="F39" i="19"/>
  <c r="B40" i="19"/>
  <c r="C40" i="19"/>
  <c r="D40" i="19"/>
  <c r="E40" i="19"/>
  <c r="F40" i="19"/>
  <c r="B41" i="19"/>
  <c r="C41" i="19"/>
  <c r="D41" i="19"/>
  <c r="E41" i="19"/>
  <c r="F41" i="19"/>
  <c r="B42" i="19"/>
  <c r="C42" i="19"/>
  <c r="D42" i="19"/>
  <c r="E42" i="19"/>
  <c r="F42" i="19"/>
  <c r="B43" i="19"/>
  <c r="C43" i="19"/>
  <c r="D43" i="19"/>
  <c r="E43" i="19"/>
  <c r="F43" i="19"/>
  <c r="B44" i="19"/>
  <c r="C44" i="19"/>
  <c r="D44" i="19"/>
  <c r="E44" i="19"/>
  <c r="F44" i="19"/>
  <c r="B45" i="19"/>
  <c r="C45" i="19"/>
  <c r="D45" i="19"/>
  <c r="E45" i="19"/>
  <c r="F45" i="19"/>
  <c r="B46" i="19"/>
  <c r="C46" i="19"/>
  <c r="D46" i="19"/>
  <c r="E46" i="19"/>
  <c r="F46" i="19"/>
  <c r="B47" i="19"/>
  <c r="C47" i="19"/>
  <c r="D47" i="19"/>
  <c r="E47" i="19"/>
  <c r="F47" i="19"/>
  <c r="B48" i="19"/>
  <c r="C48" i="19"/>
  <c r="D48" i="19"/>
  <c r="E48" i="19"/>
  <c r="F48" i="19"/>
  <c r="B49" i="19"/>
  <c r="C49" i="19"/>
  <c r="D49" i="19"/>
  <c r="E49" i="19"/>
  <c r="F49" i="19"/>
  <c r="B50" i="19"/>
  <c r="C50" i="19"/>
  <c r="D50" i="19"/>
  <c r="E50" i="19"/>
  <c r="F50" i="19"/>
  <c r="B51" i="19"/>
  <c r="C51" i="19"/>
  <c r="D51" i="19"/>
  <c r="E51" i="19"/>
  <c r="F51" i="19"/>
  <c r="B52" i="19"/>
  <c r="C52" i="19"/>
  <c r="D52" i="19"/>
  <c r="E52" i="19"/>
  <c r="F52" i="19"/>
  <c r="B53" i="19"/>
  <c r="C53" i="19"/>
  <c r="D53" i="19"/>
  <c r="E53" i="19"/>
  <c r="F53" i="19"/>
  <c r="B54" i="19"/>
  <c r="C54" i="19"/>
  <c r="D54" i="19"/>
  <c r="E54" i="19"/>
  <c r="F54" i="19"/>
  <c r="B55" i="19"/>
  <c r="C55" i="19"/>
  <c r="D55" i="19"/>
  <c r="E55" i="19"/>
  <c r="F55" i="19"/>
  <c r="B56" i="19"/>
  <c r="C56" i="19"/>
  <c r="D56" i="19"/>
  <c r="E56" i="19"/>
  <c r="F56" i="19"/>
  <c r="B57" i="19"/>
  <c r="C57" i="19"/>
  <c r="D57" i="19"/>
  <c r="E57" i="19"/>
  <c r="F57" i="19"/>
  <c r="B58" i="19"/>
  <c r="C58" i="19"/>
  <c r="D58" i="19"/>
  <c r="E58" i="19"/>
  <c r="F58" i="19"/>
  <c r="B59" i="19"/>
  <c r="C59" i="19"/>
  <c r="D59" i="19"/>
  <c r="E59" i="19"/>
  <c r="F59" i="19"/>
  <c r="B60" i="19"/>
  <c r="C60" i="19"/>
  <c r="D60" i="19"/>
  <c r="E60" i="19"/>
  <c r="F60" i="19"/>
  <c r="B61" i="19"/>
  <c r="C61" i="19"/>
  <c r="D61" i="19"/>
  <c r="E61" i="19"/>
  <c r="F61" i="19"/>
  <c r="B62" i="19"/>
  <c r="C62" i="19"/>
  <c r="D62" i="19"/>
  <c r="E62" i="19"/>
  <c r="F62" i="19"/>
  <c r="B63" i="19"/>
  <c r="C63" i="19"/>
  <c r="D63" i="19"/>
  <c r="E63" i="19"/>
  <c r="F63" i="19"/>
  <c r="B64" i="19"/>
  <c r="C64" i="19"/>
  <c r="D64" i="19"/>
  <c r="E64" i="19"/>
  <c r="F64" i="19"/>
  <c r="B65" i="19"/>
  <c r="C65" i="19"/>
  <c r="D65" i="19"/>
  <c r="E65" i="19"/>
  <c r="F65" i="19"/>
  <c r="B66" i="19"/>
  <c r="C66" i="19"/>
  <c r="D66" i="19"/>
  <c r="E66" i="19"/>
  <c r="F66" i="19"/>
  <c r="B67" i="19"/>
  <c r="C67" i="19"/>
  <c r="D67" i="19"/>
  <c r="E67" i="19"/>
  <c r="F67" i="19"/>
  <c r="B68" i="19"/>
  <c r="C68" i="19"/>
  <c r="D68" i="19"/>
  <c r="E68" i="19"/>
  <c r="F68" i="19"/>
  <c r="B69" i="19"/>
  <c r="C69" i="19"/>
  <c r="D69" i="19"/>
  <c r="E69" i="19"/>
  <c r="F69" i="19"/>
  <c r="B70" i="19"/>
  <c r="C70" i="19"/>
  <c r="D70" i="19"/>
  <c r="E70" i="19"/>
  <c r="F70" i="19"/>
  <c r="B71" i="19"/>
  <c r="C71" i="19"/>
  <c r="D71" i="19"/>
  <c r="E71" i="19"/>
  <c r="F71" i="19"/>
  <c r="B72" i="19"/>
  <c r="C72" i="19"/>
  <c r="D72" i="19"/>
  <c r="E72" i="19"/>
  <c r="F72" i="19"/>
  <c r="B73" i="19"/>
  <c r="C73" i="19"/>
  <c r="D73" i="19"/>
  <c r="E73" i="19"/>
  <c r="F73" i="19"/>
  <c r="B74" i="19"/>
  <c r="C74" i="19"/>
  <c r="D74" i="19"/>
  <c r="E74" i="19"/>
  <c r="F74" i="19"/>
  <c r="B75" i="19"/>
  <c r="C75" i="19"/>
  <c r="D75" i="19"/>
  <c r="E75" i="19"/>
  <c r="F75" i="19"/>
  <c r="B76" i="19"/>
  <c r="C76" i="19"/>
  <c r="D76" i="19"/>
  <c r="E76" i="19"/>
  <c r="F76" i="19"/>
  <c r="B77" i="19"/>
  <c r="C77" i="19"/>
  <c r="D77" i="19"/>
  <c r="E77" i="19"/>
  <c r="F77" i="19"/>
  <c r="B78" i="19"/>
  <c r="C78" i="19"/>
  <c r="D78" i="19"/>
  <c r="E78" i="19"/>
  <c r="F78" i="19"/>
  <c r="B79" i="19"/>
  <c r="C79" i="19"/>
  <c r="D79" i="19"/>
  <c r="E79" i="19"/>
  <c r="F79" i="19"/>
  <c r="B80" i="19"/>
  <c r="C80" i="19"/>
  <c r="D80" i="19"/>
  <c r="E80" i="19"/>
  <c r="F80" i="19"/>
  <c r="B81" i="19"/>
  <c r="C81" i="19"/>
  <c r="D81" i="19"/>
  <c r="E81" i="19"/>
  <c r="F81" i="19"/>
  <c r="B82" i="19"/>
  <c r="C82" i="19"/>
  <c r="D82" i="19"/>
  <c r="E82" i="19"/>
  <c r="F82" i="19"/>
  <c r="B83" i="19"/>
  <c r="C83" i="19"/>
  <c r="D83" i="19"/>
  <c r="E83" i="19"/>
  <c r="F83" i="19"/>
  <c r="B84" i="19"/>
  <c r="C84" i="19"/>
  <c r="D84" i="19"/>
  <c r="E84" i="19"/>
  <c r="F84" i="19"/>
  <c r="B85" i="19"/>
  <c r="C85" i="19"/>
  <c r="D85" i="19"/>
  <c r="E85" i="19"/>
  <c r="F85" i="19"/>
  <c r="B86" i="19"/>
  <c r="C86" i="19"/>
  <c r="D86" i="19"/>
  <c r="E86" i="19"/>
  <c r="F86" i="19"/>
  <c r="B87" i="19"/>
  <c r="C87" i="19"/>
  <c r="D87" i="19"/>
  <c r="E87" i="19"/>
  <c r="F87" i="19"/>
  <c r="B88" i="19"/>
  <c r="C88" i="19"/>
  <c r="D88" i="19"/>
  <c r="E88" i="19"/>
  <c r="F88" i="19"/>
  <c r="B89" i="19"/>
  <c r="C89" i="19"/>
  <c r="D89" i="19"/>
  <c r="E89" i="19"/>
  <c r="F89" i="19"/>
  <c r="B90" i="19"/>
  <c r="C90" i="19"/>
  <c r="D90" i="19"/>
  <c r="E90" i="19"/>
  <c r="F90" i="19"/>
  <c r="B91" i="19"/>
  <c r="C91" i="19"/>
  <c r="D91" i="19"/>
  <c r="E91" i="19"/>
  <c r="F91" i="19"/>
  <c r="B92" i="19"/>
  <c r="C92" i="19"/>
  <c r="D92" i="19"/>
  <c r="E92" i="19"/>
  <c r="F92" i="19"/>
  <c r="B93" i="19"/>
  <c r="C93" i="19"/>
  <c r="D93" i="19"/>
  <c r="E93" i="19"/>
  <c r="F93" i="19"/>
  <c r="B94" i="19"/>
  <c r="C94" i="19"/>
  <c r="D94" i="19"/>
  <c r="E94" i="19"/>
  <c r="F94" i="19"/>
  <c r="B95" i="19"/>
  <c r="C95" i="19"/>
  <c r="D95" i="19"/>
  <c r="E95" i="19"/>
  <c r="F95" i="19"/>
  <c r="B96" i="19"/>
  <c r="C96" i="19"/>
  <c r="D96" i="19"/>
  <c r="E96" i="19"/>
  <c r="F96" i="19"/>
  <c r="B97" i="19"/>
  <c r="C97" i="19"/>
  <c r="D97" i="19"/>
  <c r="E97" i="19"/>
  <c r="F97" i="19"/>
  <c r="B98" i="19"/>
  <c r="C98" i="19"/>
  <c r="D98" i="19"/>
  <c r="E98" i="19"/>
  <c r="F98" i="19"/>
  <c r="B99" i="19"/>
  <c r="C99" i="19"/>
  <c r="D99" i="19"/>
  <c r="E99" i="19"/>
  <c r="F99" i="19"/>
  <c r="B100" i="19"/>
  <c r="C100" i="19"/>
  <c r="D100" i="19"/>
  <c r="E100" i="19"/>
  <c r="F100" i="19"/>
  <c r="B101" i="19"/>
  <c r="C101" i="19"/>
  <c r="D101" i="19"/>
  <c r="E101" i="19"/>
  <c r="F101" i="19"/>
  <c r="B102" i="19"/>
  <c r="C102" i="19"/>
  <c r="D102" i="19"/>
  <c r="E102" i="19"/>
  <c r="F102" i="19"/>
  <c r="B103" i="19"/>
  <c r="C103" i="19"/>
  <c r="D103" i="19"/>
  <c r="E103" i="19"/>
  <c r="F103" i="19"/>
  <c r="B104" i="19"/>
  <c r="C104" i="19"/>
  <c r="D104" i="19"/>
  <c r="E104" i="19"/>
  <c r="F104" i="19"/>
  <c r="B105" i="19"/>
  <c r="C105" i="19"/>
  <c r="D105" i="19"/>
  <c r="E105" i="19"/>
  <c r="F105" i="19"/>
  <c r="B106" i="19"/>
  <c r="C106" i="19"/>
  <c r="D106" i="19"/>
  <c r="E106" i="19"/>
  <c r="F106" i="19"/>
  <c r="B107" i="19"/>
  <c r="C107" i="19"/>
  <c r="D107" i="19"/>
  <c r="E107" i="19"/>
  <c r="F107" i="19"/>
  <c r="B108" i="19"/>
  <c r="C108" i="19"/>
  <c r="D108" i="19"/>
  <c r="E108" i="19"/>
  <c r="F108" i="19"/>
  <c r="B109" i="19"/>
  <c r="C109" i="19"/>
  <c r="D109" i="19"/>
  <c r="E109" i="19"/>
  <c r="F109" i="19"/>
  <c r="B110" i="19"/>
  <c r="C110" i="19"/>
  <c r="D110" i="19"/>
  <c r="E110" i="19"/>
  <c r="F110" i="19"/>
  <c r="B111" i="19"/>
  <c r="C111" i="19"/>
  <c r="D111" i="19"/>
  <c r="E111" i="19"/>
  <c r="F111" i="19"/>
  <c r="B112" i="19"/>
  <c r="C112" i="19"/>
  <c r="D112" i="19"/>
  <c r="E112" i="19"/>
  <c r="F112" i="19"/>
  <c r="B113" i="19"/>
  <c r="C113" i="19"/>
  <c r="D113" i="19"/>
  <c r="E113" i="19"/>
  <c r="F113" i="19"/>
  <c r="B114" i="19"/>
  <c r="C114" i="19"/>
  <c r="D114" i="19"/>
  <c r="E114" i="19"/>
  <c r="F114" i="19"/>
  <c r="B115" i="19"/>
  <c r="C115" i="19"/>
  <c r="D115" i="19"/>
  <c r="E115" i="19"/>
  <c r="F115" i="19"/>
  <c r="B116" i="19"/>
  <c r="C116" i="19"/>
  <c r="D116" i="19"/>
  <c r="E116" i="19"/>
  <c r="F116" i="19"/>
  <c r="B117" i="19"/>
  <c r="C117" i="19"/>
  <c r="D117" i="19"/>
  <c r="E117" i="19"/>
  <c r="F117" i="19"/>
  <c r="B118" i="19"/>
  <c r="C118" i="19"/>
  <c r="D118" i="19"/>
  <c r="E118" i="19"/>
  <c r="F118" i="19"/>
  <c r="B119" i="19"/>
  <c r="C119" i="19"/>
  <c r="D119" i="19"/>
  <c r="E119" i="19"/>
  <c r="F119" i="19"/>
  <c r="B120" i="19"/>
  <c r="C120" i="19"/>
  <c r="D120" i="19"/>
  <c r="E120" i="19"/>
  <c r="F120" i="19"/>
  <c r="B121" i="19"/>
  <c r="C121" i="19"/>
  <c r="D121" i="19"/>
  <c r="E121" i="19"/>
  <c r="F121" i="19"/>
  <c r="B122" i="19"/>
  <c r="C122" i="19"/>
  <c r="D122" i="19"/>
  <c r="E122" i="19"/>
  <c r="F122" i="19"/>
  <c r="B123" i="19"/>
  <c r="C123" i="19"/>
  <c r="D123" i="19"/>
  <c r="E123" i="19"/>
  <c r="F123" i="19"/>
  <c r="B124" i="19"/>
  <c r="C124" i="19"/>
  <c r="D124" i="19"/>
  <c r="E124" i="19"/>
  <c r="F124" i="19"/>
  <c r="B125" i="19"/>
  <c r="C125" i="19"/>
  <c r="D125" i="19"/>
  <c r="E125" i="19"/>
  <c r="F125" i="19"/>
  <c r="B126" i="19"/>
  <c r="C126" i="19"/>
  <c r="D126" i="19"/>
  <c r="E126" i="19"/>
  <c r="F126" i="19"/>
  <c r="B127" i="19"/>
  <c r="C127" i="19"/>
  <c r="D127" i="19"/>
  <c r="E127" i="19"/>
  <c r="F127" i="19"/>
  <c r="B128" i="19"/>
  <c r="C128" i="19"/>
  <c r="D128" i="19"/>
  <c r="E128" i="19"/>
  <c r="F128" i="19"/>
  <c r="B129" i="19"/>
  <c r="C129" i="19"/>
  <c r="D129" i="19"/>
  <c r="E129" i="19"/>
  <c r="F129" i="19"/>
  <c r="B130" i="19"/>
  <c r="C130" i="19"/>
  <c r="D130" i="19"/>
  <c r="E130" i="19"/>
  <c r="F130" i="19"/>
  <c r="B131" i="19"/>
  <c r="C131" i="19"/>
  <c r="D131" i="19"/>
  <c r="E131" i="19"/>
  <c r="F131" i="19"/>
  <c r="B132" i="19"/>
  <c r="C132" i="19"/>
  <c r="D132" i="19"/>
  <c r="E132" i="19"/>
  <c r="F132" i="19"/>
  <c r="B133" i="19"/>
  <c r="C133" i="19"/>
  <c r="D133" i="19"/>
  <c r="E133" i="19"/>
  <c r="F133" i="19"/>
  <c r="B134" i="19"/>
  <c r="C134" i="19"/>
  <c r="D134" i="19"/>
  <c r="E134" i="19"/>
  <c r="F134" i="19"/>
  <c r="B135" i="19"/>
  <c r="C135" i="19"/>
  <c r="D135" i="19"/>
  <c r="E135" i="19"/>
  <c r="F135" i="19"/>
  <c r="B136" i="19"/>
  <c r="C136" i="19"/>
  <c r="D136" i="19"/>
  <c r="E136" i="19"/>
  <c r="F136" i="19"/>
  <c r="B137" i="19"/>
  <c r="C137" i="19"/>
  <c r="D137" i="19"/>
  <c r="E137" i="19"/>
  <c r="F137" i="19"/>
  <c r="B138" i="19"/>
  <c r="C138" i="19"/>
  <c r="D138" i="19"/>
  <c r="E138" i="19"/>
  <c r="F138" i="19"/>
  <c r="B139" i="19"/>
  <c r="C139" i="19"/>
  <c r="D139" i="19"/>
  <c r="E139" i="19"/>
  <c r="F139" i="19"/>
  <c r="B140" i="19"/>
  <c r="C140" i="19"/>
  <c r="D140" i="19"/>
  <c r="E140" i="19"/>
  <c r="F140" i="19"/>
  <c r="B141" i="19"/>
  <c r="C141" i="19"/>
  <c r="D141" i="19"/>
  <c r="E141" i="19"/>
  <c r="F141" i="19"/>
  <c r="B142" i="19"/>
  <c r="C142" i="19"/>
  <c r="D142" i="19"/>
  <c r="E142" i="19"/>
  <c r="F142" i="19"/>
  <c r="B143" i="19"/>
  <c r="C143" i="19"/>
  <c r="D143" i="19"/>
  <c r="E143" i="19"/>
  <c r="F143" i="19"/>
  <c r="B144" i="19"/>
  <c r="C144" i="19"/>
  <c r="D144" i="19"/>
  <c r="E144" i="19"/>
  <c r="F144" i="19"/>
  <c r="B145" i="19"/>
  <c r="C145" i="19"/>
  <c r="D145" i="19"/>
  <c r="E145" i="19"/>
  <c r="F145" i="19"/>
  <c r="B146" i="19"/>
  <c r="C146" i="19"/>
  <c r="D146" i="19"/>
  <c r="E146" i="19"/>
  <c r="F146" i="19"/>
  <c r="B147" i="19"/>
  <c r="C147" i="19"/>
  <c r="D147" i="19"/>
  <c r="E147" i="19"/>
  <c r="F147" i="19"/>
  <c r="B148" i="19"/>
  <c r="C148" i="19"/>
  <c r="D148" i="19"/>
  <c r="E148" i="19"/>
  <c r="F148" i="19"/>
  <c r="B149" i="19"/>
  <c r="C149" i="19"/>
  <c r="D149" i="19"/>
  <c r="E149" i="19"/>
  <c r="F149" i="19"/>
  <c r="B150" i="19"/>
  <c r="C150" i="19"/>
  <c r="D150" i="19"/>
  <c r="E150" i="19"/>
  <c r="F150" i="19"/>
  <c r="B151" i="19"/>
  <c r="C151" i="19"/>
  <c r="D151" i="19"/>
  <c r="E151" i="19"/>
  <c r="F151" i="19"/>
  <c r="B152" i="19"/>
  <c r="C152" i="19"/>
  <c r="D152" i="19"/>
  <c r="E152" i="19"/>
  <c r="F152" i="19"/>
  <c r="B153" i="19"/>
  <c r="C153" i="19"/>
  <c r="D153" i="19"/>
  <c r="E153" i="19"/>
  <c r="F153" i="19"/>
  <c r="B154" i="19"/>
  <c r="C154" i="19"/>
  <c r="D154" i="19"/>
  <c r="E154" i="19"/>
  <c r="F154" i="19"/>
  <c r="B155" i="19"/>
  <c r="C155" i="19"/>
  <c r="D155" i="19"/>
  <c r="E155" i="19"/>
  <c r="F155" i="19"/>
  <c r="B156" i="19"/>
  <c r="C156" i="19"/>
  <c r="D156" i="19"/>
  <c r="E156" i="19"/>
  <c r="F156" i="19"/>
  <c r="B157" i="19"/>
  <c r="C157" i="19"/>
  <c r="D157" i="19"/>
  <c r="E157" i="19"/>
  <c r="F157" i="19"/>
  <c r="B158" i="19"/>
  <c r="C158" i="19"/>
  <c r="D158" i="19"/>
  <c r="E158" i="19"/>
  <c r="F158" i="19"/>
  <c r="B159" i="19"/>
  <c r="C159" i="19"/>
  <c r="D159" i="19"/>
  <c r="E159" i="19"/>
  <c r="F159" i="19"/>
  <c r="B160" i="19"/>
  <c r="C160" i="19"/>
  <c r="D160" i="19"/>
  <c r="E160" i="19"/>
  <c r="F160" i="19"/>
  <c r="B161" i="19"/>
  <c r="C161" i="19"/>
  <c r="D161" i="19"/>
  <c r="E161" i="19"/>
  <c r="F161" i="19"/>
  <c r="B162" i="19"/>
  <c r="C162" i="19"/>
  <c r="D162" i="19"/>
  <c r="E162" i="19"/>
  <c r="F162" i="19"/>
  <c r="B163" i="19"/>
  <c r="C163" i="19"/>
  <c r="D163" i="19"/>
  <c r="E163" i="19"/>
  <c r="F163" i="19"/>
  <c r="B164" i="19"/>
  <c r="C164" i="19"/>
  <c r="D164" i="19"/>
  <c r="E164" i="19"/>
  <c r="F164" i="19"/>
  <c r="B165" i="19"/>
  <c r="C165" i="19"/>
  <c r="D165" i="19"/>
  <c r="E165" i="19"/>
  <c r="F165" i="19"/>
  <c r="B166" i="19"/>
  <c r="C166" i="19"/>
  <c r="D166" i="19"/>
  <c r="E166" i="19"/>
  <c r="F166" i="19"/>
  <c r="B167" i="19"/>
  <c r="C167" i="19"/>
  <c r="D167" i="19"/>
  <c r="E167" i="19"/>
  <c r="F167" i="19"/>
  <c r="B168" i="19"/>
  <c r="C168" i="19"/>
  <c r="D168" i="19"/>
  <c r="E168" i="19"/>
  <c r="F168" i="19"/>
  <c r="B169" i="19"/>
  <c r="C169" i="19"/>
  <c r="D169" i="19"/>
  <c r="E169" i="19"/>
  <c r="F169" i="19"/>
  <c r="B170" i="19"/>
  <c r="C170" i="19"/>
  <c r="D170" i="19"/>
  <c r="E170" i="19"/>
  <c r="F170" i="19"/>
  <c r="B171" i="19"/>
  <c r="C171" i="19"/>
  <c r="D171" i="19"/>
  <c r="E171" i="19"/>
  <c r="F171" i="19"/>
  <c r="B172" i="19"/>
  <c r="C172" i="19"/>
  <c r="D172" i="19"/>
  <c r="E172" i="19"/>
  <c r="F172" i="19"/>
  <c r="B173" i="19"/>
  <c r="C173" i="19"/>
  <c r="D173" i="19"/>
  <c r="E173" i="19"/>
  <c r="F173" i="19"/>
  <c r="B174" i="19"/>
  <c r="C174" i="19"/>
  <c r="D174" i="19"/>
  <c r="E174" i="19"/>
  <c r="F174" i="19"/>
  <c r="B175" i="19"/>
  <c r="C175" i="19"/>
  <c r="D175" i="19"/>
  <c r="E175" i="19"/>
  <c r="F175" i="19"/>
  <c r="B176" i="19"/>
  <c r="C176" i="19"/>
  <c r="D176" i="19"/>
  <c r="E176" i="19"/>
  <c r="F176" i="19"/>
  <c r="B177" i="19"/>
  <c r="C177" i="19"/>
  <c r="D177" i="19"/>
  <c r="E177" i="19"/>
  <c r="F177" i="19"/>
  <c r="B178" i="19"/>
  <c r="C178" i="19"/>
  <c r="D178" i="19"/>
  <c r="E178" i="19"/>
  <c r="F178" i="19"/>
  <c r="B179" i="19"/>
  <c r="C179" i="19"/>
  <c r="D179" i="19"/>
  <c r="E179" i="19"/>
  <c r="F179" i="19"/>
  <c r="B180" i="19"/>
  <c r="C180" i="19"/>
  <c r="D180" i="19"/>
  <c r="E180" i="19"/>
  <c r="F180" i="19"/>
  <c r="B181" i="19"/>
  <c r="C181" i="19"/>
  <c r="D181" i="19"/>
  <c r="E181" i="19"/>
  <c r="F181" i="19"/>
  <c r="B182" i="19"/>
  <c r="C182" i="19"/>
  <c r="D182" i="19"/>
  <c r="E182" i="19"/>
  <c r="F182" i="19"/>
  <c r="B183" i="19"/>
  <c r="C183" i="19"/>
  <c r="D183" i="19"/>
  <c r="E183" i="19"/>
  <c r="F183" i="19"/>
  <c r="B184" i="19"/>
  <c r="C184" i="19"/>
  <c r="D184" i="19"/>
  <c r="E184" i="19"/>
  <c r="F184" i="19"/>
  <c r="B185" i="19"/>
  <c r="C185" i="19"/>
  <c r="D185" i="19"/>
  <c r="E185" i="19"/>
  <c r="F185" i="19"/>
  <c r="B186" i="19"/>
  <c r="C186" i="19"/>
  <c r="D186" i="19"/>
  <c r="E186" i="19"/>
  <c r="F186" i="19"/>
  <c r="B187" i="19"/>
  <c r="C187" i="19"/>
  <c r="D187" i="19"/>
  <c r="E187" i="19"/>
  <c r="F187" i="19"/>
  <c r="B188" i="19"/>
  <c r="C188" i="19"/>
  <c r="D188" i="19"/>
  <c r="E188" i="19"/>
  <c r="F188" i="19"/>
  <c r="B189" i="19"/>
  <c r="C189" i="19"/>
  <c r="D189" i="19"/>
  <c r="E189" i="19"/>
  <c r="F189" i="19"/>
  <c r="B190" i="19"/>
  <c r="C190" i="19"/>
  <c r="D190" i="19"/>
  <c r="E190" i="19"/>
  <c r="F190" i="19"/>
  <c r="B191" i="19"/>
  <c r="C191" i="19"/>
  <c r="D191" i="19"/>
  <c r="E191" i="19"/>
  <c r="F191" i="19"/>
  <c r="B192" i="19"/>
  <c r="C192" i="19"/>
  <c r="D192" i="19"/>
  <c r="E192" i="19"/>
  <c r="F192" i="19"/>
  <c r="B193" i="19"/>
  <c r="C193" i="19"/>
  <c r="D193" i="19"/>
  <c r="E193" i="19"/>
  <c r="F193" i="19"/>
  <c r="B194" i="19"/>
  <c r="C194" i="19"/>
  <c r="D194" i="19"/>
  <c r="E194" i="19"/>
  <c r="F194" i="19"/>
  <c r="B195" i="19"/>
  <c r="C195" i="19"/>
  <c r="D195" i="19"/>
  <c r="E195" i="19"/>
  <c r="F195" i="19"/>
  <c r="B196" i="19"/>
  <c r="C196" i="19"/>
  <c r="D196" i="19"/>
  <c r="E196" i="19"/>
  <c r="F196" i="19"/>
  <c r="B197" i="19"/>
  <c r="C197" i="19"/>
  <c r="D197" i="19"/>
  <c r="E197" i="19"/>
  <c r="F197" i="19"/>
  <c r="B198" i="19"/>
  <c r="C198" i="19"/>
  <c r="D198" i="19"/>
  <c r="E198" i="19"/>
  <c r="F198" i="19"/>
  <c r="B199" i="19"/>
  <c r="C199" i="19"/>
  <c r="D199" i="19"/>
  <c r="E199" i="19"/>
  <c r="F199" i="19"/>
  <c r="B200" i="19"/>
  <c r="C200" i="19"/>
  <c r="D200" i="19"/>
  <c r="E200" i="19"/>
  <c r="F200" i="19"/>
  <c r="B201" i="19"/>
  <c r="C201" i="19"/>
  <c r="D201" i="19"/>
  <c r="E201" i="19"/>
  <c r="F201" i="19"/>
  <c r="B202" i="19"/>
  <c r="C202" i="19"/>
  <c r="D202" i="19"/>
  <c r="E202" i="19"/>
  <c r="F202" i="19"/>
  <c r="B203" i="19"/>
  <c r="C203" i="19"/>
  <c r="D203" i="19"/>
  <c r="E203" i="19"/>
  <c r="F203" i="19"/>
  <c r="B204" i="19"/>
  <c r="C204" i="19"/>
  <c r="D204" i="19"/>
  <c r="E204" i="19"/>
  <c r="F204" i="19"/>
  <c r="B205" i="19"/>
  <c r="C205" i="19"/>
  <c r="D205" i="19"/>
  <c r="E205" i="19"/>
  <c r="F205" i="19"/>
  <c r="B206" i="19"/>
  <c r="C206" i="19"/>
  <c r="D206" i="19"/>
  <c r="E206" i="19"/>
  <c r="F206" i="19"/>
  <c r="B207" i="19"/>
  <c r="C207" i="19"/>
  <c r="D207" i="19"/>
  <c r="E207" i="19"/>
  <c r="F207" i="19"/>
  <c r="B208" i="19"/>
  <c r="C208" i="19"/>
  <c r="D208" i="19"/>
  <c r="E208" i="19"/>
  <c r="F208" i="19"/>
  <c r="B209" i="19"/>
  <c r="C209" i="19"/>
  <c r="D209" i="19"/>
  <c r="E209" i="19"/>
  <c r="F209" i="19"/>
  <c r="B210" i="19"/>
  <c r="C210" i="19"/>
  <c r="D210" i="19"/>
  <c r="E210" i="19"/>
  <c r="F210" i="19"/>
  <c r="B211" i="19"/>
  <c r="C211" i="19"/>
  <c r="D211" i="19"/>
  <c r="E211" i="19"/>
  <c r="F211" i="19"/>
  <c r="B212" i="19"/>
  <c r="C212" i="19"/>
  <c r="D212" i="19"/>
  <c r="E212" i="19"/>
  <c r="F212" i="19"/>
  <c r="B213" i="19"/>
  <c r="C213" i="19"/>
  <c r="D213" i="19"/>
  <c r="E213" i="19"/>
  <c r="F213" i="19"/>
  <c r="B214" i="19"/>
  <c r="C214" i="19"/>
  <c r="E214" i="19"/>
  <c r="F214" i="19"/>
  <c r="B215" i="19"/>
  <c r="C215" i="19"/>
  <c r="D215" i="19"/>
  <c r="E215" i="19"/>
  <c r="F215" i="19"/>
  <c r="B216" i="19"/>
  <c r="C216" i="19"/>
  <c r="D216" i="19"/>
  <c r="E216" i="19"/>
  <c r="F216" i="19"/>
  <c r="B217" i="19"/>
  <c r="C217" i="19"/>
  <c r="D217" i="19"/>
  <c r="E217" i="19"/>
  <c r="F217" i="19"/>
  <c r="B218" i="19"/>
  <c r="C218" i="19"/>
  <c r="D218" i="19"/>
  <c r="E218" i="19"/>
  <c r="F218" i="19"/>
  <c r="B219" i="19"/>
  <c r="C219" i="19"/>
  <c r="D219" i="19"/>
  <c r="E219" i="19"/>
  <c r="F219" i="19"/>
  <c r="B220" i="19"/>
  <c r="C220" i="19"/>
  <c r="D220" i="19"/>
  <c r="E220" i="19"/>
  <c r="F220" i="19"/>
  <c r="B221" i="19"/>
  <c r="C221" i="19"/>
  <c r="D221" i="19"/>
  <c r="E221" i="19"/>
  <c r="F221" i="19"/>
  <c r="B222" i="19"/>
  <c r="C222" i="19"/>
  <c r="D222" i="19"/>
  <c r="E222" i="19"/>
  <c r="F222" i="19"/>
  <c r="B223" i="19"/>
  <c r="C223" i="19"/>
  <c r="D223" i="19"/>
  <c r="E223" i="19"/>
  <c r="F223" i="19"/>
  <c r="B224" i="19"/>
  <c r="C224" i="19"/>
  <c r="D224" i="19"/>
  <c r="E224" i="19"/>
  <c r="F224" i="19"/>
  <c r="B225" i="19"/>
  <c r="C225" i="19"/>
  <c r="D225" i="19"/>
  <c r="E225" i="19"/>
  <c r="F225" i="19"/>
  <c r="B226" i="19"/>
  <c r="C226" i="19"/>
  <c r="D226" i="19"/>
  <c r="E226" i="19"/>
  <c r="F226" i="19"/>
  <c r="B227" i="19"/>
  <c r="C227" i="19"/>
  <c r="D227" i="19"/>
  <c r="E227" i="19"/>
  <c r="F227" i="19"/>
  <c r="B228" i="19"/>
  <c r="C228" i="19"/>
  <c r="D228" i="19"/>
  <c r="E228" i="19"/>
  <c r="F228" i="19"/>
  <c r="B229" i="19"/>
  <c r="C229" i="19"/>
  <c r="D229" i="19"/>
  <c r="E229" i="19"/>
  <c r="F229" i="19"/>
  <c r="B230" i="19"/>
  <c r="C230" i="19"/>
  <c r="D230" i="19"/>
  <c r="E230" i="19"/>
  <c r="F230" i="19"/>
  <c r="B231" i="19"/>
  <c r="C231" i="19"/>
  <c r="D231" i="19"/>
  <c r="E231" i="19"/>
  <c r="F231" i="19"/>
  <c r="B232" i="19"/>
  <c r="C232" i="19"/>
  <c r="D232" i="19"/>
  <c r="E232" i="19"/>
  <c r="F232" i="19"/>
  <c r="B233" i="19"/>
  <c r="C233" i="19"/>
  <c r="D233" i="19"/>
  <c r="E233" i="19"/>
  <c r="F233" i="19"/>
  <c r="B234" i="19"/>
  <c r="C234" i="19"/>
  <c r="D234" i="19"/>
  <c r="E234" i="19"/>
  <c r="F234" i="19"/>
  <c r="B235" i="19"/>
  <c r="C235" i="19"/>
  <c r="D235" i="19"/>
  <c r="E235" i="19"/>
  <c r="F235" i="19"/>
  <c r="B236" i="19"/>
  <c r="C236" i="19"/>
  <c r="D236" i="19"/>
  <c r="E236" i="19"/>
  <c r="F236" i="19"/>
  <c r="B237" i="19"/>
  <c r="C237" i="19"/>
  <c r="D237" i="19"/>
  <c r="E237" i="19"/>
  <c r="F237" i="19"/>
  <c r="B238" i="19"/>
  <c r="C238" i="19"/>
  <c r="D238" i="19"/>
  <c r="E238" i="19"/>
  <c r="F238" i="19"/>
  <c r="B239" i="19"/>
  <c r="C239" i="19"/>
  <c r="D239" i="19"/>
  <c r="E239" i="19"/>
  <c r="F239" i="19"/>
  <c r="B240" i="19"/>
  <c r="C240" i="19"/>
  <c r="D240" i="19"/>
  <c r="E240" i="19"/>
  <c r="F240" i="19"/>
  <c r="B241" i="19"/>
  <c r="C241" i="19"/>
  <c r="D241" i="19"/>
  <c r="E241" i="19"/>
  <c r="F241" i="19"/>
  <c r="B242" i="19"/>
  <c r="C242" i="19"/>
  <c r="D242" i="19"/>
  <c r="E242" i="19"/>
  <c r="F242" i="19"/>
  <c r="B243" i="19"/>
  <c r="C243" i="19"/>
  <c r="D243" i="19"/>
  <c r="E243" i="19"/>
  <c r="F243" i="19"/>
  <c r="B244" i="19"/>
  <c r="C244" i="19"/>
  <c r="D244" i="19"/>
  <c r="E244" i="19"/>
  <c r="F244" i="19"/>
  <c r="B245" i="19"/>
  <c r="C245" i="19"/>
  <c r="D245" i="19"/>
  <c r="E245" i="19"/>
  <c r="F245" i="19"/>
  <c r="B246" i="19"/>
  <c r="C246" i="19"/>
  <c r="D246" i="19"/>
  <c r="E246" i="19"/>
  <c r="F246" i="19"/>
  <c r="B247" i="19"/>
  <c r="C247" i="19"/>
  <c r="D247" i="19"/>
  <c r="E247" i="19"/>
  <c r="F247" i="19"/>
  <c r="B248" i="19"/>
  <c r="C248" i="19"/>
  <c r="D248" i="19"/>
  <c r="E248" i="19"/>
  <c r="F248" i="19"/>
  <c r="B249" i="19"/>
  <c r="C249" i="19"/>
  <c r="D249" i="19"/>
  <c r="E249" i="19"/>
  <c r="F249" i="19"/>
  <c r="B250" i="19"/>
  <c r="C250" i="19"/>
  <c r="D250" i="19"/>
  <c r="E250" i="19"/>
  <c r="F250" i="19"/>
  <c r="B251" i="19"/>
  <c r="C251" i="19"/>
  <c r="D251" i="19"/>
  <c r="E251" i="19"/>
  <c r="F251" i="19"/>
  <c r="B252" i="19"/>
  <c r="C252" i="19"/>
  <c r="D252" i="19"/>
  <c r="E252" i="19"/>
  <c r="F252" i="19"/>
  <c r="B253" i="19"/>
  <c r="C253" i="19"/>
  <c r="D253" i="19"/>
  <c r="E253" i="19"/>
  <c r="F253" i="19"/>
  <c r="B254" i="19"/>
  <c r="C254" i="19"/>
  <c r="D254" i="19"/>
  <c r="E254" i="19"/>
  <c r="F254" i="19"/>
  <c r="B255" i="19"/>
  <c r="C255" i="19"/>
  <c r="D255" i="19"/>
  <c r="E255" i="19"/>
  <c r="F255" i="19"/>
  <c r="B256" i="19"/>
  <c r="C256" i="19"/>
  <c r="D256" i="19"/>
  <c r="E256" i="19"/>
  <c r="F256" i="19"/>
  <c r="B257" i="19"/>
  <c r="C257" i="19"/>
  <c r="D257" i="19"/>
  <c r="E257" i="19"/>
  <c r="F257" i="19"/>
  <c r="B258" i="19"/>
  <c r="C258" i="19"/>
  <c r="D258" i="19"/>
  <c r="E258" i="19"/>
  <c r="F258" i="19"/>
  <c r="B259" i="19"/>
  <c r="C259" i="19"/>
  <c r="D259" i="19"/>
  <c r="E259" i="19"/>
  <c r="F259" i="19"/>
  <c r="B260" i="19"/>
  <c r="C260" i="19"/>
  <c r="D260" i="19"/>
  <c r="E260" i="19"/>
  <c r="F260" i="19"/>
  <c r="B261" i="19"/>
  <c r="C261" i="19"/>
  <c r="D261" i="19"/>
  <c r="E261" i="19"/>
  <c r="F261" i="19"/>
  <c r="B262" i="19"/>
  <c r="C262" i="19"/>
  <c r="D262" i="19"/>
  <c r="E262" i="19"/>
  <c r="F262" i="19"/>
  <c r="B263" i="19"/>
  <c r="C263" i="19"/>
  <c r="D263" i="19"/>
  <c r="E263" i="19"/>
  <c r="F263" i="19"/>
  <c r="B264" i="19"/>
  <c r="C264" i="19"/>
  <c r="D264" i="19"/>
  <c r="E264" i="19"/>
  <c r="F264" i="19"/>
  <c r="B265" i="19"/>
  <c r="C265" i="19"/>
  <c r="D265" i="19"/>
  <c r="E265" i="19"/>
  <c r="F265" i="19"/>
  <c r="B266" i="19"/>
  <c r="C266" i="19"/>
  <c r="D266" i="19"/>
  <c r="E266" i="19"/>
  <c r="F266" i="19"/>
  <c r="B267" i="19"/>
  <c r="C267" i="19"/>
  <c r="D267" i="19"/>
  <c r="E267" i="19"/>
  <c r="F267" i="19"/>
  <c r="B268" i="19"/>
  <c r="C268" i="19"/>
  <c r="D268" i="19"/>
  <c r="E268" i="19"/>
  <c r="F268" i="19"/>
  <c r="B269" i="19"/>
  <c r="C269" i="19"/>
  <c r="D269" i="19"/>
  <c r="E269" i="19"/>
  <c r="F269" i="19"/>
  <c r="B270" i="19"/>
  <c r="C270" i="19"/>
  <c r="D270" i="19"/>
  <c r="E270" i="19"/>
  <c r="F270" i="19"/>
  <c r="B271" i="19"/>
  <c r="C271" i="19"/>
  <c r="D271" i="19"/>
  <c r="E271" i="19"/>
  <c r="F271" i="19"/>
  <c r="B272" i="19"/>
  <c r="C272" i="19"/>
  <c r="D272" i="19"/>
  <c r="E272" i="19"/>
  <c r="F272" i="19"/>
  <c r="B273" i="19"/>
  <c r="C273" i="19"/>
  <c r="D273" i="19"/>
  <c r="E273" i="19"/>
  <c r="F273" i="19"/>
  <c r="B274" i="19"/>
  <c r="C274" i="19"/>
  <c r="D274" i="19"/>
  <c r="E274" i="19"/>
  <c r="F274" i="19"/>
  <c r="B275" i="19"/>
  <c r="C275" i="19"/>
  <c r="D275" i="19"/>
  <c r="E275" i="19"/>
  <c r="F275" i="19"/>
  <c r="B276" i="19"/>
  <c r="C276" i="19"/>
  <c r="D276" i="19"/>
  <c r="E276" i="19"/>
  <c r="F276" i="19"/>
  <c r="B277" i="19"/>
  <c r="C277" i="19"/>
  <c r="D277" i="19"/>
  <c r="E277" i="19"/>
  <c r="F277" i="19"/>
  <c r="B278" i="19"/>
  <c r="C278" i="19"/>
  <c r="D278" i="19"/>
  <c r="E278" i="19"/>
  <c r="F278" i="19"/>
  <c r="B279" i="19"/>
  <c r="C279" i="19"/>
  <c r="D279" i="19"/>
  <c r="E279" i="19"/>
  <c r="F279" i="19"/>
  <c r="B280" i="19"/>
  <c r="C280" i="19"/>
  <c r="D280" i="19"/>
  <c r="E280" i="19"/>
  <c r="F280" i="19"/>
  <c r="B281" i="19"/>
  <c r="C281" i="19"/>
  <c r="D281" i="19"/>
  <c r="E281" i="19"/>
  <c r="F281" i="19"/>
  <c r="B282" i="19"/>
  <c r="C282" i="19"/>
  <c r="D282" i="19"/>
  <c r="E282" i="19"/>
  <c r="F282" i="19"/>
  <c r="B283" i="19"/>
  <c r="C283" i="19"/>
  <c r="D283" i="19"/>
  <c r="E283" i="19"/>
  <c r="F283" i="19"/>
  <c r="B284" i="19"/>
  <c r="C284" i="19"/>
  <c r="D284" i="19"/>
  <c r="E284" i="19"/>
  <c r="F284" i="19"/>
  <c r="B285" i="19"/>
  <c r="C285" i="19"/>
  <c r="D285" i="19"/>
  <c r="E285" i="19"/>
  <c r="F285" i="19"/>
  <c r="B286" i="19"/>
  <c r="C286" i="19"/>
  <c r="D286" i="19"/>
  <c r="E286" i="19"/>
  <c r="F286" i="19"/>
  <c r="B287" i="19"/>
  <c r="C287" i="19"/>
  <c r="D287" i="19"/>
  <c r="E287" i="19"/>
  <c r="F287" i="19"/>
  <c r="B288" i="19"/>
  <c r="C288" i="19"/>
  <c r="D288" i="19"/>
  <c r="E288" i="19"/>
  <c r="F288" i="19"/>
  <c r="B289" i="19"/>
  <c r="C289" i="19"/>
  <c r="D289" i="19"/>
  <c r="E289" i="19"/>
  <c r="F289" i="19"/>
  <c r="B290" i="19"/>
  <c r="C290" i="19"/>
  <c r="D290" i="19"/>
  <c r="E290" i="19"/>
  <c r="F290" i="19"/>
  <c r="B291" i="19"/>
  <c r="C291" i="19"/>
  <c r="D291" i="19"/>
  <c r="E291" i="19"/>
  <c r="F291" i="19"/>
  <c r="B292" i="19"/>
  <c r="C292" i="19"/>
  <c r="D292" i="19"/>
  <c r="E292" i="19"/>
  <c r="F292" i="19"/>
  <c r="B293" i="19"/>
  <c r="C293" i="19"/>
  <c r="D293" i="19"/>
  <c r="E293" i="19"/>
  <c r="F293" i="19"/>
  <c r="B294" i="19"/>
  <c r="C294" i="19"/>
  <c r="D294" i="19"/>
  <c r="E294" i="19"/>
  <c r="F294" i="19"/>
  <c r="B295" i="19"/>
  <c r="C295" i="19"/>
  <c r="D295" i="19"/>
  <c r="E295" i="19"/>
  <c r="F295" i="19"/>
  <c r="B296" i="19"/>
  <c r="C296" i="19"/>
  <c r="D296" i="19"/>
  <c r="E296" i="19"/>
  <c r="F296" i="19"/>
  <c r="B297" i="19"/>
  <c r="C297" i="19"/>
  <c r="D297" i="19"/>
  <c r="E297" i="19"/>
  <c r="F297" i="19"/>
  <c r="B298" i="19"/>
  <c r="C298" i="19"/>
  <c r="D298" i="19"/>
  <c r="E298" i="19"/>
  <c r="F298" i="19"/>
  <c r="B299" i="19"/>
  <c r="C299" i="19"/>
  <c r="D299" i="19"/>
  <c r="E299" i="19"/>
  <c r="F299" i="19"/>
  <c r="B300" i="19"/>
  <c r="C300" i="19"/>
  <c r="D300" i="19"/>
  <c r="E300" i="19"/>
  <c r="F300" i="19"/>
  <c r="B301" i="19"/>
  <c r="C301" i="19"/>
  <c r="D301" i="19"/>
  <c r="E301" i="19"/>
  <c r="F301" i="19"/>
  <c r="B302" i="19"/>
  <c r="C302" i="19"/>
  <c r="D302" i="19"/>
  <c r="E302" i="19"/>
  <c r="F302" i="19"/>
  <c r="B303" i="19"/>
  <c r="C303" i="19"/>
  <c r="D303" i="19"/>
  <c r="E303" i="19"/>
  <c r="F303" i="19"/>
  <c r="B304" i="19"/>
  <c r="C304" i="19"/>
  <c r="D304" i="19"/>
  <c r="E304" i="19"/>
  <c r="F304" i="19"/>
  <c r="B305" i="19"/>
  <c r="C305" i="19"/>
  <c r="D305" i="19"/>
  <c r="E305" i="19"/>
  <c r="F305" i="19"/>
  <c r="B306" i="19"/>
  <c r="C306" i="19"/>
  <c r="D306" i="19"/>
  <c r="E306" i="19"/>
  <c r="F306" i="19"/>
  <c r="B307" i="19"/>
  <c r="C307" i="19"/>
  <c r="D307" i="19"/>
  <c r="E307" i="19"/>
  <c r="F307" i="19"/>
  <c r="B308" i="19"/>
  <c r="C308" i="19"/>
  <c r="D308" i="19"/>
  <c r="E308" i="19"/>
  <c r="F308" i="19"/>
  <c r="B309" i="19"/>
  <c r="C309" i="19"/>
  <c r="D309" i="19"/>
  <c r="E309" i="19"/>
  <c r="F309" i="19"/>
  <c r="B310" i="19"/>
  <c r="C310" i="19"/>
  <c r="D310" i="19"/>
  <c r="E310" i="19"/>
  <c r="F310" i="19"/>
  <c r="B311" i="19"/>
  <c r="C311" i="19"/>
  <c r="D311" i="19"/>
  <c r="E311" i="19"/>
  <c r="F311" i="19"/>
  <c r="B312" i="19"/>
  <c r="C312" i="19"/>
  <c r="D312" i="19"/>
  <c r="E312" i="19"/>
  <c r="F312" i="19"/>
  <c r="B313" i="19"/>
  <c r="C313" i="19"/>
  <c r="D313" i="19"/>
  <c r="E313" i="19"/>
  <c r="F313" i="19"/>
  <c r="B314" i="19"/>
  <c r="C314" i="19"/>
  <c r="D314" i="19"/>
  <c r="E314" i="19"/>
  <c r="F314" i="19"/>
  <c r="B315" i="19"/>
  <c r="C315" i="19"/>
  <c r="D315" i="19"/>
  <c r="E315" i="19"/>
  <c r="F315" i="19"/>
  <c r="B316" i="19"/>
  <c r="C316" i="19"/>
  <c r="D316" i="19"/>
  <c r="E316" i="19"/>
  <c r="F316" i="19"/>
  <c r="B317" i="19"/>
  <c r="C317" i="19"/>
  <c r="D317" i="19"/>
  <c r="E317" i="19"/>
  <c r="F317" i="19"/>
  <c r="B318" i="19"/>
  <c r="C318" i="19"/>
  <c r="D318" i="19"/>
  <c r="E318" i="19"/>
  <c r="F318" i="19"/>
  <c r="B319" i="19"/>
  <c r="C319" i="19"/>
  <c r="D319" i="19"/>
  <c r="E319" i="19"/>
  <c r="F319" i="19"/>
  <c r="B320" i="19"/>
  <c r="C320" i="19"/>
  <c r="D320" i="19"/>
  <c r="E320" i="19"/>
  <c r="F320" i="19"/>
  <c r="B321" i="19"/>
  <c r="C321" i="19"/>
  <c r="D321" i="19"/>
  <c r="E321" i="19"/>
  <c r="F321" i="19"/>
  <c r="B322" i="19"/>
  <c r="C322" i="19"/>
  <c r="D322" i="19"/>
  <c r="E322" i="19"/>
  <c r="F322" i="19"/>
  <c r="B323" i="19"/>
  <c r="C323" i="19"/>
  <c r="D323" i="19"/>
  <c r="E323" i="19"/>
  <c r="F323" i="19"/>
  <c r="B324" i="19"/>
  <c r="C324" i="19"/>
  <c r="D324" i="19"/>
  <c r="E324" i="19"/>
  <c r="F324" i="19"/>
  <c r="B325" i="19"/>
  <c r="C325" i="19"/>
  <c r="D325" i="19"/>
  <c r="E325" i="19"/>
  <c r="F325" i="19"/>
  <c r="B326" i="19"/>
  <c r="C326" i="19"/>
  <c r="D326" i="19"/>
  <c r="E326" i="19"/>
  <c r="F326" i="19"/>
  <c r="B327" i="19"/>
  <c r="C327" i="19"/>
  <c r="D327" i="19"/>
  <c r="E327" i="19"/>
  <c r="F327" i="19"/>
  <c r="B328" i="19"/>
  <c r="C328" i="19"/>
  <c r="D328" i="19"/>
  <c r="E328" i="19"/>
  <c r="F328" i="19"/>
  <c r="B329" i="19"/>
  <c r="C329" i="19"/>
  <c r="D329" i="19"/>
  <c r="E329" i="19"/>
  <c r="F329" i="19"/>
  <c r="B330" i="19"/>
  <c r="C330" i="19"/>
  <c r="D330" i="19"/>
  <c r="E330" i="19"/>
  <c r="F330" i="19"/>
  <c r="B331" i="19"/>
  <c r="C331" i="19"/>
  <c r="D331" i="19"/>
  <c r="E331" i="19"/>
  <c r="F331" i="19"/>
  <c r="B332" i="19"/>
  <c r="C332" i="19"/>
  <c r="D332" i="19"/>
  <c r="E332" i="19"/>
  <c r="F332" i="19"/>
  <c r="B333" i="19"/>
  <c r="C333" i="19"/>
  <c r="D333" i="19"/>
  <c r="E333" i="19"/>
  <c r="F333" i="19"/>
  <c r="B334" i="19"/>
  <c r="C334" i="19"/>
  <c r="D334" i="19"/>
  <c r="E334" i="19"/>
  <c r="F334" i="19"/>
  <c r="B335" i="19"/>
  <c r="C335" i="19"/>
  <c r="D335" i="19"/>
  <c r="E335" i="19"/>
  <c r="F335" i="19"/>
  <c r="B336" i="19"/>
  <c r="C336" i="19"/>
  <c r="D336" i="19"/>
  <c r="E336" i="19"/>
  <c r="F336" i="19"/>
  <c r="B337" i="19"/>
  <c r="C337" i="19"/>
  <c r="D337" i="19"/>
  <c r="E337" i="19"/>
  <c r="F337" i="19"/>
  <c r="B338" i="19"/>
  <c r="C338" i="19"/>
  <c r="D338" i="19"/>
  <c r="E338" i="19"/>
  <c r="F338" i="19"/>
  <c r="B339" i="19"/>
  <c r="C339" i="19"/>
  <c r="D339" i="19"/>
  <c r="E339" i="19"/>
  <c r="F339" i="19"/>
  <c r="B340" i="19"/>
  <c r="C340" i="19"/>
  <c r="D340" i="19"/>
  <c r="E340" i="19"/>
  <c r="F340" i="19"/>
  <c r="B341" i="19"/>
  <c r="C341" i="19"/>
  <c r="D341" i="19"/>
  <c r="E341" i="19"/>
  <c r="F341" i="19"/>
  <c r="B342" i="19"/>
  <c r="C342" i="19"/>
  <c r="D342" i="19"/>
  <c r="E342" i="19"/>
  <c r="F342" i="19"/>
  <c r="B343" i="19"/>
  <c r="C343" i="19"/>
  <c r="D343" i="19"/>
  <c r="E343" i="19"/>
  <c r="F343" i="19"/>
  <c r="B344" i="19"/>
  <c r="C344" i="19"/>
  <c r="D344" i="19"/>
  <c r="E344" i="19"/>
  <c r="F344" i="19"/>
  <c r="B345" i="19"/>
  <c r="C345" i="19"/>
  <c r="D345" i="19"/>
  <c r="E345" i="19"/>
  <c r="F345" i="19"/>
  <c r="B346" i="19"/>
  <c r="C346" i="19"/>
  <c r="D346" i="19"/>
  <c r="E346" i="19"/>
  <c r="F346" i="19"/>
  <c r="B347" i="19"/>
  <c r="C347" i="19"/>
  <c r="D347" i="19"/>
  <c r="E347" i="19"/>
  <c r="F347" i="19"/>
  <c r="B348" i="19"/>
  <c r="C348" i="19"/>
  <c r="D348" i="19"/>
  <c r="E348" i="19"/>
  <c r="F348" i="19"/>
  <c r="B349" i="19"/>
  <c r="C349" i="19"/>
  <c r="D349" i="19"/>
  <c r="E349" i="19"/>
  <c r="F349" i="19"/>
  <c r="B350" i="19"/>
  <c r="C350" i="19"/>
  <c r="D350" i="19"/>
  <c r="E350" i="19"/>
  <c r="F350" i="19"/>
  <c r="B351" i="19"/>
  <c r="C351" i="19"/>
  <c r="D351" i="19"/>
  <c r="E351" i="19"/>
  <c r="F351" i="19"/>
  <c r="B352" i="19"/>
  <c r="C352" i="19"/>
  <c r="D352" i="19"/>
  <c r="E352" i="19"/>
  <c r="F352" i="19"/>
  <c r="B353" i="19"/>
  <c r="C353" i="19"/>
  <c r="D353" i="19"/>
  <c r="E353" i="19"/>
  <c r="F353" i="19"/>
  <c r="B354" i="19"/>
  <c r="C354" i="19"/>
  <c r="D354" i="19"/>
  <c r="E354" i="19"/>
  <c r="F354" i="19"/>
  <c r="B355" i="19"/>
  <c r="C355" i="19"/>
  <c r="D355" i="19"/>
  <c r="E355" i="19"/>
  <c r="F355" i="19"/>
  <c r="B356" i="19"/>
  <c r="C356" i="19"/>
  <c r="D356" i="19"/>
  <c r="E356" i="19"/>
  <c r="F356" i="19"/>
  <c r="B357" i="19"/>
  <c r="C357" i="19"/>
  <c r="D357" i="19"/>
  <c r="E357" i="19"/>
  <c r="F357" i="19"/>
  <c r="B358" i="19"/>
  <c r="C358" i="19"/>
  <c r="D358" i="19"/>
  <c r="E358" i="19"/>
  <c r="F358" i="19"/>
  <c r="B359" i="19"/>
  <c r="C359" i="19"/>
  <c r="D359" i="19"/>
  <c r="E359" i="19"/>
  <c r="F359" i="19"/>
  <c r="B360" i="19"/>
  <c r="C360" i="19"/>
  <c r="D360" i="19"/>
  <c r="E360" i="19"/>
  <c r="F360" i="19"/>
  <c r="B361" i="19"/>
  <c r="C361" i="19"/>
  <c r="D361" i="19"/>
  <c r="E361" i="19"/>
  <c r="F361" i="19"/>
  <c r="B362" i="19"/>
  <c r="C362" i="19"/>
  <c r="D362" i="19"/>
  <c r="E362" i="19"/>
  <c r="F362" i="19"/>
  <c r="B363" i="19"/>
  <c r="C363" i="19"/>
  <c r="D363" i="19"/>
  <c r="E363" i="19"/>
  <c r="F363" i="19"/>
  <c r="B364" i="19"/>
  <c r="C364" i="19"/>
  <c r="D364" i="19"/>
  <c r="E364" i="19"/>
  <c r="F364" i="19"/>
  <c r="B365" i="19"/>
  <c r="C365" i="19"/>
  <c r="D365" i="19"/>
  <c r="E365" i="19"/>
  <c r="F365" i="19"/>
  <c r="B366" i="19"/>
  <c r="C366" i="19"/>
  <c r="D366" i="19"/>
  <c r="E366" i="19"/>
  <c r="F366" i="19"/>
  <c r="B367" i="19"/>
  <c r="C367" i="19"/>
  <c r="D367" i="19"/>
  <c r="E367" i="19"/>
  <c r="F367" i="19"/>
  <c r="B368" i="19"/>
  <c r="C368" i="19"/>
  <c r="D368" i="19"/>
  <c r="E368" i="19"/>
  <c r="F368" i="19"/>
  <c r="B369" i="19"/>
  <c r="C369" i="19"/>
  <c r="D369" i="19"/>
  <c r="E369" i="19"/>
  <c r="F369" i="19"/>
  <c r="B370" i="19"/>
  <c r="C370" i="19"/>
  <c r="D370" i="19"/>
  <c r="E370" i="19"/>
  <c r="F370" i="19"/>
  <c r="B371" i="19"/>
  <c r="C371" i="19"/>
  <c r="D371" i="19"/>
  <c r="E371" i="19"/>
  <c r="F371" i="19"/>
  <c r="B372" i="19"/>
  <c r="C372" i="19"/>
  <c r="D372" i="19"/>
  <c r="E372" i="19"/>
  <c r="F372" i="19"/>
  <c r="B373" i="19"/>
  <c r="C373" i="19"/>
  <c r="D373" i="19"/>
  <c r="E373" i="19"/>
  <c r="F373" i="19"/>
  <c r="B374" i="19"/>
  <c r="C374" i="19"/>
  <c r="D374" i="19"/>
  <c r="E374" i="19"/>
  <c r="F374" i="19"/>
  <c r="B375" i="19"/>
  <c r="C375" i="19"/>
  <c r="D375" i="19"/>
  <c r="E375" i="19"/>
  <c r="F375" i="19"/>
  <c r="B376" i="19"/>
  <c r="C376" i="19"/>
  <c r="D376" i="19"/>
  <c r="E376" i="19"/>
  <c r="F376" i="19"/>
  <c r="B377" i="19"/>
  <c r="C377" i="19"/>
  <c r="D377" i="19"/>
  <c r="E377" i="19"/>
  <c r="F377" i="19"/>
  <c r="B378" i="19"/>
  <c r="C378" i="19"/>
  <c r="D378" i="19"/>
  <c r="E378" i="19"/>
  <c r="F378" i="19"/>
  <c r="B379" i="19"/>
  <c r="C379" i="19"/>
  <c r="D379" i="19"/>
  <c r="E379" i="19"/>
  <c r="F379" i="19"/>
  <c r="B380" i="19"/>
  <c r="C380" i="19"/>
  <c r="D380" i="19"/>
  <c r="E380" i="19"/>
  <c r="F380" i="19"/>
  <c r="B381" i="19"/>
  <c r="C381" i="19"/>
  <c r="D381" i="19"/>
  <c r="E381" i="19"/>
  <c r="F381" i="19"/>
  <c r="B382" i="19"/>
  <c r="C382" i="19"/>
  <c r="D382" i="19"/>
  <c r="E382" i="19"/>
  <c r="F382" i="19"/>
  <c r="B383" i="19"/>
  <c r="C383" i="19"/>
  <c r="D383" i="19"/>
  <c r="E383" i="19"/>
  <c r="F383" i="19"/>
  <c r="B384" i="19"/>
  <c r="C384" i="19"/>
  <c r="D384" i="19"/>
  <c r="E384" i="19"/>
  <c r="F384" i="19"/>
  <c r="B385" i="19"/>
  <c r="C385" i="19"/>
  <c r="D385" i="19"/>
  <c r="E385" i="19"/>
  <c r="F385" i="19"/>
  <c r="B386" i="19"/>
  <c r="C386" i="19"/>
  <c r="D386" i="19"/>
  <c r="E386" i="19"/>
  <c r="F386" i="19"/>
  <c r="B387" i="19"/>
  <c r="C387" i="19"/>
  <c r="D387" i="19"/>
  <c r="E387" i="19"/>
  <c r="F387" i="19"/>
  <c r="B388" i="19"/>
  <c r="C388" i="19"/>
  <c r="D388" i="19"/>
  <c r="E388" i="19"/>
  <c r="F388" i="19"/>
  <c r="B389" i="19"/>
  <c r="C389" i="19"/>
  <c r="D389" i="19"/>
  <c r="E389" i="19"/>
  <c r="F389" i="19"/>
  <c r="B390" i="19"/>
  <c r="C390" i="19"/>
  <c r="D390" i="19"/>
  <c r="E390" i="19"/>
  <c r="F390" i="19"/>
  <c r="B391" i="19"/>
  <c r="C391" i="19"/>
  <c r="D391" i="19"/>
  <c r="E391" i="19"/>
  <c r="F391" i="19"/>
  <c r="B392" i="19"/>
  <c r="C392" i="19"/>
  <c r="D392" i="19"/>
  <c r="E392" i="19"/>
  <c r="F392" i="19"/>
  <c r="B393" i="19"/>
  <c r="C393" i="19"/>
  <c r="D393" i="19"/>
  <c r="E393" i="19"/>
  <c r="F393" i="19"/>
  <c r="B394" i="19"/>
  <c r="C394" i="19"/>
  <c r="D394" i="19"/>
  <c r="E394" i="19"/>
  <c r="F394" i="19"/>
  <c r="B395" i="19"/>
  <c r="C395" i="19"/>
  <c r="D395" i="19"/>
  <c r="E395" i="19"/>
  <c r="F395" i="19"/>
  <c r="B396" i="19"/>
  <c r="C396" i="19"/>
  <c r="D396" i="19"/>
  <c r="E396" i="19"/>
  <c r="F396" i="19"/>
  <c r="B397" i="19"/>
  <c r="C397" i="19"/>
  <c r="D397" i="19"/>
  <c r="E397" i="19"/>
  <c r="F397" i="19"/>
  <c r="B398" i="19"/>
  <c r="C398" i="19"/>
  <c r="D398" i="19"/>
  <c r="E398" i="19"/>
  <c r="F398" i="19"/>
  <c r="B399" i="19"/>
  <c r="C399" i="19"/>
  <c r="D399" i="19"/>
  <c r="E399" i="19"/>
  <c r="F399" i="19"/>
  <c r="B400" i="19"/>
  <c r="C400" i="19"/>
  <c r="D400" i="19"/>
  <c r="E400" i="19"/>
  <c r="F400" i="19"/>
  <c r="B401" i="19"/>
  <c r="C401" i="19"/>
  <c r="D401" i="19"/>
  <c r="E401" i="19"/>
  <c r="F401" i="19"/>
  <c r="B402" i="19"/>
  <c r="C402" i="19"/>
  <c r="D402" i="19"/>
  <c r="E402" i="19"/>
  <c r="F402" i="19"/>
  <c r="B403" i="19"/>
  <c r="C403" i="19"/>
  <c r="D403" i="19"/>
  <c r="E403" i="19"/>
  <c r="F403" i="19"/>
  <c r="B404" i="19"/>
  <c r="C404" i="19"/>
  <c r="D404" i="19"/>
  <c r="E404" i="19"/>
  <c r="F404" i="19"/>
  <c r="B405" i="19"/>
  <c r="C405" i="19"/>
  <c r="D405" i="19"/>
  <c r="E405" i="19"/>
  <c r="F405" i="19"/>
  <c r="B406" i="19"/>
  <c r="C406" i="19"/>
  <c r="D406" i="19"/>
  <c r="E406" i="19"/>
  <c r="F406" i="19"/>
  <c r="B407" i="19"/>
  <c r="C407" i="19"/>
  <c r="D407" i="19"/>
  <c r="E407" i="19"/>
  <c r="F407" i="19"/>
  <c r="B408" i="19"/>
  <c r="C408" i="19"/>
  <c r="D408" i="19"/>
  <c r="E408" i="19"/>
  <c r="F408" i="19"/>
  <c r="B409" i="19"/>
  <c r="C409" i="19"/>
  <c r="D409" i="19"/>
  <c r="E409" i="19"/>
  <c r="F409" i="19"/>
  <c r="B410" i="19"/>
  <c r="C410" i="19"/>
  <c r="D410" i="19"/>
  <c r="E410" i="19"/>
  <c r="F410" i="19"/>
  <c r="B411" i="19"/>
  <c r="C411" i="19"/>
  <c r="D411" i="19"/>
  <c r="E411" i="19"/>
  <c r="F411" i="19"/>
  <c r="B412" i="19"/>
  <c r="C412" i="19"/>
  <c r="D412" i="19"/>
  <c r="E412" i="19"/>
  <c r="F412" i="19"/>
  <c r="B413" i="19"/>
  <c r="C413" i="19"/>
  <c r="D413" i="19"/>
  <c r="E413" i="19"/>
  <c r="F413" i="19"/>
  <c r="B414" i="19"/>
  <c r="C414" i="19"/>
  <c r="D414" i="19"/>
  <c r="E414" i="19"/>
  <c r="F414" i="19"/>
  <c r="B415" i="19"/>
  <c r="C415" i="19"/>
  <c r="D415" i="19"/>
  <c r="E415" i="19"/>
  <c r="F415" i="19"/>
  <c r="B416" i="19"/>
  <c r="C416" i="19"/>
  <c r="D416" i="19"/>
  <c r="E416" i="19"/>
  <c r="F416" i="19"/>
  <c r="B417" i="19"/>
  <c r="C417" i="19"/>
  <c r="D417" i="19"/>
  <c r="E417" i="19"/>
  <c r="F417" i="19"/>
  <c r="B418" i="19"/>
  <c r="C418" i="19"/>
  <c r="D418" i="19"/>
  <c r="E418" i="19"/>
  <c r="F418" i="19"/>
  <c r="B419" i="19"/>
  <c r="C419" i="19"/>
  <c r="D419" i="19"/>
  <c r="E419" i="19"/>
  <c r="F419" i="19"/>
  <c r="B420" i="19"/>
  <c r="C420" i="19"/>
  <c r="D420" i="19"/>
  <c r="E420" i="19"/>
  <c r="F420" i="19"/>
  <c r="B421" i="19"/>
  <c r="C421" i="19"/>
  <c r="D421" i="19"/>
  <c r="E421" i="19"/>
  <c r="F421" i="19"/>
  <c r="B422" i="19"/>
  <c r="C422" i="19"/>
  <c r="D422" i="19"/>
  <c r="E422" i="19"/>
  <c r="F422" i="19"/>
  <c r="B423" i="19"/>
  <c r="C423" i="19"/>
  <c r="D423" i="19"/>
  <c r="E423" i="19"/>
  <c r="F423" i="19"/>
  <c r="B424" i="19"/>
  <c r="C424" i="19"/>
  <c r="D424" i="19"/>
  <c r="E424" i="19"/>
  <c r="F424" i="19"/>
  <c r="B425" i="19"/>
  <c r="C425" i="19"/>
  <c r="D425" i="19"/>
  <c r="E425" i="19"/>
  <c r="F425" i="19"/>
  <c r="G425" i="19" l="1"/>
  <c r="G424" i="19"/>
  <c r="G423" i="19"/>
  <c r="G422" i="19"/>
  <c r="G393" i="19"/>
  <c r="G392" i="19"/>
  <c r="G391" i="19"/>
  <c r="G390" i="19"/>
  <c r="G338" i="19"/>
  <c r="G278" i="19"/>
  <c r="G244" i="19"/>
  <c r="G229" i="19"/>
  <c r="G207" i="19"/>
  <c r="G186" i="19"/>
  <c r="G351" i="19"/>
  <c r="G350" i="19"/>
  <c r="G349" i="19"/>
  <c r="G348" i="19"/>
  <c r="G347" i="19"/>
  <c r="G346" i="19"/>
  <c r="G345" i="19"/>
  <c r="G344" i="19"/>
  <c r="G343" i="19"/>
  <c r="G342" i="19"/>
  <c r="G341" i="19"/>
  <c r="G340" i="19"/>
  <c r="G339" i="19"/>
  <c r="G286" i="19"/>
  <c r="G285" i="19"/>
  <c r="G284" i="19"/>
  <c r="G283" i="19"/>
  <c r="G282" i="19"/>
  <c r="G281" i="19"/>
  <c r="G280" i="19"/>
  <c r="G279" i="19"/>
  <c r="G277" i="19"/>
  <c r="G276" i="19"/>
  <c r="G275" i="19"/>
  <c r="G256" i="19"/>
  <c r="G255" i="19"/>
  <c r="G254" i="19"/>
  <c r="G253" i="19"/>
  <c r="G252" i="19"/>
  <c r="G251" i="19"/>
  <c r="G250" i="19"/>
  <c r="G249" i="19"/>
  <c r="G248" i="19"/>
  <c r="G247" i="19"/>
  <c r="G246" i="19"/>
  <c r="G245" i="19"/>
  <c r="G238" i="19"/>
  <c r="G237" i="19"/>
  <c r="G236" i="19"/>
  <c r="G235" i="19"/>
  <c r="G234" i="19"/>
  <c r="G233" i="19"/>
  <c r="G232" i="19"/>
  <c r="G231" i="19"/>
  <c r="G230" i="19"/>
  <c r="G228" i="19"/>
  <c r="G227" i="19"/>
  <c r="G226" i="19"/>
  <c r="G225" i="19"/>
  <c r="G224" i="19"/>
  <c r="G208" i="19"/>
  <c r="G206" i="19"/>
  <c r="G205" i="19"/>
  <c r="G204" i="19"/>
  <c r="G203" i="19"/>
  <c r="G202" i="19"/>
  <c r="G201" i="19"/>
  <c r="G200" i="19"/>
  <c r="G199" i="19"/>
  <c r="G198" i="19"/>
  <c r="G197" i="19"/>
  <c r="G196" i="19"/>
  <c r="G195" i="19"/>
  <c r="G194" i="19"/>
  <c r="G193" i="19"/>
  <c r="G192" i="19"/>
  <c r="G191" i="19"/>
  <c r="G190" i="19"/>
  <c r="G189" i="19"/>
  <c r="G188" i="19"/>
  <c r="G187" i="19"/>
  <c r="G185" i="19"/>
  <c r="G184" i="19"/>
  <c r="G183" i="19"/>
  <c r="G182" i="19"/>
  <c r="G181" i="19"/>
  <c r="G6" i="19"/>
  <c r="G5" i="19"/>
  <c r="G4" i="19"/>
  <c r="F4" i="19"/>
  <c r="E4" i="19"/>
  <c r="D4" i="19"/>
  <c r="C4" i="19"/>
  <c r="B4" i="19"/>
  <c r="B5" i="23"/>
  <c r="C5" i="23"/>
  <c r="D5" i="23"/>
  <c r="E5" i="23"/>
  <c r="F5" i="23"/>
  <c r="B6" i="23"/>
  <c r="C6" i="23"/>
  <c r="D6" i="23"/>
  <c r="E6" i="23"/>
  <c r="F6" i="23"/>
  <c r="B7" i="23"/>
  <c r="C7" i="23"/>
  <c r="D7" i="23"/>
  <c r="E7" i="23"/>
  <c r="F7" i="23"/>
  <c r="B8" i="23"/>
  <c r="C8" i="23"/>
  <c r="D8" i="23"/>
  <c r="E8" i="23"/>
  <c r="F8" i="23"/>
  <c r="B9" i="23"/>
  <c r="C9" i="23"/>
  <c r="D9" i="23"/>
  <c r="E9" i="23"/>
  <c r="F9" i="23"/>
  <c r="B10" i="23"/>
  <c r="C10" i="23"/>
  <c r="D10" i="23"/>
  <c r="E10" i="23"/>
  <c r="F10" i="23"/>
  <c r="B11" i="23"/>
  <c r="C11" i="23"/>
  <c r="D11" i="23"/>
  <c r="E11" i="23"/>
  <c r="F11" i="23"/>
  <c r="B12" i="23"/>
  <c r="C12" i="23"/>
  <c r="D12" i="23"/>
  <c r="E12" i="23"/>
  <c r="F12" i="23"/>
  <c r="B13" i="23"/>
  <c r="C13" i="23"/>
  <c r="D13" i="23"/>
  <c r="E13" i="23"/>
  <c r="F13" i="23"/>
  <c r="B14" i="23"/>
  <c r="C14" i="23"/>
  <c r="D14" i="23"/>
  <c r="E14" i="23"/>
  <c r="F14" i="23"/>
  <c r="B15" i="23"/>
  <c r="C15" i="23"/>
  <c r="D15" i="23"/>
  <c r="E15" i="23"/>
  <c r="F15" i="23"/>
  <c r="B16" i="23"/>
  <c r="C16" i="23"/>
  <c r="D16" i="23"/>
  <c r="E16" i="23"/>
  <c r="F16" i="23"/>
  <c r="B17" i="23"/>
  <c r="C17" i="23"/>
  <c r="D17" i="23"/>
  <c r="E17" i="23"/>
  <c r="F17" i="23"/>
  <c r="B18" i="23"/>
  <c r="C18" i="23"/>
  <c r="D18" i="23"/>
  <c r="E18" i="23"/>
  <c r="F18" i="23"/>
  <c r="B19" i="23"/>
  <c r="C19" i="23"/>
  <c r="D19" i="23"/>
  <c r="E19" i="23"/>
  <c r="F19" i="23"/>
  <c r="B20" i="23"/>
  <c r="C20" i="23"/>
  <c r="D20" i="23"/>
  <c r="E20" i="23"/>
  <c r="F20" i="23"/>
  <c r="B21" i="23"/>
  <c r="C21" i="23"/>
  <c r="D21" i="23"/>
  <c r="E21" i="23"/>
  <c r="F21" i="23"/>
  <c r="B22" i="23"/>
  <c r="C22" i="23"/>
  <c r="D22" i="23"/>
  <c r="E22" i="23"/>
  <c r="F22" i="23"/>
  <c r="B23" i="23"/>
  <c r="C23" i="23"/>
  <c r="D23" i="23"/>
  <c r="E23" i="23"/>
  <c r="F23" i="23"/>
  <c r="B24" i="23"/>
  <c r="C24" i="23"/>
  <c r="D24" i="23"/>
  <c r="E24" i="23"/>
  <c r="F24" i="23"/>
  <c r="B25" i="23"/>
  <c r="C25" i="23"/>
  <c r="D25" i="23"/>
  <c r="E25" i="23"/>
  <c r="F25" i="23"/>
  <c r="B26" i="23"/>
  <c r="C26" i="23"/>
  <c r="D26" i="23"/>
  <c r="E26" i="23"/>
  <c r="F26" i="23"/>
  <c r="B27" i="23"/>
  <c r="C27" i="23"/>
  <c r="D27" i="23"/>
  <c r="E27" i="23"/>
  <c r="F27" i="23"/>
  <c r="B28" i="23"/>
  <c r="C28" i="23"/>
  <c r="D28" i="23"/>
  <c r="E28" i="23"/>
  <c r="F28" i="23"/>
  <c r="B29" i="23"/>
  <c r="C29" i="23"/>
  <c r="D29" i="23"/>
  <c r="E29" i="23"/>
  <c r="F29" i="23"/>
  <c r="B30" i="23"/>
  <c r="C30" i="23"/>
  <c r="D30" i="23"/>
  <c r="E30" i="23"/>
  <c r="F30" i="23"/>
  <c r="B31" i="23"/>
  <c r="C31" i="23"/>
  <c r="D31" i="23"/>
  <c r="E31" i="23"/>
  <c r="F31" i="23"/>
  <c r="B32" i="23"/>
  <c r="C32" i="23"/>
  <c r="D32" i="23"/>
  <c r="E32" i="23"/>
  <c r="F32" i="23"/>
  <c r="B33" i="23"/>
  <c r="C33" i="23"/>
  <c r="D33" i="23"/>
  <c r="E33" i="23"/>
  <c r="F33" i="23"/>
  <c r="B34" i="23"/>
  <c r="C34" i="23"/>
  <c r="D34" i="23"/>
  <c r="E34" i="23"/>
  <c r="F34" i="23"/>
  <c r="B35" i="23"/>
  <c r="C35" i="23"/>
  <c r="D35" i="23"/>
  <c r="E35" i="23"/>
  <c r="F35" i="23"/>
  <c r="B36" i="23"/>
  <c r="C36" i="23"/>
  <c r="D36" i="23"/>
  <c r="E36" i="23"/>
  <c r="F36" i="23"/>
  <c r="B37" i="23"/>
  <c r="C37" i="23"/>
  <c r="D37" i="23"/>
  <c r="E37" i="23"/>
  <c r="F37" i="23"/>
  <c r="B38" i="23"/>
  <c r="C38" i="23"/>
  <c r="D38" i="23"/>
  <c r="E38" i="23"/>
  <c r="F38" i="23"/>
  <c r="B39" i="23"/>
  <c r="C39" i="23"/>
  <c r="D39" i="23"/>
  <c r="E39" i="23"/>
  <c r="F39" i="23"/>
  <c r="B40" i="23"/>
  <c r="C40" i="23"/>
  <c r="D40" i="23"/>
  <c r="E40" i="23"/>
  <c r="F40" i="23"/>
  <c r="B41" i="23"/>
  <c r="C41" i="23"/>
  <c r="D41" i="23"/>
  <c r="E41" i="23"/>
  <c r="F41" i="23"/>
  <c r="B42" i="23"/>
  <c r="C42" i="23"/>
  <c r="D42" i="23"/>
  <c r="E42" i="23"/>
  <c r="F42" i="23"/>
  <c r="B43" i="23"/>
  <c r="C43" i="23"/>
  <c r="D43" i="23"/>
  <c r="E43" i="23"/>
  <c r="F43" i="23"/>
  <c r="B44" i="23"/>
  <c r="C44" i="23"/>
  <c r="D44" i="23"/>
  <c r="E44" i="23"/>
  <c r="F44" i="23"/>
  <c r="B45" i="23"/>
  <c r="C45" i="23"/>
  <c r="D45" i="23"/>
  <c r="E45" i="23"/>
  <c r="F45" i="23"/>
  <c r="B46" i="23"/>
  <c r="C46" i="23"/>
  <c r="D46" i="23"/>
  <c r="E46" i="23"/>
  <c r="F46" i="23"/>
  <c r="B47" i="23"/>
  <c r="C47" i="23"/>
  <c r="D47" i="23"/>
  <c r="E47" i="23"/>
  <c r="F47" i="23"/>
  <c r="B48" i="23"/>
  <c r="C48" i="23"/>
  <c r="D48" i="23"/>
  <c r="E48" i="23"/>
  <c r="F48" i="23"/>
  <c r="B49" i="23"/>
  <c r="C49" i="23"/>
  <c r="D49" i="23"/>
  <c r="E49" i="23"/>
  <c r="F49" i="23"/>
  <c r="B50" i="23"/>
  <c r="C50" i="23"/>
  <c r="D50" i="23"/>
  <c r="E50" i="23"/>
  <c r="F50" i="23"/>
  <c r="B51" i="23"/>
  <c r="C51" i="23"/>
  <c r="D51" i="23"/>
  <c r="E51" i="23"/>
  <c r="F51" i="23"/>
  <c r="B52" i="23"/>
  <c r="C52" i="23"/>
  <c r="D52" i="23"/>
  <c r="E52" i="23"/>
  <c r="F52" i="23"/>
  <c r="B53" i="23"/>
  <c r="C53" i="23"/>
  <c r="D53" i="23"/>
  <c r="E53" i="23"/>
  <c r="F53" i="23"/>
  <c r="B54" i="23"/>
  <c r="C54" i="23"/>
  <c r="D54" i="23"/>
  <c r="E54" i="23"/>
  <c r="F54" i="23"/>
  <c r="B55" i="23"/>
  <c r="C55" i="23"/>
  <c r="D55" i="23"/>
  <c r="E55" i="23"/>
  <c r="F55" i="23"/>
  <c r="B56" i="23"/>
  <c r="C56" i="23"/>
  <c r="D56" i="23"/>
  <c r="E56" i="23"/>
  <c r="F56" i="23"/>
  <c r="B57" i="23"/>
  <c r="C57" i="23"/>
  <c r="D57" i="23"/>
  <c r="E57" i="23"/>
  <c r="F57" i="23"/>
  <c r="B58" i="23"/>
  <c r="C58" i="23"/>
  <c r="D58" i="23"/>
  <c r="E58" i="23"/>
  <c r="F58" i="23"/>
  <c r="B59" i="23"/>
  <c r="C59" i="23"/>
  <c r="D59" i="23"/>
  <c r="E59" i="23"/>
  <c r="F59" i="23"/>
  <c r="B60" i="23"/>
  <c r="C60" i="23"/>
  <c r="D60" i="23"/>
  <c r="E60" i="23"/>
  <c r="F60" i="23"/>
  <c r="B61" i="23"/>
  <c r="C61" i="23"/>
  <c r="D61" i="23"/>
  <c r="E61" i="23"/>
  <c r="F61" i="23"/>
  <c r="B62" i="23"/>
  <c r="C62" i="23"/>
  <c r="D62" i="23"/>
  <c r="E62" i="23"/>
  <c r="F62" i="23"/>
  <c r="B63" i="23"/>
  <c r="C63" i="23"/>
  <c r="D63" i="23"/>
  <c r="E63" i="23"/>
  <c r="F63" i="23"/>
  <c r="B64" i="23"/>
  <c r="C64" i="23"/>
  <c r="D64" i="23"/>
  <c r="E64" i="23"/>
  <c r="F64" i="23"/>
  <c r="B65" i="23"/>
  <c r="C65" i="23"/>
  <c r="D65" i="23"/>
  <c r="E65" i="23"/>
  <c r="F65" i="23"/>
  <c r="B66" i="23"/>
  <c r="C66" i="23"/>
  <c r="D66" i="23"/>
  <c r="E66" i="23"/>
  <c r="F66" i="23"/>
  <c r="B67" i="23"/>
  <c r="C67" i="23"/>
  <c r="D67" i="23"/>
  <c r="E67" i="23"/>
  <c r="F67" i="23"/>
  <c r="B68" i="23"/>
  <c r="C68" i="23"/>
  <c r="D68" i="23"/>
  <c r="E68" i="23"/>
  <c r="F68" i="23"/>
  <c r="B69" i="23"/>
  <c r="C69" i="23"/>
  <c r="D69" i="23"/>
  <c r="E69" i="23"/>
  <c r="F69" i="23"/>
  <c r="B70" i="23"/>
  <c r="C70" i="23"/>
  <c r="D70" i="23"/>
  <c r="E70" i="23"/>
  <c r="F70" i="23"/>
  <c r="B71" i="23"/>
  <c r="C71" i="23"/>
  <c r="D71" i="23"/>
  <c r="E71" i="23"/>
  <c r="F71" i="23"/>
  <c r="B72" i="23"/>
  <c r="C72" i="23"/>
  <c r="D72" i="23"/>
  <c r="E72" i="23"/>
  <c r="F72" i="23"/>
  <c r="B73" i="23"/>
  <c r="C73" i="23"/>
  <c r="D73" i="23"/>
  <c r="E73" i="23"/>
  <c r="F73" i="23"/>
  <c r="B74" i="23"/>
  <c r="C74" i="23"/>
  <c r="D74" i="23"/>
  <c r="E74" i="23"/>
  <c r="F74" i="23"/>
  <c r="B75" i="23"/>
  <c r="C75" i="23"/>
  <c r="D75" i="23"/>
  <c r="E75" i="23"/>
  <c r="F75" i="23"/>
  <c r="B76" i="23"/>
  <c r="C76" i="23"/>
  <c r="D76" i="23"/>
  <c r="E76" i="23"/>
  <c r="F76" i="23"/>
  <c r="B77" i="23"/>
  <c r="C77" i="23"/>
  <c r="D77" i="23"/>
  <c r="E77" i="23"/>
  <c r="F77" i="23"/>
  <c r="B78" i="23"/>
  <c r="C78" i="23"/>
  <c r="D78" i="23"/>
  <c r="E78" i="23"/>
  <c r="F78" i="23"/>
  <c r="B79" i="23"/>
  <c r="C79" i="23"/>
  <c r="D79" i="23"/>
  <c r="E79" i="23"/>
  <c r="F79" i="23"/>
  <c r="B80" i="23"/>
  <c r="C80" i="23"/>
  <c r="D80" i="23"/>
  <c r="E80" i="23"/>
  <c r="F80" i="23"/>
  <c r="B81" i="23"/>
  <c r="C81" i="23"/>
  <c r="D81" i="23"/>
  <c r="E81" i="23"/>
  <c r="F81" i="23"/>
  <c r="B82" i="23"/>
  <c r="C82" i="23"/>
  <c r="D82" i="23"/>
  <c r="E82" i="23"/>
  <c r="F82" i="23"/>
  <c r="B83" i="23"/>
  <c r="C83" i="23"/>
  <c r="D83" i="23"/>
  <c r="E83" i="23"/>
  <c r="F83" i="23"/>
  <c r="B84" i="23"/>
  <c r="C84" i="23"/>
  <c r="D84" i="23"/>
  <c r="E84" i="23"/>
  <c r="F84" i="23"/>
  <c r="B85" i="23"/>
  <c r="C85" i="23"/>
  <c r="D85" i="23"/>
  <c r="E85" i="23"/>
  <c r="F85" i="23"/>
  <c r="B86" i="23"/>
  <c r="C86" i="23"/>
  <c r="D86" i="23"/>
  <c r="E86" i="23"/>
  <c r="F86" i="23"/>
  <c r="B87" i="23"/>
  <c r="C87" i="23"/>
  <c r="D87" i="23"/>
  <c r="E87" i="23"/>
  <c r="F87" i="23"/>
  <c r="B88" i="23"/>
  <c r="C88" i="23"/>
  <c r="D88" i="23"/>
  <c r="E88" i="23"/>
  <c r="F88" i="23"/>
  <c r="B89" i="23"/>
  <c r="C89" i="23"/>
  <c r="D89" i="23"/>
  <c r="E89" i="23"/>
  <c r="F89" i="23"/>
  <c r="B90" i="23"/>
  <c r="C90" i="23"/>
  <c r="D90" i="23"/>
  <c r="E90" i="23"/>
  <c r="F90" i="23"/>
  <c r="B91" i="23"/>
  <c r="C91" i="23"/>
  <c r="D91" i="23"/>
  <c r="E91" i="23"/>
  <c r="F91" i="23"/>
  <c r="B92" i="23"/>
  <c r="C92" i="23"/>
  <c r="D92" i="23"/>
  <c r="E92" i="23"/>
  <c r="F92" i="23"/>
  <c r="B93" i="23"/>
  <c r="C93" i="23"/>
  <c r="D93" i="23"/>
  <c r="E93" i="23"/>
  <c r="F93" i="23"/>
  <c r="B94" i="23"/>
  <c r="C94" i="23"/>
  <c r="D94" i="23"/>
  <c r="E94" i="23"/>
  <c r="F94" i="23"/>
  <c r="B95" i="23"/>
  <c r="C95" i="23"/>
  <c r="D95" i="23"/>
  <c r="E95" i="23"/>
  <c r="F95" i="23"/>
  <c r="B96" i="23"/>
  <c r="C96" i="23"/>
  <c r="D96" i="23"/>
  <c r="E96" i="23"/>
  <c r="F96" i="23"/>
  <c r="B97" i="23"/>
  <c r="C97" i="23"/>
  <c r="D97" i="23"/>
  <c r="E97" i="23"/>
  <c r="F97" i="23"/>
  <c r="B98" i="23"/>
  <c r="C98" i="23"/>
  <c r="D98" i="23"/>
  <c r="E98" i="23"/>
  <c r="F98" i="23"/>
  <c r="B99" i="23"/>
  <c r="C99" i="23"/>
  <c r="D99" i="23"/>
  <c r="E99" i="23"/>
  <c r="F99" i="23"/>
  <c r="B100" i="23"/>
  <c r="C100" i="23"/>
  <c r="D100" i="23"/>
  <c r="E100" i="23"/>
  <c r="F100" i="23"/>
  <c r="B101" i="23"/>
  <c r="C101" i="23"/>
  <c r="D101" i="23"/>
  <c r="E101" i="23"/>
  <c r="F101" i="23"/>
  <c r="B102" i="23"/>
  <c r="C102" i="23"/>
  <c r="D102" i="23"/>
  <c r="E102" i="23"/>
  <c r="F102" i="23"/>
  <c r="B103" i="23"/>
  <c r="C103" i="23"/>
  <c r="D103" i="23"/>
  <c r="E103" i="23"/>
  <c r="F103" i="23"/>
  <c r="B104" i="23"/>
  <c r="C104" i="23"/>
  <c r="D104" i="23"/>
  <c r="E104" i="23"/>
  <c r="F104" i="23"/>
  <c r="B105" i="23"/>
  <c r="C105" i="23"/>
  <c r="D105" i="23"/>
  <c r="E105" i="23"/>
  <c r="F105" i="23"/>
  <c r="B106" i="23"/>
  <c r="C106" i="23"/>
  <c r="D106" i="23"/>
  <c r="E106" i="23"/>
  <c r="F106" i="23"/>
  <c r="B107" i="23"/>
  <c r="C107" i="23"/>
  <c r="D107" i="23"/>
  <c r="E107" i="23"/>
  <c r="F107" i="23"/>
  <c r="B108" i="23"/>
  <c r="C108" i="23"/>
  <c r="D108" i="23"/>
  <c r="E108" i="23"/>
  <c r="F108" i="23"/>
  <c r="B109" i="23"/>
  <c r="C109" i="23"/>
  <c r="D109" i="23"/>
  <c r="E109" i="23"/>
  <c r="F109" i="23"/>
  <c r="B110" i="23"/>
  <c r="C110" i="23"/>
  <c r="D110" i="23"/>
  <c r="E110" i="23"/>
  <c r="F110" i="23"/>
  <c r="B111" i="23"/>
  <c r="C111" i="23"/>
  <c r="D111" i="23"/>
  <c r="E111" i="23"/>
  <c r="F111" i="23"/>
  <c r="B112" i="23"/>
  <c r="C112" i="23"/>
  <c r="D112" i="23"/>
  <c r="E112" i="23"/>
  <c r="F112" i="23"/>
  <c r="B113" i="23"/>
  <c r="C113" i="23"/>
  <c r="D113" i="23"/>
  <c r="E113" i="23"/>
  <c r="F113" i="23"/>
  <c r="B114" i="23"/>
  <c r="C114" i="23"/>
  <c r="D114" i="23"/>
  <c r="E114" i="23"/>
  <c r="F114" i="23"/>
  <c r="B115" i="23"/>
  <c r="C115" i="23"/>
  <c r="D115" i="23"/>
  <c r="E115" i="23"/>
  <c r="F115" i="23"/>
  <c r="B116" i="23"/>
  <c r="C116" i="23"/>
  <c r="D116" i="23"/>
  <c r="E116" i="23"/>
  <c r="F116" i="23"/>
  <c r="B117" i="23"/>
  <c r="C117" i="23"/>
  <c r="D117" i="23"/>
  <c r="E117" i="23"/>
  <c r="F117" i="23"/>
  <c r="B118" i="23"/>
  <c r="C118" i="23"/>
  <c r="D118" i="23"/>
  <c r="E118" i="23"/>
  <c r="F118" i="23"/>
  <c r="B119" i="23"/>
  <c r="C119" i="23"/>
  <c r="D119" i="23"/>
  <c r="E119" i="23"/>
  <c r="F119" i="23"/>
  <c r="B120" i="23"/>
  <c r="C120" i="23"/>
  <c r="D120" i="23"/>
  <c r="E120" i="23"/>
  <c r="F120" i="23"/>
  <c r="B121" i="23"/>
  <c r="C121" i="23"/>
  <c r="D121" i="23"/>
  <c r="E121" i="23"/>
  <c r="F121" i="23"/>
  <c r="B122" i="23"/>
  <c r="C122" i="23"/>
  <c r="D122" i="23"/>
  <c r="E122" i="23"/>
  <c r="F122" i="23"/>
  <c r="B123" i="23"/>
  <c r="C123" i="23"/>
  <c r="D123" i="23"/>
  <c r="E123" i="23"/>
  <c r="F123" i="23"/>
  <c r="B124" i="23"/>
  <c r="C124" i="23"/>
  <c r="D124" i="23"/>
  <c r="E124" i="23"/>
  <c r="F124" i="23"/>
  <c r="B125" i="23"/>
  <c r="C125" i="23"/>
  <c r="D125" i="23"/>
  <c r="E125" i="23"/>
  <c r="F125" i="23"/>
  <c r="B126" i="23"/>
  <c r="C126" i="23"/>
  <c r="D126" i="23"/>
  <c r="E126" i="23"/>
  <c r="F126" i="23"/>
  <c r="B127" i="23"/>
  <c r="C127" i="23"/>
  <c r="D127" i="23"/>
  <c r="E127" i="23"/>
  <c r="F127" i="23"/>
  <c r="B128" i="23"/>
  <c r="C128" i="23"/>
  <c r="D128" i="23"/>
  <c r="E128" i="23"/>
  <c r="F128" i="23"/>
  <c r="B129" i="23"/>
  <c r="C129" i="23"/>
  <c r="D129" i="23"/>
  <c r="E129" i="23"/>
  <c r="F129" i="23"/>
  <c r="B130" i="23"/>
  <c r="C130" i="23"/>
  <c r="D130" i="23"/>
  <c r="E130" i="23"/>
  <c r="F130" i="23"/>
  <c r="B131" i="23"/>
  <c r="C131" i="23"/>
  <c r="D131" i="23"/>
  <c r="E131" i="23"/>
  <c r="F131" i="23"/>
  <c r="B132" i="23"/>
  <c r="C132" i="23"/>
  <c r="D132" i="23"/>
  <c r="E132" i="23"/>
  <c r="F132" i="23"/>
  <c r="B133" i="23"/>
  <c r="C133" i="23"/>
  <c r="D133" i="23"/>
  <c r="E133" i="23"/>
  <c r="F133" i="23"/>
  <c r="B134" i="23"/>
  <c r="C134" i="23"/>
  <c r="D134" i="23"/>
  <c r="E134" i="23"/>
  <c r="F134" i="23"/>
  <c r="B135" i="23"/>
  <c r="C135" i="23"/>
  <c r="D135" i="23"/>
  <c r="E135" i="23"/>
  <c r="F135" i="23"/>
  <c r="B136" i="23"/>
  <c r="C136" i="23"/>
  <c r="D136" i="23"/>
  <c r="E136" i="23"/>
  <c r="F136" i="23"/>
  <c r="B137" i="23"/>
  <c r="C137" i="23"/>
  <c r="D137" i="23"/>
  <c r="E137" i="23"/>
  <c r="F137" i="23"/>
  <c r="B138" i="23"/>
  <c r="C138" i="23"/>
  <c r="D138" i="23"/>
  <c r="E138" i="23"/>
  <c r="F138" i="23"/>
  <c r="B139" i="23"/>
  <c r="C139" i="23"/>
  <c r="D139" i="23"/>
  <c r="E139" i="23"/>
  <c r="F139" i="23"/>
  <c r="B140" i="23"/>
  <c r="C140" i="23"/>
  <c r="D140" i="23"/>
  <c r="E140" i="23"/>
  <c r="F140" i="23"/>
  <c r="B141" i="23"/>
  <c r="C141" i="23"/>
  <c r="D141" i="23"/>
  <c r="E141" i="23"/>
  <c r="F141" i="23"/>
  <c r="B142" i="23"/>
  <c r="C142" i="23"/>
  <c r="D142" i="23"/>
  <c r="E142" i="23"/>
  <c r="F142" i="23"/>
  <c r="B143" i="23"/>
  <c r="C143" i="23"/>
  <c r="D143" i="23"/>
  <c r="E143" i="23"/>
  <c r="F143" i="23"/>
  <c r="B144" i="23"/>
  <c r="C144" i="23"/>
  <c r="D144" i="23"/>
  <c r="E144" i="23"/>
  <c r="F144" i="23"/>
  <c r="B145" i="23"/>
  <c r="C145" i="23"/>
  <c r="D145" i="23"/>
  <c r="E145" i="23"/>
  <c r="F145" i="23"/>
  <c r="B146" i="23"/>
  <c r="C146" i="23"/>
  <c r="D146" i="23"/>
  <c r="E146" i="23"/>
  <c r="F146" i="23"/>
  <c r="B147" i="23"/>
  <c r="C147" i="23"/>
  <c r="D147" i="23"/>
  <c r="E147" i="23"/>
  <c r="F147" i="23"/>
  <c r="B148" i="23"/>
  <c r="C148" i="23"/>
  <c r="D148" i="23"/>
  <c r="E148" i="23"/>
  <c r="F148" i="23"/>
  <c r="B149" i="23"/>
  <c r="C149" i="23"/>
  <c r="D149" i="23"/>
  <c r="E149" i="23"/>
  <c r="F149" i="23"/>
  <c r="B150" i="23"/>
  <c r="C150" i="23"/>
  <c r="D150" i="23"/>
  <c r="E150" i="23"/>
  <c r="F150" i="23"/>
  <c r="B151" i="23"/>
  <c r="C151" i="23"/>
  <c r="D151" i="23"/>
  <c r="E151" i="23"/>
  <c r="F151" i="23"/>
  <c r="B152" i="23"/>
  <c r="C152" i="23"/>
  <c r="D152" i="23"/>
  <c r="E152" i="23"/>
  <c r="F152" i="23"/>
  <c r="B153" i="23"/>
  <c r="C153" i="23"/>
  <c r="D153" i="23"/>
  <c r="E153" i="23"/>
  <c r="F153" i="23"/>
  <c r="B154" i="23"/>
  <c r="C154" i="23"/>
  <c r="D154" i="23"/>
  <c r="E154" i="23"/>
  <c r="F154" i="23"/>
  <c r="B155" i="23"/>
  <c r="C155" i="23"/>
  <c r="D155" i="23"/>
  <c r="E155" i="23"/>
  <c r="F155" i="23"/>
  <c r="B156" i="23"/>
  <c r="C156" i="23"/>
  <c r="D156" i="23"/>
  <c r="E156" i="23"/>
  <c r="F156" i="23"/>
  <c r="B157" i="23"/>
  <c r="C157" i="23"/>
  <c r="D157" i="23"/>
  <c r="E157" i="23"/>
  <c r="F157" i="23"/>
  <c r="B158" i="23"/>
  <c r="C158" i="23"/>
  <c r="D158" i="23"/>
  <c r="E158" i="23"/>
  <c r="F158" i="23"/>
  <c r="B159" i="23"/>
  <c r="C159" i="23"/>
  <c r="D159" i="23"/>
  <c r="E159" i="23"/>
  <c r="F159" i="23"/>
  <c r="B160" i="23"/>
  <c r="C160" i="23"/>
  <c r="D160" i="23"/>
  <c r="E160" i="23"/>
  <c r="F160" i="23"/>
  <c r="B161" i="23"/>
  <c r="C161" i="23"/>
  <c r="D161" i="23"/>
  <c r="E161" i="23"/>
  <c r="F161" i="23"/>
  <c r="B162" i="23"/>
  <c r="C162" i="23"/>
  <c r="D162" i="23"/>
  <c r="E162" i="23"/>
  <c r="F162" i="23"/>
  <c r="B163" i="23"/>
  <c r="C163" i="23"/>
  <c r="D163" i="23"/>
  <c r="E163" i="23"/>
  <c r="F163" i="23"/>
  <c r="B164" i="23"/>
  <c r="C164" i="23"/>
  <c r="D164" i="23"/>
  <c r="E164" i="23"/>
  <c r="F164" i="23"/>
  <c r="B165" i="23"/>
  <c r="C165" i="23"/>
  <c r="D165" i="23"/>
  <c r="E165" i="23"/>
  <c r="F165" i="23"/>
  <c r="B166" i="23"/>
  <c r="C166" i="23"/>
  <c r="D166" i="23"/>
  <c r="E166" i="23"/>
  <c r="F166" i="23"/>
  <c r="B167" i="23"/>
  <c r="C167" i="23"/>
  <c r="D167" i="23"/>
  <c r="E167" i="23"/>
  <c r="F167" i="23"/>
  <c r="B168" i="23"/>
  <c r="C168" i="23"/>
  <c r="D168" i="23"/>
  <c r="E168" i="23"/>
  <c r="F168" i="23"/>
  <c r="B169" i="23"/>
  <c r="C169" i="23"/>
  <c r="D169" i="23"/>
  <c r="E169" i="23"/>
  <c r="F169" i="23"/>
  <c r="B170" i="23"/>
  <c r="C170" i="23"/>
  <c r="D170" i="23"/>
  <c r="E170" i="23"/>
  <c r="F170" i="23"/>
  <c r="B171" i="23"/>
  <c r="C171" i="23"/>
  <c r="D171" i="23"/>
  <c r="E171" i="23"/>
  <c r="F171" i="23"/>
  <c r="B172" i="23"/>
  <c r="C172" i="23"/>
  <c r="D172" i="23"/>
  <c r="E172" i="23"/>
  <c r="F172" i="23"/>
  <c r="B173" i="23"/>
  <c r="C173" i="23"/>
  <c r="D173" i="23"/>
  <c r="E173" i="23"/>
  <c r="F173" i="23"/>
  <c r="B174" i="23"/>
  <c r="C174" i="23"/>
  <c r="D174" i="23"/>
  <c r="E174" i="23"/>
  <c r="F174" i="23"/>
  <c r="B175" i="23"/>
  <c r="C175" i="23"/>
  <c r="D175" i="23"/>
  <c r="E175" i="23"/>
  <c r="F175" i="23"/>
  <c r="B176" i="23"/>
  <c r="C176" i="23"/>
  <c r="D176" i="23"/>
  <c r="E176" i="23"/>
  <c r="F176" i="23"/>
  <c r="B177" i="23"/>
  <c r="C177" i="23"/>
  <c r="D177" i="23"/>
  <c r="E177" i="23"/>
  <c r="F177" i="23"/>
  <c r="B178" i="23"/>
  <c r="C178" i="23"/>
  <c r="D178" i="23"/>
  <c r="E178" i="23"/>
  <c r="F178" i="23"/>
  <c r="B179" i="23"/>
  <c r="C179" i="23"/>
  <c r="D179" i="23"/>
  <c r="E179" i="23"/>
  <c r="F179" i="23"/>
  <c r="B180" i="23"/>
  <c r="C180" i="23"/>
  <c r="D180" i="23"/>
  <c r="E180" i="23"/>
  <c r="F180" i="23"/>
  <c r="B181" i="23"/>
  <c r="C181" i="23"/>
  <c r="D181" i="23"/>
  <c r="E181" i="23"/>
  <c r="F181" i="23"/>
  <c r="B182" i="23"/>
  <c r="C182" i="23"/>
  <c r="D182" i="23"/>
  <c r="E182" i="23"/>
  <c r="F182" i="23"/>
  <c r="B183" i="23"/>
  <c r="C183" i="23"/>
  <c r="D183" i="23"/>
  <c r="E183" i="23"/>
  <c r="F183" i="23"/>
  <c r="B184" i="23"/>
  <c r="C184" i="23"/>
  <c r="D184" i="23"/>
  <c r="E184" i="23"/>
  <c r="F184" i="23"/>
  <c r="B185" i="23"/>
  <c r="C185" i="23"/>
  <c r="D185" i="23"/>
  <c r="E185" i="23"/>
  <c r="F185" i="23"/>
  <c r="B186" i="23"/>
  <c r="C186" i="23"/>
  <c r="D186" i="23"/>
  <c r="E186" i="23"/>
  <c r="F186" i="23"/>
  <c r="B187" i="23"/>
  <c r="C187" i="23"/>
  <c r="D187" i="23"/>
  <c r="E187" i="23"/>
  <c r="F187" i="23"/>
  <c r="B188" i="23"/>
  <c r="C188" i="23"/>
  <c r="D188" i="23"/>
  <c r="E188" i="23"/>
  <c r="F188" i="23"/>
  <c r="B189" i="23"/>
  <c r="C189" i="23"/>
  <c r="D189" i="23"/>
  <c r="E189" i="23"/>
  <c r="F189" i="23"/>
  <c r="B190" i="23"/>
  <c r="C190" i="23"/>
  <c r="D190" i="23"/>
  <c r="E190" i="23"/>
  <c r="F190" i="23"/>
  <c r="B191" i="23"/>
  <c r="C191" i="23"/>
  <c r="D191" i="23"/>
  <c r="E191" i="23"/>
  <c r="F191" i="23"/>
  <c r="B192" i="23"/>
  <c r="C192" i="23"/>
  <c r="D192" i="23"/>
  <c r="E192" i="23"/>
  <c r="F192" i="23"/>
  <c r="B193" i="23"/>
  <c r="C193" i="23"/>
  <c r="D193" i="23"/>
  <c r="E193" i="23"/>
  <c r="F193" i="23"/>
  <c r="B194" i="23"/>
  <c r="C194" i="23"/>
  <c r="D194" i="23"/>
  <c r="E194" i="23"/>
  <c r="F194" i="23"/>
  <c r="B195" i="23"/>
  <c r="C195" i="23"/>
  <c r="D195" i="23"/>
  <c r="E195" i="23"/>
  <c r="F195" i="23"/>
  <c r="B196" i="23"/>
  <c r="C196" i="23"/>
  <c r="D196" i="23"/>
  <c r="E196" i="23"/>
  <c r="F196" i="23"/>
  <c r="B197" i="23"/>
  <c r="C197" i="23"/>
  <c r="D197" i="23"/>
  <c r="E197" i="23"/>
  <c r="F197" i="23"/>
  <c r="B198" i="23"/>
  <c r="C198" i="23"/>
  <c r="D198" i="23"/>
  <c r="E198" i="23"/>
  <c r="F198" i="23"/>
  <c r="B199" i="23"/>
  <c r="C199" i="23"/>
  <c r="D199" i="23"/>
  <c r="E199" i="23"/>
  <c r="F199" i="23"/>
  <c r="B200" i="23"/>
  <c r="C200" i="23"/>
  <c r="D200" i="23"/>
  <c r="E200" i="23"/>
  <c r="F200" i="23"/>
  <c r="B201" i="23"/>
  <c r="C201" i="23"/>
  <c r="D201" i="23"/>
  <c r="E201" i="23"/>
  <c r="F201" i="23"/>
  <c r="B202" i="23"/>
  <c r="C202" i="23"/>
  <c r="D202" i="23"/>
  <c r="E202" i="23"/>
  <c r="F202" i="23"/>
  <c r="B203" i="23"/>
  <c r="C203" i="23"/>
  <c r="D203" i="23"/>
  <c r="E203" i="23"/>
  <c r="F203" i="23"/>
  <c r="B204" i="23"/>
  <c r="C204" i="23"/>
  <c r="D204" i="23"/>
  <c r="E204" i="23"/>
  <c r="F204" i="23"/>
  <c r="B205" i="23"/>
  <c r="C205" i="23"/>
  <c r="D205" i="23"/>
  <c r="E205" i="23"/>
  <c r="F205" i="23"/>
  <c r="B206" i="23"/>
  <c r="C206" i="23"/>
  <c r="D206" i="23"/>
  <c r="E206" i="23"/>
  <c r="F206" i="23"/>
  <c r="B207" i="23"/>
  <c r="C207" i="23"/>
  <c r="D207" i="23"/>
  <c r="E207" i="23"/>
  <c r="F207" i="23"/>
  <c r="B208" i="23"/>
  <c r="C208" i="23"/>
  <c r="D208" i="23"/>
  <c r="E208" i="23"/>
  <c r="F208" i="23"/>
  <c r="B209" i="23"/>
  <c r="C209" i="23"/>
  <c r="D209" i="23"/>
  <c r="E209" i="23"/>
  <c r="F209" i="23"/>
  <c r="B210" i="23"/>
  <c r="C210" i="23"/>
  <c r="D210" i="23"/>
  <c r="E210" i="23"/>
  <c r="F210" i="23"/>
  <c r="B211" i="23"/>
  <c r="C211" i="23"/>
  <c r="D211" i="23"/>
  <c r="E211" i="23"/>
  <c r="F211" i="23"/>
  <c r="B212" i="23"/>
  <c r="C212" i="23"/>
  <c r="D212" i="23"/>
  <c r="E212" i="23"/>
  <c r="F212" i="23"/>
  <c r="B213" i="23"/>
  <c r="C213" i="23"/>
  <c r="D213" i="23"/>
  <c r="E213" i="23"/>
  <c r="F213" i="23"/>
  <c r="B214" i="23"/>
  <c r="C214" i="23"/>
  <c r="D214" i="23"/>
  <c r="E214" i="23"/>
  <c r="F214" i="23"/>
  <c r="B215" i="23"/>
  <c r="C215" i="23"/>
  <c r="D215" i="23"/>
  <c r="E215" i="23"/>
  <c r="F215" i="23"/>
  <c r="B216" i="23"/>
  <c r="C216" i="23"/>
  <c r="D216" i="23"/>
  <c r="E216" i="23"/>
  <c r="F216" i="23"/>
  <c r="B217" i="23"/>
  <c r="C217" i="23"/>
  <c r="D217" i="23"/>
  <c r="E217" i="23"/>
  <c r="F217" i="23"/>
  <c r="B218" i="23"/>
  <c r="C218" i="23"/>
  <c r="D218" i="23"/>
  <c r="E218" i="23"/>
  <c r="F218" i="23"/>
  <c r="B219" i="23"/>
  <c r="C219" i="23"/>
  <c r="D219" i="23"/>
  <c r="E219" i="23"/>
  <c r="F219" i="23"/>
  <c r="B220" i="23"/>
  <c r="C220" i="23"/>
  <c r="D220" i="23"/>
  <c r="E220" i="23"/>
  <c r="F220" i="23"/>
  <c r="B221" i="23"/>
  <c r="C221" i="23"/>
  <c r="D221" i="23"/>
  <c r="E221" i="23"/>
  <c r="F221" i="23"/>
  <c r="B222" i="23"/>
  <c r="C222" i="23"/>
  <c r="D222" i="23"/>
  <c r="E222" i="23"/>
  <c r="F222" i="23"/>
  <c r="B223" i="23"/>
  <c r="C223" i="23"/>
  <c r="D223" i="23"/>
  <c r="E223" i="23"/>
  <c r="F223" i="23"/>
  <c r="B224" i="23"/>
  <c r="C224" i="23"/>
  <c r="D224" i="23"/>
  <c r="E224" i="23"/>
  <c r="F224" i="23"/>
  <c r="B225" i="23"/>
  <c r="C225" i="23"/>
  <c r="D225" i="23"/>
  <c r="E225" i="23"/>
  <c r="F225" i="23"/>
  <c r="B226" i="23"/>
  <c r="C226" i="23"/>
  <c r="D226" i="23"/>
  <c r="E226" i="23"/>
  <c r="F226" i="23"/>
  <c r="B227" i="23"/>
  <c r="C227" i="23"/>
  <c r="D227" i="23"/>
  <c r="E227" i="23"/>
  <c r="F227" i="23"/>
  <c r="B228" i="23"/>
  <c r="C228" i="23"/>
  <c r="D228" i="23"/>
  <c r="E228" i="23"/>
  <c r="F228" i="23"/>
  <c r="B229" i="23"/>
  <c r="C229" i="23"/>
  <c r="D229" i="23"/>
  <c r="E229" i="23"/>
  <c r="F229" i="23"/>
  <c r="B230" i="23"/>
  <c r="C230" i="23"/>
  <c r="D230" i="23"/>
  <c r="E230" i="23"/>
  <c r="F230" i="23"/>
  <c r="B231" i="23"/>
  <c r="C231" i="23"/>
  <c r="D231" i="23"/>
  <c r="E231" i="23"/>
  <c r="F231" i="23"/>
  <c r="B232" i="23"/>
  <c r="C232" i="23"/>
  <c r="D232" i="23"/>
  <c r="E232" i="23"/>
  <c r="F232" i="23"/>
  <c r="B233" i="23"/>
  <c r="C233" i="23"/>
  <c r="D233" i="23"/>
  <c r="E233" i="23"/>
  <c r="F233" i="23"/>
  <c r="B234" i="23"/>
  <c r="C234" i="23"/>
  <c r="D234" i="23"/>
  <c r="E234" i="23"/>
  <c r="F234" i="23"/>
  <c r="B235" i="23"/>
  <c r="C235" i="23"/>
  <c r="D235" i="23"/>
  <c r="E235" i="23"/>
  <c r="F235" i="23"/>
  <c r="B236" i="23"/>
  <c r="C236" i="23"/>
  <c r="D236" i="23"/>
  <c r="E236" i="23"/>
  <c r="F236" i="23"/>
  <c r="B237" i="23"/>
  <c r="C237" i="23"/>
  <c r="D237" i="23"/>
  <c r="E237" i="23"/>
  <c r="F237" i="23"/>
  <c r="B238" i="23"/>
  <c r="C238" i="23"/>
  <c r="D238" i="23"/>
  <c r="E238" i="23"/>
  <c r="F238" i="23"/>
  <c r="B239" i="23"/>
  <c r="C239" i="23"/>
  <c r="D239" i="23"/>
  <c r="E239" i="23"/>
  <c r="F239" i="23"/>
  <c r="B240" i="23"/>
  <c r="C240" i="23"/>
  <c r="D240" i="23"/>
  <c r="E240" i="23"/>
  <c r="F240" i="23"/>
  <c r="B241" i="23"/>
  <c r="C241" i="23"/>
  <c r="D241" i="23"/>
  <c r="E241" i="23"/>
  <c r="F241" i="23"/>
  <c r="B242" i="23"/>
  <c r="C242" i="23"/>
  <c r="D242" i="23"/>
  <c r="E242" i="23"/>
  <c r="F242" i="23"/>
  <c r="B243" i="23"/>
  <c r="C243" i="23"/>
  <c r="D243" i="23"/>
  <c r="E243" i="23"/>
  <c r="F243" i="23"/>
  <c r="B244" i="23"/>
  <c r="C244" i="23"/>
  <c r="D244" i="23"/>
  <c r="E244" i="23"/>
  <c r="F244" i="23"/>
  <c r="B245" i="23"/>
  <c r="C245" i="23"/>
  <c r="D245" i="23"/>
  <c r="E245" i="23"/>
  <c r="F245" i="23"/>
  <c r="B246" i="23"/>
  <c r="C246" i="23"/>
  <c r="D246" i="23"/>
  <c r="E246" i="23"/>
  <c r="F246" i="23"/>
  <c r="B247" i="23"/>
  <c r="C247" i="23"/>
  <c r="D247" i="23"/>
  <c r="E247" i="23"/>
  <c r="F247" i="23"/>
  <c r="B248" i="23"/>
  <c r="C248" i="23"/>
  <c r="D248" i="23"/>
  <c r="E248" i="23"/>
  <c r="F248" i="23"/>
  <c r="B249" i="23"/>
  <c r="C249" i="23"/>
  <c r="D249" i="23"/>
  <c r="E249" i="23"/>
  <c r="F249" i="23"/>
  <c r="B250" i="23"/>
  <c r="C250" i="23"/>
  <c r="D250" i="23"/>
  <c r="E250" i="23"/>
  <c r="F250" i="23"/>
  <c r="B251" i="23"/>
  <c r="C251" i="23"/>
  <c r="D251" i="23"/>
  <c r="E251" i="23"/>
  <c r="F251" i="23"/>
  <c r="B252" i="23"/>
  <c r="C252" i="23"/>
  <c r="D252" i="23"/>
  <c r="E252" i="23"/>
  <c r="F252" i="23"/>
  <c r="B253" i="23"/>
  <c r="C253" i="23"/>
  <c r="D253" i="23"/>
  <c r="E253" i="23"/>
  <c r="F253" i="23"/>
  <c r="B254" i="23"/>
  <c r="C254" i="23"/>
  <c r="D254" i="23"/>
  <c r="E254" i="23"/>
  <c r="F254" i="23"/>
  <c r="B255" i="23"/>
  <c r="C255" i="23"/>
  <c r="D255" i="23"/>
  <c r="E255" i="23"/>
  <c r="F255" i="23"/>
  <c r="B256" i="23"/>
  <c r="C256" i="23"/>
  <c r="D256" i="23"/>
  <c r="E256" i="23"/>
  <c r="F256" i="23"/>
  <c r="B257" i="23"/>
  <c r="C257" i="23"/>
  <c r="D257" i="23"/>
  <c r="E257" i="23"/>
  <c r="F257" i="23"/>
  <c r="B258" i="23"/>
  <c r="C258" i="23"/>
  <c r="D258" i="23"/>
  <c r="E258" i="23"/>
  <c r="F258" i="23"/>
  <c r="B259" i="23"/>
  <c r="C259" i="23"/>
  <c r="D259" i="23"/>
  <c r="E259" i="23"/>
  <c r="F259" i="23"/>
  <c r="B260" i="23"/>
  <c r="C260" i="23"/>
  <c r="D260" i="23"/>
  <c r="E260" i="23"/>
  <c r="F260" i="23"/>
  <c r="B261" i="23"/>
  <c r="C261" i="23"/>
  <c r="D261" i="23"/>
  <c r="E261" i="23"/>
  <c r="F261" i="23"/>
  <c r="B262" i="23"/>
  <c r="C262" i="23"/>
  <c r="D262" i="23"/>
  <c r="E262" i="23"/>
  <c r="F262" i="23"/>
  <c r="B263" i="23"/>
  <c r="C263" i="23"/>
  <c r="D263" i="23"/>
  <c r="E263" i="23"/>
  <c r="F263" i="23"/>
  <c r="B264" i="23"/>
  <c r="C264" i="23"/>
  <c r="D264" i="23"/>
  <c r="E264" i="23"/>
  <c r="F264" i="23"/>
  <c r="B265" i="23"/>
  <c r="C265" i="23"/>
  <c r="D265" i="23"/>
  <c r="E265" i="23"/>
  <c r="F265" i="23"/>
  <c r="B266" i="23"/>
  <c r="C266" i="23"/>
  <c r="D266" i="23"/>
  <c r="E266" i="23"/>
  <c r="F266" i="23"/>
  <c r="B267" i="23"/>
  <c r="C267" i="23"/>
  <c r="D267" i="23"/>
  <c r="E267" i="23"/>
  <c r="F267" i="23"/>
  <c r="B268" i="23"/>
  <c r="C268" i="23"/>
  <c r="D268" i="23"/>
  <c r="E268" i="23"/>
  <c r="F268" i="23"/>
  <c r="B269" i="23"/>
  <c r="C269" i="23"/>
  <c r="D269" i="23"/>
  <c r="E269" i="23"/>
  <c r="F269" i="23"/>
  <c r="B270" i="23"/>
  <c r="C270" i="23"/>
  <c r="D270" i="23"/>
  <c r="E270" i="23"/>
  <c r="F270" i="23"/>
  <c r="B271" i="23"/>
  <c r="C271" i="23"/>
  <c r="D271" i="23"/>
  <c r="E271" i="23"/>
  <c r="F271" i="23"/>
  <c r="B272" i="23"/>
  <c r="C272" i="23"/>
  <c r="D272" i="23"/>
  <c r="E272" i="23"/>
  <c r="F272" i="23"/>
  <c r="B273" i="23"/>
  <c r="C273" i="23"/>
  <c r="D273" i="23"/>
  <c r="E273" i="23"/>
  <c r="F273" i="23"/>
  <c r="B274" i="23"/>
  <c r="C274" i="23"/>
  <c r="D274" i="23"/>
  <c r="E274" i="23"/>
  <c r="F274" i="23"/>
  <c r="B275" i="23"/>
  <c r="C275" i="23"/>
  <c r="D275" i="23"/>
  <c r="E275" i="23"/>
  <c r="F275" i="23"/>
  <c r="B276" i="23"/>
  <c r="C276" i="23"/>
  <c r="D276" i="23"/>
  <c r="E276" i="23"/>
  <c r="F276" i="23"/>
  <c r="B277" i="23"/>
  <c r="C277" i="23"/>
  <c r="D277" i="23"/>
  <c r="E277" i="23"/>
  <c r="F277" i="23"/>
  <c r="B278" i="23"/>
  <c r="C278" i="23"/>
  <c r="D278" i="23"/>
  <c r="E278" i="23"/>
  <c r="F278" i="23"/>
  <c r="B279" i="23"/>
  <c r="C279" i="23"/>
  <c r="D279" i="23"/>
  <c r="E279" i="23"/>
  <c r="F279" i="23"/>
  <c r="B280" i="23"/>
  <c r="C280" i="23"/>
  <c r="D280" i="23"/>
  <c r="E280" i="23"/>
  <c r="F280" i="23"/>
  <c r="B281" i="23"/>
  <c r="C281" i="23"/>
  <c r="D281" i="23"/>
  <c r="E281" i="23"/>
  <c r="F281" i="23"/>
  <c r="B282" i="23"/>
  <c r="C282" i="23"/>
  <c r="D282" i="23"/>
  <c r="E282" i="23"/>
  <c r="F282" i="23"/>
  <c r="B283" i="23"/>
  <c r="C283" i="23"/>
  <c r="D283" i="23"/>
  <c r="E283" i="23"/>
  <c r="F283" i="23"/>
  <c r="B284" i="23"/>
  <c r="C284" i="23"/>
  <c r="D284" i="23"/>
  <c r="E284" i="23"/>
  <c r="F284" i="23"/>
  <c r="B285" i="23"/>
  <c r="C285" i="23"/>
  <c r="D285" i="23"/>
  <c r="E285" i="23"/>
  <c r="F285" i="23"/>
  <c r="B286" i="23"/>
  <c r="C286" i="23"/>
  <c r="D286" i="23"/>
  <c r="E286" i="23"/>
  <c r="F286" i="23"/>
  <c r="B287" i="23"/>
  <c r="C287" i="23"/>
  <c r="D287" i="23"/>
  <c r="E287" i="23"/>
  <c r="F287" i="23"/>
  <c r="B288" i="23"/>
  <c r="C288" i="23"/>
  <c r="D288" i="23"/>
  <c r="E288" i="23"/>
  <c r="F288" i="23"/>
  <c r="B289" i="23"/>
  <c r="C289" i="23"/>
  <c r="D289" i="23"/>
  <c r="E289" i="23"/>
  <c r="F289" i="23"/>
  <c r="B290" i="23"/>
  <c r="C290" i="23"/>
  <c r="D290" i="23"/>
  <c r="E290" i="23"/>
  <c r="F290" i="23"/>
  <c r="B291" i="23"/>
  <c r="C291" i="23"/>
  <c r="D291" i="23"/>
  <c r="E291" i="23"/>
  <c r="F291" i="23"/>
  <c r="B292" i="23"/>
  <c r="C292" i="23"/>
  <c r="D292" i="23"/>
  <c r="E292" i="23"/>
  <c r="F292" i="23"/>
  <c r="B293" i="23"/>
  <c r="C293" i="23"/>
  <c r="D293" i="23"/>
  <c r="E293" i="23"/>
  <c r="F293" i="23"/>
  <c r="B294" i="23"/>
  <c r="C294" i="23"/>
  <c r="D294" i="23"/>
  <c r="E294" i="23"/>
  <c r="F294" i="23"/>
  <c r="B295" i="23"/>
  <c r="C295" i="23"/>
  <c r="D295" i="23"/>
  <c r="E295" i="23"/>
  <c r="F295" i="23"/>
  <c r="B296" i="23"/>
  <c r="C296" i="23"/>
  <c r="D296" i="23"/>
  <c r="E296" i="23"/>
  <c r="F296" i="23"/>
  <c r="B297" i="23"/>
  <c r="C297" i="23"/>
  <c r="D297" i="23"/>
  <c r="E297" i="23"/>
  <c r="F297" i="23"/>
  <c r="B298" i="23"/>
  <c r="C298" i="23"/>
  <c r="D298" i="23"/>
  <c r="E298" i="23"/>
  <c r="F298" i="23"/>
  <c r="B299" i="23"/>
  <c r="C299" i="23"/>
  <c r="D299" i="23"/>
  <c r="E299" i="23"/>
  <c r="F299" i="23"/>
  <c r="B300" i="23"/>
  <c r="C300" i="23"/>
  <c r="D300" i="23"/>
  <c r="E300" i="23"/>
  <c r="F300" i="23"/>
  <c r="B301" i="23"/>
  <c r="C301" i="23"/>
  <c r="D301" i="23"/>
  <c r="E301" i="23"/>
  <c r="F301" i="23"/>
  <c r="B302" i="23"/>
  <c r="C302" i="23"/>
  <c r="D302" i="23"/>
  <c r="E302" i="23"/>
  <c r="F302" i="23"/>
  <c r="B303" i="23"/>
  <c r="C303" i="23"/>
  <c r="D303" i="23"/>
  <c r="E303" i="23"/>
  <c r="F303" i="23"/>
  <c r="B304" i="23"/>
  <c r="C304" i="23"/>
  <c r="D304" i="23"/>
  <c r="E304" i="23"/>
  <c r="F304" i="23"/>
  <c r="B305" i="23"/>
  <c r="C305" i="23"/>
  <c r="D305" i="23"/>
  <c r="E305" i="23"/>
  <c r="F305" i="23"/>
  <c r="B306" i="23"/>
  <c r="C306" i="23"/>
  <c r="D306" i="23"/>
  <c r="E306" i="23"/>
  <c r="F306" i="23"/>
  <c r="B307" i="23"/>
  <c r="C307" i="23"/>
  <c r="D307" i="23"/>
  <c r="E307" i="23"/>
  <c r="F307" i="23"/>
  <c r="B308" i="23"/>
  <c r="C308" i="23"/>
  <c r="D308" i="23"/>
  <c r="E308" i="23"/>
  <c r="F308" i="23"/>
  <c r="B309" i="23"/>
  <c r="C309" i="23"/>
  <c r="D309" i="23"/>
  <c r="E309" i="23"/>
  <c r="F309" i="23"/>
  <c r="B310" i="23"/>
  <c r="C310" i="23"/>
  <c r="D310" i="23"/>
  <c r="E310" i="23"/>
  <c r="F310" i="23"/>
  <c r="B311" i="23"/>
  <c r="C311" i="23"/>
  <c r="D311" i="23"/>
  <c r="E311" i="23"/>
  <c r="F311" i="23"/>
  <c r="B312" i="23"/>
  <c r="C312" i="23"/>
  <c r="D312" i="23"/>
  <c r="E312" i="23"/>
  <c r="F312" i="23"/>
  <c r="B313" i="23"/>
  <c r="C313" i="23"/>
  <c r="D313" i="23"/>
  <c r="E313" i="23"/>
  <c r="F313" i="23"/>
  <c r="B314" i="23"/>
  <c r="C314" i="23"/>
  <c r="D314" i="23"/>
  <c r="E314" i="23"/>
  <c r="F314" i="23"/>
  <c r="B315" i="23"/>
  <c r="C315" i="23"/>
  <c r="D315" i="23"/>
  <c r="E315" i="23"/>
  <c r="F315" i="23"/>
  <c r="B316" i="23"/>
  <c r="C316" i="23"/>
  <c r="D316" i="23"/>
  <c r="E316" i="23"/>
  <c r="F316" i="23"/>
  <c r="B317" i="23"/>
  <c r="C317" i="23"/>
  <c r="D317" i="23"/>
  <c r="E317" i="23"/>
  <c r="F317" i="23"/>
  <c r="B318" i="23"/>
  <c r="C318" i="23"/>
  <c r="D318" i="23"/>
  <c r="E318" i="23"/>
  <c r="F318" i="23"/>
  <c r="B319" i="23"/>
  <c r="C319" i="23"/>
  <c r="D319" i="23"/>
  <c r="E319" i="23"/>
  <c r="F319" i="23"/>
  <c r="B320" i="23"/>
  <c r="C320" i="23"/>
  <c r="D320" i="23"/>
  <c r="E320" i="23"/>
  <c r="F320" i="23"/>
  <c r="B321" i="23"/>
  <c r="C321" i="23"/>
  <c r="D321" i="23"/>
  <c r="E321" i="23"/>
  <c r="F321" i="23"/>
  <c r="B322" i="23"/>
  <c r="C322" i="23"/>
  <c r="D322" i="23"/>
  <c r="E322" i="23"/>
  <c r="F322" i="23"/>
  <c r="B323" i="23"/>
  <c r="C323" i="23"/>
  <c r="D323" i="23"/>
  <c r="E323" i="23"/>
  <c r="F323" i="23"/>
  <c r="B324" i="23"/>
  <c r="C324" i="23"/>
  <c r="D324" i="23"/>
  <c r="E324" i="23"/>
  <c r="F324" i="23"/>
  <c r="B325" i="23"/>
  <c r="C325" i="23"/>
  <c r="D325" i="23"/>
  <c r="E325" i="23"/>
  <c r="F325" i="23"/>
  <c r="B326" i="23"/>
  <c r="C326" i="23"/>
  <c r="D326" i="23"/>
  <c r="E326" i="23"/>
  <c r="F326" i="23"/>
  <c r="B327" i="23"/>
  <c r="C327" i="23"/>
  <c r="D327" i="23"/>
  <c r="E327" i="23"/>
  <c r="F327" i="23"/>
  <c r="B328" i="23"/>
  <c r="C328" i="23"/>
  <c r="D328" i="23"/>
  <c r="E328" i="23"/>
  <c r="F328" i="23"/>
  <c r="B329" i="23"/>
  <c r="C329" i="23"/>
  <c r="D329" i="23"/>
  <c r="E329" i="23"/>
  <c r="F329" i="23"/>
  <c r="B330" i="23"/>
  <c r="C330" i="23"/>
  <c r="D330" i="23"/>
  <c r="E330" i="23"/>
  <c r="F330" i="23"/>
  <c r="B331" i="23"/>
  <c r="C331" i="23"/>
  <c r="D331" i="23"/>
  <c r="E331" i="23"/>
  <c r="F331" i="23"/>
  <c r="B332" i="23"/>
  <c r="C332" i="23"/>
  <c r="D332" i="23"/>
  <c r="E332" i="23"/>
  <c r="F332" i="23"/>
  <c r="B333" i="23"/>
  <c r="C333" i="23"/>
  <c r="D333" i="23"/>
  <c r="E333" i="23"/>
  <c r="F333" i="23"/>
  <c r="B334" i="23"/>
  <c r="C334" i="23"/>
  <c r="D334" i="23"/>
  <c r="E334" i="23"/>
  <c r="F334" i="23"/>
  <c r="B335" i="23"/>
  <c r="C335" i="23"/>
  <c r="D335" i="23"/>
  <c r="E335" i="23"/>
  <c r="F335" i="23"/>
  <c r="B336" i="23"/>
  <c r="C336" i="23"/>
  <c r="D336" i="23"/>
  <c r="E336" i="23"/>
  <c r="F336" i="23"/>
  <c r="B337" i="23"/>
  <c r="C337" i="23"/>
  <c r="D337" i="23"/>
  <c r="E337" i="23"/>
  <c r="F337" i="23"/>
  <c r="B338" i="23"/>
  <c r="C338" i="23"/>
  <c r="D338" i="23"/>
  <c r="E338" i="23"/>
  <c r="F338" i="23"/>
  <c r="B339" i="23"/>
  <c r="C339" i="23"/>
  <c r="D339" i="23"/>
  <c r="E339" i="23"/>
  <c r="F339" i="23"/>
  <c r="B340" i="23"/>
  <c r="C340" i="23"/>
  <c r="D340" i="23"/>
  <c r="E340" i="23"/>
  <c r="F340" i="23"/>
  <c r="B341" i="23"/>
  <c r="C341" i="23"/>
  <c r="D341" i="23"/>
  <c r="E341" i="23"/>
  <c r="F341" i="23"/>
  <c r="B342" i="23"/>
  <c r="C342" i="23"/>
  <c r="D342" i="23"/>
  <c r="E342" i="23"/>
  <c r="F342" i="23"/>
  <c r="B343" i="23"/>
  <c r="C343" i="23"/>
  <c r="D343" i="23"/>
  <c r="E343" i="23"/>
  <c r="F343" i="23"/>
  <c r="B344" i="23"/>
  <c r="C344" i="23"/>
  <c r="D344" i="23"/>
  <c r="E344" i="23"/>
  <c r="F344" i="23"/>
  <c r="B345" i="23"/>
  <c r="C345" i="23"/>
  <c r="D345" i="23"/>
  <c r="E345" i="23"/>
  <c r="F345" i="23"/>
  <c r="B346" i="23"/>
  <c r="C346" i="23"/>
  <c r="D346" i="23"/>
  <c r="E346" i="23"/>
  <c r="F346" i="23"/>
  <c r="B347" i="23"/>
  <c r="C347" i="23"/>
  <c r="D347" i="23"/>
  <c r="E347" i="23"/>
  <c r="F347" i="23"/>
  <c r="B348" i="23"/>
  <c r="C348" i="23"/>
  <c r="D348" i="23"/>
  <c r="E348" i="23"/>
  <c r="F348" i="23"/>
  <c r="B349" i="23"/>
  <c r="C349" i="23"/>
  <c r="D349" i="23"/>
  <c r="E349" i="23"/>
  <c r="F349" i="23"/>
  <c r="B350" i="23"/>
  <c r="C350" i="23"/>
  <c r="D350" i="23"/>
  <c r="E350" i="23"/>
  <c r="F350" i="23"/>
  <c r="B351" i="23"/>
  <c r="C351" i="23"/>
  <c r="D351" i="23"/>
  <c r="E351" i="23"/>
  <c r="F351" i="23"/>
  <c r="B352" i="23"/>
  <c r="C352" i="23"/>
  <c r="D352" i="23"/>
  <c r="E352" i="23"/>
  <c r="F352" i="23"/>
  <c r="B353" i="23"/>
  <c r="C353" i="23"/>
  <c r="D353" i="23"/>
  <c r="E353" i="23"/>
  <c r="F353" i="23"/>
  <c r="B354" i="23"/>
  <c r="C354" i="23"/>
  <c r="D354" i="23"/>
  <c r="E354" i="23"/>
  <c r="F354" i="23"/>
  <c r="B355" i="23"/>
  <c r="C355" i="23"/>
  <c r="D355" i="23"/>
  <c r="E355" i="23"/>
  <c r="F355" i="23"/>
  <c r="B356" i="23"/>
  <c r="C356" i="23"/>
  <c r="D356" i="23"/>
  <c r="E356" i="23"/>
  <c r="F356" i="23"/>
  <c r="B357" i="23"/>
  <c r="C357" i="23"/>
  <c r="D357" i="23"/>
  <c r="E357" i="23"/>
  <c r="F357" i="23"/>
  <c r="B358" i="23"/>
  <c r="C358" i="23"/>
  <c r="D358" i="23"/>
  <c r="E358" i="23"/>
  <c r="F358" i="23"/>
  <c r="B359" i="23"/>
  <c r="C359" i="23"/>
  <c r="D359" i="23"/>
  <c r="E359" i="23"/>
  <c r="F359" i="23"/>
  <c r="B360" i="23"/>
  <c r="C360" i="23"/>
  <c r="D360" i="23"/>
  <c r="E360" i="23"/>
  <c r="F360" i="23"/>
  <c r="B361" i="23"/>
  <c r="C361" i="23"/>
  <c r="D361" i="23"/>
  <c r="E361" i="23"/>
  <c r="F361" i="23"/>
  <c r="B362" i="23"/>
  <c r="C362" i="23"/>
  <c r="D362" i="23"/>
  <c r="E362" i="23"/>
  <c r="F362" i="23"/>
  <c r="B363" i="23"/>
  <c r="C363" i="23"/>
  <c r="D363" i="23"/>
  <c r="E363" i="23"/>
  <c r="F363" i="23"/>
  <c r="B364" i="23"/>
  <c r="C364" i="23"/>
  <c r="D364" i="23"/>
  <c r="E364" i="23"/>
  <c r="F364" i="23"/>
  <c r="B365" i="23"/>
  <c r="C365" i="23"/>
  <c r="D365" i="23"/>
  <c r="E365" i="23"/>
  <c r="F365" i="23"/>
  <c r="B366" i="23"/>
  <c r="C366" i="23"/>
  <c r="D366" i="23"/>
  <c r="E366" i="23"/>
  <c r="F366" i="23"/>
  <c r="B367" i="23"/>
  <c r="C367" i="23"/>
  <c r="D367" i="23"/>
  <c r="E367" i="23"/>
  <c r="F367" i="23"/>
  <c r="B368" i="23"/>
  <c r="C368" i="23"/>
  <c r="D368" i="23"/>
  <c r="E368" i="23"/>
  <c r="F368" i="23"/>
  <c r="B369" i="23"/>
  <c r="C369" i="23"/>
  <c r="D369" i="23"/>
  <c r="E369" i="23"/>
  <c r="F369" i="23"/>
  <c r="B370" i="23"/>
  <c r="C370" i="23"/>
  <c r="D370" i="23"/>
  <c r="E370" i="23"/>
  <c r="F370" i="23"/>
  <c r="B371" i="23"/>
  <c r="C371" i="23"/>
  <c r="D371" i="23"/>
  <c r="E371" i="23"/>
  <c r="F371" i="23"/>
  <c r="B372" i="23"/>
  <c r="C372" i="23"/>
  <c r="D372" i="23"/>
  <c r="E372" i="23"/>
  <c r="F372" i="23"/>
  <c r="B373" i="23"/>
  <c r="C373" i="23"/>
  <c r="D373" i="23"/>
  <c r="E373" i="23"/>
  <c r="F373" i="23"/>
  <c r="B374" i="23"/>
  <c r="C374" i="23"/>
  <c r="D374" i="23"/>
  <c r="E374" i="23"/>
  <c r="F374" i="23"/>
  <c r="B375" i="23"/>
  <c r="C375" i="23"/>
  <c r="D375" i="23"/>
  <c r="E375" i="23"/>
  <c r="F375" i="23"/>
  <c r="B376" i="23"/>
  <c r="C376" i="23"/>
  <c r="D376" i="23"/>
  <c r="E376" i="23"/>
  <c r="F376" i="23"/>
  <c r="B377" i="23"/>
  <c r="C377" i="23"/>
  <c r="D377" i="23"/>
  <c r="E377" i="23"/>
  <c r="F377" i="23"/>
  <c r="B378" i="23"/>
  <c r="C378" i="23"/>
  <c r="D378" i="23"/>
  <c r="E378" i="23"/>
  <c r="F378" i="23"/>
  <c r="B379" i="23"/>
  <c r="C379" i="23"/>
  <c r="D379" i="23"/>
  <c r="E379" i="23"/>
  <c r="F379" i="23"/>
  <c r="B380" i="23"/>
  <c r="C380" i="23"/>
  <c r="D380" i="23"/>
  <c r="E380" i="23"/>
  <c r="F380" i="23"/>
  <c r="B381" i="23"/>
  <c r="C381" i="23"/>
  <c r="D381" i="23"/>
  <c r="E381" i="23"/>
  <c r="F381" i="23"/>
  <c r="B382" i="23"/>
  <c r="C382" i="23"/>
  <c r="D382" i="23"/>
  <c r="E382" i="23"/>
  <c r="F382" i="23"/>
  <c r="B383" i="23"/>
  <c r="C383" i="23"/>
  <c r="D383" i="23"/>
  <c r="E383" i="23"/>
  <c r="F383" i="23"/>
  <c r="B384" i="23"/>
  <c r="C384" i="23"/>
  <c r="D384" i="23"/>
  <c r="E384" i="23"/>
  <c r="F384" i="23"/>
  <c r="B385" i="23"/>
  <c r="C385" i="23"/>
  <c r="D385" i="23"/>
  <c r="E385" i="23"/>
  <c r="F385" i="23"/>
  <c r="B386" i="23"/>
  <c r="C386" i="23"/>
  <c r="D386" i="23"/>
  <c r="E386" i="23"/>
  <c r="F386" i="23"/>
  <c r="B387" i="23"/>
  <c r="C387" i="23"/>
  <c r="D387" i="23"/>
  <c r="E387" i="23"/>
  <c r="F387" i="23"/>
  <c r="B388" i="23"/>
  <c r="C388" i="23"/>
  <c r="D388" i="23"/>
  <c r="E388" i="23"/>
  <c r="F388" i="23"/>
  <c r="B389" i="23"/>
  <c r="C389" i="23"/>
  <c r="D389" i="23"/>
  <c r="E389" i="23"/>
  <c r="F389" i="23"/>
  <c r="B390" i="23"/>
  <c r="C390" i="23"/>
  <c r="D390" i="23"/>
  <c r="E390" i="23"/>
  <c r="F390" i="23"/>
  <c r="B391" i="23"/>
  <c r="C391" i="23"/>
  <c r="D391" i="23"/>
  <c r="E391" i="23"/>
  <c r="F391" i="23"/>
  <c r="B392" i="23"/>
  <c r="C392" i="23"/>
  <c r="D392" i="23"/>
  <c r="E392" i="23"/>
  <c r="F392" i="23"/>
  <c r="B393" i="23"/>
  <c r="C393" i="23"/>
  <c r="D393" i="23"/>
  <c r="E393" i="23"/>
  <c r="F393" i="23"/>
  <c r="B394" i="23"/>
  <c r="C394" i="23"/>
  <c r="D394" i="23"/>
  <c r="E394" i="23"/>
  <c r="F394" i="23"/>
  <c r="B395" i="23"/>
  <c r="C395" i="23"/>
  <c r="D395" i="23"/>
  <c r="E395" i="23"/>
  <c r="F395" i="23"/>
  <c r="B396" i="23"/>
  <c r="C396" i="23"/>
  <c r="D396" i="23"/>
  <c r="E396" i="23"/>
  <c r="F396" i="23"/>
  <c r="B397" i="23"/>
  <c r="C397" i="23"/>
  <c r="D397" i="23"/>
  <c r="E397" i="23"/>
  <c r="F397" i="23"/>
  <c r="B398" i="23"/>
  <c r="C398" i="23"/>
  <c r="D398" i="23"/>
  <c r="E398" i="23"/>
  <c r="F398" i="23"/>
  <c r="B399" i="23"/>
  <c r="C399" i="23"/>
  <c r="D399" i="23"/>
  <c r="E399" i="23"/>
  <c r="F399" i="23"/>
  <c r="B400" i="23"/>
  <c r="C400" i="23"/>
  <c r="D400" i="23"/>
  <c r="E400" i="23"/>
  <c r="F400" i="23"/>
  <c r="B401" i="23"/>
  <c r="C401" i="23"/>
  <c r="D401" i="23"/>
  <c r="E401" i="23"/>
  <c r="F401" i="23"/>
  <c r="B402" i="23"/>
  <c r="C402" i="23"/>
  <c r="D402" i="23"/>
  <c r="E402" i="23"/>
  <c r="F402" i="23"/>
  <c r="B403" i="23"/>
  <c r="C403" i="23"/>
  <c r="D403" i="23"/>
  <c r="E403" i="23"/>
  <c r="F403" i="23"/>
  <c r="B404" i="23"/>
  <c r="C404" i="23"/>
  <c r="D404" i="23"/>
  <c r="E404" i="23"/>
  <c r="F404" i="23"/>
  <c r="B405" i="23"/>
  <c r="C405" i="23"/>
  <c r="D405" i="23"/>
  <c r="E405" i="23"/>
  <c r="F405" i="23"/>
  <c r="B406" i="23"/>
  <c r="C406" i="23"/>
  <c r="D406" i="23"/>
  <c r="E406" i="23"/>
  <c r="F406" i="23"/>
  <c r="B407" i="23"/>
  <c r="C407" i="23"/>
  <c r="D407" i="23"/>
  <c r="E407" i="23"/>
  <c r="F407" i="23"/>
  <c r="B408" i="23"/>
  <c r="C408" i="23"/>
  <c r="D408" i="23"/>
  <c r="E408" i="23"/>
  <c r="F408" i="23"/>
  <c r="B409" i="23"/>
  <c r="C409" i="23"/>
  <c r="D409" i="23"/>
  <c r="E409" i="23"/>
  <c r="F409" i="23"/>
  <c r="B410" i="23"/>
  <c r="C410" i="23"/>
  <c r="D410" i="23"/>
  <c r="E410" i="23"/>
  <c r="F410" i="23"/>
  <c r="B411" i="23"/>
  <c r="C411" i="23"/>
  <c r="D411" i="23"/>
  <c r="E411" i="23"/>
  <c r="F411" i="23"/>
  <c r="B412" i="23"/>
  <c r="C412" i="23"/>
  <c r="D412" i="23"/>
  <c r="E412" i="23"/>
  <c r="F412" i="23"/>
  <c r="B413" i="23"/>
  <c r="C413" i="23"/>
  <c r="D413" i="23"/>
  <c r="E413" i="23"/>
  <c r="F413" i="23"/>
  <c r="B414" i="23"/>
  <c r="C414" i="23"/>
  <c r="D414" i="23"/>
  <c r="E414" i="23"/>
  <c r="F414" i="23"/>
  <c r="B415" i="23"/>
  <c r="C415" i="23"/>
  <c r="D415" i="23"/>
  <c r="E415" i="23"/>
  <c r="F415" i="23"/>
  <c r="B416" i="23"/>
  <c r="C416" i="23"/>
  <c r="D416" i="23"/>
  <c r="E416" i="23"/>
  <c r="F416" i="23"/>
  <c r="B417" i="23"/>
  <c r="C417" i="23"/>
  <c r="D417" i="23"/>
  <c r="E417" i="23"/>
  <c r="F417" i="23"/>
  <c r="B418" i="23"/>
  <c r="C418" i="23"/>
  <c r="D418" i="23"/>
  <c r="E418" i="23"/>
  <c r="F418" i="23"/>
  <c r="B419" i="23"/>
  <c r="C419" i="23"/>
  <c r="D419" i="23"/>
  <c r="E419" i="23"/>
  <c r="F419" i="23"/>
  <c r="B420" i="23"/>
  <c r="C420" i="23"/>
  <c r="D420" i="23"/>
  <c r="E420" i="23"/>
  <c r="F420" i="23"/>
  <c r="B421" i="23"/>
  <c r="C421" i="23"/>
  <c r="D421" i="23"/>
  <c r="E421" i="23"/>
  <c r="F421" i="23"/>
  <c r="B422" i="23"/>
  <c r="C422" i="23"/>
  <c r="D422" i="23"/>
  <c r="E422" i="23"/>
  <c r="F422" i="23"/>
  <c r="B423" i="23"/>
  <c r="C423" i="23"/>
  <c r="D423" i="23"/>
  <c r="E423" i="23"/>
  <c r="F423" i="23"/>
  <c r="B424" i="23"/>
  <c r="C424" i="23"/>
  <c r="D424" i="23"/>
  <c r="E424" i="23"/>
  <c r="F424" i="23"/>
  <c r="B425" i="23"/>
  <c r="C425" i="23"/>
  <c r="D425" i="23"/>
  <c r="E425" i="23"/>
  <c r="F425" i="23"/>
  <c r="B426" i="23"/>
  <c r="C426" i="23"/>
  <c r="D426" i="23"/>
  <c r="E426" i="23"/>
  <c r="F426" i="23"/>
  <c r="B427" i="23"/>
  <c r="C427" i="23"/>
  <c r="D427" i="23"/>
  <c r="E427" i="23"/>
  <c r="F427" i="23"/>
  <c r="B428" i="23"/>
  <c r="C428" i="23"/>
  <c r="D428" i="23"/>
  <c r="E428" i="23"/>
  <c r="F428" i="23"/>
  <c r="B429" i="23"/>
  <c r="C429" i="23"/>
  <c r="D429" i="23"/>
  <c r="E429" i="23"/>
  <c r="F429" i="23"/>
  <c r="B430" i="23"/>
  <c r="C430" i="23"/>
  <c r="D430" i="23"/>
  <c r="E430" i="23"/>
  <c r="F430" i="23"/>
  <c r="B431" i="23"/>
  <c r="C431" i="23"/>
  <c r="D431" i="23"/>
  <c r="E431" i="23"/>
  <c r="F431" i="23"/>
  <c r="B432" i="23"/>
  <c r="C432" i="23"/>
  <c r="D432" i="23"/>
  <c r="E432" i="23"/>
  <c r="F432" i="23"/>
  <c r="B433" i="23"/>
  <c r="C433" i="23"/>
  <c r="D433" i="23"/>
  <c r="E433" i="23"/>
  <c r="F433" i="23"/>
  <c r="B434" i="23"/>
  <c r="C434" i="23"/>
  <c r="D434" i="23"/>
  <c r="E434" i="23"/>
  <c r="F434" i="23"/>
  <c r="B435" i="23"/>
  <c r="C435" i="23"/>
  <c r="D435" i="23"/>
  <c r="E435" i="23"/>
  <c r="F435" i="23"/>
  <c r="B436" i="23"/>
  <c r="C436" i="23"/>
  <c r="D436" i="23"/>
  <c r="E436" i="23"/>
  <c r="F436" i="23"/>
  <c r="B437" i="23"/>
  <c r="C437" i="23"/>
  <c r="D437" i="23"/>
  <c r="E437" i="23"/>
  <c r="F437" i="23"/>
  <c r="B438" i="23"/>
  <c r="C438" i="23"/>
  <c r="D438" i="23"/>
  <c r="E438" i="23"/>
  <c r="F438" i="23"/>
  <c r="B439" i="23"/>
  <c r="C439" i="23"/>
  <c r="D439" i="23"/>
  <c r="E439" i="23"/>
  <c r="F439" i="23"/>
  <c r="B440" i="23"/>
  <c r="C440" i="23"/>
  <c r="D440" i="23"/>
  <c r="E440" i="23"/>
  <c r="F440" i="23"/>
  <c r="B441" i="23"/>
  <c r="C441" i="23"/>
  <c r="D441" i="23"/>
  <c r="E441" i="23"/>
  <c r="F441" i="23"/>
  <c r="B442" i="23"/>
  <c r="C442" i="23"/>
  <c r="D442" i="23"/>
  <c r="E442" i="23"/>
  <c r="F442" i="23"/>
  <c r="B443" i="23"/>
  <c r="C443" i="23"/>
  <c r="D443" i="23"/>
  <c r="E443" i="23"/>
  <c r="F443" i="23"/>
  <c r="B444" i="23"/>
  <c r="C444" i="23"/>
  <c r="D444" i="23"/>
  <c r="E444" i="23"/>
  <c r="F444" i="23"/>
  <c r="B445" i="23"/>
  <c r="C445" i="23"/>
  <c r="D445" i="23"/>
  <c r="E445" i="23"/>
  <c r="F445" i="23"/>
  <c r="B446" i="23"/>
  <c r="C446" i="23"/>
  <c r="D446" i="23"/>
  <c r="E446" i="23"/>
  <c r="F446" i="23"/>
  <c r="B447" i="23"/>
  <c r="C447" i="23"/>
  <c r="D447" i="23"/>
  <c r="E447" i="23"/>
  <c r="F447" i="23"/>
  <c r="B448" i="23"/>
  <c r="C448" i="23"/>
  <c r="D448" i="23"/>
  <c r="E448" i="23"/>
  <c r="F448" i="23"/>
  <c r="B449" i="23"/>
  <c r="C449" i="23"/>
  <c r="D449" i="23"/>
  <c r="E449" i="23"/>
  <c r="F449" i="23"/>
  <c r="B450" i="23"/>
  <c r="C450" i="23"/>
  <c r="D450" i="23"/>
  <c r="E450" i="23"/>
  <c r="F450" i="23"/>
  <c r="B451" i="23"/>
  <c r="C451" i="23"/>
  <c r="D451" i="23"/>
  <c r="E451" i="23"/>
  <c r="F451" i="23"/>
  <c r="B452" i="23"/>
  <c r="C452" i="23"/>
  <c r="D452" i="23"/>
  <c r="E452" i="23"/>
  <c r="F452" i="23"/>
  <c r="B453" i="23"/>
  <c r="C453" i="23"/>
  <c r="D453" i="23"/>
  <c r="E453" i="23"/>
  <c r="F453" i="23"/>
  <c r="B454" i="23"/>
  <c r="C454" i="23"/>
  <c r="D454" i="23"/>
  <c r="E454" i="23"/>
  <c r="F454" i="23"/>
  <c r="B455" i="23"/>
  <c r="C455" i="23"/>
  <c r="D455" i="23"/>
  <c r="E455" i="23"/>
  <c r="F455" i="23"/>
  <c r="B456" i="23"/>
  <c r="C456" i="23"/>
  <c r="D456" i="23"/>
  <c r="E456" i="23"/>
  <c r="F456" i="23"/>
  <c r="B457" i="23"/>
  <c r="C457" i="23"/>
  <c r="D457" i="23"/>
  <c r="E457" i="23"/>
  <c r="F457" i="23"/>
  <c r="B458" i="23"/>
  <c r="C458" i="23"/>
  <c r="D458" i="23"/>
  <c r="E458" i="23"/>
  <c r="F458" i="23"/>
  <c r="B459" i="23"/>
  <c r="C459" i="23"/>
  <c r="D459" i="23"/>
  <c r="E459" i="23"/>
  <c r="F459" i="23"/>
  <c r="B460" i="23"/>
  <c r="C460" i="23"/>
  <c r="D460" i="23"/>
  <c r="E460" i="23"/>
  <c r="F460" i="23"/>
  <c r="B461" i="23"/>
  <c r="C461" i="23"/>
  <c r="D461" i="23"/>
  <c r="E461" i="23"/>
  <c r="F461" i="23"/>
  <c r="B462" i="23"/>
  <c r="C462" i="23"/>
  <c r="D462" i="23"/>
  <c r="E462" i="23"/>
  <c r="F462" i="23"/>
  <c r="B463" i="23"/>
  <c r="C463" i="23"/>
  <c r="D463" i="23"/>
  <c r="E463" i="23"/>
  <c r="F463" i="23"/>
  <c r="B464" i="23"/>
  <c r="C464" i="23"/>
  <c r="D464" i="23"/>
  <c r="E464" i="23"/>
  <c r="F464" i="23"/>
  <c r="B465" i="23"/>
  <c r="C465" i="23"/>
  <c r="D465" i="23"/>
  <c r="E465" i="23"/>
  <c r="F465" i="23"/>
  <c r="B466" i="23"/>
  <c r="C466" i="23"/>
  <c r="D466" i="23"/>
  <c r="E466" i="23"/>
  <c r="F466" i="23"/>
  <c r="B467" i="23"/>
  <c r="C467" i="23"/>
  <c r="D467" i="23"/>
  <c r="E467" i="23"/>
  <c r="F467" i="23"/>
  <c r="B468" i="23"/>
  <c r="C468" i="23"/>
  <c r="D468" i="23"/>
  <c r="E468" i="23"/>
  <c r="F468" i="23"/>
  <c r="B469" i="23"/>
  <c r="C469" i="23"/>
  <c r="D469" i="23"/>
  <c r="E469" i="23"/>
  <c r="F469" i="23"/>
  <c r="B470" i="23"/>
  <c r="C470" i="23"/>
  <c r="D470" i="23"/>
  <c r="E470" i="23"/>
  <c r="F470" i="23"/>
  <c r="B471" i="23"/>
  <c r="C471" i="23"/>
  <c r="D471" i="23"/>
  <c r="E471" i="23"/>
  <c r="F471" i="23"/>
  <c r="B472" i="23"/>
  <c r="C472" i="23"/>
  <c r="D472" i="23"/>
  <c r="E472" i="23"/>
  <c r="F472" i="23"/>
  <c r="B473" i="23"/>
  <c r="C473" i="23"/>
  <c r="D473" i="23"/>
  <c r="E473" i="23"/>
  <c r="F473" i="23"/>
  <c r="B474" i="23"/>
  <c r="C474" i="23"/>
  <c r="D474" i="23"/>
  <c r="E474" i="23"/>
  <c r="F474" i="23"/>
  <c r="B475" i="23"/>
  <c r="C475" i="23"/>
  <c r="D475" i="23"/>
  <c r="E475" i="23"/>
  <c r="F475" i="23"/>
  <c r="B476" i="23"/>
  <c r="C476" i="23"/>
  <c r="D476" i="23"/>
  <c r="E476" i="23"/>
  <c r="F476" i="23"/>
  <c r="B477" i="23"/>
  <c r="C477" i="23"/>
  <c r="D477" i="23"/>
  <c r="E477" i="23"/>
  <c r="F477" i="23"/>
  <c r="B478" i="23"/>
  <c r="C478" i="23"/>
  <c r="D478" i="23"/>
  <c r="E478" i="23"/>
  <c r="F478" i="23"/>
  <c r="B479" i="23"/>
  <c r="C479" i="23"/>
  <c r="D479" i="23"/>
  <c r="E479" i="23"/>
  <c r="F479" i="23"/>
  <c r="B480" i="23"/>
  <c r="C480" i="23"/>
  <c r="D480" i="23"/>
  <c r="E480" i="23"/>
  <c r="F480" i="23"/>
  <c r="B481" i="23"/>
  <c r="C481" i="23"/>
  <c r="D481" i="23"/>
  <c r="E481" i="23"/>
  <c r="F481" i="23"/>
  <c r="F4" i="23"/>
  <c r="E4" i="23"/>
  <c r="D4" i="23"/>
  <c r="C4" i="23"/>
  <c r="B4" i="23"/>
  <c r="B482" i="23"/>
  <c r="C482" i="23"/>
  <c r="D482" i="23"/>
  <c r="E482" i="23"/>
  <c r="F482" i="23"/>
  <c r="B483" i="23"/>
  <c r="C483" i="23"/>
  <c r="D483" i="23"/>
  <c r="E483" i="23"/>
  <c r="F483" i="23"/>
  <c r="B484" i="23"/>
  <c r="C484" i="23"/>
  <c r="D484" i="23"/>
  <c r="E484" i="23"/>
  <c r="F484" i="23"/>
  <c r="B485" i="23"/>
  <c r="C485" i="23"/>
  <c r="D485" i="23"/>
  <c r="E485" i="23"/>
  <c r="F485" i="23"/>
  <c r="F3" i="19" l="1"/>
  <c r="B3" i="19"/>
  <c r="C3" i="19"/>
  <c r="D3" i="19"/>
  <c r="E3" i="19"/>
  <c r="A3" i="19"/>
  <c r="F3" i="23"/>
  <c r="B3" i="23"/>
  <c r="C3" i="23"/>
  <c r="D3" i="23"/>
  <c r="E3" i="23"/>
  <c r="A3" i="23"/>
  <c r="F3" i="18"/>
  <c r="B3" i="18"/>
  <c r="C3" i="18"/>
  <c r="D3" i="18"/>
  <c r="E3" i="18"/>
  <c r="A3" i="18"/>
  <c r="F3" i="22"/>
  <c r="B3" i="22"/>
  <c r="C3" i="22"/>
  <c r="D3" i="22"/>
  <c r="E3" i="22"/>
  <c r="A3" i="22"/>
  <c r="G484" i="23" l="1"/>
  <c r="G483" i="23"/>
  <c r="G482" i="23"/>
  <c r="G481" i="23"/>
  <c r="G480" i="23"/>
  <c r="G479" i="23"/>
  <c r="G478" i="23"/>
  <c r="G477" i="23"/>
  <c r="G476" i="23"/>
  <c r="G475" i="23"/>
  <c r="G474" i="23"/>
  <c r="G473" i="23"/>
  <c r="G472" i="23"/>
  <c r="G471" i="23"/>
  <c r="G470" i="23"/>
  <c r="G469" i="23"/>
  <c r="G468" i="23"/>
  <c r="G467" i="23"/>
  <c r="G466" i="23"/>
  <c r="G465" i="23"/>
  <c r="G464" i="23"/>
  <c r="G463" i="23"/>
  <c r="G462" i="23"/>
  <c r="G461" i="23"/>
  <c r="G460" i="23"/>
  <c r="G459" i="23"/>
  <c r="G458" i="23"/>
  <c r="G457" i="23"/>
  <c r="G456" i="23"/>
  <c r="G455" i="23"/>
  <c r="G454" i="23"/>
  <c r="G453" i="23"/>
  <c r="G452" i="23"/>
  <c r="G451" i="23"/>
  <c r="G450" i="23"/>
  <c r="G449" i="23"/>
  <c r="G448" i="23"/>
  <c r="G447" i="23"/>
  <c r="G446" i="23"/>
  <c r="G445" i="23"/>
  <c r="G444" i="23"/>
  <c r="G443" i="23"/>
  <c r="G442" i="23"/>
  <c r="G441" i="23"/>
  <c r="G440" i="23"/>
  <c r="G439" i="23"/>
  <c r="G438" i="23"/>
  <c r="G437" i="23"/>
  <c r="G436" i="23"/>
  <c r="G435" i="23"/>
  <c r="G434" i="23"/>
  <c r="G433" i="23"/>
  <c r="G432" i="23"/>
  <c r="G431" i="23"/>
  <c r="G430" i="23"/>
  <c r="G429" i="23"/>
  <c r="G428" i="23"/>
  <c r="G427" i="23"/>
  <c r="G426" i="23"/>
  <c r="G425" i="23"/>
  <c r="G424" i="23"/>
  <c r="G423" i="23"/>
  <c r="G422" i="23"/>
  <c r="G421" i="23"/>
  <c r="G420" i="23"/>
  <c r="G419" i="23"/>
  <c r="G418" i="23"/>
  <c r="G417" i="23"/>
  <c r="G416" i="23"/>
  <c r="G415" i="23"/>
  <c r="G414" i="23"/>
  <c r="G413" i="23"/>
  <c r="G412" i="23"/>
  <c r="G411" i="23"/>
  <c r="G410" i="23"/>
  <c r="G409" i="23"/>
  <c r="G408" i="23"/>
  <c r="G407" i="23"/>
  <c r="G406" i="23"/>
  <c r="G405" i="23"/>
  <c r="G404" i="23"/>
  <c r="G403" i="23"/>
  <c r="G402" i="23"/>
  <c r="G401" i="23"/>
  <c r="G400" i="23"/>
  <c r="G399" i="23"/>
  <c r="G398" i="23"/>
  <c r="G397" i="23"/>
  <c r="G396" i="23"/>
  <c r="G395" i="23"/>
  <c r="G394" i="23"/>
  <c r="G393" i="23"/>
  <c r="G392" i="23"/>
  <c r="G391" i="23"/>
  <c r="G390" i="23"/>
  <c r="G389" i="23"/>
  <c r="G388" i="23"/>
  <c r="G387" i="23"/>
  <c r="G386" i="23"/>
  <c r="G385" i="23"/>
  <c r="G384" i="23"/>
  <c r="G383" i="23"/>
  <c r="G382" i="23"/>
  <c r="G381" i="23"/>
  <c r="G380" i="23"/>
  <c r="G379" i="23"/>
  <c r="G378" i="23"/>
  <c r="G377" i="23"/>
  <c r="G376" i="23"/>
  <c r="F484" i="18"/>
  <c r="E484" i="18"/>
  <c r="D484" i="18"/>
  <c r="C484" i="18"/>
  <c r="B484" i="18"/>
  <c r="F483" i="18"/>
  <c r="E483" i="18"/>
  <c r="D483" i="18"/>
  <c r="C483" i="18"/>
  <c r="B483" i="18"/>
  <c r="F482" i="18"/>
  <c r="E482" i="18"/>
  <c r="D482" i="18"/>
  <c r="C482" i="18"/>
  <c r="B482" i="18"/>
  <c r="F481" i="18"/>
  <c r="E481" i="18"/>
  <c r="D481" i="18"/>
  <c r="C481" i="18"/>
  <c r="B481" i="18"/>
  <c r="F480" i="18"/>
  <c r="E480" i="18"/>
  <c r="D480" i="18"/>
  <c r="C480" i="18"/>
  <c r="B480" i="18"/>
  <c r="F479" i="18"/>
  <c r="E479" i="18"/>
  <c r="D479" i="18"/>
  <c r="C479" i="18"/>
  <c r="B479" i="18"/>
  <c r="F478" i="18"/>
  <c r="E478" i="18"/>
  <c r="D478" i="18"/>
  <c r="C478" i="18"/>
  <c r="B478" i="18"/>
  <c r="F477" i="18"/>
  <c r="E477" i="18"/>
  <c r="D477" i="18"/>
  <c r="C477" i="18"/>
  <c r="B477" i="18"/>
  <c r="F476" i="18"/>
  <c r="E476" i="18"/>
  <c r="D476" i="18"/>
  <c r="C476" i="18"/>
  <c r="B476" i="18"/>
  <c r="F475" i="18"/>
  <c r="E475" i="18"/>
  <c r="D475" i="18"/>
  <c r="C475" i="18"/>
  <c r="B475" i="18"/>
  <c r="F474" i="18"/>
  <c r="E474" i="18"/>
  <c r="D474" i="18"/>
  <c r="C474" i="18"/>
  <c r="B474" i="18"/>
  <c r="F473" i="18"/>
  <c r="E473" i="18"/>
  <c r="D473" i="18"/>
  <c r="C473" i="18"/>
  <c r="B473" i="18"/>
  <c r="F472" i="18"/>
  <c r="E472" i="18"/>
  <c r="D472" i="18"/>
  <c r="C472" i="18"/>
  <c r="B472" i="18"/>
  <c r="F471" i="18"/>
  <c r="E471" i="18"/>
  <c r="D471" i="18"/>
  <c r="C471" i="18"/>
  <c r="B471" i="18"/>
  <c r="F470" i="18"/>
  <c r="E470" i="18"/>
  <c r="D470" i="18"/>
  <c r="C470" i="18"/>
  <c r="B470" i="18"/>
  <c r="F469" i="18"/>
  <c r="E469" i="18"/>
  <c r="D469" i="18"/>
  <c r="C469" i="18"/>
  <c r="B469" i="18"/>
  <c r="F468" i="18"/>
  <c r="E468" i="18"/>
  <c r="D468" i="18"/>
  <c r="C468" i="18"/>
  <c r="B468" i="18"/>
  <c r="F467" i="18"/>
  <c r="E467" i="18"/>
  <c r="D467" i="18"/>
  <c r="C467" i="18"/>
  <c r="B467" i="18"/>
  <c r="F466" i="18"/>
  <c r="E466" i="18"/>
  <c r="D466" i="18"/>
  <c r="C466" i="18"/>
  <c r="B466" i="18"/>
  <c r="F465" i="18"/>
  <c r="E465" i="18"/>
  <c r="D465" i="18"/>
  <c r="C465" i="18"/>
  <c r="B465" i="18"/>
  <c r="F464" i="18"/>
  <c r="E464" i="18"/>
  <c r="D464" i="18"/>
  <c r="C464" i="18"/>
  <c r="B464" i="18"/>
  <c r="F463" i="18"/>
  <c r="E463" i="18"/>
  <c r="D463" i="18"/>
  <c r="C463" i="18"/>
  <c r="B463" i="18"/>
  <c r="F462" i="18"/>
  <c r="E462" i="18"/>
  <c r="D462" i="18"/>
  <c r="C462" i="18"/>
  <c r="B462" i="18"/>
  <c r="F461" i="18"/>
  <c r="E461" i="18"/>
  <c r="D461" i="18"/>
  <c r="C461" i="18"/>
  <c r="B461" i="18"/>
  <c r="F460" i="18"/>
  <c r="E460" i="18"/>
  <c r="D460" i="18"/>
  <c r="C460" i="18"/>
  <c r="B460" i="18"/>
  <c r="F459" i="18"/>
  <c r="E459" i="18"/>
  <c r="D459" i="18"/>
  <c r="C459" i="18"/>
  <c r="B459" i="18"/>
  <c r="F458" i="18"/>
  <c r="E458" i="18"/>
  <c r="D458" i="18"/>
  <c r="C458" i="18"/>
  <c r="B458" i="18"/>
  <c r="F457" i="18"/>
  <c r="E457" i="18"/>
  <c r="D457" i="18"/>
  <c r="C457" i="18"/>
  <c r="B457" i="18"/>
  <c r="F456" i="18"/>
  <c r="E456" i="18"/>
  <c r="D456" i="18"/>
  <c r="C456" i="18"/>
  <c r="B456" i="18"/>
  <c r="F455" i="18"/>
  <c r="E455" i="18"/>
  <c r="D455" i="18"/>
  <c r="C455" i="18"/>
  <c r="B455" i="18"/>
  <c r="F454" i="18"/>
  <c r="E454" i="18"/>
  <c r="D454" i="18"/>
  <c r="C454" i="18"/>
  <c r="B454" i="18"/>
  <c r="F453" i="18"/>
  <c r="E453" i="18"/>
  <c r="D453" i="18"/>
  <c r="C453" i="18"/>
  <c r="B453" i="18"/>
  <c r="F452" i="18"/>
  <c r="E452" i="18"/>
  <c r="D452" i="18"/>
  <c r="C452" i="18"/>
  <c r="B452" i="18"/>
  <c r="F451" i="18"/>
  <c r="E451" i="18"/>
  <c r="D451" i="18"/>
  <c r="C451" i="18"/>
  <c r="B451" i="18"/>
  <c r="F450" i="18"/>
  <c r="E450" i="18"/>
  <c r="D450" i="18"/>
  <c r="C450" i="18"/>
  <c r="B450" i="18"/>
  <c r="F449" i="18"/>
  <c r="E449" i="18"/>
  <c r="D449" i="18"/>
  <c r="C449" i="18"/>
  <c r="B449" i="18"/>
  <c r="F448" i="18"/>
  <c r="E448" i="18"/>
  <c r="D448" i="18"/>
  <c r="C448" i="18"/>
  <c r="B448" i="18"/>
  <c r="F447" i="18"/>
  <c r="E447" i="18"/>
  <c r="D447" i="18"/>
  <c r="C447" i="18"/>
  <c r="B447" i="18"/>
  <c r="F446" i="18"/>
  <c r="E446" i="18"/>
  <c r="D446" i="18"/>
  <c r="C446" i="18"/>
  <c r="B446" i="18"/>
  <c r="F445" i="18"/>
  <c r="E445" i="18"/>
  <c r="D445" i="18"/>
  <c r="C445" i="18"/>
  <c r="B445" i="18"/>
  <c r="F444" i="18"/>
  <c r="E444" i="18"/>
  <c r="D444" i="18"/>
  <c r="C444" i="18"/>
  <c r="B444" i="18"/>
  <c r="F443" i="18"/>
  <c r="E443" i="18"/>
  <c r="D443" i="18"/>
  <c r="C443" i="18"/>
  <c r="B443" i="18"/>
  <c r="F442" i="18"/>
  <c r="E442" i="18"/>
  <c r="D442" i="18"/>
  <c r="C442" i="18"/>
  <c r="B442" i="18"/>
  <c r="F441" i="18"/>
  <c r="E441" i="18"/>
  <c r="D441" i="18"/>
  <c r="C441" i="18"/>
  <c r="B441" i="18"/>
  <c r="F440" i="18"/>
  <c r="E440" i="18"/>
  <c r="D440" i="18"/>
  <c r="C440" i="18"/>
  <c r="B440" i="18"/>
  <c r="F439" i="18"/>
  <c r="E439" i="18"/>
  <c r="D439" i="18"/>
  <c r="C439" i="18"/>
  <c r="B439" i="18"/>
  <c r="F438" i="18"/>
  <c r="E438" i="18"/>
  <c r="D438" i="18"/>
  <c r="C438" i="18"/>
  <c r="B438" i="18"/>
  <c r="F437" i="18"/>
  <c r="E437" i="18"/>
  <c r="D437" i="18"/>
  <c r="C437" i="18"/>
  <c r="B437" i="18"/>
  <c r="F436" i="18"/>
  <c r="E436" i="18"/>
  <c r="D436" i="18"/>
  <c r="C436" i="18"/>
  <c r="B436" i="18"/>
  <c r="F435" i="18"/>
  <c r="E435" i="18"/>
  <c r="D435" i="18"/>
  <c r="C435" i="18"/>
  <c r="B435" i="18"/>
  <c r="F434" i="18"/>
  <c r="E434" i="18"/>
  <c r="D434" i="18"/>
  <c r="C434" i="18"/>
  <c r="B434" i="18"/>
  <c r="F433" i="18"/>
  <c r="E433" i="18"/>
  <c r="D433" i="18"/>
  <c r="C433" i="18"/>
  <c r="B433" i="18"/>
  <c r="F432" i="18"/>
  <c r="E432" i="18"/>
  <c r="D432" i="18"/>
  <c r="C432" i="18"/>
  <c r="B432" i="18"/>
  <c r="F431" i="18"/>
  <c r="E431" i="18"/>
  <c r="D431" i="18"/>
  <c r="C431" i="18"/>
  <c r="B431" i="18"/>
  <c r="F430" i="18"/>
  <c r="E430" i="18"/>
  <c r="D430" i="18"/>
  <c r="C430" i="18"/>
  <c r="B430" i="18"/>
  <c r="F429" i="18"/>
  <c r="E429" i="18"/>
  <c r="D429" i="18"/>
  <c r="C429" i="18"/>
  <c r="B429" i="18"/>
  <c r="F428" i="18"/>
  <c r="E428" i="18"/>
  <c r="D428" i="18"/>
  <c r="C428" i="18"/>
  <c r="B428" i="18"/>
  <c r="F427" i="18"/>
  <c r="E427" i="18"/>
  <c r="D427" i="18"/>
  <c r="C427" i="18"/>
  <c r="B427" i="18"/>
  <c r="F426" i="18"/>
  <c r="E426" i="18"/>
  <c r="D426" i="18"/>
  <c r="C426" i="18"/>
  <c r="B426" i="18"/>
  <c r="F425" i="18"/>
  <c r="E425" i="18"/>
  <c r="D425" i="18"/>
  <c r="C425" i="18"/>
  <c r="B425" i="18"/>
  <c r="F424" i="18"/>
  <c r="E424" i="18"/>
  <c r="D424" i="18"/>
  <c r="C424" i="18"/>
  <c r="B424" i="18"/>
  <c r="F423" i="18"/>
  <c r="E423" i="18"/>
  <c r="D423" i="18"/>
  <c r="C423" i="18"/>
  <c r="B423" i="18"/>
  <c r="F422" i="18"/>
  <c r="E422" i="18"/>
  <c r="D422" i="18"/>
  <c r="C422" i="18"/>
  <c r="B422" i="18"/>
  <c r="F421" i="18"/>
  <c r="E421" i="18"/>
  <c r="D421" i="18"/>
  <c r="C421" i="18"/>
  <c r="B421" i="18"/>
  <c r="F420" i="18"/>
  <c r="E420" i="18"/>
  <c r="D420" i="18"/>
  <c r="C420" i="18"/>
  <c r="B420" i="18"/>
  <c r="F419" i="18"/>
  <c r="E419" i="18"/>
  <c r="D419" i="18"/>
  <c r="C419" i="18"/>
  <c r="B419" i="18"/>
  <c r="F418" i="18"/>
  <c r="E418" i="18"/>
  <c r="D418" i="18"/>
  <c r="C418" i="18"/>
  <c r="B418" i="18"/>
  <c r="F417" i="18"/>
  <c r="E417" i="18"/>
  <c r="D417" i="18"/>
  <c r="C417" i="18"/>
  <c r="B417" i="18"/>
  <c r="F416" i="18"/>
  <c r="E416" i="18"/>
  <c r="D416" i="18"/>
  <c r="C416" i="18"/>
  <c r="B416" i="18"/>
  <c r="F415" i="18"/>
  <c r="E415" i="18"/>
  <c r="D415" i="18"/>
  <c r="C415" i="18"/>
  <c r="B415" i="18"/>
  <c r="F414" i="18"/>
  <c r="E414" i="18"/>
  <c r="D414" i="18"/>
  <c r="C414" i="18"/>
  <c r="B414" i="18"/>
  <c r="F413" i="18"/>
  <c r="E413" i="18"/>
  <c r="D413" i="18"/>
  <c r="C413" i="18"/>
  <c r="B413" i="18"/>
  <c r="F412" i="18"/>
  <c r="E412" i="18"/>
  <c r="D412" i="18"/>
  <c r="C412" i="18"/>
  <c r="B412" i="18"/>
  <c r="F411" i="18"/>
  <c r="E411" i="18"/>
  <c r="D411" i="18"/>
  <c r="C411" i="18"/>
  <c r="B411" i="18"/>
  <c r="F410" i="18"/>
  <c r="E410" i="18"/>
  <c r="D410" i="18"/>
  <c r="C410" i="18"/>
  <c r="B410" i="18"/>
  <c r="F409" i="18"/>
  <c r="E409" i="18"/>
  <c r="D409" i="18"/>
  <c r="C409" i="18"/>
  <c r="B409" i="18"/>
  <c r="F408" i="18"/>
  <c r="E408" i="18"/>
  <c r="D408" i="18"/>
  <c r="C408" i="18"/>
  <c r="B408" i="18"/>
  <c r="F407" i="18"/>
  <c r="E407" i="18"/>
  <c r="D407" i="18"/>
  <c r="C407" i="18"/>
  <c r="B407" i="18"/>
  <c r="F406" i="18"/>
  <c r="E406" i="18"/>
  <c r="D406" i="18"/>
  <c r="C406" i="18"/>
  <c r="B406" i="18"/>
  <c r="F405" i="18"/>
  <c r="E405" i="18"/>
  <c r="D405" i="18"/>
  <c r="C405" i="18"/>
  <c r="B405" i="18"/>
  <c r="F404" i="18"/>
  <c r="E404" i="18"/>
  <c r="D404" i="18"/>
  <c r="C404" i="18"/>
  <c r="B404" i="18"/>
  <c r="F403" i="18"/>
  <c r="E403" i="18"/>
  <c r="D403" i="18"/>
  <c r="C403" i="18"/>
  <c r="B403" i="18"/>
  <c r="F402" i="18"/>
  <c r="E402" i="18"/>
  <c r="D402" i="18"/>
  <c r="C402" i="18"/>
  <c r="B402" i="18"/>
  <c r="F401" i="18"/>
  <c r="E401" i="18"/>
  <c r="D401" i="18"/>
  <c r="C401" i="18"/>
  <c r="B401" i="18"/>
  <c r="F400" i="18"/>
  <c r="E400" i="18"/>
  <c r="D400" i="18"/>
  <c r="C400" i="18"/>
  <c r="B400" i="18"/>
  <c r="F399" i="18"/>
  <c r="E399" i="18"/>
  <c r="D399" i="18"/>
  <c r="C399" i="18"/>
  <c r="B399" i="18"/>
  <c r="F398" i="18"/>
  <c r="E398" i="18"/>
  <c r="D398" i="18"/>
  <c r="C398" i="18"/>
  <c r="B398" i="18"/>
  <c r="F397" i="18"/>
  <c r="E397" i="18"/>
  <c r="D397" i="18"/>
  <c r="C397" i="18"/>
  <c r="B397" i="18"/>
  <c r="F396" i="18"/>
  <c r="E396" i="18"/>
  <c r="D396" i="18"/>
  <c r="C396" i="18"/>
  <c r="B396" i="18"/>
  <c r="F395" i="18"/>
  <c r="E395" i="18"/>
  <c r="D395" i="18"/>
  <c r="C395" i="18"/>
  <c r="B395" i="18"/>
  <c r="F394" i="18"/>
  <c r="E394" i="18"/>
  <c r="D394" i="18"/>
  <c r="C394" i="18"/>
  <c r="B394" i="18"/>
  <c r="F393" i="18"/>
  <c r="E393" i="18"/>
  <c r="D393" i="18"/>
  <c r="C393" i="18"/>
  <c r="B393" i="18"/>
  <c r="F392" i="18"/>
  <c r="E392" i="18"/>
  <c r="D392" i="18"/>
  <c r="C392" i="18"/>
  <c r="B392" i="18"/>
  <c r="F391" i="18"/>
  <c r="E391" i="18"/>
  <c r="D391" i="18"/>
  <c r="C391" i="18"/>
  <c r="B391" i="18"/>
  <c r="F390" i="18"/>
  <c r="E390" i="18"/>
  <c r="D390" i="18"/>
  <c r="C390" i="18"/>
  <c r="B390" i="18"/>
  <c r="F389" i="18"/>
  <c r="E389" i="18"/>
  <c r="D389" i="18"/>
  <c r="C389" i="18"/>
  <c r="B389" i="18"/>
  <c r="F388" i="18"/>
  <c r="E388" i="18"/>
  <c r="D388" i="18"/>
  <c r="C388" i="18"/>
  <c r="B388" i="18"/>
  <c r="F387" i="18"/>
  <c r="E387" i="18"/>
  <c r="D387" i="18"/>
  <c r="C387" i="18"/>
  <c r="B387" i="18"/>
  <c r="F386" i="18"/>
  <c r="E386" i="18"/>
  <c r="D386" i="18"/>
  <c r="C386" i="18"/>
  <c r="B386" i="18"/>
  <c r="F385" i="18"/>
  <c r="E385" i="18"/>
  <c r="D385" i="18"/>
  <c r="C385" i="18"/>
  <c r="B385" i="18"/>
  <c r="F384" i="18"/>
  <c r="E384" i="18"/>
  <c r="D384" i="18"/>
  <c r="C384" i="18"/>
  <c r="B384" i="18"/>
  <c r="F383" i="18"/>
  <c r="E383" i="18"/>
  <c r="D383" i="18"/>
  <c r="C383" i="18"/>
  <c r="B383" i="18"/>
  <c r="F382" i="18"/>
  <c r="E382" i="18"/>
  <c r="D382" i="18"/>
  <c r="C382" i="18"/>
  <c r="B382" i="18"/>
  <c r="F381" i="18"/>
  <c r="E381" i="18"/>
  <c r="D381" i="18"/>
  <c r="C381" i="18"/>
  <c r="B381" i="18"/>
  <c r="F380" i="18"/>
  <c r="E380" i="18"/>
  <c r="D380" i="18"/>
  <c r="C380" i="18"/>
  <c r="B380" i="18"/>
  <c r="F379" i="18"/>
  <c r="E379" i="18"/>
  <c r="D379" i="18"/>
  <c r="C379" i="18"/>
  <c r="B379" i="18"/>
  <c r="F378" i="18"/>
  <c r="E378" i="18"/>
  <c r="D378" i="18"/>
  <c r="C378" i="18"/>
  <c r="B378" i="18"/>
  <c r="F377" i="18"/>
  <c r="E377" i="18"/>
  <c r="D377" i="18"/>
  <c r="C377" i="18"/>
  <c r="B377" i="18"/>
  <c r="F376" i="18"/>
  <c r="E376" i="18"/>
  <c r="D376" i="18"/>
  <c r="C376" i="18"/>
  <c r="B376" i="18"/>
  <c r="F375" i="18"/>
  <c r="E375" i="18"/>
  <c r="D375" i="18"/>
  <c r="C375" i="18"/>
  <c r="B375" i="18"/>
  <c r="F374" i="18"/>
  <c r="E374" i="18"/>
  <c r="D374" i="18"/>
  <c r="C374" i="18"/>
  <c r="B374" i="18"/>
  <c r="F373" i="18"/>
  <c r="E373" i="18"/>
  <c r="D373" i="18"/>
  <c r="C373" i="18"/>
  <c r="B373" i="18"/>
  <c r="F372" i="18"/>
  <c r="E372" i="18"/>
  <c r="D372" i="18"/>
  <c r="C372" i="18"/>
  <c r="B372" i="18"/>
  <c r="F371" i="18"/>
  <c r="E371" i="18"/>
  <c r="D371" i="18"/>
  <c r="C371" i="18"/>
  <c r="B371" i="18"/>
  <c r="F370" i="18"/>
  <c r="E370" i="18"/>
  <c r="D370" i="18"/>
  <c r="C370" i="18"/>
  <c r="B370" i="18"/>
  <c r="F369" i="18"/>
  <c r="E369" i="18"/>
  <c r="D369" i="18"/>
  <c r="C369" i="18"/>
  <c r="B369" i="18"/>
  <c r="F368" i="18"/>
  <c r="E368" i="18"/>
  <c r="D368" i="18"/>
  <c r="C368" i="18"/>
  <c r="B368" i="18"/>
  <c r="F367" i="18"/>
  <c r="E367" i="18"/>
  <c r="D367" i="18"/>
  <c r="C367" i="18"/>
  <c r="B367" i="18"/>
  <c r="F366" i="18"/>
  <c r="E366" i="18"/>
  <c r="D366" i="18"/>
  <c r="C366" i="18"/>
  <c r="B366" i="18"/>
  <c r="F365" i="18"/>
  <c r="E365" i="18"/>
  <c r="D365" i="18"/>
  <c r="C365" i="18"/>
  <c r="B365" i="18"/>
  <c r="F364" i="18"/>
  <c r="E364" i="18"/>
  <c r="D364" i="18"/>
  <c r="C364" i="18"/>
  <c r="B364" i="18"/>
  <c r="F363" i="18"/>
  <c r="E363" i="18"/>
  <c r="D363" i="18"/>
  <c r="C363" i="18"/>
  <c r="B363" i="18"/>
  <c r="F362" i="18"/>
  <c r="E362" i="18"/>
  <c r="D362" i="18"/>
  <c r="C362" i="18"/>
  <c r="B362" i="18"/>
  <c r="F361" i="18"/>
  <c r="E361" i="18"/>
  <c r="D361" i="18"/>
  <c r="C361" i="18"/>
  <c r="B361" i="18"/>
  <c r="F360" i="18"/>
  <c r="E360" i="18"/>
  <c r="D360" i="18"/>
  <c r="C360" i="18"/>
  <c r="B360" i="18"/>
  <c r="F359" i="18"/>
  <c r="E359" i="18"/>
  <c r="D359" i="18"/>
  <c r="C359" i="18"/>
  <c r="B359" i="18"/>
  <c r="F358" i="18"/>
  <c r="E358" i="18"/>
  <c r="D358" i="18"/>
  <c r="C358" i="18"/>
  <c r="B358" i="18"/>
  <c r="F357" i="18"/>
  <c r="E357" i="18"/>
  <c r="D357" i="18"/>
  <c r="C357" i="18"/>
  <c r="B357" i="18"/>
  <c r="F356" i="18"/>
  <c r="E356" i="18"/>
  <c r="D356" i="18"/>
  <c r="C356" i="18"/>
  <c r="B356" i="18"/>
  <c r="F355" i="18"/>
  <c r="E355" i="18"/>
  <c r="D355" i="18"/>
  <c r="C355" i="18"/>
  <c r="B355" i="18"/>
  <c r="F354" i="18"/>
  <c r="E354" i="18"/>
  <c r="D354" i="18"/>
  <c r="C354" i="18"/>
  <c r="B354" i="18"/>
  <c r="F353" i="18"/>
  <c r="E353" i="18"/>
  <c r="D353" i="18"/>
  <c r="C353" i="18"/>
  <c r="B353" i="18"/>
  <c r="F352" i="18"/>
  <c r="E352" i="18"/>
  <c r="D352" i="18"/>
  <c r="C352" i="18"/>
  <c r="B352" i="18"/>
  <c r="F351" i="18"/>
  <c r="E351" i="18"/>
  <c r="D351" i="18"/>
  <c r="C351" i="18"/>
  <c r="B351" i="18"/>
  <c r="F350" i="18"/>
  <c r="E350" i="18"/>
  <c r="D350" i="18"/>
  <c r="C350" i="18"/>
  <c r="B350" i="18"/>
  <c r="F349" i="18"/>
  <c r="E349" i="18"/>
  <c r="D349" i="18"/>
  <c r="C349" i="18"/>
  <c r="B349" i="18"/>
  <c r="F348" i="18"/>
  <c r="E348" i="18"/>
  <c r="D348" i="18"/>
  <c r="C348" i="18"/>
  <c r="B348" i="18"/>
  <c r="F347" i="18"/>
  <c r="E347" i="18"/>
  <c r="D347" i="18"/>
  <c r="C347" i="18"/>
  <c r="B347" i="18"/>
  <c r="F346" i="18"/>
  <c r="E346" i="18"/>
  <c r="D346" i="18"/>
  <c r="C346" i="18"/>
  <c r="B346" i="18"/>
  <c r="F345" i="18"/>
  <c r="E345" i="18"/>
  <c r="D345" i="18"/>
  <c r="C345" i="18"/>
  <c r="B345" i="18"/>
  <c r="F344" i="18"/>
  <c r="E344" i="18"/>
  <c r="D344" i="18"/>
  <c r="C344" i="18"/>
  <c r="B344" i="18"/>
  <c r="F343" i="18"/>
  <c r="E343" i="18"/>
  <c r="D343" i="18"/>
  <c r="C343" i="18"/>
  <c r="B343" i="18"/>
  <c r="F342" i="18"/>
  <c r="E342" i="18"/>
  <c r="D342" i="18"/>
  <c r="C342" i="18"/>
  <c r="B342" i="18"/>
  <c r="F341" i="18"/>
  <c r="E341" i="18"/>
  <c r="D341" i="18"/>
  <c r="C341" i="18"/>
  <c r="B341" i="18"/>
  <c r="F340" i="18"/>
  <c r="E340" i="18"/>
  <c r="D340" i="18"/>
  <c r="C340" i="18"/>
  <c r="B340" i="18"/>
  <c r="F339" i="18"/>
  <c r="E339" i="18"/>
  <c r="D339" i="18"/>
  <c r="C339" i="18"/>
  <c r="B339" i="18"/>
  <c r="F338" i="18"/>
  <c r="E338" i="18"/>
  <c r="D338" i="18"/>
  <c r="C338" i="18"/>
  <c r="B338" i="18"/>
  <c r="F337" i="18"/>
  <c r="E337" i="18"/>
  <c r="D337" i="18"/>
  <c r="C337" i="18"/>
  <c r="B337" i="18"/>
  <c r="F336" i="18"/>
  <c r="E336" i="18"/>
  <c r="D336" i="18"/>
  <c r="C336" i="18"/>
  <c r="B336" i="18"/>
  <c r="F335" i="18"/>
  <c r="E335" i="18"/>
  <c r="D335" i="18"/>
  <c r="C335" i="18"/>
  <c r="B335" i="18"/>
  <c r="F334" i="18"/>
  <c r="E334" i="18"/>
  <c r="D334" i="18"/>
  <c r="C334" i="18"/>
  <c r="B334" i="18"/>
  <c r="F333" i="18"/>
  <c r="E333" i="18"/>
  <c r="D333" i="18"/>
  <c r="C333" i="18"/>
  <c r="B333" i="18"/>
  <c r="F332" i="18"/>
  <c r="E332" i="18"/>
  <c r="D332" i="18"/>
  <c r="C332" i="18"/>
  <c r="B332" i="18"/>
  <c r="F331" i="18"/>
  <c r="E331" i="18"/>
  <c r="D331" i="18"/>
  <c r="C331" i="18"/>
  <c r="B331" i="18"/>
  <c r="F330" i="18"/>
  <c r="E330" i="18"/>
  <c r="D330" i="18"/>
  <c r="C330" i="18"/>
  <c r="B330" i="18"/>
  <c r="F329" i="18"/>
  <c r="E329" i="18"/>
  <c r="D329" i="18"/>
  <c r="C329" i="18"/>
  <c r="B329" i="18"/>
  <c r="F328" i="18"/>
  <c r="E328" i="18"/>
  <c r="D328" i="18"/>
  <c r="C328" i="18"/>
  <c r="B328" i="18"/>
  <c r="F327" i="18"/>
  <c r="E327" i="18"/>
  <c r="D327" i="18"/>
  <c r="C327" i="18"/>
  <c r="B327" i="18"/>
  <c r="F326" i="18"/>
  <c r="E326" i="18"/>
  <c r="D326" i="18"/>
  <c r="C326" i="18"/>
  <c r="B326" i="18"/>
  <c r="F325" i="18"/>
  <c r="E325" i="18"/>
  <c r="D325" i="18"/>
  <c r="C325" i="18"/>
  <c r="B325" i="18"/>
  <c r="F324" i="18"/>
  <c r="E324" i="18"/>
  <c r="D324" i="18"/>
  <c r="C324" i="18"/>
  <c r="B324" i="18"/>
  <c r="F323" i="18"/>
  <c r="E323" i="18"/>
  <c r="D323" i="18"/>
  <c r="C323" i="18"/>
  <c r="B323" i="18"/>
  <c r="F322" i="18"/>
  <c r="E322" i="18"/>
  <c r="D322" i="18"/>
  <c r="C322" i="18"/>
  <c r="B322" i="18"/>
  <c r="F321" i="18"/>
  <c r="E321" i="18"/>
  <c r="D321" i="18"/>
  <c r="C321" i="18"/>
  <c r="B321" i="18"/>
  <c r="F320" i="18"/>
  <c r="E320" i="18"/>
  <c r="D320" i="18"/>
  <c r="C320" i="18"/>
  <c r="B320" i="18"/>
  <c r="F319" i="18"/>
  <c r="E319" i="18"/>
  <c r="D319" i="18"/>
  <c r="C319" i="18"/>
  <c r="B319" i="18"/>
  <c r="F318" i="18"/>
  <c r="E318" i="18"/>
  <c r="D318" i="18"/>
  <c r="C318" i="18"/>
  <c r="B318" i="18"/>
  <c r="F317" i="18"/>
  <c r="E317" i="18"/>
  <c r="D317" i="18"/>
  <c r="C317" i="18"/>
  <c r="B317" i="18"/>
  <c r="F316" i="18"/>
  <c r="E316" i="18"/>
  <c r="D316" i="18"/>
  <c r="C316" i="18"/>
  <c r="B316" i="18"/>
  <c r="F315" i="18"/>
  <c r="E315" i="18"/>
  <c r="D315" i="18"/>
  <c r="C315" i="18"/>
  <c r="B315" i="18"/>
  <c r="F314" i="18"/>
  <c r="E314" i="18"/>
  <c r="D314" i="18"/>
  <c r="C314" i="18"/>
  <c r="B314" i="18"/>
  <c r="F313" i="18"/>
  <c r="E313" i="18"/>
  <c r="D313" i="18"/>
  <c r="C313" i="18"/>
  <c r="B313" i="18"/>
  <c r="F312" i="18"/>
  <c r="E312" i="18"/>
  <c r="D312" i="18"/>
  <c r="C312" i="18"/>
  <c r="B312" i="18"/>
  <c r="F311" i="18"/>
  <c r="E311" i="18"/>
  <c r="D311" i="18"/>
  <c r="C311" i="18"/>
  <c r="B311" i="18"/>
  <c r="F310" i="18"/>
  <c r="E310" i="18"/>
  <c r="D310" i="18"/>
  <c r="C310" i="18"/>
  <c r="B310" i="18"/>
  <c r="F309" i="18"/>
  <c r="E309" i="18"/>
  <c r="D309" i="18"/>
  <c r="C309" i="18"/>
  <c r="B309" i="18"/>
  <c r="F308" i="18"/>
  <c r="E308" i="18"/>
  <c r="D308" i="18"/>
  <c r="C308" i="18"/>
  <c r="B308" i="18"/>
  <c r="F307" i="18"/>
  <c r="E307" i="18"/>
  <c r="D307" i="18"/>
  <c r="C307" i="18"/>
  <c r="B307" i="18"/>
  <c r="F306" i="18"/>
  <c r="E306" i="18"/>
  <c r="D306" i="18"/>
  <c r="C306" i="18"/>
  <c r="B306" i="18"/>
  <c r="F305" i="18"/>
  <c r="E305" i="18"/>
  <c r="D305" i="18"/>
  <c r="C305" i="18"/>
  <c r="B305" i="18"/>
  <c r="F304" i="18"/>
  <c r="E304" i="18"/>
  <c r="D304" i="18"/>
  <c r="C304" i="18"/>
  <c r="B304" i="18"/>
  <c r="F303" i="18"/>
  <c r="E303" i="18"/>
  <c r="D303" i="18"/>
  <c r="C303" i="18"/>
  <c r="B303" i="18"/>
  <c r="F302" i="18"/>
  <c r="E302" i="18"/>
  <c r="D302" i="18"/>
  <c r="C302" i="18"/>
  <c r="B302" i="18"/>
  <c r="F301" i="18"/>
  <c r="E301" i="18"/>
  <c r="D301" i="18"/>
  <c r="C301" i="18"/>
  <c r="B301" i="18"/>
  <c r="F300" i="18"/>
  <c r="E300" i="18"/>
  <c r="D300" i="18"/>
  <c r="C300" i="18"/>
  <c r="B300" i="18"/>
  <c r="F299" i="18"/>
  <c r="E299" i="18"/>
  <c r="D299" i="18"/>
  <c r="C299" i="18"/>
  <c r="B299" i="18"/>
  <c r="F298" i="18"/>
  <c r="E298" i="18"/>
  <c r="D298" i="18"/>
  <c r="C298" i="18"/>
  <c r="B298" i="18"/>
  <c r="F297" i="18"/>
  <c r="E297" i="18"/>
  <c r="D297" i="18"/>
  <c r="C297" i="18"/>
  <c r="B297" i="18"/>
  <c r="F296" i="18"/>
  <c r="E296" i="18"/>
  <c r="D296" i="18"/>
  <c r="C296" i="18"/>
  <c r="B296" i="18"/>
  <c r="F295" i="18"/>
  <c r="E295" i="18"/>
  <c r="D295" i="18"/>
  <c r="C295" i="18"/>
  <c r="B295" i="18"/>
  <c r="F294" i="18"/>
  <c r="E294" i="18"/>
  <c r="D294" i="18"/>
  <c r="C294" i="18"/>
  <c r="B294" i="18"/>
  <c r="F293" i="18"/>
  <c r="E293" i="18"/>
  <c r="D293" i="18"/>
  <c r="C293" i="18"/>
  <c r="B293" i="18"/>
  <c r="F292" i="18"/>
  <c r="E292" i="18"/>
  <c r="D292" i="18"/>
  <c r="C292" i="18"/>
  <c r="B292" i="18"/>
  <c r="F291" i="18"/>
  <c r="E291" i="18"/>
  <c r="D291" i="18"/>
  <c r="C291" i="18"/>
  <c r="B291" i="18"/>
  <c r="F290" i="18"/>
  <c r="E290" i="18"/>
  <c r="D290" i="18"/>
  <c r="C290" i="18"/>
  <c r="B290" i="18"/>
  <c r="F289" i="18"/>
  <c r="E289" i="18"/>
  <c r="D289" i="18"/>
  <c r="C289" i="18"/>
  <c r="B289" i="18"/>
  <c r="F288" i="18"/>
  <c r="E288" i="18"/>
  <c r="D288" i="18"/>
  <c r="C288" i="18"/>
  <c r="B288" i="18"/>
  <c r="F287" i="18"/>
  <c r="E287" i="18"/>
  <c r="D287" i="18"/>
  <c r="C287" i="18"/>
  <c r="B287" i="18"/>
  <c r="F286" i="18"/>
  <c r="E286" i="18"/>
  <c r="D286" i="18"/>
  <c r="C286" i="18"/>
  <c r="B286" i="18"/>
  <c r="F285" i="18"/>
  <c r="E285" i="18"/>
  <c r="D285" i="18"/>
  <c r="C285" i="18"/>
  <c r="B285" i="18"/>
  <c r="F284" i="18"/>
  <c r="E284" i="18"/>
  <c r="D284" i="18"/>
  <c r="C284" i="18"/>
  <c r="B284" i="18"/>
  <c r="F283" i="18"/>
  <c r="E283" i="18"/>
  <c r="D283" i="18"/>
  <c r="C283" i="18"/>
  <c r="B283" i="18"/>
  <c r="F282" i="18"/>
  <c r="E282" i="18"/>
  <c r="D282" i="18"/>
  <c r="C282" i="18"/>
  <c r="B282" i="18"/>
  <c r="F281" i="18"/>
  <c r="E281" i="18"/>
  <c r="D281" i="18"/>
  <c r="C281" i="18"/>
  <c r="B281" i="18"/>
  <c r="F280" i="18"/>
  <c r="E280" i="18"/>
  <c r="D280" i="18"/>
  <c r="C280" i="18"/>
  <c r="B280" i="18"/>
  <c r="F279" i="18"/>
  <c r="E279" i="18"/>
  <c r="D279" i="18"/>
  <c r="C279" i="18"/>
  <c r="B279" i="18"/>
  <c r="F278" i="18"/>
  <c r="E278" i="18"/>
  <c r="D278" i="18"/>
  <c r="C278" i="18"/>
  <c r="B278" i="18"/>
  <c r="F277" i="18"/>
  <c r="E277" i="18"/>
  <c r="D277" i="18"/>
  <c r="C277" i="18"/>
  <c r="B277" i="18"/>
  <c r="F276" i="18"/>
  <c r="E276" i="18"/>
  <c r="D276" i="18"/>
  <c r="C276" i="18"/>
  <c r="B276" i="18"/>
  <c r="F275" i="18"/>
  <c r="E275" i="18"/>
  <c r="D275" i="18"/>
  <c r="C275" i="18"/>
  <c r="B275" i="18"/>
  <c r="F274" i="18"/>
  <c r="E274" i="18"/>
  <c r="D274" i="18"/>
  <c r="C274" i="18"/>
  <c r="B274" i="18"/>
  <c r="F273" i="18"/>
  <c r="E273" i="18"/>
  <c r="D273" i="18"/>
  <c r="C273" i="18"/>
  <c r="B273" i="18"/>
  <c r="F272" i="18"/>
  <c r="E272" i="18"/>
  <c r="D272" i="18"/>
  <c r="C272" i="18"/>
  <c r="B272" i="18"/>
  <c r="F271" i="18"/>
  <c r="E271" i="18"/>
  <c r="D271" i="18"/>
  <c r="C271" i="18"/>
  <c r="B271" i="18"/>
  <c r="F270" i="18"/>
  <c r="E270" i="18"/>
  <c r="D270" i="18"/>
  <c r="C270" i="18"/>
  <c r="B270" i="18"/>
  <c r="F269" i="18"/>
  <c r="E269" i="18"/>
  <c r="D269" i="18"/>
  <c r="C269" i="18"/>
  <c r="B269" i="18"/>
  <c r="F268" i="18"/>
  <c r="E268" i="18"/>
  <c r="D268" i="18"/>
  <c r="C268" i="18"/>
  <c r="B268" i="18"/>
  <c r="F267" i="18"/>
  <c r="E267" i="18"/>
  <c r="D267" i="18"/>
  <c r="C267" i="18"/>
  <c r="B267" i="18"/>
  <c r="F266" i="18"/>
  <c r="E266" i="18"/>
  <c r="D266" i="18"/>
  <c r="C266" i="18"/>
  <c r="B266" i="18"/>
  <c r="F265" i="18"/>
  <c r="E265" i="18"/>
  <c r="D265" i="18"/>
  <c r="C265" i="18"/>
  <c r="B265" i="18"/>
  <c r="F264" i="18"/>
  <c r="E264" i="18"/>
  <c r="D264" i="18"/>
  <c r="C264" i="18"/>
  <c r="B264" i="18"/>
  <c r="F263" i="18"/>
  <c r="E263" i="18"/>
  <c r="D263" i="18"/>
  <c r="C263" i="18"/>
  <c r="B263" i="18"/>
  <c r="F262" i="18"/>
  <c r="E262" i="18"/>
  <c r="D262" i="18"/>
  <c r="C262" i="18"/>
  <c r="B262" i="18"/>
  <c r="F261" i="18"/>
  <c r="E261" i="18"/>
  <c r="D261" i="18"/>
  <c r="C261" i="18"/>
  <c r="B261" i="18"/>
  <c r="F260" i="18"/>
  <c r="E260" i="18"/>
  <c r="D260" i="18"/>
  <c r="C260" i="18"/>
  <c r="B260" i="18"/>
  <c r="F259" i="18"/>
  <c r="E259" i="18"/>
  <c r="D259" i="18"/>
  <c r="C259" i="18"/>
  <c r="B259" i="18"/>
  <c r="F258" i="18"/>
  <c r="E258" i="18"/>
  <c r="D258" i="18"/>
  <c r="C258" i="18"/>
  <c r="B258" i="18"/>
  <c r="F257" i="18"/>
  <c r="E257" i="18"/>
  <c r="D257" i="18"/>
  <c r="C257" i="18"/>
  <c r="B257" i="18"/>
  <c r="F256" i="18"/>
  <c r="E256" i="18"/>
  <c r="D256" i="18"/>
  <c r="C256" i="18"/>
  <c r="B256" i="18"/>
  <c r="F255" i="18"/>
  <c r="E255" i="18"/>
  <c r="D255" i="18"/>
  <c r="C255" i="18"/>
  <c r="B255" i="18"/>
  <c r="F254" i="18"/>
  <c r="E254" i="18"/>
  <c r="D254" i="18"/>
  <c r="C254" i="18"/>
  <c r="B254" i="18"/>
  <c r="F253" i="18"/>
  <c r="E253" i="18"/>
  <c r="D253" i="18"/>
  <c r="C253" i="18"/>
  <c r="B253" i="18"/>
  <c r="F252" i="18"/>
  <c r="E252" i="18"/>
  <c r="D252" i="18"/>
  <c r="C252" i="18"/>
  <c r="B252" i="18"/>
  <c r="F251" i="18"/>
  <c r="E251" i="18"/>
  <c r="D251" i="18"/>
  <c r="C251" i="18"/>
  <c r="B251" i="18"/>
  <c r="F250" i="18"/>
  <c r="E250" i="18"/>
  <c r="D250" i="18"/>
  <c r="C250" i="18"/>
  <c r="B250" i="18"/>
  <c r="F249" i="18"/>
  <c r="E249" i="18"/>
  <c r="D249" i="18"/>
  <c r="C249" i="18"/>
  <c r="B249" i="18"/>
  <c r="F248" i="18"/>
  <c r="E248" i="18"/>
  <c r="D248" i="18"/>
  <c r="C248" i="18"/>
  <c r="B248" i="18"/>
  <c r="F247" i="18"/>
  <c r="E247" i="18"/>
  <c r="D247" i="18"/>
  <c r="C247" i="18"/>
  <c r="B247" i="18"/>
  <c r="F246" i="18"/>
  <c r="E246" i="18"/>
  <c r="D246" i="18"/>
  <c r="C246" i="18"/>
  <c r="B246" i="18"/>
  <c r="F245" i="18"/>
  <c r="E245" i="18"/>
  <c r="D245" i="18"/>
  <c r="C245" i="18"/>
  <c r="B245" i="18"/>
  <c r="F244" i="18"/>
  <c r="E244" i="18"/>
  <c r="D244" i="18"/>
  <c r="C244" i="18"/>
  <c r="B244" i="18"/>
  <c r="F243" i="18"/>
  <c r="E243" i="18"/>
  <c r="D243" i="18"/>
  <c r="C243" i="18"/>
  <c r="B243" i="18"/>
  <c r="F242" i="18"/>
  <c r="E242" i="18"/>
  <c r="D242" i="18"/>
  <c r="C242" i="18"/>
  <c r="B242" i="18"/>
  <c r="F241" i="18"/>
  <c r="E241" i="18"/>
  <c r="D241" i="18"/>
  <c r="C241" i="18"/>
  <c r="B241" i="18"/>
  <c r="F240" i="18"/>
  <c r="E240" i="18"/>
  <c r="D240" i="18"/>
  <c r="C240" i="18"/>
  <c r="B240" i="18"/>
  <c r="F239" i="18"/>
  <c r="E239" i="18"/>
  <c r="D239" i="18"/>
  <c r="C239" i="18"/>
  <c r="B239" i="18"/>
  <c r="F238" i="18"/>
  <c r="E238" i="18"/>
  <c r="D238" i="18"/>
  <c r="C238" i="18"/>
  <c r="B238" i="18"/>
  <c r="F237" i="18"/>
  <c r="E237" i="18"/>
  <c r="D237" i="18"/>
  <c r="C237" i="18"/>
  <c r="B237" i="18"/>
  <c r="F236" i="18"/>
  <c r="E236" i="18"/>
  <c r="D236" i="18"/>
  <c r="C236" i="18"/>
  <c r="B236" i="18"/>
  <c r="F235" i="18"/>
  <c r="E235" i="18"/>
  <c r="D235" i="18"/>
  <c r="C235" i="18"/>
  <c r="B235" i="18"/>
  <c r="F234" i="18"/>
  <c r="E234" i="18"/>
  <c r="D234" i="18"/>
  <c r="C234" i="18"/>
  <c r="B234" i="18"/>
  <c r="F233" i="18"/>
  <c r="E233" i="18"/>
  <c r="D233" i="18"/>
  <c r="C233" i="18"/>
  <c r="B233" i="18"/>
  <c r="F232" i="18"/>
  <c r="E232" i="18"/>
  <c r="D232" i="18"/>
  <c r="C232" i="18"/>
  <c r="B232" i="18"/>
  <c r="F231" i="18"/>
  <c r="E231" i="18"/>
  <c r="D231" i="18"/>
  <c r="C231" i="18"/>
  <c r="B231" i="18"/>
  <c r="F230" i="18"/>
  <c r="E230" i="18"/>
  <c r="D230" i="18"/>
  <c r="C230" i="18"/>
  <c r="B230" i="18"/>
  <c r="F229" i="18"/>
  <c r="E229" i="18"/>
  <c r="D229" i="18"/>
  <c r="C229" i="18"/>
  <c r="B229" i="18"/>
  <c r="D228" i="18"/>
  <c r="D227" i="18"/>
  <c r="D226" i="18"/>
  <c r="F225" i="18"/>
  <c r="E225" i="18"/>
  <c r="D225" i="18"/>
  <c r="C225" i="18"/>
  <c r="B225" i="18"/>
  <c r="D224" i="18"/>
  <c r="D223" i="18"/>
  <c r="D222" i="18"/>
  <c r="F221" i="18"/>
  <c r="E221" i="18"/>
  <c r="D221" i="18"/>
  <c r="C221" i="18"/>
  <c r="B221" i="18"/>
  <c r="F220" i="18"/>
  <c r="E220" i="18"/>
  <c r="D220" i="18"/>
  <c r="C220" i="18"/>
  <c r="B220" i="18"/>
  <c r="F211" i="18"/>
  <c r="E211" i="18"/>
  <c r="D211" i="18"/>
  <c r="C211" i="18"/>
  <c r="B211" i="18"/>
  <c r="F207" i="18"/>
  <c r="E207" i="18"/>
  <c r="D207" i="18"/>
  <c r="C207" i="18"/>
  <c r="B207" i="18"/>
  <c r="F206" i="18"/>
  <c r="E206" i="18"/>
  <c r="D206" i="18"/>
  <c r="C206" i="18"/>
  <c r="B206" i="18"/>
  <c r="F205" i="18"/>
  <c r="E205" i="18"/>
  <c r="D205" i="18"/>
  <c r="C205" i="18"/>
  <c r="B205" i="18"/>
  <c r="F204" i="18"/>
  <c r="E204" i="18"/>
  <c r="D204" i="18"/>
  <c r="C204" i="18"/>
  <c r="B204" i="18"/>
  <c r="F203" i="18"/>
  <c r="E203" i="18"/>
  <c r="D203" i="18"/>
  <c r="C203" i="18"/>
  <c r="B203" i="18"/>
  <c r="F202" i="18"/>
  <c r="E202" i="18"/>
  <c r="D202" i="18"/>
  <c r="C202" i="18"/>
  <c r="B202" i="18"/>
  <c r="F201" i="18"/>
  <c r="E201" i="18"/>
  <c r="D201" i="18"/>
  <c r="C201" i="18"/>
  <c r="B201" i="18"/>
  <c r="F200" i="18"/>
  <c r="E200" i="18"/>
  <c r="D200" i="18"/>
  <c r="C200" i="18"/>
  <c r="B200" i="18"/>
  <c r="F199" i="18"/>
  <c r="E199" i="18"/>
  <c r="D199" i="18"/>
  <c r="C199" i="18"/>
  <c r="B199" i="18"/>
  <c r="F198" i="18"/>
  <c r="E198" i="18"/>
  <c r="D198" i="18"/>
  <c r="C198" i="18"/>
  <c r="B198" i="18"/>
  <c r="F197" i="18"/>
  <c r="E197" i="18"/>
  <c r="D197" i="18"/>
  <c r="C197" i="18"/>
  <c r="B197" i="18"/>
  <c r="F196" i="18"/>
  <c r="E196" i="18"/>
  <c r="D196" i="18"/>
  <c r="C196" i="18"/>
  <c r="B196" i="18"/>
  <c r="F195" i="18"/>
  <c r="E195" i="18"/>
  <c r="D195" i="18"/>
  <c r="C195" i="18"/>
  <c r="B195" i="18"/>
  <c r="F194" i="18"/>
  <c r="E194" i="18"/>
  <c r="D194" i="18"/>
  <c r="C194" i="18"/>
  <c r="B194" i="18"/>
  <c r="F193" i="18"/>
  <c r="E193" i="18"/>
  <c r="D193" i="18"/>
  <c r="C193" i="18"/>
  <c r="B193" i="18"/>
  <c r="F192" i="18"/>
  <c r="E192" i="18"/>
  <c r="D192" i="18"/>
  <c r="C192" i="18"/>
  <c r="B192" i="18"/>
  <c r="F191" i="18"/>
  <c r="E191" i="18"/>
  <c r="D191" i="18"/>
  <c r="C191" i="18"/>
  <c r="B191" i="18"/>
  <c r="F190" i="18"/>
  <c r="E190" i="18"/>
  <c r="D190" i="18"/>
  <c r="C190" i="18"/>
  <c r="B190" i="18"/>
  <c r="F189" i="18"/>
  <c r="E189" i="18"/>
  <c r="D189" i="18"/>
  <c r="C189" i="18"/>
  <c r="B189" i="18"/>
  <c r="F188" i="18"/>
  <c r="E188" i="18"/>
  <c r="D188" i="18"/>
  <c r="C188" i="18"/>
  <c r="B188" i="18"/>
  <c r="F187" i="18"/>
  <c r="E187" i="18"/>
  <c r="D187" i="18"/>
  <c r="C187" i="18"/>
  <c r="B187" i="18"/>
  <c r="F186" i="18"/>
  <c r="E186" i="18"/>
  <c r="D186" i="18"/>
  <c r="C186" i="18"/>
  <c r="B186" i="18"/>
  <c r="F185" i="18"/>
  <c r="E185" i="18"/>
  <c r="D185" i="18"/>
  <c r="C185" i="18"/>
  <c r="B185" i="18"/>
  <c r="F184" i="18"/>
  <c r="E184" i="18"/>
  <c r="D184" i="18"/>
  <c r="C184" i="18"/>
  <c r="B184" i="18"/>
  <c r="F183" i="18"/>
  <c r="E183" i="18"/>
  <c r="D183" i="18"/>
  <c r="C183" i="18"/>
  <c r="B183" i="18"/>
  <c r="F182" i="18"/>
  <c r="E182" i="18"/>
  <c r="D182" i="18"/>
  <c r="C182" i="18"/>
  <c r="B182" i="18"/>
  <c r="F181" i="18"/>
  <c r="E181" i="18"/>
  <c r="D181" i="18"/>
  <c r="C181" i="18"/>
  <c r="B181" i="18"/>
  <c r="F180" i="18"/>
  <c r="E180" i="18"/>
  <c r="D180" i="18"/>
  <c r="C180" i="18"/>
  <c r="B180" i="18"/>
  <c r="F179" i="18"/>
  <c r="E179" i="18"/>
  <c r="D179" i="18"/>
  <c r="C179" i="18"/>
  <c r="B179" i="18"/>
  <c r="F178" i="18"/>
  <c r="E178" i="18"/>
  <c r="D178" i="18"/>
  <c r="C178" i="18"/>
  <c r="B178" i="18"/>
  <c r="F177" i="18"/>
  <c r="E177" i="18"/>
  <c r="D177" i="18"/>
  <c r="C177" i="18"/>
  <c r="B177" i="18"/>
  <c r="F176" i="18"/>
  <c r="E176" i="18"/>
  <c r="D176" i="18"/>
  <c r="C176" i="18"/>
  <c r="B176" i="18"/>
  <c r="F175" i="18"/>
  <c r="E175" i="18"/>
  <c r="D175" i="18"/>
  <c r="C175" i="18"/>
  <c r="B175" i="18"/>
  <c r="F174" i="18"/>
  <c r="E174" i="18"/>
  <c r="D174" i="18"/>
  <c r="C174" i="18"/>
  <c r="B174" i="18"/>
  <c r="F173" i="18"/>
  <c r="E173" i="18"/>
  <c r="D173" i="18"/>
  <c r="C173" i="18"/>
  <c r="B173" i="18"/>
  <c r="F172" i="18"/>
  <c r="E172" i="18"/>
  <c r="D172" i="18"/>
  <c r="C172" i="18"/>
  <c r="B172" i="18"/>
  <c r="F171" i="18"/>
  <c r="E171" i="18"/>
  <c r="D171" i="18"/>
  <c r="C171" i="18"/>
  <c r="B171" i="18"/>
  <c r="F170" i="18"/>
  <c r="E170" i="18"/>
  <c r="D170" i="18"/>
  <c r="C170" i="18"/>
  <c r="B170" i="18"/>
  <c r="F169" i="18"/>
  <c r="E169" i="18"/>
  <c r="D169" i="18"/>
  <c r="C169" i="18"/>
  <c r="B169" i="18"/>
  <c r="F168" i="18"/>
  <c r="E168" i="18"/>
  <c r="D168" i="18"/>
  <c r="C168" i="18"/>
  <c r="B168" i="18"/>
  <c r="F167" i="18"/>
  <c r="E167" i="18"/>
  <c r="D167" i="18"/>
  <c r="C167" i="18"/>
  <c r="B167" i="18"/>
  <c r="F166" i="18"/>
  <c r="E166" i="18"/>
  <c r="D166" i="18"/>
  <c r="C166" i="18"/>
  <c r="B166" i="18"/>
  <c r="F165" i="18"/>
  <c r="E165" i="18"/>
  <c r="D165" i="18"/>
  <c r="C165" i="18"/>
  <c r="B165" i="18"/>
  <c r="F164" i="18"/>
  <c r="E164" i="18"/>
  <c r="D164" i="18"/>
  <c r="C164" i="18"/>
  <c r="B164" i="18"/>
  <c r="F163" i="18"/>
  <c r="E163" i="18"/>
  <c r="D163" i="18"/>
  <c r="C163" i="18"/>
  <c r="B163" i="18"/>
  <c r="F162" i="18"/>
  <c r="E162" i="18"/>
  <c r="D162" i="18"/>
  <c r="C162" i="18"/>
  <c r="B162" i="18"/>
  <c r="F161" i="18"/>
  <c r="E161" i="18"/>
  <c r="D161" i="18"/>
  <c r="C161" i="18"/>
  <c r="B161" i="18"/>
  <c r="F160" i="18"/>
  <c r="E160" i="18"/>
  <c r="D160" i="18"/>
  <c r="C160" i="18"/>
  <c r="B160" i="18"/>
  <c r="F159" i="18"/>
  <c r="E159" i="18"/>
  <c r="D159" i="18"/>
  <c r="C159" i="18"/>
  <c r="B159" i="18"/>
  <c r="F158" i="18"/>
  <c r="E158" i="18"/>
  <c r="D158" i="18"/>
  <c r="C158" i="18"/>
  <c r="B158" i="18"/>
  <c r="F157" i="18"/>
  <c r="E157" i="18"/>
  <c r="D157" i="18"/>
  <c r="C157" i="18"/>
  <c r="B157" i="18"/>
  <c r="F156" i="18"/>
  <c r="E156" i="18"/>
  <c r="D156" i="18"/>
  <c r="C156" i="18"/>
  <c r="B156" i="18"/>
  <c r="F155" i="18"/>
  <c r="E155" i="18"/>
  <c r="D155" i="18"/>
  <c r="C155" i="18"/>
  <c r="B155" i="18"/>
  <c r="F154" i="18"/>
  <c r="E154" i="18"/>
  <c r="D154" i="18"/>
  <c r="C154" i="18"/>
  <c r="B154" i="18"/>
  <c r="F153" i="18"/>
  <c r="E153" i="18"/>
  <c r="D153" i="18"/>
  <c r="C153" i="18"/>
  <c r="B153" i="18"/>
  <c r="F152" i="18"/>
  <c r="E152" i="18"/>
  <c r="D152" i="18"/>
  <c r="C152" i="18"/>
  <c r="B152" i="18"/>
  <c r="F151" i="18"/>
  <c r="E151" i="18"/>
  <c r="D151" i="18"/>
  <c r="C151" i="18"/>
  <c r="B151" i="18"/>
  <c r="F150" i="18"/>
  <c r="E150" i="18"/>
  <c r="D150" i="18"/>
  <c r="C150" i="18"/>
  <c r="B150" i="18"/>
  <c r="F149" i="18"/>
  <c r="E149" i="18"/>
  <c r="D149" i="18"/>
  <c r="C149" i="18"/>
  <c r="B149" i="18"/>
  <c r="F148" i="18"/>
  <c r="E148" i="18"/>
  <c r="D148" i="18"/>
  <c r="C148" i="18"/>
  <c r="B148" i="18"/>
  <c r="F147" i="18"/>
  <c r="E147" i="18"/>
  <c r="D147" i="18"/>
  <c r="C147" i="18"/>
  <c r="B147" i="18"/>
  <c r="F146" i="18"/>
  <c r="E146" i="18"/>
  <c r="D146" i="18"/>
  <c r="C146" i="18"/>
  <c r="B146" i="18"/>
  <c r="F145" i="18"/>
  <c r="E145" i="18"/>
  <c r="D145" i="18"/>
  <c r="C145" i="18"/>
  <c r="B145" i="18"/>
  <c r="F144" i="18"/>
  <c r="E144" i="18"/>
  <c r="D144" i="18"/>
  <c r="C144" i="18"/>
  <c r="B144" i="18"/>
  <c r="F143" i="18"/>
  <c r="E143" i="18"/>
  <c r="D143" i="18"/>
  <c r="C143" i="18"/>
  <c r="B143" i="18"/>
  <c r="F142" i="18"/>
  <c r="E142" i="18"/>
  <c r="D142" i="18"/>
  <c r="C142" i="18"/>
  <c r="B142" i="18"/>
  <c r="F141" i="18"/>
  <c r="E141" i="18"/>
  <c r="D141" i="18"/>
  <c r="C141" i="18"/>
  <c r="B141" i="18"/>
  <c r="F140" i="18"/>
  <c r="E140" i="18"/>
  <c r="D140" i="18"/>
  <c r="C140" i="18"/>
  <c r="B140" i="18"/>
  <c r="F139" i="18"/>
  <c r="E139" i="18"/>
  <c r="D139" i="18"/>
  <c r="C139" i="18"/>
  <c r="B139" i="18"/>
  <c r="F138" i="18"/>
  <c r="E138" i="18"/>
  <c r="D138" i="18"/>
  <c r="C138" i="18"/>
  <c r="B138" i="18"/>
  <c r="F137" i="18"/>
  <c r="E137" i="18"/>
  <c r="D137" i="18"/>
  <c r="C137" i="18"/>
  <c r="B137" i="18"/>
  <c r="F136" i="18"/>
  <c r="E136" i="18"/>
  <c r="D136" i="18"/>
  <c r="C136" i="18"/>
  <c r="B136" i="18"/>
  <c r="F135" i="18"/>
  <c r="E135" i="18"/>
  <c r="D135" i="18"/>
  <c r="C135" i="18"/>
  <c r="B135" i="18"/>
  <c r="F134" i="18"/>
  <c r="E134" i="18"/>
  <c r="D134" i="18"/>
  <c r="C134" i="18"/>
  <c r="B134" i="18"/>
  <c r="F133" i="18"/>
  <c r="E133" i="18"/>
  <c r="D133" i="18"/>
  <c r="C133" i="18"/>
  <c r="B133" i="18"/>
  <c r="F132" i="18"/>
  <c r="E132" i="18"/>
  <c r="D132" i="18"/>
  <c r="C132" i="18"/>
  <c r="B132" i="18"/>
  <c r="F131" i="18"/>
  <c r="E131" i="18"/>
  <c r="D131" i="18"/>
  <c r="C131" i="18"/>
  <c r="B131" i="18"/>
  <c r="F130" i="18"/>
  <c r="E130" i="18"/>
  <c r="D130" i="18"/>
  <c r="C130" i="18"/>
  <c r="B130" i="18"/>
  <c r="F129" i="18"/>
  <c r="E129" i="18"/>
  <c r="D129" i="18"/>
  <c r="C129" i="18"/>
  <c r="B129" i="18"/>
  <c r="F128" i="18"/>
  <c r="E128" i="18"/>
  <c r="D128" i="18"/>
  <c r="C128" i="18"/>
  <c r="B128" i="18"/>
  <c r="F127" i="18"/>
  <c r="E127" i="18"/>
  <c r="D127" i="18"/>
  <c r="C127" i="18"/>
  <c r="B127" i="18"/>
  <c r="F126" i="18"/>
  <c r="E126" i="18"/>
  <c r="D126" i="18"/>
  <c r="C126" i="18"/>
  <c r="B126" i="18"/>
  <c r="F125" i="18"/>
  <c r="E125" i="18"/>
  <c r="D125" i="18"/>
  <c r="C125" i="18"/>
  <c r="B125" i="18"/>
  <c r="F124" i="18"/>
  <c r="E124" i="18"/>
  <c r="D124" i="18"/>
  <c r="C124" i="18"/>
  <c r="B124" i="18"/>
  <c r="F123" i="18"/>
  <c r="E123" i="18"/>
  <c r="D123" i="18"/>
  <c r="C123" i="18"/>
  <c r="B123" i="18"/>
  <c r="F122" i="18"/>
  <c r="E122" i="18"/>
  <c r="D122" i="18"/>
  <c r="C122" i="18"/>
  <c r="B122" i="18"/>
  <c r="F121" i="18"/>
  <c r="E121" i="18"/>
  <c r="D121" i="18"/>
  <c r="C121" i="18"/>
  <c r="B121" i="18"/>
  <c r="F120" i="18"/>
  <c r="E120" i="18"/>
  <c r="D120" i="18"/>
  <c r="C120" i="18"/>
  <c r="B120" i="18"/>
  <c r="F119" i="18"/>
  <c r="E119" i="18"/>
  <c r="D119" i="18"/>
  <c r="C119" i="18"/>
  <c r="B119" i="18"/>
  <c r="F118" i="18"/>
  <c r="E118" i="18"/>
  <c r="D118" i="18"/>
  <c r="C118" i="18"/>
  <c r="B118" i="18"/>
  <c r="F117" i="18"/>
  <c r="E117" i="18"/>
  <c r="D117" i="18"/>
  <c r="C117" i="18"/>
  <c r="B117" i="18"/>
  <c r="F116" i="18"/>
  <c r="E116" i="18"/>
  <c r="D116" i="18"/>
  <c r="C116" i="18"/>
  <c r="B116" i="18"/>
  <c r="F115" i="18"/>
  <c r="E115" i="18"/>
  <c r="D115" i="18"/>
  <c r="C115" i="18"/>
  <c r="B115" i="18"/>
  <c r="F114" i="18"/>
  <c r="E114" i="18"/>
  <c r="D114" i="18"/>
  <c r="C114" i="18"/>
  <c r="B114" i="18"/>
  <c r="F113" i="18"/>
  <c r="E113" i="18"/>
  <c r="D113" i="18"/>
  <c r="C113" i="18"/>
  <c r="B113" i="18"/>
  <c r="F112" i="18"/>
  <c r="E112" i="18"/>
  <c r="D112" i="18"/>
  <c r="C112" i="18"/>
  <c r="B112" i="18"/>
  <c r="F111" i="18"/>
  <c r="E111" i="18"/>
  <c r="D111" i="18"/>
  <c r="C111" i="18"/>
  <c r="B111" i="18"/>
  <c r="F110" i="18"/>
  <c r="E110" i="18"/>
  <c r="D110" i="18"/>
  <c r="C110" i="18"/>
  <c r="B110" i="18"/>
  <c r="F109" i="18"/>
  <c r="E109" i="18"/>
  <c r="D109" i="18"/>
  <c r="C109" i="18"/>
  <c r="B109" i="18"/>
  <c r="F108" i="18"/>
  <c r="E108" i="18"/>
  <c r="D108" i="18"/>
  <c r="C108" i="18"/>
  <c r="B108" i="18"/>
  <c r="F107" i="18"/>
  <c r="E107" i="18"/>
  <c r="D107" i="18"/>
  <c r="C107" i="18"/>
  <c r="B107" i="18"/>
  <c r="F106" i="18"/>
  <c r="E106" i="18"/>
  <c r="D106" i="18"/>
  <c r="C106" i="18"/>
  <c r="B106" i="18"/>
  <c r="F105" i="18"/>
  <c r="E105" i="18"/>
  <c r="D105" i="18"/>
  <c r="C105" i="18"/>
  <c r="B105" i="18"/>
  <c r="F104" i="18"/>
  <c r="E104" i="18"/>
  <c r="D104" i="18"/>
  <c r="C104" i="18"/>
  <c r="B104" i="18"/>
  <c r="F103" i="18"/>
  <c r="E103" i="18"/>
  <c r="D103" i="18"/>
  <c r="C103" i="18"/>
  <c r="B103" i="18"/>
  <c r="F102" i="18"/>
  <c r="E102" i="18"/>
  <c r="D102" i="18"/>
  <c r="C102" i="18"/>
  <c r="B102" i="18"/>
  <c r="F101" i="18"/>
  <c r="E101" i="18"/>
  <c r="D101" i="18"/>
  <c r="C101" i="18"/>
  <c r="B101" i="18"/>
  <c r="F100" i="18"/>
  <c r="E100" i="18"/>
  <c r="D100" i="18"/>
  <c r="C100" i="18"/>
  <c r="B100" i="18"/>
  <c r="F99" i="18"/>
  <c r="E99" i="18"/>
  <c r="D99" i="18"/>
  <c r="C99" i="18"/>
  <c r="B99" i="18"/>
  <c r="F98" i="18"/>
  <c r="E98" i="18"/>
  <c r="D98" i="18"/>
  <c r="C98" i="18"/>
  <c r="B98" i="18"/>
  <c r="F97" i="18"/>
  <c r="E97" i="18"/>
  <c r="D97" i="18"/>
  <c r="C97" i="18"/>
  <c r="B97" i="18"/>
  <c r="F96" i="18"/>
  <c r="E96" i="18"/>
  <c r="D96" i="18"/>
  <c r="C96" i="18"/>
  <c r="B96" i="18"/>
  <c r="F95" i="18"/>
  <c r="E95" i="18"/>
  <c r="D95" i="18"/>
  <c r="C95" i="18"/>
  <c r="B95" i="18"/>
  <c r="F94" i="18"/>
  <c r="E94" i="18"/>
  <c r="D94" i="18"/>
  <c r="C94" i="18"/>
  <c r="B94" i="18"/>
  <c r="F93" i="18"/>
  <c r="E93" i="18"/>
  <c r="D93" i="18"/>
  <c r="C93" i="18"/>
  <c r="B93" i="18"/>
  <c r="F92" i="18"/>
  <c r="E92" i="18"/>
  <c r="D92" i="18"/>
  <c r="C92" i="18"/>
  <c r="B92" i="18"/>
  <c r="F91" i="18"/>
  <c r="E91" i="18"/>
  <c r="D91" i="18"/>
  <c r="C91" i="18"/>
  <c r="B91" i="18"/>
  <c r="F90" i="18"/>
  <c r="E90" i="18"/>
  <c r="D90" i="18"/>
  <c r="C90" i="18"/>
  <c r="B90" i="18"/>
  <c r="F89" i="18"/>
  <c r="E89" i="18"/>
  <c r="D89" i="18"/>
  <c r="C89" i="18"/>
  <c r="B89" i="18"/>
  <c r="F88" i="18"/>
  <c r="E88" i="18"/>
  <c r="D88" i="18"/>
  <c r="C88" i="18"/>
  <c r="B88" i="18"/>
  <c r="F87" i="18"/>
  <c r="E87" i="18"/>
  <c r="D87" i="18"/>
  <c r="C87" i="18"/>
  <c r="B87" i="18"/>
  <c r="F86" i="18"/>
  <c r="E86" i="18"/>
  <c r="D86" i="18"/>
  <c r="C86" i="18"/>
  <c r="B86" i="18"/>
  <c r="F85" i="18"/>
  <c r="E85" i="18"/>
  <c r="D85" i="18"/>
  <c r="C85" i="18"/>
  <c r="B85" i="18"/>
  <c r="F84" i="18"/>
  <c r="E84" i="18"/>
  <c r="D84" i="18"/>
  <c r="C84" i="18"/>
  <c r="B84" i="18"/>
  <c r="F83" i="18"/>
  <c r="E83" i="18"/>
  <c r="D83" i="18"/>
  <c r="C83" i="18"/>
  <c r="B83" i="18"/>
  <c r="F82" i="18"/>
  <c r="E82" i="18"/>
  <c r="D82" i="18"/>
  <c r="C82" i="18"/>
  <c r="B82" i="18"/>
  <c r="F81" i="18"/>
  <c r="E81" i="18"/>
  <c r="D81" i="18"/>
  <c r="C81" i="18"/>
  <c r="B81" i="18"/>
  <c r="F80" i="18"/>
  <c r="E80" i="18"/>
  <c r="D80" i="18"/>
  <c r="C80" i="18"/>
  <c r="B80" i="18"/>
  <c r="F79" i="18"/>
  <c r="E79" i="18"/>
  <c r="D79" i="18"/>
  <c r="C79" i="18"/>
  <c r="B79" i="18"/>
  <c r="F78" i="18"/>
  <c r="E78" i="18"/>
  <c r="D78" i="18"/>
  <c r="C78" i="18"/>
  <c r="B78" i="18"/>
  <c r="F77" i="18"/>
  <c r="E77" i="18"/>
  <c r="D77" i="18"/>
  <c r="C77" i="18"/>
  <c r="B77" i="18"/>
  <c r="F76" i="18"/>
  <c r="E76" i="18"/>
  <c r="D76" i="18"/>
  <c r="C76" i="18"/>
  <c r="B76" i="18"/>
  <c r="F75" i="18"/>
  <c r="E75" i="18"/>
  <c r="D75" i="18"/>
  <c r="C75" i="18"/>
  <c r="B75" i="18"/>
  <c r="F74" i="18"/>
  <c r="E74" i="18"/>
  <c r="D74" i="18"/>
  <c r="C74" i="18"/>
  <c r="B74" i="18"/>
  <c r="F73" i="18"/>
  <c r="E73" i="18"/>
  <c r="D73" i="18"/>
  <c r="C73" i="18"/>
  <c r="B73" i="18"/>
  <c r="F72" i="18"/>
  <c r="E72" i="18"/>
  <c r="D72" i="18"/>
  <c r="C72" i="18"/>
  <c r="B72" i="18"/>
  <c r="F71" i="18"/>
  <c r="E71" i="18"/>
  <c r="D71" i="18"/>
  <c r="C71" i="18"/>
  <c r="B71" i="18"/>
  <c r="F70" i="18"/>
  <c r="E70" i="18"/>
  <c r="D70" i="18"/>
  <c r="C70" i="18"/>
  <c r="B70" i="18"/>
  <c r="F69" i="18"/>
  <c r="E69" i="18"/>
  <c r="D69" i="18"/>
  <c r="C69" i="18"/>
  <c r="B69" i="18"/>
  <c r="F68" i="18"/>
  <c r="E68" i="18"/>
  <c r="D68" i="18"/>
  <c r="C68" i="18"/>
  <c r="B68" i="18"/>
  <c r="F67" i="18"/>
  <c r="E67" i="18"/>
  <c r="D67" i="18"/>
  <c r="C67" i="18"/>
  <c r="B67" i="18"/>
  <c r="F66" i="18"/>
  <c r="E66" i="18"/>
  <c r="D66" i="18"/>
  <c r="C66" i="18"/>
  <c r="B66" i="18"/>
  <c r="F65" i="18"/>
  <c r="E65" i="18"/>
  <c r="D65" i="18"/>
  <c r="C65" i="18"/>
  <c r="B65" i="18"/>
  <c r="F64" i="18"/>
  <c r="E64" i="18"/>
  <c r="D64" i="18"/>
  <c r="C64" i="18"/>
  <c r="B64" i="18"/>
  <c r="F63" i="18"/>
  <c r="E63" i="18"/>
  <c r="D63" i="18"/>
  <c r="C63" i="18"/>
  <c r="B63" i="18"/>
  <c r="F62" i="18"/>
  <c r="E62" i="18"/>
  <c r="D62" i="18"/>
  <c r="C62" i="18"/>
  <c r="B62" i="18"/>
  <c r="F61" i="18"/>
  <c r="E61" i="18"/>
  <c r="D61" i="18"/>
  <c r="C61" i="18"/>
  <c r="B61" i="18"/>
  <c r="F60" i="18"/>
  <c r="E60" i="18"/>
  <c r="D60" i="18"/>
  <c r="C60" i="18"/>
  <c r="B60" i="18"/>
  <c r="F59" i="18"/>
  <c r="E59" i="18"/>
  <c r="D59" i="18"/>
  <c r="C59" i="18"/>
  <c r="B59" i="18"/>
  <c r="F58" i="18"/>
  <c r="E58" i="18"/>
  <c r="D58" i="18"/>
  <c r="C58" i="18"/>
  <c r="B58" i="18"/>
  <c r="F57" i="18"/>
  <c r="E57" i="18"/>
  <c r="D57" i="18"/>
  <c r="C57" i="18"/>
  <c r="B57" i="18"/>
  <c r="F56" i="18"/>
  <c r="E56" i="18"/>
  <c r="D56" i="18"/>
  <c r="C56" i="18"/>
  <c r="B56" i="18"/>
  <c r="F55" i="18"/>
  <c r="E55" i="18"/>
  <c r="D55" i="18"/>
  <c r="C55" i="18"/>
  <c r="B55" i="18"/>
  <c r="F54" i="18"/>
  <c r="E54" i="18"/>
  <c r="D54" i="18"/>
  <c r="C54" i="18"/>
  <c r="B54" i="18"/>
  <c r="F53" i="18"/>
  <c r="E53" i="18"/>
  <c r="D53" i="18"/>
  <c r="C53" i="18"/>
  <c r="B53" i="18"/>
  <c r="F52" i="18"/>
  <c r="E52" i="18"/>
  <c r="D52" i="18"/>
  <c r="C52" i="18"/>
  <c r="B52" i="18"/>
  <c r="F51" i="18"/>
  <c r="E51" i="18"/>
  <c r="D51" i="18"/>
  <c r="C51" i="18"/>
  <c r="B51" i="18"/>
  <c r="F50" i="18"/>
  <c r="E50" i="18"/>
  <c r="D50" i="18"/>
  <c r="C50" i="18"/>
  <c r="B50" i="18"/>
  <c r="F49" i="18"/>
  <c r="E49" i="18"/>
  <c r="D49" i="18"/>
  <c r="C49" i="18"/>
  <c r="B49" i="18"/>
  <c r="F48" i="18"/>
  <c r="E48" i="18"/>
  <c r="D48" i="18"/>
  <c r="C48" i="18"/>
  <c r="B48" i="18"/>
  <c r="F47" i="18"/>
  <c r="E47" i="18"/>
  <c r="D47" i="18"/>
  <c r="C47" i="18"/>
  <c r="B47" i="18"/>
  <c r="F46" i="18"/>
  <c r="E46" i="18"/>
  <c r="D46" i="18"/>
  <c r="C46" i="18"/>
  <c r="B46" i="18"/>
  <c r="F45" i="18"/>
  <c r="E45" i="18"/>
  <c r="D45" i="18"/>
  <c r="C45" i="18"/>
  <c r="B45" i="18"/>
  <c r="F44" i="18"/>
  <c r="E44" i="18"/>
  <c r="D44" i="18"/>
  <c r="C44" i="18"/>
  <c r="B44" i="18"/>
  <c r="F43" i="18"/>
  <c r="E43" i="18"/>
  <c r="D43" i="18"/>
  <c r="C43" i="18"/>
  <c r="B43" i="18"/>
  <c r="F42" i="18"/>
  <c r="E42" i="18"/>
  <c r="D42" i="18"/>
  <c r="C42" i="18"/>
  <c r="B42" i="18"/>
  <c r="F41" i="18"/>
  <c r="E41" i="18"/>
  <c r="C41" i="18"/>
  <c r="B41" i="18"/>
  <c r="F40" i="18"/>
  <c r="E40" i="18"/>
  <c r="D40" i="18"/>
  <c r="C40" i="18"/>
  <c r="B40" i="18"/>
  <c r="F39" i="18"/>
  <c r="E39" i="18"/>
  <c r="D39" i="18"/>
  <c r="C39" i="18"/>
  <c r="B39" i="18"/>
  <c r="F38" i="18"/>
  <c r="E38" i="18"/>
  <c r="D38" i="18"/>
  <c r="C38" i="18"/>
  <c r="B38" i="18"/>
  <c r="F37" i="18"/>
  <c r="E37" i="18"/>
  <c r="D37" i="18"/>
  <c r="C37" i="18"/>
  <c r="B37" i="18"/>
  <c r="F36" i="18"/>
  <c r="E36" i="18"/>
  <c r="D36" i="18"/>
  <c r="C36" i="18"/>
  <c r="B36" i="18"/>
  <c r="F35" i="18"/>
  <c r="E35" i="18"/>
  <c r="D35" i="18"/>
  <c r="C35" i="18"/>
  <c r="B35" i="18"/>
  <c r="F34" i="18"/>
  <c r="E34" i="18"/>
  <c r="D34" i="18"/>
  <c r="C34" i="18"/>
  <c r="B34" i="18"/>
  <c r="F33" i="18"/>
  <c r="E33" i="18"/>
  <c r="D33" i="18"/>
  <c r="C33" i="18"/>
  <c r="B33" i="18"/>
  <c r="F32" i="18"/>
  <c r="E32" i="18"/>
  <c r="D32" i="18"/>
  <c r="C32" i="18"/>
  <c r="B32" i="18"/>
  <c r="F31" i="18"/>
  <c r="E31" i="18"/>
  <c r="D31" i="18"/>
  <c r="C31" i="18"/>
  <c r="B31" i="18"/>
  <c r="F30" i="18"/>
  <c r="E30" i="18"/>
  <c r="D30" i="18"/>
  <c r="C30" i="18"/>
  <c r="B30" i="18"/>
  <c r="F29" i="18"/>
  <c r="E29" i="18"/>
  <c r="D29" i="18"/>
  <c r="C29" i="18"/>
  <c r="B29" i="18"/>
  <c r="F28" i="18"/>
  <c r="E28" i="18"/>
  <c r="D28" i="18"/>
  <c r="C28" i="18"/>
  <c r="B28" i="18"/>
  <c r="F27" i="18"/>
  <c r="E27" i="18"/>
  <c r="D27" i="18"/>
  <c r="C27" i="18"/>
  <c r="B27" i="18"/>
  <c r="F26" i="18"/>
  <c r="E26" i="18"/>
  <c r="D26" i="18"/>
  <c r="C26" i="18"/>
  <c r="B26" i="18"/>
  <c r="F25" i="18"/>
  <c r="E25" i="18"/>
  <c r="D25" i="18"/>
  <c r="C25" i="18"/>
  <c r="B25" i="18"/>
  <c r="F24" i="18"/>
  <c r="E24" i="18"/>
  <c r="D24" i="18"/>
  <c r="C24" i="18"/>
  <c r="B24" i="18"/>
  <c r="F23" i="18"/>
  <c r="E23" i="18"/>
  <c r="D23" i="18"/>
  <c r="C23" i="18"/>
  <c r="B23" i="18"/>
  <c r="F22" i="18"/>
  <c r="E22" i="18"/>
  <c r="D22" i="18"/>
  <c r="C22" i="18"/>
  <c r="B22" i="18"/>
  <c r="F21" i="18"/>
  <c r="E21" i="18"/>
  <c r="D21" i="18"/>
  <c r="C21" i="18"/>
  <c r="B21" i="18"/>
  <c r="F20" i="18"/>
  <c r="E20" i="18"/>
  <c r="D20" i="18"/>
  <c r="C20" i="18"/>
  <c r="B20" i="18"/>
  <c r="F19" i="18"/>
  <c r="E19" i="18"/>
  <c r="D19" i="18"/>
  <c r="C19" i="18"/>
  <c r="B19" i="18"/>
  <c r="F18" i="18"/>
  <c r="E18" i="18"/>
  <c r="D18" i="18"/>
  <c r="C18" i="18"/>
  <c r="B18" i="18"/>
  <c r="F17" i="18"/>
  <c r="E17" i="18"/>
  <c r="D17" i="18"/>
  <c r="C17" i="18"/>
  <c r="B17" i="18"/>
  <c r="F16" i="18"/>
  <c r="E16" i="18"/>
  <c r="D16" i="18"/>
  <c r="C16" i="18"/>
  <c r="B16" i="18"/>
  <c r="F15" i="18"/>
  <c r="E15" i="18"/>
  <c r="D15" i="18"/>
  <c r="C15" i="18"/>
  <c r="B15" i="18"/>
  <c r="F14" i="18"/>
  <c r="E14" i="18"/>
  <c r="D14" i="18"/>
  <c r="C14" i="18"/>
  <c r="B14" i="18"/>
  <c r="F13" i="18"/>
  <c r="E13" i="18"/>
  <c r="D13" i="18"/>
  <c r="C13" i="18"/>
  <c r="B13" i="18"/>
  <c r="F12" i="18"/>
  <c r="E12" i="18"/>
  <c r="D12" i="18"/>
  <c r="C12" i="18"/>
  <c r="B12" i="18"/>
  <c r="F11" i="18"/>
  <c r="E11" i="18"/>
  <c r="D11" i="18"/>
  <c r="C11" i="18"/>
  <c r="B11" i="18"/>
  <c r="F10" i="18"/>
  <c r="E10" i="18"/>
  <c r="D10" i="18"/>
  <c r="C10" i="18"/>
  <c r="B10" i="18"/>
  <c r="F9" i="18"/>
  <c r="E9" i="18"/>
  <c r="D9" i="18"/>
  <c r="C9" i="18"/>
  <c r="B9" i="18"/>
  <c r="F8" i="18"/>
  <c r="E8" i="18"/>
  <c r="D8" i="18"/>
  <c r="C8" i="18"/>
  <c r="B8" i="18"/>
  <c r="F7" i="18"/>
  <c r="E7" i="18"/>
  <c r="D7" i="18"/>
  <c r="C7" i="18"/>
  <c r="B7" i="18"/>
  <c r="F6" i="18"/>
  <c r="E6" i="18"/>
  <c r="D6" i="18"/>
  <c r="C6" i="18"/>
  <c r="B6" i="18"/>
  <c r="F5" i="18"/>
  <c r="E5" i="18"/>
  <c r="D5" i="18"/>
  <c r="C5" i="18"/>
  <c r="B5" i="18"/>
  <c r="F4" i="18"/>
  <c r="E4" i="18"/>
  <c r="D4" i="18"/>
  <c r="C4" i="18"/>
  <c r="B4" i="18"/>
  <c r="G484" i="18"/>
  <c r="G483" i="18"/>
  <c r="G482" i="18"/>
  <c r="G481" i="18"/>
  <c r="G480" i="18"/>
  <c r="G479" i="18"/>
  <c r="G478" i="18"/>
  <c r="G477" i="18"/>
  <c r="G476" i="18"/>
  <c r="G475" i="18"/>
  <c r="G474" i="18"/>
  <c r="G473" i="18"/>
  <c r="G472" i="18"/>
  <c r="G471" i="18"/>
  <c r="G470" i="18"/>
  <c r="G469" i="18"/>
  <c r="G468" i="18"/>
  <c r="G467" i="18"/>
  <c r="G466" i="18"/>
  <c r="G465" i="18"/>
  <c r="G464" i="18"/>
  <c r="G463" i="18"/>
  <c r="G462" i="18"/>
  <c r="G461" i="18"/>
  <c r="G460" i="18"/>
  <c r="G459" i="18"/>
  <c r="G458" i="18"/>
  <c r="G457" i="18"/>
  <c r="G456" i="18"/>
  <c r="G455" i="18"/>
  <c r="G454" i="18"/>
  <c r="G453" i="18"/>
  <c r="G452" i="18"/>
  <c r="G451" i="18"/>
  <c r="G450" i="18"/>
  <c r="G449" i="18"/>
  <c r="G448" i="18"/>
  <c r="G447" i="18"/>
  <c r="G446" i="18"/>
  <c r="G445" i="18"/>
  <c r="G444" i="18"/>
  <c r="G443" i="18"/>
  <c r="G442" i="18"/>
  <c r="G441" i="18"/>
  <c r="G440" i="18"/>
  <c r="G439" i="18"/>
  <c r="G438" i="18"/>
  <c r="G437" i="18"/>
  <c r="G436" i="18"/>
  <c r="G435" i="18"/>
  <c r="G434" i="18"/>
  <c r="G433" i="18"/>
  <c r="G432" i="18"/>
  <c r="G431" i="18"/>
  <c r="G430" i="18"/>
  <c r="G429" i="18"/>
  <c r="G428" i="18"/>
  <c r="G427" i="18"/>
  <c r="G426" i="18"/>
  <c r="G425" i="18"/>
  <c r="G424" i="18"/>
  <c r="G423" i="18"/>
  <c r="G422" i="18"/>
  <c r="G421" i="18"/>
  <c r="G420" i="18"/>
  <c r="G419" i="18"/>
  <c r="G418" i="18"/>
  <c r="G417" i="18"/>
  <c r="G416" i="18"/>
  <c r="G415" i="18"/>
  <c r="G414" i="18"/>
  <c r="G413" i="18"/>
  <c r="G412" i="18"/>
  <c r="G411" i="18"/>
  <c r="G410" i="18"/>
  <c r="G409" i="18"/>
  <c r="G408" i="18"/>
  <c r="G407" i="18"/>
  <c r="G406" i="18"/>
  <c r="G405" i="18"/>
  <c r="G404" i="18"/>
  <c r="G403" i="18"/>
  <c r="G402" i="18"/>
  <c r="G401" i="18"/>
  <c r="G400" i="18"/>
  <c r="G399" i="18"/>
  <c r="G398" i="18"/>
  <c r="G397" i="18"/>
  <c r="G396" i="18"/>
  <c r="G395" i="18"/>
  <c r="G394" i="18"/>
  <c r="G393" i="18"/>
  <c r="G338" i="18"/>
  <c r="G337" i="18"/>
  <c r="G336" i="18"/>
  <c r="G335" i="18"/>
  <c r="G334" i="18"/>
  <c r="G333" i="18"/>
  <c r="G332" i="18"/>
  <c r="G331" i="18"/>
  <c r="G330" i="18"/>
  <c r="G329" i="18"/>
  <c r="G328" i="18"/>
  <c r="G327" i="18"/>
  <c r="G326" i="18"/>
  <c r="G325" i="18"/>
  <c r="G324" i="18"/>
  <c r="G323" i="18"/>
  <c r="G322" i="18"/>
  <c r="G321" i="18"/>
  <c r="G320" i="18"/>
  <c r="G319" i="18"/>
  <c r="G318" i="18"/>
  <c r="G306" i="18"/>
  <c r="G305" i="18"/>
  <c r="G304" i="18"/>
  <c r="G303" i="18"/>
  <c r="G302" i="18"/>
  <c r="G301" i="18"/>
  <c r="G300" i="18"/>
  <c r="G299" i="18"/>
  <c r="G298" i="18"/>
  <c r="G297" i="18"/>
  <c r="G296" i="18"/>
  <c r="G278" i="18"/>
  <c r="G263" i="18"/>
  <c r="G229" i="18"/>
  <c r="G207" i="18"/>
  <c r="G186" i="18"/>
  <c r="G185" i="18"/>
  <c r="G184" i="18"/>
  <c r="G183" i="18"/>
  <c r="G182" i="18"/>
  <c r="G181" i="18"/>
  <c r="G180" i="18"/>
  <c r="G179" i="18"/>
  <c r="G178" i="18"/>
  <c r="G177" i="18"/>
  <c r="G176" i="18"/>
  <c r="G175" i="18"/>
  <c r="G174" i="18"/>
  <c r="G173" i="18"/>
  <c r="G172" i="18"/>
  <c r="G171" i="18"/>
  <c r="G170" i="18"/>
  <c r="G169" i="18"/>
  <c r="G168" i="18"/>
  <c r="G167" i="18"/>
  <c r="G166" i="18"/>
  <c r="G165" i="18"/>
  <c r="G164" i="18"/>
  <c r="G163" i="18"/>
  <c r="G162" i="18"/>
  <c r="G161" i="18"/>
  <c r="G160" i="18"/>
  <c r="G159" i="18"/>
  <c r="G158" i="18"/>
  <c r="G157" i="18"/>
  <c r="G156" i="18"/>
  <c r="G155" i="18"/>
  <c r="G154" i="18"/>
  <c r="G153" i="18"/>
  <c r="G152" i="18"/>
  <c r="G151" i="18"/>
  <c r="G150" i="18"/>
  <c r="G149" i="18"/>
  <c r="G148" i="18"/>
  <c r="G147" i="18"/>
  <c r="G146" i="18"/>
  <c r="G145" i="18"/>
  <c r="G144" i="18"/>
  <c r="G143" i="18"/>
  <c r="G142" i="18"/>
  <c r="G141" i="18"/>
  <c r="G140" i="18"/>
  <c r="G139" i="18"/>
  <c r="G138" i="18"/>
  <c r="G137" i="18"/>
  <c r="G136" i="18"/>
  <c r="G135" i="18"/>
  <c r="G134" i="18"/>
  <c r="G133" i="18"/>
  <c r="G132" i="18"/>
  <c r="G131" i="18"/>
  <c r="G130" i="18"/>
  <c r="G129" i="18"/>
  <c r="G128" i="18"/>
  <c r="G127" i="18"/>
  <c r="G126" i="18"/>
  <c r="G125" i="18"/>
  <c r="G124" i="18"/>
  <c r="G123" i="18"/>
  <c r="G122" i="18"/>
  <c r="G121" i="18"/>
  <c r="G120" i="18"/>
  <c r="G119" i="18"/>
  <c r="G118" i="18"/>
  <c r="G117" i="18"/>
  <c r="G116" i="18"/>
  <c r="G115" i="18"/>
  <c r="G114" i="18"/>
  <c r="G113" i="18"/>
  <c r="G112" i="18"/>
  <c r="G111" i="18"/>
  <c r="G110" i="18"/>
  <c r="G109" i="18"/>
  <c r="G108" i="18"/>
  <c r="G107" i="18"/>
  <c r="G106" i="18"/>
  <c r="G105" i="18"/>
  <c r="G104" i="18"/>
  <c r="G103" i="18"/>
  <c r="G102" i="18"/>
  <c r="G101" i="18"/>
  <c r="G100" i="18"/>
  <c r="G99" i="18"/>
  <c r="G98" i="18"/>
  <c r="G35" i="18"/>
  <c r="G34" i="18"/>
  <c r="G33" i="18"/>
  <c r="G32" i="18"/>
  <c r="G31" i="18"/>
  <c r="G30" i="18"/>
  <c r="G29" i="18"/>
  <c r="G28" i="18"/>
  <c r="G27" i="18"/>
  <c r="G26" i="18"/>
  <c r="G25" i="18"/>
  <c r="G24" i="18"/>
  <c r="G23" i="18"/>
  <c r="G22" i="18"/>
  <c r="G21" i="18"/>
  <c r="G20" i="18"/>
  <c r="G19" i="18"/>
  <c r="G18" i="18"/>
  <c r="G17" i="18"/>
  <c r="G16" i="18"/>
  <c r="G15" i="18"/>
  <c r="G14" i="18"/>
  <c r="G13" i="18"/>
  <c r="G12" i="18"/>
  <c r="G11" i="18"/>
  <c r="G10" i="18"/>
  <c r="G9" i="18"/>
  <c r="G8" i="18"/>
  <c r="G7" i="18"/>
  <c r="G6" i="18"/>
  <c r="G5" i="18"/>
  <c r="G4" i="18"/>
  <c r="B5" i="22"/>
  <c r="C5" i="22"/>
  <c r="D5" i="22"/>
  <c r="E5" i="22"/>
  <c r="F5" i="22"/>
  <c r="G5" i="22"/>
  <c r="B6" i="22"/>
  <c r="C6" i="22"/>
  <c r="D6" i="22"/>
  <c r="E6" i="22"/>
  <c r="F6" i="22"/>
  <c r="G6" i="22"/>
  <c r="B7" i="22"/>
  <c r="C7" i="22"/>
  <c r="D7" i="22"/>
  <c r="E7" i="22"/>
  <c r="F7" i="22"/>
  <c r="B8" i="22"/>
  <c r="C8" i="22"/>
  <c r="D8" i="22"/>
  <c r="E8" i="22"/>
  <c r="F8" i="22"/>
  <c r="B9" i="22"/>
  <c r="C9" i="22"/>
  <c r="D9" i="22"/>
  <c r="E9" i="22"/>
  <c r="F9" i="22"/>
  <c r="B10" i="22"/>
  <c r="C10" i="22"/>
  <c r="D10" i="22"/>
  <c r="E10" i="22"/>
  <c r="F10" i="22"/>
  <c r="B11" i="22"/>
  <c r="C11" i="22"/>
  <c r="D11" i="22"/>
  <c r="E11" i="22"/>
  <c r="F11" i="22"/>
  <c r="G11" i="22"/>
  <c r="B12" i="22"/>
  <c r="C12" i="22"/>
  <c r="D12" i="22"/>
  <c r="E12" i="22"/>
  <c r="F12" i="22"/>
  <c r="G12" i="22"/>
  <c r="B13" i="22"/>
  <c r="C13" i="22"/>
  <c r="D13" i="22"/>
  <c r="E13" i="22"/>
  <c r="F13" i="22"/>
  <c r="G13" i="22"/>
  <c r="B14" i="22"/>
  <c r="C14" i="22"/>
  <c r="D14" i="22"/>
  <c r="E14" i="22"/>
  <c r="F14" i="22"/>
  <c r="G14" i="22"/>
  <c r="B15" i="22"/>
  <c r="C15" i="22"/>
  <c r="D15" i="22"/>
  <c r="E15" i="22"/>
  <c r="F15" i="22"/>
  <c r="G15" i="22"/>
  <c r="B16" i="22"/>
  <c r="C16" i="22"/>
  <c r="D16" i="22"/>
  <c r="E16" i="22"/>
  <c r="F16" i="22"/>
  <c r="G16" i="22"/>
  <c r="B17" i="22"/>
  <c r="C17" i="22"/>
  <c r="D17" i="22"/>
  <c r="E17" i="22"/>
  <c r="F17" i="22"/>
  <c r="G17" i="22"/>
  <c r="B18" i="22"/>
  <c r="C18" i="22"/>
  <c r="D18" i="22"/>
  <c r="E18" i="22"/>
  <c r="F18" i="22"/>
  <c r="G18" i="22"/>
  <c r="B19" i="22"/>
  <c r="C19" i="22"/>
  <c r="D19" i="22"/>
  <c r="E19" i="22"/>
  <c r="F19" i="22"/>
  <c r="G19" i="22"/>
  <c r="B20" i="22"/>
  <c r="C20" i="22"/>
  <c r="D20" i="22"/>
  <c r="E20" i="22"/>
  <c r="F20" i="22"/>
  <c r="G20" i="22"/>
  <c r="B21" i="22"/>
  <c r="C21" i="22"/>
  <c r="D21" i="22"/>
  <c r="E21" i="22"/>
  <c r="F21" i="22"/>
  <c r="G21" i="22"/>
  <c r="B22" i="22"/>
  <c r="C22" i="22"/>
  <c r="D22" i="22"/>
  <c r="E22" i="22"/>
  <c r="F22" i="22"/>
  <c r="G22" i="22"/>
  <c r="B23" i="22"/>
  <c r="C23" i="22"/>
  <c r="D23" i="22"/>
  <c r="E23" i="22"/>
  <c r="F23" i="22"/>
  <c r="G23" i="22"/>
  <c r="B24" i="22"/>
  <c r="C24" i="22"/>
  <c r="D24" i="22"/>
  <c r="E24" i="22"/>
  <c r="F24" i="22"/>
  <c r="G24" i="22"/>
  <c r="B25" i="22"/>
  <c r="C25" i="22"/>
  <c r="D25" i="22"/>
  <c r="E25" i="22"/>
  <c r="F25" i="22"/>
  <c r="G25" i="22"/>
  <c r="B26" i="22"/>
  <c r="C26" i="22"/>
  <c r="D26" i="22"/>
  <c r="E26" i="22"/>
  <c r="F26" i="22"/>
  <c r="B27" i="22"/>
  <c r="C27" i="22"/>
  <c r="D27" i="22"/>
  <c r="E27" i="22"/>
  <c r="F27" i="22"/>
  <c r="B28" i="22"/>
  <c r="C28" i="22"/>
  <c r="D28" i="22"/>
  <c r="E28" i="22"/>
  <c r="F28" i="22"/>
  <c r="G28" i="22"/>
  <c r="B29" i="22"/>
  <c r="C29" i="22"/>
  <c r="D29" i="22"/>
  <c r="E29" i="22"/>
  <c r="F29" i="22"/>
  <c r="G29" i="22"/>
  <c r="B30" i="22"/>
  <c r="C30" i="22"/>
  <c r="D30" i="22"/>
  <c r="E30" i="22"/>
  <c r="F30" i="22"/>
  <c r="G30" i="22"/>
  <c r="B31" i="22"/>
  <c r="C31" i="22"/>
  <c r="D31" i="22"/>
  <c r="E31" i="22"/>
  <c r="F31" i="22"/>
  <c r="G31" i="22"/>
  <c r="B32" i="22"/>
  <c r="C32" i="22"/>
  <c r="D32" i="22"/>
  <c r="E32" i="22"/>
  <c r="F32" i="22"/>
  <c r="G32" i="22"/>
  <c r="B33" i="22"/>
  <c r="C33" i="22"/>
  <c r="D33" i="22"/>
  <c r="E33" i="22"/>
  <c r="F33" i="22"/>
  <c r="G33" i="22"/>
  <c r="B34" i="22"/>
  <c r="C34" i="22"/>
  <c r="D34" i="22"/>
  <c r="E34" i="22"/>
  <c r="F34" i="22"/>
  <c r="G34" i="22"/>
  <c r="B35" i="22"/>
  <c r="C35" i="22"/>
  <c r="D35" i="22"/>
  <c r="E35" i="22"/>
  <c r="F35" i="22"/>
  <c r="G35" i="22"/>
  <c r="B36" i="22"/>
  <c r="C36" i="22"/>
  <c r="D36" i="22"/>
  <c r="E36" i="22"/>
  <c r="F36" i="22"/>
  <c r="G36" i="22"/>
  <c r="B37" i="22"/>
  <c r="C37" i="22"/>
  <c r="D37" i="22"/>
  <c r="E37" i="22"/>
  <c r="F37" i="22"/>
  <c r="G37" i="22"/>
  <c r="B38" i="22"/>
  <c r="C38" i="22"/>
  <c r="D38" i="22"/>
  <c r="E38" i="22"/>
  <c r="F38" i="22"/>
  <c r="G38" i="22"/>
  <c r="B39" i="22"/>
  <c r="C39" i="22"/>
  <c r="D39" i="22"/>
  <c r="E39" i="22"/>
  <c r="F39" i="22"/>
  <c r="G39" i="22"/>
  <c r="B40" i="22"/>
  <c r="C40" i="22"/>
  <c r="D40" i="22"/>
  <c r="E40" i="22"/>
  <c r="F40" i="22"/>
  <c r="G40" i="22"/>
  <c r="B41" i="22"/>
  <c r="C41" i="22"/>
  <c r="D41" i="22"/>
  <c r="E41" i="22"/>
  <c r="F41" i="22"/>
  <c r="G41" i="22"/>
  <c r="B42" i="22"/>
  <c r="C42" i="22"/>
  <c r="D42" i="22"/>
  <c r="E42" i="22"/>
  <c r="F42" i="22"/>
  <c r="G42" i="22"/>
  <c r="B43" i="22"/>
  <c r="C43" i="22"/>
  <c r="D43" i="22"/>
  <c r="E43" i="22"/>
  <c r="F43" i="22"/>
  <c r="G43" i="22"/>
  <c r="B44" i="22"/>
  <c r="C44" i="22"/>
  <c r="D44" i="22"/>
  <c r="E44" i="22"/>
  <c r="F44" i="22"/>
  <c r="G44" i="22"/>
  <c r="B45" i="22"/>
  <c r="C45" i="22"/>
  <c r="D45" i="22"/>
  <c r="E45" i="22"/>
  <c r="F45" i="22"/>
  <c r="G45" i="22"/>
  <c r="B46" i="22"/>
  <c r="C46" i="22"/>
  <c r="D46" i="22"/>
  <c r="E46" i="22"/>
  <c r="F46" i="22"/>
  <c r="G46" i="22"/>
  <c r="B47" i="22"/>
  <c r="C47" i="22"/>
  <c r="D47" i="22"/>
  <c r="E47" i="22"/>
  <c r="F47" i="22"/>
  <c r="G47" i="22"/>
  <c r="B48" i="22"/>
  <c r="C48" i="22"/>
  <c r="D48" i="22"/>
  <c r="E48" i="22"/>
  <c r="F48" i="22"/>
  <c r="G48" i="22"/>
  <c r="B49" i="22"/>
  <c r="C49" i="22"/>
  <c r="D49" i="22"/>
  <c r="E49" i="22"/>
  <c r="F49" i="22"/>
  <c r="G49" i="22"/>
  <c r="B50" i="22"/>
  <c r="C50" i="22"/>
  <c r="D50" i="22"/>
  <c r="E50" i="22"/>
  <c r="F50" i="22"/>
  <c r="G50" i="22"/>
  <c r="B51" i="22"/>
  <c r="C51" i="22"/>
  <c r="D51" i="22"/>
  <c r="E51" i="22"/>
  <c r="F51" i="22"/>
  <c r="G51" i="22"/>
  <c r="B52" i="22"/>
  <c r="C52" i="22"/>
  <c r="D52" i="22"/>
  <c r="E52" i="22"/>
  <c r="F52" i="22"/>
  <c r="G52" i="22"/>
  <c r="B53" i="22"/>
  <c r="C53" i="22"/>
  <c r="D53" i="22"/>
  <c r="E53" i="22"/>
  <c r="F53" i="22"/>
  <c r="B54" i="22"/>
  <c r="C54" i="22"/>
  <c r="D54" i="22"/>
  <c r="E54" i="22"/>
  <c r="F54" i="22"/>
  <c r="B55" i="22"/>
  <c r="C55" i="22"/>
  <c r="D55" i="22"/>
  <c r="E55" i="22"/>
  <c r="F55" i="22"/>
  <c r="B56" i="22"/>
  <c r="C56" i="22"/>
  <c r="D56" i="22"/>
  <c r="E56" i="22"/>
  <c r="F56" i="22"/>
  <c r="B57" i="22"/>
  <c r="C57" i="22"/>
  <c r="D57" i="22"/>
  <c r="E57" i="22"/>
  <c r="F57" i="22"/>
  <c r="B58" i="22"/>
  <c r="C58" i="22"/>
  <c r="D58" i="22"/>
  <c r="E58" i="22"/>
  <c r="F58" i="22"/>
  <c r="G58" i="22"/>
  <c r="B59" i="22"/>
  <c r="C59" i="22"/>
  <c r="D59" i="22"/>
  <c r="E59" i="22"/>
  <c r="F59" i="22"/>
  <c r="G59" i="22"/>
  <c r="B60" i="22"/>
  <c r="C60" i="22"/>
  <c r="D60" i="22"/>
  <c r="E60" i="22"/>
  <c r="F60" i="22"/>
  <c r="G60" i="22"/>
  <c r="B61" i="22"/>
  <c r="C61" i="22"/>
  <c r="D61" i="22"/>
  <c r="E61" i="22"/>
  <c r="F61" i="22"/>
  <c r="G61" i="22"/>
  <c r="B62" i="22"/>
  <c r="C62" i="22"/>
  <c r="D62" i="22"/>
  <c r="E62" i="22"/>
  <c r="F62" i="22"/>
  <c r="G62" i="22"/>
  <c r="B63" i="22"/>
  <c r="C63" i="22"/>
  <c r="D63" i="22"/>
  <c r="E63" i="22"/>
  <c r="F63" i="22"/>
  <c r="G63" i="22"/>
  <c r="B64" i="22"/>
  <c r="C64" i="22"/>
  <c r="D64" i="22"/>
  <c r="E64" i="22"/>
  <c r="F64" i="22"/>
  <c r="G64" i="22"/>
  <c r="B65" i="22"/>
  <c r="C65" i="22"/>
  <c r="D65" i="22"/>
  <c r="E65" i="22"/>
  <c r="F65" i="22"/>
  <c r="G65" i="22"/>
  <c r="B66" i="22"/>
  <c r="C66" i="22"/>
  <c r="D66" i="22"/>
  <c r="E66" i="22"/>
  <c r="F66" i="22"/>
  <c r="G66" i="22"/>
  <c r="B67" i="22"/>
  <c r="C67" i="22"/>
  <c r="D67" i="22"/>
  <c r="E67" i="22"/>
  <c r="F67" i="22"/>
  <c r="G67" i="22"/>
  <c r="B68" i="22"/>
  <c r="C68" i="22"/>
  <c r="D68" i="22"/>
  <c r="E68" i="22"/>
  <c r="F68" i="22"/>
  <c r="G68" i="22"/>
  <c r="B69" i="22"/>
  <c r="C69" i="22"/>
  <c r="D69" i="22"/>
  <c r="E69" i="22"/>
  <c r="F69" i="22"/>
  <c r="G69" i="22"/>
  <c r="B70" i="22"/>
  <c r="C70" i="22"/>
  <c r="D70" i="22"/>
  <c r="E70" i="22"/>
  <c r="F70" i="22"/>
  <c r="G70" i="22"/>
  <c r="B71" i="22"/>
  <c r="C71" i="22"/>
  <c r="D71" i="22"/>
  <c r="E71" i="22"/>
  <c r="F71" i="22"/>
  <c r="G71" i="22"/>
  <c r="B72" i="22"/>
  <c r="C72" i="22"/>
  <c r="D72" i="22"/>
  <c r="E72" i="22"/>
  <c r="F72" i="22"/>
  <c r="G72" i="22"/>
  <c r="B73" i="22"/>
  <c r="C73" i="22"/>
  <c r="D73" i="22"/>
  <c r="E73" i="22"/>
  <c r="F73" i="22"/>
  <c r="G73" i="22"/>
  <c r="B74" i="22"/>
  <c r="C74" i="22"/>
  <c r="D74" i="22"/>
  <c r="E74" i="22"/>
  <c r="F74" i="22"/>
  <c r="G74" i="22"/>
  <c r="B75" i="22"/>
  <c r="C75" i="22"/>
  <c r="D75" i="22"/>
  <c r="E75" i="22"/>
  <c r="F75" i="22"/>
  <c r="G75" i="22"/>
  <c r="B76" i="22"/>
  <c r="C76" i="22"/>
  <c r="D76" i="22"/>
  <c r="E76" i="22"/>
  <c r="F76" i="22"/>
  <c r="G76" i="22"/>
  <c r="B77" i="22"/>
  <c r="C77" i="22"/>
  <c r="D77" i="22"/>
  <c r="E77" i="22"/>
  <c r="F77" i="22"/>
  <c r="G77" i="22"/>
  <c r="B78" i="22"/>
  <c r="C78" i="22"/>
  <c r="D78" i="22"/>
  <c r="E78" i="22"/>
  <c r="F78" i="22"/>
  <c r="G78" i="22"/>
  <c r="B79" i="22"/>
  <c r="C79" i="22"/>
  <c r="D79" i="22"/>
  <c r="E79" i="22"/>
  <c r="F79" i="22"/>
  <c r="G79" i="22"/>
  <c r="B80" i="22"/>
  <c r="C80" i="22"/>
  <c r="D80" i="22"/>
  <c r="E80" i="22"/>
  <c r="F80" i="22"/>
  <c r="G80" i="22"/>
  <c r="B81" i="22"/>
  <c r="C81" i="22"/>
  <c r="D81" i="22"/>
  <c r="E81" i="22"/>
  <c r="F81" i="22"/>
  <c r="G81" i="22"/>
  <c r="B82" i="22"/>
  <c r="C82" i="22"/>
  <c r="D82" i="22"/>
  <c r="E82" i="22"/>
  <c r="F82" i="22"/>
  <c r="G82" i="22"/>
  <c r="B83" i="22"/>
  <c r="C83" i="22"/>
  <c r="D83" i="22"/>
  <c r="E83" i="22"/>
  <c r="F83" i="22"/>
  <c r="G83" i="22"/>
  <c r="B84" i="22"/>
  <c r="C84" i="22"/>
  <c r="D84" i="22"/>
  <c r="E84" i="22"/>
  <c r="F84" i="22"/>
  <c r="G84" i="22"/>
  <c r="B85" i="22"/>
  <c r="C85" i="22"/>
  <c r="D85" i="22"/>
  <c r="E85" i="22"/>
  <c r="F85" i="22"/>
  <c r="G85" i="22"/>
  <c r="B86" i="22"/>
  <c r="C86" i="22"/>
  <c r="D86" i="22"/>
  <c r="E86" i="22"/>
  <c r="F86" i="22"/>
  <c r="G86" i="22"/>
  <c r="B87" i="22"/>
  <c r="C87" i="22"/>
  <c r="D87" i="22"/>
  <c r="E87" i="22"/>
  <c r="F87" i="22"/>
  <c r="G87" i="22"/>
  <c r="B88" i="22"/>
  <c r="C88" i="22"/>
  <c r="D88" i="22"/>
  <c r="E88" i="22"/>
  <c r="F88" i="22"/>
  <c r="G88" i="22"/>
  <c r="B89" i="22"/>
  <c r="C89" i="22"/>
  <c r="D89" i="22"/>
  <c r="E89" i="22"/>
  <c r="F89" i="22"/>
  <c r="G89" i="22"/>
  <c r="B90" i="22"/>
  <c r="C90" i="22"/>
  <c r="D90" i="22"/>
  <c r="E90" i="22"/>
  <c r="F90" i="22"/>
  <c r="G90" i="22"/>
  <c r="B91" i="22"/>
  <c r="C91" i="22"/>
  <c r="D91" i="22"/>
  <c r="E91" i="22"/>
  <c r="F91" i="22"/>
  <c r="B92" i="22"/>
  <c r="C92" i="22"/>
  <c r="D92" i="22"/>
  <c r="E92" i="22"/>
  <c r="F92" i="22"/>
  <c r="B93" i="22"/>
  <c r="C93" i="22"/>
  <c r="D93" i="22"/>
  <c r="E93" i="22"/>
  <c r="F93" i="22"/>
  <c r="B94" i="22"/>
  <c r="C94" i="22"/>
  <c r="D94" i="22"/>
  <c r="E94" i="22"/>
  <c r="F94" i="22"/>
  <c r="B95" i="22"/>
  <c r="C95" i="22"/>
  <c r="D95" i="22"/>
  <c r="E95" i="22"/>
  <c r="F95" i="22"/>
  <c r="B96" i="22"/>
  <c r="C96" i="22"/>
  <c r="D96" i="22"/>
  <c r="E96" i="22"/>
  <c r="F96" i="22"/>
  <c r="B97" i="22"/>
  <c r="C97" i="22"/>
  <c r="D97" i="22"/>
  <c r="E97" i="22"/>
  <c r="F97" i="22"/>
  <c r="B98" i="22"/>
  <c r="C98" i="22"/>
  <c r="D98" i="22"/>
  <c r="E98" i="22"/>
  <c r="F98" i="22"/>
  <c r="B99" i="22"/>
  <c r="C99" i="22"/>
  <c r="D99" i="22"/>
  <c r="E99" i="22"/>
  <c r="F99" i="22"/>
  <c r="B100" i="22"/>
  <c r="C100" i="22"/>
  <c r="D100" i="22"/>
  <c r="E100" i="22"/>
  <c r="F100" i="22"/>
  <c r="B101" i="22"/>
  <c r="C101" i="22"/>
  <c r="D101" i="22"/>
  <c r="E101" i="22"/>
  <c r="F101" i="22"/>
  <c r="B102" i="22"/>
  <c r="C102" i="22"/>
  <c r="D102" i="22"/>
  <c r="E102" i="22"/>
  <c r="F102" i="22"/>
  <c r="B103" i="22"/>
  <c r="C103" i="22"/>
  <c r="D103" i="22"/>
  <c r="E103" i="22"/>
  <c r="F103" i="22"/>
  <c r="B104" i="22"/>
  <c r="C104" i="22"/>
  <c r="D104" i="22"/>
  <c r="E104" i="22"/>
  <c r="F104" i="22"/>
  <c r="B105" i="22"/>
  <c r="C105" i="22"/>
  <c r="D105" i="22"/>
  <c r="E105" i="22"/>
  <c r="F105" i="22"/>
  <c r="B106" i="22"/>
  <c r="C106" i="22"/>
  <c r="D106" i="22"/>
  <c r="E106" i="22"/>
  <c r="F106" i="22"/>
  <c r="B107" i="22"/>
  <c r="C107" i="22"/>
  <c r="D107" i="22"/>
  <c r="E107" i="22"/>
  <c r="F107" i="22"/>
  <c r="B108" i="22"/>
  <c r="C108" i="22"/>
  <c r="D108" i="22"/>
  <c r="E108" i="22"/>
  <c r="F108" i="22"/>
  <c r="G108" i="22"/>
  <c r="B109" i="22"/>
  <c r="C109" i="22"/>
  <c r="D109" i="22"/>
  <c r="E109" i="22"/>
  <c r="F109" i="22"/>
  <c r="G109" i="22"/>
  <c r="B110" i="22"/>
  <c r="C110" i="22"/>
  <c r="D110" i="22"/>
  <c r="E110" i="22"/>
  <c r="F110" i="22"/>
  <c r="G110" i="22"/>
  <c r="B111" i="22"/>
  <c r="C111" i="22"/>
  <c r="D111" i="22"/>
  <c r="E111" i="22"/>
  <c r="F111" i="22"/>
  <c r="G111" i="22"/>
  <c r="B112" i="22"/>
  <c r="C112" i="22"/>
  <c r="D112" i="22"/>
  <c r="E112" i="22"/>
  <c r="F112" i="22"/>
  <c r="G112" i="22"/>
  <c r="B113" i="22"/>
  <c r="C113" i="22"/>
  <c r="D113" i="22"/>
  <c r="E113" i="22"/>
  <c r="F113" i="22"/>
  <c r="G113" i="22"/>
  <c r="B114" i="22"/>
  <c r="C114" i="22"/>
  <c r="D114" i="22"/>
  <c r="E114" i="22"/>
  <c r="F114" i="22"/>
  <c r="G114" i="22"/>
  <c r="B115" i="22"/>
  <c r="C115" i="22"/>
  <c r="D115" i="22"/>
  <c r="E115" i="22"/>
  <c r="F115" i="22"/>
  <c r="G115" i="22"/>
  <c r="B116" i="22"/>
  <c r="C116" i="22"/>
  <c r="D116" i="22"/>
  <c r="E116" i="22"/>
  <c r="F116" i="22"/>
  <c r="G116" i="22"/>
  <c r="B117" i="22"/>
  <c r="C117" i="22"/>
  <c r="D117" i="22"/>
  <c r="E117" i="22"/>
  <c r="F117" i="22"/>
  <c r="G117" i="22"/>
  <c r="B118" i="22"/>
  <c r="C118" i="22"/>
  <c r="D118" i="22"/>
  <c r="E118" i="22"/>
  <c r="F118" i="22"/>
  <c r="G118" i="22"/>
  <c r="B119" i="22"/>
  <c r="C119" i="22"/>
  <c r="D119" i="22"/>
  <c r="E119" i="22"/>
  <c r="F119" i="22"/>
  <c r="G119" i="22"/>
  <c r="B120" i="22"/>
  <c r="C120" i="22"/>
  <c r="D120" i="22"/>
  <c r="E120" i="22"/>
  <c r="F120" i="22"/>
  <c r="G120" i="22"/>
  <c r="B121" i="22"/>
  <c r="C121" i="22"/>
  <c r="D121" i="22"/>
  <c r="E121" i="22"/>
  <c r="F121" i="22"/>
  <c r="G121" i="22"/>
  <c r="B122" i="22"/>
  <c r="C122" i="22"/>
  <c r="D122" i="22"/>
  <c r="E122" i="22"/>
  <c r="F122" i="22"/>
  <c r="G122" i="22"/>
  <c r="B123" i="22"/>
  <c r="C123" i="22"/>
  <c r="D123" i="22"/>
  <c r="E123" i="22"/>
  <c r="F123" i="22"/>
  <c r="G123" i="22"/>
  <c r="B124" i="22"/>
  <c r="C124" i="22"/>
  <c r="D124" i="22"/>
  <c r="E124" i="22"/>
  <c r="F124" i="22"/>
  <c r="G124" i="22"/>
  <c r="B125" i="22"/>
  <c r="C125" i="22"/>
  <c r="D125" i="22"/>
  <c r="E125" i="22"/>
  <c r="F125" i="22"/>
  <c r="B126" i="22"/>
  <c r="C126" i="22"/>
  <c r="D126" i="22"/>
  <c r="E126" i="22"/>
  <c r="F126" i="22"/>
  <c r="B127" i="22"/>
  <c r="C127" i="22"/>
  <c r="D127" i="22"/>
  <c r="E127" i="22"/>
  <c r="F127" i="22"/>
  <c r="B128" i="22"/>
  <c r="C128" i="22"/>
  <c r="D128" i="22"/>
  <c r="E128" i="22"/>
  <c r="F128" i="22"/>
  <c r="B129" i="22"/>
  <c r="C129" i="22"/>
  <c r="D129" i="22"/>
  <c r="E129" i="22"/>
  <c r="F129" i="22"/>
  <c r="B130" i="22"/>
  <c r="C130" i="22"/>
  <c r="D130" i="22"/>
  <c r="E130" i="22"/>
  <c r="F130" i="22"/>
  <c r="B131" i="22"/>
  <c r="C131" i="22"/>
  <c r="D131" i="22"/>
  <c r="E131" i="22"/>
  <c r="F131" i="22"/>
  <c r="B132" i="22"/>
  <c r="C132" i="22"/>
  <c r="D132" i="22"/>
  <c r="E132" i="22"/>
  <c r="F132" i="22"/>
  <c r="B133" i="22"/>
  <c r="C133" i="22"/>
  <c r="D133" i="22"/>
  <c r="E133" i="22"/>
  <c r="F133" i="22"/>
  <c r="B134" i="22"/>
  <c r="C134" i="22"/>
  <c r="D134" i="22"/>
  <c r="E134" i="22"/>
  <c r="F134" i="22"/>
  <c r="G134" i="22"/>
  <c r="B135" i="22"/>
  <c r="C135" i="22"/>
  <c r="D135" i="22"/>
  <c r="E135" i="22"/>
  <c r="F135" i="22"/>
  <c r="G135" i="22"/>
  <c r="B136" i="22"/>
  <c r="C136" i="22"/>
  <c r="D136" i="22"/>
  <c r="E136" i="22"/>
  <c r="F136" i="22"/>
  <c r="G136" i="22"/>
  <c r="B137" i="22"/>
  <c r="C137" i="22"/>
  <c r="D137" i="22"/>
  <c r="E137" i="22"/>
  <c r="F137" i="22"/>
  <c r="G137" i="22"/>
  <c r="B138" i="22"/>
  <c r="C138" i="22"/>
  <c r="D138" i="22"/>
  <c r="E138" i="22"/>
  <c r="F138" i="22"/>
  <c r="G138" i="22"/>
  <c r="B139" i="22"/>
  <c r="C139" i="22"/>
  <c r="D139" i="22"/>
  <c r="E139" i="22"/>
  <c r="F139" i="22"/>
  <c r="G139" i="22"/>
  <c r="B140" i="22"/>
  <c r="C140" i="22"/>
  <c r="D140" i="22"/>
  <c r="E140" i="22"/>
  <c r="F140" i="22"/>
  <c r="G140" i="22"/>
  <c r="B141" i="22"/>
  <c r="C141" i="22"/>
  <c r="D141" i="22"/>
  <c r="E141" i="22"/>
  <c r="F141" i="22"/>
  <c r="G141" i="22"/>
  <c r="B142" i="22"/>
  <c r="C142" i="22"/>
  <c r="D142" i="22"/>
  <c r="E142" i="22"/>
  <c r="F142" i="22"/>
  <c r="G142" i="22"/>
  <c r="B143" i="22"/>
  <c r="C143" i="22"/>
  <c r="D143" i="22"/>
  <c r="E143" i="22"/>
  <c r="F143" i="22"/>
  <c r="G143" i="22"/>
  <c r="B144" i="22"/>
  <c r="C144" i="22"/>
  <c r="D144" i="22"/>
  <c r="E144" i="22"/>
  <c r="F144" i="22"/>
  <c r="G144" i="22"/>
  <c r="B145" i="22"/>
  <c r="C145" i="22"/>
  <c r="D145" i="22"/>
  <c r="E145" i="22"/>
  <c r="F145" i="22"/>
  <c r="G145" i="22"/>
  <c r="B146" i="22"/>
  <c r="C146" i="22"/>
  <c r="D146" i="22"/>
  <c r="E146" i="22"/>
  <c r="F146" i="22"/>
  <c r="G146" i="22"/>
  <c r="B147" i="22"/>
  <c r="C147" i="22"/>
  <c r="D147" i="22"/>
  <c r="E147" i="22"/>
  <c r="F147" i="22"/>
  <c r="G147" i="22"/>
  <c r="B148" i="22"/>
  <c r="C148" i="22"/>
  <c r="D148" i="22"/>
  <c r="E148" i="22"/>
  <c r="F148" i="22"/>
  <c r="G148" i="22"/>
  <c r="B149" i="22"/>
  <c r="C149" i="22"/>
  <c r="D149" i="22"/>
  <c r="E149" i="22"/>
  <c r="F149" i="22"/>
  <c r="G149" i="22"/>
  <c r="B150" i="22"/>
  <c r="C150" i="22"/>
  <c r="D150" i="22"/>
  <c r="E150" i="22"/>
  <c r="F150" i="22"/>
  <c r="G150" i="22"/>
  <c r="B151" i="22"/>
  <c r="C151" i="22"/>
  <c r="D151" i="22"/>
  <c r="E151" i="22"/>
  <c r="F151" i="22"/>
  <c r="G151" i="22"/>
  <c r="B152" i="22"/>
  <c r="C152" i="22"/>
  <c r="D152" i="22"/>
  <c r="E152" i="22"/>
  <c r="F152" i="22"/>
  <c r="G152" i="22"/>
  <c r="B153" i="22"/>
  <c r="C153" i="22"/>
  <c r="D153" i="22"/>
  <c r="E153" i="22"/>
  <c r="F153" i="22"/>
  <c r="G153" i="22"/>
  <c r="B154" i="22"/>
  <c r="C154" i="22"/>
  <c r="D154" i="22"/>
  <c r="E154" i="22"/>
  <c r="F154" i="22"/>
  <c r="G154" i="22"/>
  <c r="B155" i="22"/>
  <c r="C155" i="22"/>
  <c r="D155" i="22"/>
  <c r="E155" i="22"/>
  <c r="F155" i="22"/>
  <c r="G155" i="22"/>
  <c r="B156" i="22"/>
  <c r="C156" i="22"/>
  <c r="D156" i="22"/>
  <c r="E156" i="22"/>
  <c r="F156" i="22"/>
  <c r="G156" i="22"/>
  <c r="B157" i="22"/>
  <c r="C157" i="22"/>
  <c r="D157" i="22"/>
  <c r="E157" i="22"/>
  <c r="F157" i="22"/>
  <c r="G157" i="22"/>
  <c r="B158" i="22"/>
  <c r="C158" i="22"/>
  <c r="D158" i="22"/>
  <c r="E158" i="22"/>
  <c r="F158" i="22"/>
  <c r="G158" i="22"/>
  <c r="B159" i="22"/>
  <c r="C159" i="22"/>
  <c r="D159" i="22"/>
  <c r="E159" i="22"/>
  <c r="F159" i="22"/>
  <c r="G159" i="22"/>
  <c r="B160" i="22"/>
  <c r="C160" i="22"/>
  <c r="D160" i="22"/>
  <c r="E160" i="22"/>
  <c r="F160" i="22"/>
  <c r="G160" i="22"/>
  <c r="B161" i="22"/>
  <c r="C161" i="22"/>
  <c r="D161" i="22"/>
  <c r="E161" i="22"/>
  <c r="F161" i="22"/>
  <c r="G161" i="22"/>
  <c r="B162" i="22"/>
  <c r="C162" i="22"/>
  <c r="D162" i="22"/>
  <c r="E162" i="22"/>
  <c r="F162" i="22"/>
  <c r="G162" i="22"/>
  <c r="B163" i="22"/>
  <c r="C163" i="22"/>
  <c r="D163" i="22"/>
  <c r="E163" i="22"/>
  <c r="F163" i="22"/>
  <c r="G163" i="22"/>
  <c r="B164" i="22"/>
  <c r="C164" i="22"/>
  <c r="D164" i="22"/>
  <c r="E164" i="22"/>
  <c r="F164" i="22"/>
  <c r="G164" i="22"/>
  <c r="B165" i="22"/>
  <c r="C165" i="22"/>
  <c r="D165" i="22"/>
  <c r="E165" i="22"/>
  <c r="F165" i="22"/>
  <c r="G165" i="22"/>
  <c r="B166" i="22"/>
  <c r="C166" i="22"/>
  <c r="D166" i="22"/>
  <c r="E166" i="22"/>
  <c r="F166" i="22"/>
  <c r="G166" i="22"/>
  <c r="B167" i="22"/>
  <c r="C167" i="22"/>
  <c r="D167" i="22"/>
  <c r="E167" i="22"/>
  <c r="F167" i="22"/>
  <c r="G167" i="22"/>
  <c r="B168" i="22"/>
  <c r="C168" i="22"/>
  <c r="D168" i="22"/>
  <c r="E168" i="22"/>
  <c r="F168" i="22"/>
  <c r="G168" i="22"/>
  <c r="B169" i="22"/>
  <c r="C169" i="22"/>
  <c r="D169" i="22"/>
  <c r="E169" i="22"/>
  <c r="F169" i="22"/>
  <c r="G169" i="22"/>
  <c r="B170" i="22"/>
  <c r="C170" i="22"/>
  <c r="D170" i="22"/>
  <c r="E170" i="22"/>
  <c r="F170" i="22"/>
  <c r="G170" i="22"/>
  <c r="B171" i="22"/>
  <c r="C171" i="22"/>
  <c r="D171" i="22"/>
  <c r="E171" i="22"/>
  <c r="F171" i="22"/>
  <c r="G171" i="22"/>
  <c r="B172" i="22"/>
  <c r="C172" i="22"/>
  <c r="D172" i="22"/>
  <c r="E172" i="22"/>
  <c r="F172" i="22"/>
  <c r="G172" i="22"/>
  <c r="B173" i="22"/>
  <c r="C173" i="22"/>
  <c r="D173" i="22"/>
  <c r="E173" i="22"/>
  <c r="F173" i="22"/>
  <c r="G173" i="22"/>
  <c r="B174" i="22"/>
  <c r="C174" i="22"/>
  <c r="D174" i="22"/>
  <c r="E174" i="22"/>
  <c r="F174" i="22"/>
  <c r="G174" i="22"/>
  <c r="B175" i="22"/>
  <c r="C175" i="22"/>
  <c r="D175" i="22"/>
  <c r="E175" i="22"/>
  <c r="F175" i="22"/>
  <c r="G175" i="22"/>
  <c r="B176" i="22"/>
  <c r="C176" i="22"/>
  <c r="D176" i="22"/>
  <c r="E176" i="22"/>
  <c r="F176" i="22"/>
  <c r="G176" i="22"/>
  <c r="B177" i="22"/>
  <c r="C177" i="22"/>
  <c r="D177" i="22"/>
  <c r="E177" i="22"/>
  <c r="F177" i="22"/>
  <c r="G177" i="22"/>
  <c r="B178" i="22"/>
  <c r="C178" i="22"/>
  <c r="D178" i="22"/>
  <c r="E178" i="22"/>
  <c r="F178" i="22"/>
  <c r="G178" i="22"/>
  <c r="B179" i="22"/>
  <c r="C179" i="22"/>
  <c r="D179" i="22"/>
  <c r="E179" i="22"/>
  <c r="F179" i="22"/>
  <c r="G179" i="22"/>
  <c r="B180" i="22"/>
  <c r="C180" i="22"/>
  <c r="D180" i="22"/>
  <c r="E180" i="22"/>
  <c r="F180" i="22"/>
  <c r="G180" i="22"/>
  <c r="B181" i="22"/>
  <c r="C181" i="22"/>
  <c r="D181" i="22"/>
  <c r="E181" i="22"/>
  <c r="F181" i="22"/>
  <c r="G181" i="22"/>
  <c r="B182" i="22"/>
  <c r="C182" i="22"/>
  <c r="D182" i="22"/>
  <c r="E182" i="22"/>
  <c r="F182" i="22"/>
  <c r="G182" i="22"/>
  <c r="B183" i="22"/>
  <c r="C183" i="22"/>
  <c r="D183" i="22"/>
  <c r="E183" i="22"/>
  <c r="F183" i="22"/>
  <c r="G183" i="22"/>
  <c r="B184" i="22"/>
  <c r="C184" i="22"/>
  <c r="D184" i="22"/>
  <c r="E184" i="22"/>
  <c r="F184" i="22"/>
  <c r="G184" i="22"/>
  <c r="B185" i="22"/>
  <c r="C185" i="22"/>
  <c r="D185" i="22"/>
  <c r="E185" i="22"/>
  <c r="F185" i="22"/>
  <c r="G185" i="22"/>
  <c r="B186" i="22"/>
  <c r="C186" i="22"/>
  <c r="D186" i="22"/>
  <c r="E186" i="22"/>
  <c r="F186" i="22"/>
  <c r="G186" i="22"/>
  <c r="B187" i="22"/>
  <c r="C187" i="22"/>
  <c r="D187" i="22"/>
  <c r="E187" i="22"/>
  <c r="F187" i="22"/>
  <c r="G187" i="22"/>
  <c r="B188" i="22"/>
  <c r="C188" i="22"/>
  <c r="D188" i="22"/>
  <c r="E188" i="22"/>
  <c r="F188" i="22"/>
  <c r="G188" i="22"/>
  <c r="B189" i="22"/>
  <c r="C189" i="22"/>
  <c r="D189" i="22"/>
  <c r="E189" i="22"/>
  <c r="F189" i="22"/>
  <c r="G189" i="22"/>
  <c r="B190" i="22"/>
  <c r="C190" i="22"/>
  <c r="D190" i="22"/>
  <c r="E190" i="22"/>
  <c r="F190" i="22"/>
  <c r="G190" i="22"/>
  <c r="B191" i="22"/>
  <c r="C191" i="22"/>
  <c r="D191" i="22"/>
  <c r="E191" i="22"/>
  <c r="F191" i="22"/>
  <c r="G191" i="22"/>
  <c r="B192" i="22"/>
  <c r="C192" i="22"/>
  <c r="D192" i="22"/>
  <c r="E192" i="22"/>
  <c r="F192" i="22"/>
  <c r="G192" i="22"/>
  <c r="B193" i="22"/>
  <c r="C193" i="22"/>
  <c r="D193" i="22"/>
  <c r="E193" i="22"/>
  <c r="F193" i="22"/>
  <c r="G193" i="22"/>
  <c r="B194" i="22"/>
  <c r="C194" i="22"/>
  <c r="D194" i="22"/>
  <c r="E194" i="22"/>
  <c r="F194" i="22"/>
  <c r="G194" i="22"/>
  <c r="B195" i="22"/>
  <c r="C195" i="22"/>
  <c r="D195" i="22"/>
  <c r="E195" i="22"/>
  <c r="F195" i="22"/>
  <c r="G195" i="22"/>
  <c r="B196" i="22"/>
  <c r="C196" i="22"/>
  <c r="D196" i="22"/>
  <c r="E196" i="22"/>
  <c r="F196" i="22"/>
  <c r="G196" i="22"/>
  <c r="B197" i="22"/>
  <c r="C197" i="22"/>
  <c r="D197" i="22"/>
  <c r="E197" i="22"/>
  <c r="F197" i="22"/>
  <c r="G197" i="22"/>
  <c r="B198" i="22"/>
  <c r="C198" i="22"/>
  <c r="D198" i="22"/>
  <c r="E198" i="22"/>
  <c r="F198" i="22"/>
  <c r="G198" i="22"/>
  <c r="B199" i="22"/>
  <c r="C199" i="22"/>
  <c r="D199" i="22"/>
  <c r="E199" i="22"/>
  <c r="F199" i="22"/>
  <c r="G199" i="22"/>
  <c r="B200" i="22"/>
  <c r="C200" i="22"/>
  <c r="D200" i="22"/>
  <c r="E200" i="22"/>
  <c r="F200" i="22"/>
  <c r="G200" i="22"/>
  <c r="B201" i="22"/>
  <c r="C201" i="22"/>
  <c r="D201" i="22"/>
  <c r="E201" i="22"/>
  <c r="F201" i="22"/>
  <c r="G201" i="22"/>
  <c r="B202" i="22"/>
  <c r="C202" i="22"/>
  <c r="D202" i="22"/>
  <c r="E202" i="22"/>
  <c r="F202" i="22"/>
  <c r="G202" i="22"/>
  <c r="B203" i="22"/>
  <c r="C203" i="22"/>
  <c r="D203" i="22"/>
  <c r="E203" i="22"/>
  <c r="F203" i="22"/>
  <c r="G203" i="22"/>
  <c r="B204" i="22"/>
  <c r="C204" i="22"/>
  <c r="D204" i="22"/>
  <c r="E204" i="22"/>
  <c r="F204" i="22"/>
  <c r="G204" i="22"/>
  <c r="B205" i="22"/>
  <c r="C205" i="22"/>
  <c r="D205" i="22"/>
  <c r="E205" i="22"/>
  <c r="F205" i="22"/>
  <c r="G205" i="22"/>
  <c r="B206" i="22"/>
  <c r="C206" i="22"/>
  <c r="D206" i="22"/>
  <c r="E206" i="22"/>
  <c r="F206" i="22"/>
  <c r="G206" i="22"/>
  <c r="B207" i="22"/>
  <c r="C207" i="22"/>
  <c r="D207" i="22"/>
  <c r="E207" i="22"/>
  <c r="F207" i="22"/>
  <c r="G207" i="22"/>
  <c r="B208" i="22"/>
  <c r="C208" i="22"/>
  <c r="D208" i="22"/>
  <c r="E208" i="22"/>
  <c r="F208" i="22"/>
  <c r="G208" i="22"/>
  <c r="B209" i="22"/>
  <c r="C209" i="22"/>
  <c r="D209" i="22"/>
  <c r="E209" i="22"/>
  <c r="F209" i="22"/>
  <c r="G209" i="22"/>
  <c r="B210" i="22"/>
  <c r="C210" i="22"/>
  <c r="D210" i="22"/>
  <c r="E210" i="22"/>
  <c r="F210" i="22"/>
  <c r="G210" i="22"/>
  <c r="B211" i="22"/>
  <c r="C211" i="22"/>
  <c r="D211" i="22"/>
  <c r="E211" i="22"/>
  <c r="F211" i="22"/>
  <c r="B212" i="22"/>
  <c r="C212" i="22"/>
  <c r="D212" i="22"/>
  <c r="E212" i="22"/>
  <c r="F212" i="22"/>
  <c r="B213" i="22"/>
  <c r="C213" i="22"/>
  <c r="D213" i="22"/>
  <c r="E213" i="22"/>
  <c r="F213" i="22"/>
  <c r="B214" i="22"/>
  <c r="C214" i="22"/>
  <c r="D214" i="22"/>
  <c r="E214" i="22"/>
  <c r="F214" i="22"/>
  <c r="B215" i="22"/>
  <c r="C215" i="22"/>
  <c r="D215" i="22"/>
  <c r="E215" i="22"/>
  <c r="F215" i="22"/>
  <c r="B216" i="22"/>
  <c r="C216" i="22"/>
  <c r="D216" i="22"/>
  <c r="E216" i="22"/>
  <c r="F216" i="22"/>
  <c r="B217" i="22"/>
  <c r="C217" i="22"/>
  <c r="D217" i="22"/>
  <c r="E217" i="22"/>
  <c r="F217" i="22"/>
  <c r="B218" i="22"/>
  <c r="C218" i="22"/>
  <c r="D218" i="22"/>
  <c r="E218" i="22"/>
  <c r="F218" i="22"/>
  <c r="B219" i="22"/>
  <c r="C219" i="22"/>
  <c r="D219" i="22"/>
  <c r="E219" i="22"/>
  <c r="F219" i="22"/>
  <c r="B220" i="22"/>
  <c r="C220" i="22"/>
  <c r="D220" i="22"/>
  <c r="E220" i="22"/>
  <c r="F220" i="22"/>
  <c r="B221" i="22"/>
  <c r="C221" i="22"/>
  <c r="D221" i="22"/>
  <c r="E221" i="22"/>
  <c r="F221" i="22"/>
  <c r="B222" i="22"/>
  <c r="C222" i="22"/>
  <c r="D222" i="22"/>
  <c r="E222" i="22"/>
  <c r="F222" i="22"/>
  <c r="B223" i="22"/>
  <c r="C223" i="22"/>
  <c r="D223" i="22"/>
  <c r="E223" i="22"/>
  <c r="F223" i="22"/>
  <c r="B224" i="22"/>
  <c r="C224" i="22"/>
  <c r="D224" i="22"/>
  <c r="E224" i="22"/>
  <c r="F224" i="22"/>
  <c r="B225" i="22"/>
  <c r="C225" i="22"/>
  <c r="D225" i="22"/>
  <c r="E225" i="22"/>
  <c r="F225" i="22"/>
  <c r="B226" i="22"/>
  <c r="C226" i="22"/>
  <c r="D226" i="22"/>
  <c r="E226" i="22"/>
  <c r="F226" i="22"/>
  <c r="G226" i="22"/>
  <c r="B227" i="22"/>
  <c r="C227" i="22"/>
  <c r="D227" i="22"/>
  <c r="E227" i="22"/>
  <c r="F227" i="22"/>
  <c r="G227" i="22"/>
  <c r="B228" i="22"/>
  <c r="C228" i="22"/>
  <c r="D228" i="22"/>
  <c r="E228" i="22"/>
  <c r="F228" i="22"/>
  <c r="G228" i="22"/>
  <c r="B229" i="22"/>
  <c r="C229" i="22"/>
  <c r="D229" i="22"/>
  <c r="E229" i="22"/>
  <c r="F229" i="22"/>
  <c r="G229" i="22"/>
  <c r="B230" i="22"/>
  <c r="C230" i="22"/>
  <c r="D230" i="22"/>
  <c r="E230" i="22"/>
  <c r="F230" i="22"/>
  <c r="B231" i="22"/>
  <c r="C231" i="22"/>
  <c r="D231" i="22"/>
  <c r="E231" i="22"/>
  <c r="F231" i="22"/>
  <c r="B232" i="22"/>
  <c r="C232" i="22"/>
  <c r="D232" i="22"/>
  <c r="E232" i="22"/>
  <c r="F232" i="22"/>
  <c r="B233" i="22"/>
  <c r="C233" i="22"/>
  <c r="D233" i="22"/>
  <c r="E233" i="22"/>
  <c r="F233" i="22"/>
  <c r="B234" i="22"/>
  <c r="C234" i="22"/>
  <c r="D234" i="22"/>
  <c r="E234" i="22"/>
  <c r="F234" i="22"/>
  <c r="B235" i="22"/>
  <c r="C235" i="22"/>
  <c r="D235" i="22"/>
  <c r="E235" i="22"/>
  <c r="F235" i="22"/>
  <c r="B236" i="22"/>
  <c r="C236" i="22"/>
  <c r="D236" i="22"/>
  <c r="E236" i="22"/>
  <c r="F236" i="22"/>
  <c r="B237" i="22"/>
  <c r="C237" i="22"/>
  <c r="D237" i="22"/>
  <c r="E237" i="22"/>
  <c r="F237" i="22"/>
  <c r="B238" i="22"/>
  <c r="C238" i="22"/>
  <c r="D238" i="22"/>
  <c r="E238" i="22"/>
  <c r="F238" i="22"/>
  <c r="B239" i="22"/>
  <c r="C239" i="22"/>
  <c r="D239" i="22"/>
  <c r="E239" i="22"/>
  <c r="F239" i="22"/>
  <c r="B240" i="22"/>
  <c r="C240" i="22"/>
  <c r="D240" i="22"/>
  <c r="E240" i="22"/>
  <c r="F240" i="22"/>
  <c r="B241" i="22"/>
  <c r="C241" i="22"/>
  <c r="D241" i="22"/>
  <c r="E241" i="22"/>
  <c r="F241" i="22"/>
  <c r="B242" i="22"/>
  <c r="C242" i="22"/>
  <c r="D242" i="22"/>
  <c r="E242" i="22"/>
  <c r="F242" i="22"/>
  <c r="B243" i="22"/>
  <c r="C243" i="22"/>
  <c r="D243" i="22"/>
  <c r="E243" i="22"/>
  <c r="F243" i="22"/>
  <c r="B244" i="22"/>
  <c r="C244" i="22"/>
  <c r="D244" i="22"/>
  <c r="E244" i="22"/>
  <c r="F244" i="22"/>
  <c r="G244" i="22"/>
  <c r="B245" i="22"/>
  <c r="C245" i="22"/>
  <c r="D245" i="22"/>
  <c r="E245" i="22"/>
  <c r="F245" i="22"/>
  <c r="G245" i="22"/>
  <c r="B246" i="22"/>
  <c r="C246" i="22"/>
  <c r="D246" i="22"/>
  <c r="E246" i="22"/>
  <c r="F246" i="22"/>
  <c r="G246" i="22"/>
  <c r="B247" i="22"/>
  <c r="C247" i="22"/>
  <c r="D247" i="22"/>
  <c r="E247" i="22"/>
  <c r="F247" i="22"/>
  <c r="G247" i="22"/>
  <c r="B248" i="22"/>
  <c r="C248" i="22"/>
  <c r="D248" i="22"/>
  <c r="E248" i="22"/>
  <c r="F248" i="22"/>
  <c r="G248" i="22"/>
  <c r="B249" i="22"/>
  <c r="C249" i="22"/>
  <c r="D249" i="22"/>
  <c r="E249" i="22"/>
  <c r="F249" i="22"/>
  <c r="G249" i="22"/>
  <c r="B250" i="22"/>
  <c r="C250" i="22"/>
  <c r="D250" i="22"/>
  <c r="E250" i="22"/>
  <c r="F250" i="22"/>
  <c r="G250" i="22"/>
  <c r="B251" i="22"/>
  <c r="C251" i="22"/>
  <c r="D251" i="22"/>
  <c r="E251" i="22"/>
  <c r="F251" i="22"/>
  <c r="G251" i="22"/>
  <c r="B252" i="22"/>
  <c r="C252" i="22"/>
  <c r="D252" i="22"/>
  <c r="E252" i="22"/>
  <c r="F252" i="22"/>
  <c r="B253" i="22"/>
  <c r="C253" i="22"/>
  <c r="D253" i="22"/>
  <c r="E253" i="22"/>
  <c r="F253" i="22"/>
  <c r="B254" i="22"/>
  <c r="C254" i="22"/>
  <c r="D254" i="22"/>
  <c r="E254" i="22"/>
  <c r="F254" i="22"/>
  <c r="B255" i="22"/>
  <c r="C255" i="22"/>
  <c r="D255" i="22"/>
  <c r="E255" i="22"/>
  <c r="F255" i="22"/>
  <c r="B256" i="22"/>
  <c r="C256" i="22"/>
  <c r="D256" i="22"/>
  <c r="E256" i="22"/>
  <c r="F256" i="22"/>
  <c r="B257" i="22"/>
  <c r="C257" i="22"/>
  <c r="D257" i="22"/>
  <c r="E257" i="22"/>
  <c r="F257" i="22"/>
  <c r="B258" i="22"/>
  <c r="C258" i="22"/>
  <c r="D258" i="22"/>
  <c r="E258" i="22"/>
  <c r="F258" i="22"/>
  <c r="B259" i="22"/>
  <c r="C259" i="22"/>
  <c r="D259" i="22"/>
  <c r="E259" i="22"/>
  <c r="F259" i="22"/>
  <c r="B260" i="22"/>
  <c r="C260" i="22"/>
  <c r="D260" i="22"/>
  <c r="E260" i="22"/>
  <c r="F260" i="22"/>
  <c r="B261" i="22"/>
  <c r="C261" i="22"/>
  <c r="D261" i="22"/>
  <c r="E261" i="22"/>
  <c r="F261" i="22"/>
  <c r="B262" i="22"/>
  <c r="C262" i="22"/>
  <c r="D262" i="22"/>
  <c r="E262" i="22"/>
  <c r="F262" i="22"/>
  <c r="B263" i="22"/>
  <c r="C263" i="22"/>
  <c r="D263" i="22"/>
  <c r="E263" i="22"/>
  <c r="F263" i="22"/>
  <c r="G263" i="22"/>
  <c r="B264" i="22"/>
  <c r="C264" i="22"/>
  <c r="D264" i="22"/>
  <c r="E264" i="22"/>
  <c r="F264" i="22"/>
  <c r="G264" i="22"/>
  <c r="B265" i="22"/>
  <c r="C265" i="22"/>
  <c r="D265" i="22"/>
  <c r="E265" i="22"/>
  <c r="F265" i="22"/>
  <c r="G265" i="22"/>
  <c r="B266" i="22"/>
  <c r="C266" i="22"/>
  <c r="D266" i="22"/>
  <c r="E266" i="22"/>
  <c r="F266" i="22"/>
  <c r="G266" i="22"/>
  <c r="B267" i="22"/>
  <c r="C267" i="22"/>
  <c r="D267" i="22"/>
  <c r="E267" i="22"/>
  <c r="F267" i="22"/>
  <c r="G267" i="22"/>
  <c r="B268" i="22"/>
  <c r="C268" i="22"/>
  <c r="D268" i="22"/>
  <c r="E268" i="22"/>
  <c r="F268" i="22"/>
  <c r="G268" i="22"/>
  <c r="B269" i="22"/>
  <c r="C269" i="22"/>
  <c r="D269" i="22"/>
  <c r="E269" i="22"/>
  <c r="F269" i="22"/>
  <c r="G269" i="22"/>
  <c r="B270" i="22"/>
  <c r="C270" i="22"/>
  <c r="D270" i="22"/>
  <c r="E270" i="22"/>
  <c r="F270" i="22"/>
  <c r="G270" i="22"/>
  <c r="B271" i="22"/>
  <c r="C271" i="22"/>
  <c r="D271" i="22"/>
  <c r="E271" i="22"/>
  <c r="F271" i="22"/>
  <c r="G271" i="22"/>
  <c r="B272" i="22"/>
  <c r="C272" i="22"/>
  <c r="D272" i="22"/>
  <c r="E272" i="22"/>
  <c r="F272" i="22"/>
  <c r="G272" i="22"/>
  <c r="B273" i="22"/>
  <c r="C273" i="22"/>
  <c r="D273" i="22"/>
  <c r="E273" i="22"/>
  <c r="F273" i="22"/>
  <c r="G273" i="22"/>
  <c r="B274" i="22"/>
  <c r="C274" i="22"/>
  <c r="D274" i="22"/>
  <c r="E274" i="22"/>
  <c r="F274" i="22"/>
  <c r="G274" i="22"/>
  <c r="B275" i="22"/>
  <c r="C275" i="22"/>
  <c r="D275" i="22"/>
  <c r="E275" i="22"/>
  <c r="F275" i="22"/>
  <c r="G275" i="22"/>
  <c r="B276" i="22"/>
  <c r="C276" i="22"/>
  <c r="D276" i="22"/>
  <c r="E276" i="22"/>
  <c r="F276" i="22"/>
  <c r="G276" i="22"/>
  <c r="B277" i="22"/>
  <c r="C277" i="22"/>
  <c r="D277" i="22"/>
  <c r="E277" i="22"/>
  <c r="F277" i="22"/>
  <c r="G277" i="22"/>
  <c r="B278" i="22"/>
  <c r="C278" i="22"/>
  <c r="D278" i="22"/>
  <c r="E278" i="22"/>
  <c r="F278" i="22"/>
  <c r="G278" i="22"/>
  <c r="B279" i="22"/>
  <c r="C279" i="22"/>
  <c r="D279" i="22"/>
  <c r="E279" i="22"/>
  <c r="F279" i="22"/>
  <c r="G279" i="22"/>
  <c r="B280" i="22"/>
  <c r="C280" i="22"/>
  <c r="D280" i="22"/>
  <c r="E280" i="22"/>
  <c r="F280" i="22"/>
  <c r="G280" i="22"/>
  <c r="B281" i="22"/>
  <c r="C281" i="22"/>
  <c r="D281" i="22"/>
  <c r="E281" i="22"/>
  <c r="F281" i="22"/>
  <c r="G281" i="22"/>
  <c r="B282" i="22"/>
  <c r="C282" i="22"/>
  <c r="D282" i="22"/>
  <c r="E282" i="22"/>
  <c r="F282" i="22"/>
  <c r="G282" i="22"/>
  <c r="B283" i="22"/>
  <c r="C283" i="22"/>
  <c r="D283" i="22"/>
  <c r="E283" i="22"/>
  <c r="F283" i="22"/>
  <c r="G283" i="22"/>
  <c r="B284" i="22"/>
  <c r="C284" i="22"/>
  <c r="D284" i="22"/>
  <c r="E284" i="22"/>
  <c r="F284" i="22"/>
  <c r="G284" i="22"/>
  <c r="B285" i="22"/>
  <c r="C285" i="22"/>
  <c r="D285" i="22"/>
  <c r="E285" i="22"/>
  <c r="F285" i="22"/>
  <c r="G285" i="22"/>
  <c r="B286" i="22"/>
  <c r="C286" i="22"/>
  <c r="D286" i="22"/>
  <c r="E286" i="22"/>
  <c r="F286" i="22"/>
  <c r="G286" i="22"/>
  <c r="B287" i="22"/>
  <c r="C287" i="22"/>
  <c r="D287" i="22"/>
  <c r="E287" i="22"/>
  <c r="F287" i="22"/>
  <c r="B288" i="22"/>
  <c r="C288" i="22"/>
  <c r="D288" i="22"/>
  <c r="E288" i="22"/>
  <c r="F288" i="22"/>
  <c r="B289" i="22"/>
  <c r="C289" i="22"/>
  <c r="D289" i="22"/>
  <c r="E289" i="22"/>
  <c r="F289" i="22"/>
  <c r="B290" i="22"/>
  <c r="C290" i="22"/>
  <c r="D290" i="22"/>
  <c r="E290" i="22"/>
  <c r="F290" i="22"/>
  <c r="B291" i="22"/>
  <c r="C291" i="22"/>
  <c r="D291" i="22"/>
  <c r="E291" i="22"/>
  <c r="F291" i="22"/>
  <c r="B292" i="22"/>
  <c r="C292" i="22"/>
  <c r="D292" i="22"/>
  <c r="E292" i="22"/>
  <c r="F292" i="22"/>
  <c r="B293" i="22"/>
  <c r="C293" i="22"/>
  <c r="D293" i="22"/>
  <c r="E293" i="22"/>
  <c r="F293" i="22"/>
  <c r="B294" i="22"/>
  <c r="C294" i="22"/>
  <c r="D294" i="22"/>
  <c r="E294" i="22"/>
  <c r="F294" i="22"/>
  <c r="B295" i="22"/>
  <c r="C295" i="22"/>
  <c r="D295" i="22"/>
  <c r="E295" i="22"/>
  <c r="F295" i="22"/>
  <c r="B296" i="22"/>
  <c r="C296" i="22"/>
  <c r="D296" i="22"/>
  <c r="E296" i="22"/>
  <c r="F296" i="22"/>
  <c r="G296" i="22"/>
  <c r="B297" i="22"/>
  <c r="C297" i="22"/>
  <c r="D297" i="22"/>
  <c r="E297" i="22"/>
  <c r="F297" i="22"/>
  <c r="G297" i="22"/>
  <c r="B298" i="22"/>
  <c r="C298" i="22"/>
  <c r="D298" i="22"/>
  <c r="E298" i="22"/>
  <c r="F298" i="22"/>
  <c r="G298" i="22"/>
  <c r="B299" i="22"/>
  <c r="C299" i="22"/>
  <c r="D299" i="22"/>
  <c r="E299" i="22"/>
  <c r="F299" i="22"/>
  <c r="G299" i="22"/>
  <c r="B300" i="22"/>
  <c r="C300" i="22"/>
  <c r="D300" i="22"/>
  <c r="E300" i="22"/>
  <c r="F300" i="22"/>
  <c r="G300" i="22"/>
  <c r="B301" i="22"/>
  <c r="C301" i="22"/>
  <c r="D301" i="22"/>
  <c r="E301" i="22"/>
  <c r="F301" i="22"/>
  <c r="G301" i="22"/>
  <c r="B302" i="22"/>
  <c r="C302" i="22"/>
  <c r="D302" i="22"/>
  <c r="E302" i="22"/>
  <c r="F302" i="22"/>
  <c r="G302" i="22"/>
  <c r="B303" i="22"/>
  <c r="C303" i="22"/>
  <c r="D303" i="22"/>
  <c r="E303" i="22"/>
  <c r="F303" i="22"/>
  <c r="G303" i="22"/>
  <c r="B304" i="22"/>
  <c r="C304" i="22"/>
  <c r="D304" i="22"/>
  <c r="E304" i="22"/>
  <c r="F304" i="22"/>
  <c r="G304" i="22"/>
  <c r="B305" i="22"/>
  <c r="C305" i="22"/>
  <c r="D305" i="22"/>
  <c r="E305" i="22"/>
  <c r="F305" i="22"/>
  <c r="G305" i="22"/>
  <c r="B306" i="22"/>
  <c r="C306" i="22"/>
  <c r="D306" i="22"/>
  <c r="E306" i="22"/>
  <c r="F306" i="22"/>
  <c r="G306" i="22"/>
  <c r="B307" i="22"/>
  <c r="C307" i="22"/>
  <c r="D307" i="22"/>
  <c r="E307" i="22"/>
  <c r="F307" i="22"/>
  <c r="G307" i="22"/>
  <c r="B308" i="22"/>
  <c r="C308" i="22"/>
  <c r="D308" i="22"/>
  <c r="E308" i="22"/>
  <c r="F308" i="22"/>
  <c r="G308" i="22"/>
  <c r="B309" i="22"/>
  <c r="C309" i="22"/>
  <c r="D309" i="22"/>
  <c r="E309" i="22"/>
  <c r="F309" i="22"/>
  <c r="G309" i="22"/>
  <c r="B310" i="22"/>
  <c r="C310" i="22"/>
  <c r="D310" i="22"/>
  <c r="E310" i="22"/>
  <c r="F310" i="22"/>
  <c r="G310" i="22"/>
  <c r="B311" i="22"/>
  <c r="C311" i="22"/>
  <c r="D311" i="22"/>
  <c r="E311" i="22"/>
  <c r="F311" i="22"/>
  <c r="G311" i="22"/>
  <c r="B312" i="22"/>
  <c r="C312" i="22"/>
  <c r="D312" i="22"/>
  <c r="E312" i="22"/>
  <c r="F312" i="22"/>
  <c r="G312" i="22"/>
  <c r="B313" i="22"/>
  <c r="C313" i="22"/>
  <c r="D313" i="22"/>
  <c r="E313" i="22"/>
  <c r="F313" i="22"/>
  <c r="G313" i="22"/>
  <c r="B314" i="22"/>
  <c r="C314" i="22"/>
  <c r="D314" i="22"/>
  <c r="E314" i="22"/>
  <c r="F314" i="22"/>
  <c r="G314" i="22"/>
  <c r="B315" i="22"/>
  <c r="C315" i="22"/>
  <c r="D315" i="22"/>
  <c r="E315" i="22"/>
  <c r="F315" i="22"/>
  <c r="G315" i="22"/>
  <c r="B316" i="22"/>
  <c r="C316" i="22"/>
  <c r="D316" i="22"/>
  <c r="E316" i="22"/>
  <c r="F316" i="22"/>
  <c r="G316" i="22"/>
  <c r="B317" i="22"/>
  <c r="C317" i="22"/>
  <c r="D317" i="22"/>
  <c r="E317" i="22"/>
  <c r="F317" i="22"/>
  <c r="G317" i="22"/>
  <c r="B318" i="22"/>
  <c r="C318" i="22"/>
  <c r="D318" i="22"/>
  <c r="E318" i="22"/>
  <c r="F318" i="22"/>
  <c r="G318" i="22"/>
  <c r="B319" i="22"/>
  <c r="C319" i="22"/>
  <c r="D319" i="22"/>
  <c r="E319" i="22"/>
  <c r="F319" i="22"/>
  <c r="G319" i="22"/>
  <c r="B320" i="22"/>
  <c r="C320" i="22"/>
  <c r="D320" i="22"/>
  <c r="E320" i="22"/>
  <c r="F320" i="22"/>
  <c r="G320" i="22"/>
  <c r="B321" i="22"/>
  <c r="C321" i="22"/>
  <c r="D321" i="22"/>
  <c r="E321" i="22"/>
  <c r="F321" i="22"/>
  <c r="G321" i="22"/>
  <c r="B322" i="22"/>
  <c r="C322" i="22"/>
  <c r="D322" i="22"/>
  <c r="E322" i="22"/>
  <c r="F322" i="22"/>
  <c r="G322" i="22"/>
  <c r="B323" i="22"/>
  <c r="C323" i="22"/>
  <c r="D323" i="22"/>
  <c r="E323" i="22"/>
  <c r="F323" i="22"/>
  <c r="G323" i="22"/>
  <c r="B324" i="22"/>
  <c r="C324" i="22"/>
  <c r="D324" i="22"/>
  <c r="E324" i="22"/>
  <c r="F324" i="22"/>
  <c r="G324" i="22"/>
  <c r="B325" i="22"/>
  <c r="C325" i="22"/>
  <c r="D325" i="22"/>
  <c r="E325" i="22"/>
  <c r="F325" i="22"/>
  <c r="G325" i="22"/>
  <c r="B326" i="22"/>
  <c r="C326" i="22"/>
  <c r="D326" i="22"/>
  <c r="E326" i="22"/>
  <c r="F326" i="22"/>
  <c r="G326" i="22"/>
  <c r="B327" i="22"/>
  <c r="C327" i="22"/>
  <c r="D327" i="22"/>
  <c r="E327" i="22"/>
  <c r="F327" i="22"/>
  <c r="G327" i="22"/>
  <c r="B328" i="22"/>
  <c r="C328" i="22"/>
  <c r="D328" i="22"/>
  <c r="E328" i="22"/>
  <c r="F328" i="22"/>
  <c r="G328" i="22"/>
  <c r="B329" i="22"/>
  <c r="C329" i="22"/>
  <c r="D329" i="22"/>
  <c r="E329" i="22"/>
  <c r="F329" i="22"/>
  <c r="G329" i="22"/>
  <c r="B330" i="22"/>
  <c r="C330" i="22"/>
  <c r="D330" i="22"/>
  <c r="E330" i="22"/>
  <c r="F330" i="22"/>
  <c r="G330" i="22"/>
  <c r="B331" i="22"/>
  <c r="C331" i="22"/>
  <c r="D331" i="22"/>
  <c r="E331" i="22"/>
  <c r="F331" i="22"/>
  <c r="G331" i="22"/>
  <c r="B332" i="22"/>
  <c r="C332" i="22"/>
  <c r="D332" i="22"/>
  <c r="E332" i="22"/>
  <c r="F332" i="22"/>
  <c r="G332" i="22"/>
  <c r="B333" i="22"/>
  <c r="C333" i="22"/>
  <c r="D333" i="22"/>
  <c r="E333" i="22"/>
  <c r="F333" i="22"/>
  <c r="G333" i="22"/>
  <c r="B334" i="22"/>
  <c r="C334" i="22"/>
  <c r="D334" i="22"/>
  <c r="E334" i="22"/>
  <c r="F334" i="22"/>
  <c r="G334" i="22"/>
  <c r="B335" i="22"/>
  <c r="C335" i="22"/>
  <c r="D335" i="22"/>
  <c r="E335" i="22"/>
  <c r="F335" i="22"/>
  <c r="G335" i="22"/>
  <c r="B336" i="22"/>
  <c r="C336" i="22"/>
  <c r="D336" i="22"/>
  <c r="E336" i="22"/>
  <c r="F336" i="22"/>
  <c r="G336" i="22"/>
  <c r="B337" i="22"/>
  <c r="C337" i="22"/>
  <c r="D337" i="22"/>
  <c r="E337" i="22"/>
  <c r="F337" i="22"/>
  <c r="G337" i="22"/>
  <c r="B338" i="22"/>
  <c r="C338" i="22"/>
  <c r="D338" i="22"/>
  <c r="E338" i="22"/>
  <c r="F338" i="22"/>
  <c r="G338" i="22"/>
  <c r="B339" i="22"/>
  <c r="C339" i="22"/>
  <c r="D339" i="22"/>
  <c r="E339" i="22"/>
  <c r="F339" i="22"/>
  <c r="G339" i="22"/>
  <c r="B340" i="22"/>
  <c r="C340" i="22"/>
  <c r="D340" i="22"/>
  <c r="E340" i="22"/>
  <c r="F340" i="22"/>
  <c r="G340" i="22"/>
  <c r="B341" i="22"/>
  <c r="C341" i="22"/>
  <c r="D341" i="22"/>
  <c r="E341" i="22"/>
  <c r="F341" i="22"/>
  <c r="G341" i="22"/>
  <c r="B342" i="22"/>
  <c r="C342" i="22"/>
  <c r="D342" i="22"/>
  <c r="E342" i="22"/>
  <c r="F342" i="22"/>
  <c r="G342" i="22"/>
  <c r="B343" i="22"/>
  <c r="C343" i="22"/>
  <c r="D343" i="22"/>
  <c r="E343" i="22"/>
  <c r="F343" i="22"/>
  <c r="G343" i="22"/>
  <c r="B344" i="22"/>
  <c r="C344" i="22"/>
  <c r="D344" i="22"/>
  <c r="E344" i="22"/>
  <c r="F344" i="22"/>
  <c r="G344" i="22"/>
  <c r="B345" i="22"/>
  <c r="C345" i="22"/>
  <c r="D345" i="22"/>
  <c r="E345" i="22"/>
  <c r="F345" i="22"/>
  <c r="G345" i="22"/>
  <c r="B346" i="22"/>
  <c r="C346" i="22"/>
  <c r="D346" i="22"/>
  <c r="E346" i="22"/>
  <c r="F346" i="22"/>
  <c r="G346" i="22"/>
  <c r="B347" i="22"/>
  <c r="C347" i="22"/>
  <c r="D347" i="22"/>
  <c r="E347" i="22"/>
  <c r="F347" i="22"/>
  <c r="G347" i="22"/>
  <c r="B348" i="22"/>
  <c r="C348" i="22"/>
  <c r="D348" i="22"/>
  <c r="E348" i="22"/>
  <c r="F348" i="22"/>
  <c r="B349" i="22"/>
  <c r="C349" i="22"/>
  <c r="D349" i="22"/>
  <c r="E349" i="22"/>
  <c r="F349" i="22"/>
  <c r="B350" i="22"/>
  <c r="C350" i="22"/>
  <c r="D350" i="22"/>
  <c r="E350" i="22"/>
  <c r="F350" i="22"/>
  <c r="B351" i="22"/>
  <c r="C351" i="22"/>
  <c r="D351" i="22"/>
  <c r="E351" i="22"/>
  <c r="F351" i="22"/>
  <c r="B352" i="22"/>
  <c r="C352" i="22"/>
  <c r="D352" i="22"/>
  <c r="E352" i="22"/>
  <c r="F352" i="22"/>
  <c r="B353" i="22"/>
  <c r="C353" i="22"/>
  <c r="D353" i="22"/>
  <c r="E353" i="22"/>
  <c r="F353" i="22"/>
  <c r="B354" i="22"/>
  <c r="C354" i="22"/>
  <c r="D354" i="22"/>
  <c r="E354" i="22"/>
  <c r="F354" i="22"/>
  <c r="B355" i="22"/>
  <c r="C355" i="22"/>
  <c r="D355" i="22"/>
  <c r="E355" i="22"/>
  <c r="F355" i="22"/>
  <c r="B356" i="22"/>
  <c r="C356" i="22"/>
  <c r="D356" i="22"/>
  <c r="E356" i="22"/>
  <c r="F356" i="22"/>
  <c r="B357" i="22"/>
  <c r="C357" i="22"/>
  <c r="D357" i="22"/>
  <c r="E357" i="22"/>
  <c r="F357" i="22"/>
  <c r="B358" i="22"/>
  <c r="C358" i="22"/>
  <c r="D358" i="22"/>
  <c r="E358" i="22"/>
  <c r="F358" i="22"/>
  <c r="B359" i="22"/>
  <c r="C359" i="22"/>
  <c r="D359" i="22"/>
  <c r="E359" i="22"/>
  <c r="F359" i="22"/>
  <c r="B360" i="22"/>
  <c r="C360" i="22"/>
  <c r="D360" i="22"/>
  <c r="E360" i="22"/>
  <c r="F360" i="22"/>
  <c r="B361" i="22"/>
  <c r="C361" i="22"/>
  <c r="D361" i="22"/>
  <c r="E361" i="22"/>
  <c r="F361" i="22"/>
  <c r="B362" i="22"/>
  <c r="C362" i="22"/>
  <c r="D362" i="22"/>
  <c r="E362" i="22"/>
  <c r="F362" i="22"/>
  <c r="B363" i="22"/>
  <c r="C363" i="22"/>
  <c r="D363" i="22"/>
  <c r="E363" i="22"/>
  <c r="F363" i="22"/>
  <c r="B364" i="22"/>
  <c r="C364" i="22"/>
  <c r="D364" i="22"/>
  <c r="E364" i="22"/>
  <c r="F364" i="22"/>
  <c r="B365" i="22"/>
  <c r="C365" i="22"/>
  <c r="D365" i="22"/>
  <c r="E365" i="22"/>
  <c r="F365" i="22"/>
  <c r="B366" i="22"/>
  <c r="C366" i="22"/>
  <c r="D366" i="22"/>
  <c r="E366" i="22"/>
  <c r="F366" i="22"/>
  <c r="B367" i="22"/>
  <c r="C367" i="22"/>
  <c r="D367" i="22"/>
  <c r="E367" i="22"/>
  <c r="F367" i="22"/>
  <c r="B368" i="22"/>
  <c r="C368" i="22"/>
  <c r="D368" i="22"/>
  <c r="E368" i="22"/>
  <c r="F368" i="22"/>
  <c r="B369" i="22"/>
  <c r="C369" i="22"/>
  <c r="D369" i="22"/>
  <c r="E369" i="22"/>
  <c r="F369" i="22"/>
  <c r="B370" i="22"/>
  <c r="C370" i="22"/>
  <c r="D370" i="22"/>
  <c r="E370" i="22"/>
  <c r="F370" i="22"/>
  <c r="B371" i="22"/>
  <c r="C371" i="22"/>
  <c r="D371" i="22"/>
  <c r="E371" i="22"/>
  <c r="F371" i="22"/>
  <c r="B372" i="22"/>
  <c r="C372" i="22"/>
  <c r="D372" i="22"/>
  <c r="E372" i="22"/>
  <c r="F372" i="22"/>
  <c r="B373" i="22"/>
  <c r="C373" i="22"/>
  <c r="D373" i="22"/>
  <c r="E373" i="22"/>
  <c r="F373" i="22"/>
  <c r="B374" i="22"/>
  <c r="C374" i="22"/>
  <c r="D374" i="22"/>
  <c r="E374" i="22"/>
  <c r="F374" i="22"/>
  <c r="B375" i="22"/>
  <c r="C375" i="22"/>
  <c r="D375" i="22"/>
  <c r="E375" i="22"/>
  <c r="F375" i="22"/>
  <c r="B376" i="22"/>
  <c r="C376" i="22"/>
  <c r="D376" i="22"/>
  <c r="E376" i="22"/>
  <c r="F376" i="22"/>
  <c r="B377" i="22"/>
  <c r="C377" i="22"/>
  <c r="D377" i="22"/>
  <c r="E377" i="22"/>
  <c r="F377" i="22"/>
  <c r="B378" i="22"/>
  <c r="C378" i="22"/>
  <c r="D378" i="22"/>
  <c r="E378" i="22"/>
  <c r="F378" i="22"/>
  <c r="B379" i="22"/>
  <c r="C379" i="22"/>
  <c r="D379" i="22"/>
  <c r="E379" i="22"/>
  <c r="F379" i="22"/>
  <c r="B380" i="22"/>
  <c r="C380" i="22"/>
  <c r="D380" i="22"/>
  <c r="E380" i="22"/>
  <c r="F380" i="22"/>
  <c r="G380" i="22"/>
  <c r="B381" i="22"/>
  <c r="C381" i="22"/>
  <c r="D381" i="22"/>
  <c r="E381" i="22"/>
  <c r="F381" i="22"/>
  <c r="G381" i="22"/>
  <c r="B382" i="22"/>
  <c r="C382" i="22"/>
  <c r="D382" i="22"/>
  <c r="E382" i="22"/>
  <c r="F382" i="22"/>
  <c r="G382" i="22"/>
  <c r="B383" i="22"/>
  <c r="C383" i="22"/>
  <c r="D383" i="22"/>
  <c r="E383" i="22"/>
  <c r="F383" i="22"/>
  <c r="G383" i="22"/>
  <c r="B384" i="22"/>
  <c r="C384" i="22"/>
  <c r="D384" i="22"/>
  <c r="E384" i="22"/>
  <c r="F384" i="22"/>
  <c r="G384" i="22"/>
  <c r="B385" i="22"/>
  <c r="C385" i="22"/>
  <c r="D385" i="22"/>
  <c r="E385" i="22"/>
  <c r="F385" i="22"/>
  <c r="G385" i="22"/>
  <c r="B386" i="22"/>
  <c r="C386" i="22"/>
  <c r="D386" i="22"/>
  <c r="E386" i="22"/>
  <c r="F386" i="22"/>
  <c r="G386" i="22"/>
  <c r="B387" i="22"/>
  <c r="C387" i="22"/>
  <c r="D387" i="22"/>
  <c r="E387" i="22"/>
  <c r="F387" i="22"/>
  <c r="G387" i="22"/>
  <c r="B388" i="22"/>
  <c r="C388" i="22"/>
  <c r="D388" i="22"/>
  <c r="E388" i="22"/>
  <c r="F388" i="22"/>
  <c r="G388" i="22"/>
  <c r="B389" i="22"/>
  <c r="C389" i="22"/>
  <c r="D389" i="22"/>
  <c r="E389" i="22"/>
  <c r="F389" i="22"/>
  <c r="G389" i="22"/>
  <c r="B390" i="22"/>
  <c r="C390" i="22"/>
  <c r="D390" i="22"/>
  <c r="E390" i="22"/>
  <c r="F390" i="22"/>
  <c r="G390" i="22"/>
  <c r="B391" i="22"/>
  <c r="C391" i="22"/>
  <c r="D391" i="22"/>
  <c r="E391" i="22"/>
  <c r="F391" i="22"/>
  <c r="G391" i="22"/>
  <c r="B392" i="22"/>
  <c r="C392" i="22"/>
  <c r="D392" i="22"/>
  <c r="E392" i="22"/>
  <c r="F392" i="22"/>
  <c r="G392" i="22"/>
  <c r="B393" i="22"/>
  <c r="C393" i="22"/>
  <c r="D393" i="22"/>
  <c r="E393" i="22"/>
  <c r="F393" i="22"/>
  <c r="G393" i="22"/>
  <c r="B394" i="22"/>
  <c r="C394" i="22"/>
  <c r="D394" i="22"/>
  <c r="E394" i="22"/>
  <c r="F394" i="22"/>
  <c r="G394" i="22"/>
  <c r="B395" i="22"/>
  <c r="C395" i="22"/>
  <c r="D395" i="22"/>
  <c r="E395" i="22"/>
  <c r="F395" i="22"/>
  <c r="G395" i="22"/>
  <c r="B396" i="22"/>
  <c r="C396" i="22"/>
  <c r="D396" i="22"/>
  <c r="E396" i="22"/>
  <c r="F396" i="22"/>
  <c r="G396" i="22"/>
  <c r="B397" i="22"/>
  <c r="C397" i="22"/>
  <c r="D397" i="22"/>
  <c r="E397" i="22"/>
  <c r="F397" i="22"/>
  <c r="G397" i="22"/>
  <c r="B398" i="22"/>
  <c r="C398" i="22"/>
  <c r="D398" i="22"/>
  <c r="E398" i="22"/>
  <c r="F398" i="22"/>
  <c r="G398" i="22"/>
  <c r="B399" i="22"/>
  <c r="C399" i="22"/>
  <c r="D399" i="22"/>
  <c r="E399" i="22"/>
  <c r="F399" i="22"/>
  <c r="G399" i="22"/>
  <c r="B400" i="22"/>
  <c r="C400" i="22"/>
  <c r="D400" i="22"/>
  <c r="E400" i="22"/>
  <c r="F400" i="22"/>
  <c r="G400" i="22"/>
  <c r="B401" i="22"/>
  <c r="C401" i="22"/>
  <c r="D401" i="22"/>
  <c r="E401" i="22"/>
  <c r="F401" i="22"/>
  <c r="G401" i="22"/>
  <c r="B402" i="22"/>
  <c r="C402" i="22"/>
  <c r="D402" i="22"/>
  <c r="E402" i="22"/>
  <c r="F402" i="22"/>
  <c r="G402" i="22"/>
  <c r="B403" i="22"/>
  <c r="C403" i="22"/>
  <c r="D403" i="22"/>
  <c r="E403" i="22"/>
  <c r="F403" i="22"/>
  <c r="G403" i="22"/>
  <c r="B404" i="22"/>
  <c r="C404" i="22"/>
  <c r="D404" i="22"/>
  <c r="E404" i="22"/>
  <c r="F404" i="22"/>
  <c r="G404" i="22"/>
  <c r="B405" i="22"/>
  <c r="C405" i="22"/>
  <c r="D405" i="22"/>
  <c r="E405" i="22"/>
  <c r="F405" i="22"/>
  <c r="G405" i="22"/>
  <c r="B406" i="22"/>
  <c r="C406" i="22"/>
  <c r="D406" i="22"/>
  <c r="E406" i="22"/>
  <c r="F406" i="22"/>
  <c r="G406" i="22"/>
  <c r="B407" i="22"/>
  <c r="C407" i="22"/>
  <c r="D407" i="22"/>
  <c r="E407" i="22"/>
  <c r="F407" i="22"/>
  <c r="G407" i="22"/>
  <c r="B408" i="22"/>
  <c r="C408" i="22"/>
  <c r="D408" i="22"/>
  <c r="E408" i="22"/>
  <c r="F408" i="22"/>
  <c r="G408" i="22"/>
  <c r="B409" i="22"/>
  <c r="C409" i="22"/>
  <c r="D409" i="22"/>
  <c r="E409" i="22"/>
  <c r="F409" i="22"/>
  <c r="G409" i="22"/>
  <c r="B410" i="22"/>
  <c r="C410" i="22"/>
  <c r="D410" i="22"/>
  <c r="E410" i="22"/>
  <c r="F410" i="22"/>
  <c r="G410" i="22"/>
  <c r="B411" i="22"/>
  <c r="C411" i="22"/>
  <c r="D411" i="22"/>
  <c r="E411" i="22"/>
  <c r="F411" i="22"/>
  <c r="G411" i="22"/>
  <c r="B412" i="22"/>
  <c r="C412" i="22"/>
  <c r="D412" i="22"/>
  <c r="E412" i="22"/>
  <c r="F412" i="22"/>
  <c r="G412" i="22"/>
  <c r="B413" i="22"/>
  <c r="C413" i="22"/>
  <c r="D413" i="22"/>
  <c r="E413" i="22"/>
  <c r="F413" i="22"/>
  <c r="G413" i="22"/>
  <c r="B414" i="22"/>
  <c r="C414" i="22"/>
  <c r="D414" i="22"/>
  <c r="E414" i="22"/>
  <c r="F414" i="22"/>
  <c r="G414" i="22"/>
  <c r="B415" i="22"/>
  <c r="C415" i="22"/>
  <c r="D415" i="22"/>
  <c r="E415" i="22"/>
  <c r="F415" i="22"/>
  <c r="G415" i="22"/>
  <c r="B416" i="22"/>
  <c r="C416" i="22"/>
  <c r="D416" i="22"/>
  <c r="E416" i="22"/>
  <c r="F416" i="22"/>
  <c r="G416" i="22"/>
  <c r="B417" i="22"/>
  <c r="C417" i="22"/>
  <c r="D417" i="22"/>
  <c r="E417" i="22"/>
  <c r="F417" i="22"/>
  <c r="G417" i="22"/>
  <c r="B418" i="22"/>
  <c r="C418" i="22"/>
  <c r="D418" i="22"/>
  <c r="E418" i="22"/>
  <c r="F418" i="22"/>
  <c r="G418" i="22"/>
  <c r="B419" i="22"/>
  <c r="C419" i="22"/>
  <c r="D419" i="22"/>
  <c r="E419" i="22"/>
  <c r="F419" i="22"/>
  <c r="G419" i="22"/>
  <c r="B420" i="22"/>
  <c r="C420" i="22"/>
  <c r="D420" i="22"/>
  <c r="E420" i="22"/>
  <c r="F420" i="22"/>
  <c r="G420" i="22"/>
  <c r="B421" i="22"/>
  <c r="C421" i="22"/>
  <c r="D421" i="22"/>
  <c r="E421" i="22"/>
  <c r="F421" i="22"/>
  <c r="G421" i="22"/>
  <c r="B422" i="22"/>
  <c r="C422" i="22"/>
  <c r="D422" i="22"/>
  <c r="E422" i="22"/>
  <c r="F422" i="22"/>
  <c r="G422" i="22"/>
  <c r="B423" i="22"/>
  <c r="C423" i="22"/>
  <c r="D423" i="22"/>
  <c r="E423" i="22"/>
  <c r="F423" i="22"/>
  <c r="G423" i="22"/>
  <c r="B424" i="22"/>
  <c r="C424" i="22"/>
  <c r="D424" i="22"/>
  <c r="E424" i="22"/>
  <c r="F424" i="22"/>
  <c r="G424" i="22"/>
  <c r="B425" i="22"/>
  <c r="C425" i="22"/>
  <c r="D425" i="22"/>
  <c r="E425" i="22"/>
  <c r="F425" i="22"/>
  <c r="G425" i="22"/>
  <c r="B426" i="22"/>
  <c r="C426" i="22"/>
  <c r="D426" i="22"/>
  <c r="E426" i="22"/>
  <c r="F426" i="22"/>
  <c r="G426" i="22"/>
  <c r="B427" i="22"/>
  <c r="C427" i="22"/>
  <c r="D427" i="22"/>
  <c r="E427" i="22"/>
  <c r="F427" i="22"/>
  <c r="G427" i="22"/>
  <c r="B428" i="22"/>
  <c r="C428" i="22"/>
  <c r="D428" i="22"/>
  <c r="E428" i="22"/>
  <c r="F428" i="22"/>
  <c r="G428" i="22"/>
  <c r="B429" i="22"/>
  <c r="C429" i="22"/>
  <c r="D429" i="22"/>
  <c r="E429" i="22"/>
  <c r="F429" i="22"/>
  <c r="G429" i="22"/>
  <c r="B430" i="22"/>
  <c r="C430" i="22"/>
  <c r="D430" i="22"/>
  <c r="E430" i="22"/>
  <c r="F430" i="22"/>
  <c r="G430" i="22"/>
  <c r="B431" i="22"/>
  <c r="C431" i="22"/>
  <c r="D431" i="22"/>
  <c r="E431" i="22"/>
  <c r="F431" i="22"/>
  <c r="G431" i="22"/>
  <c r="B432" i="22"/>
  <c r="C432" i="22"/>
  <c r="D432" i="22"/>
  <c r="E432" i="22"/>
  <c r="F432" i="22"/>
  <c r="G432" i="22"/>
  <c r="B433" i="22"/>
  <c r="C433" i="22"/>
  <c r="D433" i="22"/>
  <c r="E433" i="22"/>
  <c r="F433" i="22"/>
  <c r="G433" i="22"/>
  <c r="B434" i="22"/>
  <c r="C434" i="22"/>
  <c r="D434" i="22"/>
  <c r="E434" i="22"/>
  <c r="F434" i="22"/>
  <c r="G434" i="22"/>
  <c r="B435" i="22"/>
  <c r="C435" i="22"/>
  <c r="D435" i="22"/>
  <c r="E435" i="22"/>
  <c r="F435" i="22"/>
  <c r="G435" i="22"/>
  <c r="B436" i="22"/>
  <c r="C436" i="22"/>
  <c r="D436" i="22"/>
  <c r="E436" i="22"/>
  <c r="F436" i="22"/>
  <c r="G436" i="22"/>
  <c r="B437" i="22"/>
  <c r="C437" i="22"/>
  <c r="D437" i="22"/>
  <c r="E437" i="22"/>
  <c r="F437" i="22"/>
  <c r="G437" i="22"/>
  <c r="B438" i="22"/>
  <c r="C438" i="22"/>
  <c r="D438" i="22"/>
  <c r="E438" i="22"/>
  <c r="F438" i="22"/>
  <c r="G438" i="22"/>
  <c r="B439" i="22"/>
  <c r="C439" i="22"/>
  <c r="D439" i="22"/>
  <c r="E439" i="22"/>
  <c r="F439" i="22"/>
  <c r="G439" i="22"/>
  <c r="B440" i="22"/>
  <c r="C440" i="22"/>
  <c r="D440" i="22"/>
  <c r="E440" i="22"/>
  <c r="F440" i="22"/>
  <c r="G440" i="22"/>
  <c r="B441" i="22"/>
  <c r="C441" i="22"/>
  <c r="D441" i="22"/>
  <c r="E441" i="22"/>
  <c r="F441" i="22"/>
  <c r="G441" i="22"/>
  <c r="B442" i="22"/>
  <c r="C442" i="22"/>
  <c r="D442" i="22"/>
  <c r="E442" i="22"/>
  <c r="F442" i="22"/>
  <c r="G442" i="22"/>
  <c r="B443" i="22"/>
  <c r="C443" i="22"/>
  <c r="D443" i="22"/>
  <c r="E443" i="22"/>
  <c r="F443" i="22"/>
  <c r="G443" i="22"/>
  <c r="B444" i="22"/>
  <c r="C444" i="22"/>
  <c r="D444" i="22"/>
  <c r="E444" i="22"/>
  <c r="F444" i="22"/>
  <c r="G444" i="22"/>
  <c r="B445" i="22"/>
  <c r="C445" i="22"/>
  <c r="D445" i="22"/>
  <c r="E445" i="22"/>
  <c r="F445" i="22"/>
  <c r="G445" i="22"/>
  <c r="B446" i="22"/>
  <c r="C446" i="22"/>
  <c r="D446" i="22"/>
  <c r="E446" i="22"/>
  <c r="F446" i="22"/>
  <c r="G446" i="22"/>
  <c r="B447" i="22"/>
  <c r="C447" i="22"/>
  <c r="D447" i="22"/>
  <c r="E447" i="22"/>
  <c r="F447" i="22"/>
  <c r="G447" i="22"/>
  <c r="B448" i="22"/>
  <c r="C448" i="22"/>
  <c r="D448" i="22"/>
  <c r="E448" i="22"/>
  <c r="F448" i="22"/>
  <c r="G448" i="22"/>
  <c r="B449" i="22"/>
  <c r="C449" i="22"/>
  <c r="D449" i="22"/>
  <c r="E449" i="22"/>
  <c r="F449" i="22"/>
  <c r="G449" i="22"/>
  <c r="B450" i="22"/>
  <c r="C450" i="22"/>
  <c r="D450" i="22"/>
  <c r="E450" i="22"/>
  <c r="F450" i="22"/>
  <c r="G450" i="22"/>
  <c r="B451" i="22"/>
  <c r="C451" i="22"/>
  <c r="D451" i="22"/>
  <c r="E451" i="22"/>
  <c r="F451" i="22"/>
  <c r="G451" i="22"/>
  <c r="B452" i="22"/>
  <c r="C452" i="22"/>
  <c r="D452" i="22"/>
  <c r="E452" i="22"/>
  <c r="F452" i="22"/>
  <c r="G452" i="22"/>
  <c r="B453" i="22"/>
  <c r="C453" i="22"/>
  <c r="D453" i="22"/>
  <c r="E453" i="22"/>
  <c r="F453" i="22"/>
  <c r="G453" i="22"/>
  <c r="B454" i="22"/>
  <c r="C454" i="22"/>
  <c r="D454" i="22"/>
  <c r="E454" i="22"/>
  <c r="F454" i="22"/>
  <c r="G454" i="22"/>
  <c r="B455" i="22"/>
  <c r="C455" i="22"/>
  <c r="D455" i="22"/>
  <c r="E455" i="22"/>
  <c r="F455" i="22"/>
  <c r="G455" i="22"/>
  <c r="B456" i="22"/>
  <c r="C456" i="22"/>
  <c r="D456" i="22"/>
  <c r="E456" i="22"/>
  <c r="F456" i="22"/>
  <c r="G456" i="22"/>
  <c r="B457" i="22"/>
  <c r="C457" i="22"/>
  <c r="D457" i="22"/>
  <c r="E457" i="22"/>
  <c r="F457" i="22"/>
  <c r="G457" i="22"/>
  <c r="B458" i="22"/>
  <c r="C458" i="22"/>
  <c r="D458" i="22"/>
  <c r="E458" i="22"/>
  <c r="F458" i="22"/>
  <c r="G458" i="22"/>
  <c r="B459" i="22"/>
  <c r="C459" i="22"/>
  <c r="D459" i="22"/>
  <c r="E459" i="22"/>
  <c r="F459" i="22"/>
  <c r="G459" i="22"/>
  <c r="B460" i="22"/>
  <c r="C460" i="22"/>
  <c r="D460" i="22"/>
  <c r="E460" i="22"/>
  <c r="F460" i="22"/>
  <c r="G460" i="22"/>
  <c r="B461" i="22"/>
  <c r="C461" i="22"/>
  <c r="D461" i="22"/>
  <c r="E461" i="22"/>
  <c r="F461" i="22"/>
  <c r="G461" i="22"/>
  <c r="B462" i="22"/>
  <c r="C462" i="22"/>
  <c r="D462" i="22"/>
  <c r="E462" i="22"/>
  <c r="F462" i="22"/>
  <c r="G462" i="22"/>
  <c r="B463" i="22"/>
  <c r="C463" i="22"/>
  <c r="D463" i="22"/>
  <c r="E463" i="22"/>
  <c r="F463" i="22"/>
  <c r="G463" i="22"/>
  <c r="B464" i="22"/>
  <c r="C464" i="22"/>
  <c r="D464" i="22"/>
  <c r="E464" i="22"/>
  <c r="F464" i="22"/>
  <c r="G464" i="22"/>
  <c r="B465" i="22"/>
  <c r="C465" i="22"/>
  <c r="D465" i="22"/>
  <c r="E465" i="22"/>
  <c r="F465" i="22"/>
  <c r="G465" i="22"/>
  <c r="B466" i="22"/>
  <c r="C466" i="22"/>
  <c r="D466" i="22"/>
  <c r="E466" i="22"/>
  <c r="F466" i="22"/>
  <c r="G466" i="22"/>
  <c r="B467" i="22"/>
  <c r="C467" i="22"/>
  <c r="D467" i="22"/>
  <c r="E467" i="22"/>
  <c r="F467" i="22"/>
  <c r="G467" i="22"/>
  <c r="B468" i="22"/>
  <c r="C468" i="22"/>
  <c r="D468" i="22"/>
  <c r="E468" i="22"/>
  <c r="F468" i="22"/>
  <c r="G468" i="22"/>
  <c r="B469" i="22"/>
  <c r="C469" i="22"/>
  <c r="D469" i="22"/>
  <c r="E469" i="22"/>
  <c r="F469" i="22"/>
  <c r="G469" i="22"/>
  <c r="B470" i="22"/>
  <c r="C470" i="22"/>
  <c r="D470" i="22"/>
  <c r="E470" i="22"/>
  <c r="F470" i="22"/>
  <c r="G470" i="22"/>
  <c r="B471" i="22"/>
  <c r="C471" i="22"/>
  <c r="D471" i="22"/>
  <c r="E471" i="22"/>
  <c r="F471" i="22"/>
  <c r="G471" i="22"/>
  <c r="B472" i="22"/>
  <c r="C472" i="22"/>
  <c r="D472" i="22"/>
  <c r="E472" i="22"/>
  <c r="F472" i="22"/>
  <c r="G472" i="22"/>
  <c r="B473" i="22"/>
  <c r="C473" i="22"/>
  <c r="D473" i="22"/>
  <c r="E473" i="22"/>
  <c r="F473" i="22"/>
  <c r="G473" i="22"/>
  <c r="B474" i="22"/>
  <c r="C474" i="22"/>
  <c r="D474" i="22"/>
  <c r="E474" i="22"/>
  <c r="F474" i="22"/>
  <c r="G474" i="22"/>
  <c r="B475" i="22"/>
  <c r="C475" i="22"/>
  <c r="D475" i="22"/>
  <c r="E475" i="22"/>
  <c r="F475" i="22"/>
  <c r="G475" i="22"/>
  <c r="B476" i="22"/>
  <c r="C476" i="22"/>
  <c r="D476" i="22"/>
  <c r="E476" i="22"/>
  <c r="F476" i="22"/>
  <c r="G476" i="22"/>
  <c r="B477" i="22"/>
  <c r="C477" i="22"/>
  <c r="D477" i="22"/>
  <c r="E477" i="22"/>
  <c r="F477" i="22"/>
  <c r="G477" i="22"/>
  <c r="B478" i="22"/>
  <c r="C478" i="22"/>
  <c r="D478" i="22"/>
  <c r="E478" i="22"/>
  <c r="F478" i="22"/>
  <c r="G478" i="22"/>
  <c r="B479" i="22"/>
  <c r="C479" i="22"/>
  <c r="D479" i="22"/>
  <c r="E479" i="22"/>
  <c r="F479" i="22"/>
  <c r="G479" i="22"/>
  <c r="B480" i="22"/>
  <c r="C480" i="22"/>
  <c r="D480" i="22"/>
  <c r="E480" i="22"/>
  <c r="F480" i="22"/>
  <c r="G480" i="22"/>
  <c r="B481" i="22"/>
  <c r="C481" i="22"/>
  <c r="D481" i="22"/>
  <c r="E481" i="22"/>
  <c r="F481" i="22"/>
  <c r="G481" i="22"/>
  <c r="B482" i="22"/>
  <c r="C482" i="22"/>
  <c r="D482" i="22"/>
  <c r="E482" i="22"/>
  <c r="F482" i="22"/>
  <c r="G482" i="22"/>
  <c r="B483" i="22"/>
  <c r="C483" i="22"/>
  <c r="D483" i="22"/>
  <c r="E483" i="22"/>
  <c r="F483" i="22"/>
  <c r="G483" i="22"/>
  <c r="B484" i="22"/>
  <c r="C484" i="22"/>
  <c r="D484" i="22"/>
  <c r="E484" i="22"/>
  <c r="F484" i="22"/>
  <c r="G484" i="22"/>
  <c r="B485" i="22"/>
  <c r="C485" i="22"/>
  <c r="D485" i="22"/>
  <c r="E485" i="22"/>
  <c r="F485" i="22"/>
  <c r="G485" i="22"/>
  <c r="B486" i="22"/>
  <c r="C486" i="22"/>
  <c r="D486" i="22"/>
  <c r="E486" i="22"/>
  <c r="F486" i="22"/>
  <c r="G486" i="22"/>
  <c r="B487" i="22"/>
  <c r="C487" i="22"/>
  <c r="D487" i="22"/>
  <c r="E487" i="22"/>
  <c r="F487" i="22"/>
  <c r="G487" i="22"/>
  <c r="G4" i="22"/>
  <c r="F4" i="22"/>
  <c r="E4" i="22"/>
  <c r="D4" i="22"/>
  <c r="C4" i="22"/>
  <c r="B4" i="22"/>
  <c r="B342" i="17"/>
  <c r="B339" i="17"/>
  <c r="B340" i="17"/>
  <c r="B341" i="17"/>
  <c r="C5" i="17" l="1"/>
  <c r="C6" i="17"/>
  <c r="C7" i="17"/>
  <c r="C4" i="17"/>
  <c r="D5" i="17"/>
  <c r="E5" i="17"/>
  <c r="F5" i="17"/>
  <c r="D6" i="17"/>
  <c r="E6" i="17"/>
  <c r="F6" i="17"/>
  <c r="D7" i="17"/>
  <c r="E7" i="17"/>
  <c r="F7" i="17"/>
  <c r="C8" i="17"/>
  <c r="D8" i="17"/>
  <c r="E8" i="17"/>
  <c r="F8" i="17"/>
  <c r="B9" i="17"/>
  <c r="C9" i="17"/>
  <c r="D9" i="17"/>
  <c r="E9" i="17"/>
  <c r="F9" i="17"/>
  <c r="B10" i="17"/>
  <c r="C10" i="17"/>
  <c r="D10" i="17"/>
  <c r="E10" i="17"/>
  <c r="F10" i="17"/>
  <c r="B11" i="17"/>
  <c r="C11" i="17"/>
  <c r="D11" i="17"/>
  <c r="E11" i="17"/>
  <c r="F11" i="17"/>
  <c r="B12" i="17"/>
  <c r="C12" i="17"/>
  <c r="D12" i="17"/>
  <c r="E12" i="17"/>
  <c r="F12" i="17"/>
  <c r="B13" i="17"/>
  <c r="C13" i="17"/>
  <c r="D13" i="17"/>
  <c r="E13" i="17"/>
  <c r="F13" i="17"/>
  <c r="B14" i="17"/>
  <c r="C14" i="17"/>
  <c r="D14" i="17"/>
  <c r="E14" i="17"/>
  <c r="F14" i="17"/>
  <c r="B15" i="17"/>
  <c r="C15" i="17"/>
  <c r="D15" i="17"/>
  <c r="E15" i="17"/>
  <c r="F15" i="17"/>
  <c r="B16" i="17"/>
  <c r="C16" i="17"/>
  <c r="D16" i="17"/>
  <c r="E16" i="17"/>
  <c r="F16" i="17"/>
  <c r="B17" i="17"/>
  <c r="C17" i="17"/>
  <c r="D17" i="17"/>
  <c r="E17" i="17"/>
  <c r="F17" i="17"/>
  <c r="B18" i="17"/>
  <c r="C18" i="17"/>
  <c r="D18" i="17"/>
  <c r="E18" i="17"/>
  <c r="F18" i="17"/>
  <c r="B19" i="17"/>
  <c r="C19" i="17"/>
  <c r="D19" i="17"/>
  <c r="E19" i="17"/>
  <c r="F19" i="17"/>
  <c r="B20" i="17"/>
  <c r="C20" i="17"/>
  <c r="D20" i="17"/>
  <c r="E20" i="17"/>
  <c r="F20" i="17"/>
  <c r="G20" i="17"/>
  <c r="B21" i="17"/>
  <c r="C21" i="17"/>
  <c r="D21" i="17"/>
  <c r="E21" i="17"/>
  <c r="F21" i="17"/>
  <c r="G21" i="17"/>
  <c r="B22" i="17"/>
  <c r="C22" i="17"/>
  <c r="D22" i="17"/>
  <c r="E22" i="17"/>
  <c r="F22" i="17"/>
  <c r="B23" i="17"/>
  <c r="C23" i="17"/>
  <c r="D23" i="17"/>
  <c r="E23" i="17"/>
  <c r="F23" i="17"/>
  <c r="B24" i="17"/>
  <c r="C24" i="17"/>
  <c r="D24" i="17"/>
  <c r="E24" i="17"/>
  <c r="F24" i="17"/>
  <c r="B25" i="17"/>
  <c r="C25" i="17"/>
  <c r="D25" i="17"/>
  <c r="E25" i="17"/>
  <c r="F25" i="17"/>
  <c r="B26" i="17"/>
  <c r="C26" i="17"/>
  <c r="D26" i="17"/>
  <c r="E26" i="17"/>
  <c r="F26" i="17"/>
  <c r="B27" i="17"/>
  <c r="C27" i="17"/>
  <c r="D27" i="17"/>
  <c r="E27" i="17"/>
  <c r="F27" i="17"/>
  <c r="B28" i="17"/>
  <c r="C28" i="17"/>
  <c r="D28" i="17"/>
  <c r="E28" i="17"/>
  <c r="F28" i="17"/>
  <c r="B29" i="17"/>
  <c r="C29" i="17"/>
  <c r="D29" i="17"/>
  <c r="E29" i="17"/>
  <c r="F29" i="17"/>
  <c r="B30" i="17"/>
  <c r="C30" i="17"/>
  <c r="D30" i="17"/>
  <c r="E30" i="17"/>
  <c r="F30" i="17"/>
  <c r="B31" i="17"/>
  <c r="C31" i="17"/>
  <c r="D31" i="17"/>
  <c r="E31" i="17"/>
  <c r="F31" i="17"/>
  <c r="B32" i="17"/>
  <c r="C32" i="17"/>
  <c r="D32" i="17"/>
  <c r="E32" i="17"/>
  <c r="F32" i="17"/>
  <c r="B33" i="17"/>
  <c r="C33" i="17"/>
  <c r="D33" i="17"/>
  <c r="E33" i="17"/>
  <c r="F33" i="17"/>
  <c r="B34" i="17"/>
  <c r="C34" i="17"/>
  <c r="D34" i="17"/>
  <c r="E34" i="17"/>
  <c r="F34" i="17"/>
  <c r="B35" i="17"/>
  <c r="C35" i="17"/>
  <c r="D35" i="17"/>
  <c r="E35" i="17"/>
  <c r="F35" i="17"/>
  <c r="G35" i="17"/>
  <c r="B36" i="17"/>
  <c r="C36" i="17"/>
  <c r="D36" i="17"/>
  <c r="E36" i="17"/>
  <c r="F36" i="17"/>
  <c r="B37" i="17"/>
  <c r="C37" i="17"/>
  <c r="D37" i="17"/>
  <c r="E37" i="17"/>
  <c r="F37" i="17"/>
  <c r="B38" i="17"/>
  <c r="C38" i="17"/>
  <c r="D38" i="17"/>
  <c r="E38" i="17"/>
  <c r="F38" i="17"/>
  <c r="B39" i="17"/>
  <c r="C39" i="17"/>
  <c r="D39" i="17"/>
  <c r="E39" i="17"/>
  <c r="F39" i="17"/>
  <c r="B40" i="17"/>
  <c r="C40" i="17"/>
  <c r="D40" i="17"/>
  <c r="E40" i="17"/>
  <c r="F40" i="17"/>
  <c r="B41" i="17"/>
  <c r="C41" i="17"/>
  <c r="D41" i="17"/>
  <c r="E41" i="17"/>
  <c r="F41" i="17"/>
  <c r="B42" i="17"/>
  <c r="C42" i="17"/>
  <c r="D42" i="17"/>
  <c r="E42" i="17"/>
  <c r="F42" i="17"/>
  <c r="B43" i="17"/>
  <c r="C43" i="17"/>
  <c r="D43" i="17"/>
  <c r="E43" i="17"/>
  <c r="F43" i="17"/>
  <c r="B44" i="17"/>
  <c r="C44" i="17"/>
  <c r="D44" i="17"/>
  <c r="E44" i="17"/>
  <c r="F44" i="17"/>
  <c r="B45" i="17"/>
  <c r="C45" i="17"/>
  <c r="D45" i="17"/>
  <c r="E45" i="17"/>
  <c r="F45" i="17"/>
  <c r="B46" i="17"/>
  <c r="C46" i="17"/>
  <c r="D46" i="17"/>
  <c r="E46" i="17"/>
  <c r="F46" i="17"/>
  <c r="B47" i="17"/>
  <c r="C47" i="17"/>
  <c r="D47" i="17"/>
  <c r="E47" i="17"/>
  <c r="F47" i="17"/>
  <c r="B48" i="17"/>
  <c r="C48" i="17"/>
  <c r="D48" i="17"/>
  <c r="E48" i="17"/>
  <c r="F48" i="17"/>
  <c r="B49" i="17"/>
  <c r="C49" i="17"/>
  <c r="D49" i="17"/>
  <c r="E49" i="17"/>
  <c r="F49" i="17"/>
  <c r="B50" i="17"/>
  <c r="C50" i="17"/>
  <c r="D50" i="17"/>
  <c r="E50" i="17"/>
  <c r="F50" i="17"/>
  <c r="B51" i="17"/>
  <c r="C51" i="17"/>
  <c r="D51" i="17"/>
  <c r="E51" i="17"/>
  <c r="F51" i="17"/>
  <c r="B52" i="17"/>
  <c r="C52" i="17"/>
  <c r="D52" i="17"/>
  <c r="E52" i="17"/>
  <c r="F52" i="17"/>
  <c r="B53" i="17"/>
  <c r="C53" i="17"/>
  <c r="D53" i="17"/>
  <c r="E53" i="17"/>
  <c r="F53" i="17"/>
  <c r="G53" i="17"/>
  <c r="B54" i="17"/>
  <c r="C54" i="17"/>
  <c r="D54" i="17"/>
  <c r="E54" i="17"/>
  <c r="F54" i="17"/>
  <c r="G54" i="17"/>
  <c r="B55" i="17"/>
  <c r="C55" i="17"/>
  <c r="D55" i="17"/>
  <c r="E55" i="17"/>
  <c r="F55" i="17"/>
  <c r="G55" i="17"/>
  <c r="B56" i="17"/>
  <c r="C56" i="17"/>
  <c r="D56" i="17"/>
  <c r="E56" i="17"/>
  <c r="F56" i="17"/>
  <c r="G56" i="17"/>
  <c r="B57" i="17"/>
  <c r="C57" i="17"/>
  <c r="D57" i="17"/>
  <c r="E57" i="17"/>
  <c r="F57" i="17"/>
  <c r="G57" i="17"/>
  <c r="B58" i="17"/>
  <c r="C58" i="17"/>
  <c r="D58" i="17"/>
  <c r="E58" i="17"/>
  <c r="F58" i="17"/>
  <c r="G58" i="17"/>
  <c r="B59" i="17"/>
  <c r="C59" i="17"/>
  <c r="D59" i="17"/>
  <c r="E59" i="17"/>
  <c r="F59" i="17"/>
  <c r="B60" i="17"/>
  <c r="C60" i="17"/>
  <c r="D60" i="17"/>
  <c r="E60" i="17"/>
  <c r="F60" i="17"/>
  <c r="B61" i="17"/>
  <c r="C61" i="17"/>
  <c r="D61" i="17"/>
  <c r="E61" i="17"/>
  <c r="F61" i="17"/>
  <c r="B62" i="17"/>
  <c r="C62" i="17"/>
  <c r="D62" i="17"/>
  <c r="E62" i="17"/>
  <c r="F62" i="17"/>
  <c r="B63" i="17"/>
  <c r="C63" i="17"/>
  <c r="D63" i="17"/>
  <c r="E63" i="17"/>
  <c r="F63" i="17"/>
  <c r="B64" i="17"/>
  <c r="C64" i="17"/>
  <c r="D64" i="17"/>
  <c r="E64" i="17"/>
  <c r="F64" i="17"/>
  <c r="B65" i="17"/>
  <c r="C65" i="17"/>
  <c r="D65" i="17"/>
  <c r="E65" i="17"/>
  <c r="F65" i="17"/>
  <c r="B66" i="17"/>
  <c r="C66" i="17"/>
  <c r="D66" i="17"/>
  <c r="E66" i="17"/>
  <c r="F66" i="17"/>
  <c r="B67" i="17"/>
  <c r="C67" i="17"/>
  <c r="D67" i="17"/>
  <c r="E67" i="17"/>
  <c r="F67" i="17"/>
  <c r="B68" i="17"/>
  <c r="C68" i="17"/>
  <c r="D68" i="17"/>
  <c r="E68" i="17"/>
  <c r="F68" i="17"/>
  <c r="B69" i="17"/>
  <c r="C69" i="17"/>
  <c r="D69" i="17"/>
  <c r="E69" i="17"/>
  <c r="F69" i="17"/>
  <c r="G69" i="17"/>
  <c r="B70" i="17"/>
  <c r="C70" i="17"/>
  <c r="D70" i="17"/>
  <c r="E70" i="17"/>
  <c r="F70" i="17"/>
  <c r="G70" i="17"/>
  <c r="B71" i="17"/>
  <c r="C71" i="17"/>
  <c r="D71" i="17"/>
  <c r="E71" i="17"/>
  <c r="F71" i="17"/>
  <c r="G71" i="17"/>
  <c r="B72" i="17"/>
  <c r="C72" i="17"/>
  <c r="D72" i="17"/>
  <c r="E72" i="17"/>
  <c r="F72" i="17"/>
  <c r="G72" i="17"/>
  <c r="B73" i="17"/>
  <c r="C73" i="17"/>
  <c r="D73" i="17"/>
  <c r="E73" i="17"/>
  <c r="F73" i="17"/>
  <c r="G73" i="17"/>
  <c r="B74" i="17"/>
  <c r="C74" i="17"/>
  <c r="D74" i="17"/>
  <c r="E74" i="17"/>
  <c r="F74" i="17"/>
  <c r="G74" i="17"/>
  <c r="B75" i="17"/>
  <c r="C75" i="17"/>
  <c r="D75" i="17"/>
  <c r="E75" i="17"/>
  <c r="F75" i="17"/>
  <c r="G75" i="17"/>
  <c r="B76" i="17"/>
  <c r="C76" i="17"/>
  <c r="D76" i="17"/>
  <c r="E76" i="17"/>
  <c r="F76" i="17"/>
  <c r="G76" i="17"/>
  <c r="B77" i="17"/>
  <c r="C77" i="17"/>
  <c r="D77" i="17"/>
  <c r="E77" i="17"/>
  <c r="F77" i="17"/>
  <c r="G77" i="17"/>
  <c r="B78" i="17"/>
  <c r="C78" i="17"/>
  <c r="D78" i="17"/>
  <c r="E78" i="17"/>
  <c r="F78" i="17"/>
  <c r="G78" i="17"/>
  <c r="B79" i="17"/>
  <c r="C79" i="17"/>
  <c r="D79" i="17"/>
  <c r="E79" i="17"/>
  <c r="F79" i="17"/>
  <c r="G79" i="17"/>
  <c r="B80" i="17"/>
  <c r="C80" i="17"/>
  <c r="D80" i="17"/>
  <c r="E80" i="17"/>
  <c r="F80" i="17"/>
  <c r="G80" i="17"/>
  <c r="B81" i="17"/>
  <c r="C81" i="17"/>
  <c r="D81" i="17"/>
  <c r="E81" i="17"/>
  <c r="F81" i="17"/>
  <c r="G81" i="17"/>
  <c r="B82" i="17"/>
  <c r="C82" i="17"/>
  <c r="D82" i="17"/>
  <c r="E82" i="17"/>
  <c r="F82" i="17"/>
  <c r="G82" i="17"/>
  <c r="B83" i="17"/>
  <c r="C83" i="17"/>
  <c r="D83" i="17"/>
  <c r="E83" i="17"/>
  <c r="F83" i="17"/>
  <c r="G83" i="17"/>
  <c r="B84" i="17"/>
  <c r="C84" i="17"/>
  <c r="D84" i="17"/>
  <c r="E84" i="17"/>
  <c r="F84" i="17"/>
  <c r="G84" i="17"/>
  <c r="B85" i="17"/>
  <c r="C85" i="17"/>
  <c r="D85" i="17"/>
  <c r="E85" i="17"/>
  <c r="F85" i="17"/>
  <c r="B86" i="17"/>
  <c r="C86" i="17"/>
  <c r="D86" i="17"/>
  <c r="E86" i="17"/>
  <c r="F86" i="17"/>
  <c r="B87" i="17"/>
  <c r="C87" i="17"/>
  <c r="D87" i="17"/>
  <c r="E87" i="17"/>
  <c r="F87" i="17"/>
  <c r="B88" i="17"/>
  <c r="C88" i="17"/>
  <c r="D88" i="17"/>
  <c r="E88" i="17"/>
  <c r="F88" i="17"/>
  <c r="B89" i="17"/>
  <c r="C89" i="17"/>
  <c r="D89" i="17"/>
  <c r="E89" i="17"/>
  <c r="F89" i="17"/>
  <c r="B90" i="17"/>
  <c r="C90" i="17"/>
  <c r="D90" i="17"/>
  <c r="E90" i="17"/>
  <c r="F90" i="17"/>
  <c r="B91" i="17"/>
  <c r="C91" i="17"/>
  <c r="D91" i="17"/>
  <c r="E91" i="17"/>
  <c r="F91" i="17"/>
  <c r="B92" i="17"/>
  <c r="C92" i="17"/>
  <c r="D92" i="17"/>
  <c r="E92" i="17"/>
  <c r="F92" i="17"/>
  <c r="B93" i="17"/>
  <c r="C93" i="17"/>
  <c r="D93" i="17"/>
  <c r="E93" i="17"/>
  <c r="F93" i="17"/>
  <c r="B94" i="17"/>
  <c r="C94" i="17"/>
  <c r="D94" i="17"/>
  <c r="E94" i="17"/>
  <c r="F94" i="17"/>
  <c r="B95" i="17"/>
  <c r="C95" i="17"/>
  <c r="D95" i="17"/>
  <c r="E95" i="17"/>
  <c r="F95" i="17"/>
  <c r="B96" i="17"/>
  <c r="C96" i="17"/>
  <c r="D96" i="17"/>
  <c r="E96" i="17"/>
  <c r="F96" i="17"/>
  <c r="B97" i="17"/>
  <c r="C97" i="17"/>
  <c r="D97" i="17"/>
  <c r="E97" i="17"/>
  <c r="F97" i="17"/>
  <c r="B98" i="17"/>
  <c r="C98" i="17"/>
  <c r="D98" i="17"/>
  <c r="E98" i="17"/>
  <c r="F98" i="17"/>
  <c r="B99" i="17"/>
  <c r="C99" i="17"/>
  <c r="D99" i="17"/>
  <c r="E99" i="17"/>
  <c r="F99" i="17"/>
  <c r="B100" i="17"/>
  <c r="C100" i="17"/>
  <c r="D100" i="17"/>
  <c r="E100" i="17"/>
  <c r="F100" i="17"/>
  <c r="B101" i="17"/>
  <c r="C101" i="17"/>
  <c r="D101" i="17"/>
  <c r="E101" i="17"/>
  <c r="F101" i="17"/>
  <c r="B102" i="17"/>
  <c r="C102" i="17"/>
  <c r="D102" i="17"/>
  <c r="E102" i="17"/>
  <c r="F102" i="17"/>
  <c r="B103" i="17"/>
  <c r="C103" i="17"/>
  <c r="D103" i="17"/>
  <c r="E103" i="17"/>
  <c r="F103" i="17"/>
  <c r="B104" i="17"/>
  <c r="C104" i="17"/>
  <c r="D104" i="17"/>
  <c r="E104" i="17"/>
  <c r="F104" i="17"/>
  <c r="B105" i="17"/>
  <c r="C105" i="17"/>
  <c r="D105" i="17"/>
  <c r="E105" i="17"/>
  <c r="F105" i="17"/>
  <c r="G105" i="17"/>
  <c r="B106" i="17"/>
  <c r="C106" i="17"/>
  <c r="D106" i="17"/>
  <c r="E106" i="17"/>
  <c r="F106" i="17"/>
  <c r="G106" i="17"/>
  <c r="B107" i="17"/>
  <c r="C107" i="17"/>
  <c r="D107" i="17"/>
  <c r="E107" i="17"/>
  <c r="F107" i="17"/>
  <c r="G107" i="17"/>
  <c r="B108" i="17"/>
  <c r="C108" i="17"/>
  <c r="D108" i="17"/>
  <c r="E108" i="17"/>
  <c r="F108" i="17"/>
  <c r="G108" i="17"/>
  <c r="B109" i="17"/>
  <c r="C109" i="17"/>
  <c r="D109" i="17"/>
  <c r="E109" i="17"/>
  <c r="F109" i="17"/>
  <c r="B110" i="17"/>
  <c r="C110" i="17"/>
  <c r="D110" i="17"/>
  <c r="E110" i="17"/>
  <c r="F110" i="17"/>
  <c r="B111" i="17"/>
  <c r="C111" i="17"/>
  <c r="D111" i="17"/>
  <c r="E111" i="17"/>
  <c r="F111" i="17"/>
  <c r="B112" i="17"/>
  <c r="C112" i="17"/>
  <c r="D112" i="17"/>
  <c r="E112" i="17"/>
  <c r="F112" i="17"/>
  <c r="B113" i="17"/>
  <c r="C113" i="17"/>
  <c r="D113" i="17"/>
  <c r="E113" i="17"/>
  <c r="F113" i="17"/>
  <c r="B114" i="17"/>
  <c r="C114" i="17"/>
  <c r="D114" i="17"/>
  <c r="E114" i="17"/>
  <c r="F114" i="17"/>
  <c r="B115" i="17"/>
  <c r="C115" i="17"/>
  <c r="D115" i="17"/>
  <c r="E115" i="17"/>
  <c r="F115" i="17"/>
  <c r="B116" i="17"/>
  <c r="C116" i="17"/>
  <c r="D116" i="17"/>
  <c r="E116" i="17"/>
  <c r="F116" i="17"/>
  <c r="B117" i="17"/>
  <c r="C117" i="17"/>
  <c r="D117" i="17"/>
  <c r="E117" i="17"/>
  <c r="F117" i="17"/>
  <c r="B118" i="17"/>
  <c r="C118" i="17"/>
  <c r="D118" i="17"/>
  <c r="E118" i="17"/>
  <c r="F118" i="17"/>
  <c r="B119" i="17"/>
  <c r="C119" i="17"/>
  <c r="D119" i="17"/>
  <c r="E119" i="17"/>
  <c r="F119" i="17"/>
  <c r="B120" i="17"/>
  <c r="C120" i="17"/>
  <c r="D120" i="17"/>
  <c r="E120" i="17"/>
  <c r="F120" i="17"/>
  <c r="B121" i="17"/>
  <c r="C121" i="17"/>
  <c r="D121" i="17"/>
  <c r="E121" i="17"/>
  <c r="F121" i="17"/>
  <c r="B122" i="17"/>
  <c r="C122" i="17"/>
  <c r="D122" i="17"/>
  <c r="E122" i="17"/>
  <c r="F122" i="17"/>
  <c r="B123" i="17"/>
  <c r="C123" i="17"/>
  <c r="D123" i="17"/>
  <c r="E123" i="17"/>
  <c r="F123" i="17"/>
  <c r="B124" i="17"/>
  <c r="C124" i="17"/>
  <c r="D124" i="17"/>
  <c r="E124" i="17"/>
  <c r="F124" i="17"/>
  <c r="G124" i="17"/>
  <c r="B125" i="17"/>
  <c r="C125" i="17"/>
  <c r="D125" i="17"/>
  <c r="E125" i="17"/>
  <c r="F125" i="17"/>
  <c r="G125" i="17"/>
  <c r="B126" i="17"/>
  <c r="C126" i="17"/>
  <c r="D126" i="17"/>
  <c r="E126" i="17"/>
  <c r="F126" i="17"/>
  <c r="G126" i="17"/>
  <c r="B127" i="17"/>
  <c r="C127" i="17"/>
  <c r="D127" i="17"/>
  <c r="E127" i="17"/>
  <c r="F127" i="17"/>
  <c r="G127" i="17"/>
  <c r="B128" i="17"/>
  <c r="C128" i="17"/>
  <c r="D128" i="17"/>
  <c r="E128" i="17"/>
  <c r="F128" i="17"/>
  <c r="G128" i="17"/>
  <c r="B129" i="17"/>
  <c r="C129" i="17"/>
  <c r="D129" i="17"/>
  <c r="E129" i="17"/>
  <c r="F129" i="17"/>
  <c r="G129" i="17"/>
  <c r="B130" i="17"/>
  <c r="C130" i="17"/>
  <c r="D130" i="17"/>
  <c r="E130" i="17"/>
  <c r="F130" i="17"/>
  <c r="G130" i="17"/>
  <c r="B131" i="17"/>
  <c r="C131" i="17"/>
  <c r="D131" i="17"/>
  <c r="E131" i="17"/>
  <c r="F131" i="17"/>
  <c r="G131" i="17"/>
  <c r="B132" i="17"/>
  <c r="C132" i="17"/>
  <c r="D132" i="17"/>
  <c r="E132" i="17"/>
  <c r="F132" i="17"/>
  <c r="G132" i="17"/>
  <c r="B133" i="17"/>
  <c r="C133" i="17"/>
  <c r="D133" i="17"/>
  <c r="E133" i="17"/>
  <c r="F133" i="17"/>
  <c r="G133" i="17"/>
  <c r="B134" i="17"/>
  <c r="C134" i="17"/>
  <c r="D134" i="17"/>
  <c r="E134" i="17"/>
  <c r="F134" i="17"/>
  <c r="G134" i="17"/>
  <c r="B135" i="17"/>
  <c r="C135" i="17"/>
  <c r="D135" i="17"/>
  <c r="E135" i="17"/>
  <c r="F135" i="17"/>
  <c r="G135" i="17"/>
  <c r="B136" i="17"/>
  <c r="C136" i="17"/>
  <c r="D136" i="17"/>
  <c r="E136" i="17"/>
  <c r="F136" i="17"/>
  <c r="G136" i="17"/>
  <c r="B137" i="17"/>
  <c r="C137" i="17"/>
  <c r="D137" i="17"/>
  <c r="E137" i="17"/>
  <c r="F137" i="17"/>
  <c r="G137" i="17"/>
  <c r="B138" i="17"/>
  <c r="C138" i="17"/>
  <c r="D138" i="17"/>
  <c r="E138" i="17"/>
  <c r="F138" i="17"/>
  <c r="G138" i="17"/>
  <c r="B139" i="17"/>
  <c r="C139" i="17"/>
  <c r="D139" i="17"/>
  <c r="E139" i="17"/>
  <c r="F139" i="17"/>
  <c r="G139" i="17"/>
  <c r="B140" i="17"/>
  <c r="C140" i="17"/>
  <c r="D140" i="17"/>
  <c r="E140" i="17"/>
  <c r="F140" i="17"/>
  <c r="G140" i="17"/>
  <c r="B141" i="17"/>
  <c r="C141" i="17"/>
  <c r="D141" i="17"/>
  <c r="E141" i="17"/>
  <c r="F141" i="17"/>
  <c r="G141" i="17"/>
  <c r="B142" i="17"/>
  <c r="C142" i="17"/>
  <c r="D142" i="17"/>
  <c r="E142" i="17"/>
  <c r="F142" i="17"/>
  <c r="G142" i="17"/>
  <c r="B143" i="17"/>
  <c r="C143" i="17"/>
  <c r="D143" i="17"/>
  <c r="E143" i="17"/>
  <c r="F143" i="17"/>
  <c r="G143" i="17"/>
  <c r="B144" i="17"/>
  <c r="C144" i="17"/>
  <c r="D144" i="17"/>
  <c r="E144" i="17"/>
  <c r="F144" i="17"/>
  <c r="G144" i="17"/>
  <c r="B145" i="17"/>
  <c r="C145" i="17"/>
  <c r="D145" i="17"/>
  <c r="E145" i="17"/>
  <c r="F145" i="17"/>
  <c r="G145" i="17"/>
  <c r="B146" i="17"/>
  <c r="C146" i="17"/>
  <c r="D146" i="17"/>
  <c r="E146" i="17"/>
  <c r="F146" i="17"/>
  <c r="G146" i="17"/>
  <c r="B147" i="17"/>
  <c r="C147" i="17"/>
  <c r="D147" i="17"/>
  <c r="E147" i="17"/>
  <c r="F147" i="17"/>
  <c r="G147" i="17"/>
  <c r="B148" i="17"/>
  <c r="C148" i="17"/>
  <c r="D148" i="17"/>
  <c r="E148" i="17"/>
  <c r="F148" i="17"/>
  <c r="G148" i="17"/>
  <c r="B149" i="17"/>
  <c r="C149" i="17"/>
  <c r="D149" i="17"/>
  <c r="E149" i="17"/>
  <c r="F149" i="17"/>
  <c r="G149" i="17"/>
  <c r="B150" i="17"/>
  <c r="C150" i="17"/>
  <c r="D150" i="17"/>
  <c r="E150" i="17"/>
  <c r="F150" i="17"/>
  <c r="G150" i="17"/>
  <c r="B151" i="17"/>
  <c r="C151" i="17"/>
  <c r="D151" i="17"/>
  <c r="E151" i="17"/>
  <c r="F151" i="17"/>
  <c r="G151" i="17"/>
  <c r="B152" i="17"/>
  <c r="C152" i="17"/>
  <c r="D152" i="17"/>
  <c r="E152" i="17"/>
  <c r="F152" i="17"/>
  <c r="G152" i="17"/>
  <c r="B153" i="17"/>
  <c r="C153" i="17"/>
  <c r="D153" i="17"/>
  <c r="E153" i="17"/>
  <c r="F153" i="17"/>
  <c r="G153" i="17"/>
  <c r="D154" i="17"/>
  <c r="E154" i="17"/>
  <c r="F154" i="17"/>
  <c r="D155" i="17"/>
  <c r="E155" i="17"/>
  <c r="F155" i="17"/>
  <c r="B156" i="17"/>
  <c r="C156" i="17"/>
  <c r="D156" i="17"/>
  <c r="E156" i="17"/>
  <c r="F156" i="17"/>
  <c r="B157" i="17"/>
  <c r="C157" i="17"/>
  <c r="D157" i="17"/>
  <c r="E157" i="17"/>
  <c r="F157" i="17"/>
  <c r="B158" i="17"/>
  <c r="C158" i="17"/>
  <c r="D158" i="17"/>
  <c r="E158" i="17"/>
  <c r="F158" i="17"/>
  <c r="B159" i="17"/>
  <c r="C159" i="17"/>
  <c r="D159" i="17"/>
  <c r="E159" i="17"/>
  <c r="F159" i="17"/>
  <c r="B160" i="17"/>
  <c r="C160" i="17"/>
  <c r="D160" i="17"/>
  <c r="E160" i="17"/>
  <c r="F160" i="17"/>
  <c r="B161" i="17"/>
  <c r="C161" i="17"/>
  <c r="D161" i="17"/>
  <c r="E161" i="17"/>
  <c r="F161" i="17"/>
  <c r="B162" i="17"/>
  <c r="C162" i="17"/>
  <c r="D162" i="17"/>
  <c r="E162" i="17"/>
  <c r="F162" i="17"/>
  <c r="B163" i="17"/>
  <c r="C163" i="17"/>
  <c r="D163" i="17"/>
  <c r="E163" i="17"/>
  <c r="F163" i="17"/>
  <c r="B164" i="17"/>
  <c r="C164" i="17"/>
  <c r="D164" i="17"/>
  <c r="E164" i="17"/>
  <c r="F164" i="17"/>
  <c r="B165" i="17"/>
  <c r="C165" i="17"/>
  <c r="D165" i="17"/>
  <c r="E165" i="17"/>
  <c r="F165" i="17"/>
  <c r="B166" i="17"/>
  <c r="C166" i="17"/>
  <c r="D166" i="17"/>
  <c r="E166" i="17"/>
  <c r="F166" i="17"/>
  <c r="B167" i="17"/>
  <c r="C167" i="17"/>
  <c r="D167" i="17"/>
  <c r="E167" i="17"/>
  <c r="F167" i="17"/>
  <c r="B168" i="17"/>
  <c r="C168" i="17"/>
  <c r="D168" i="17"/>
  <c r="E168" i="17"/>
  <c r="F168" i="17"/>
  <c r="B169" i="17"/>
  <c r="C169" i="17"/>
  <c r="D169" i="17"/>
  <c r="E169" i="17"/>
  <c r="F169" i="17"/>
  <c r="B170" i="17"/>
  <c r="C170" i="17"/>
  <c r="D170" i="17"/>
  <c r="E170" i="17"/>
  <c r="F170" i="17"/>
  <c r="B171" i="17"/>
  <c r="C171" i="17"/>
  <c r="D171" i="17"/>
  <c r="E171" i="17"/>
  <c r="F171" i="17"/>
  <c r="B172" i="17"/>
  <c r="C172" i="17"/>
  <c r="D172" i="17"/>
  <c r="E172" i="17"/>
  <c r="F172" i="17"/>
  <c r="B173" i="17"/>
  <c r="C173" i="17"/>
  <c r="D173" i="17"/>
  <c r="E173" i="17"/>
  <c r="F173" i="17"/>
  <c r="B174" i="17"/>
  <c r="C174" i="17"/>
  <c r="D174" i="17"/>
  <c r="E174" i="17"/>
  <c r="F174" i="17"/>
  <c r="B175" i="17"/>
  <c r="C175" i="17"/>
  <c r="D175" i="17"/>
  <c r="E175" i="17"/>
  <c r="F175" i="17"/>
  <c r="B176" i="17"/>
  <c r="C176" i="17"/>
  <c r="D176" i="17"/>
  <c r="E176" i="17"/>
  <c r="F176" i="17"/>
  <c r="B177" i="17"/>
  <c r="C177" i="17"/>
  <c r="D177" i="17"/>
  <c r="E177" i="17"/>
  <c r="F177" i="17"/>
  <c r="B178" i="17"/>
  <c r="C178" i="17"/>
  <c r="D178" i="17"/>
  <c r="E178" i="17"/>
  <c r="F178" i="17"/>
  <c r="B179" i="17"/>
  <c r="C179" i="17"/>
  <c r="D179" i="17"/>
  <c r="E179" i="17"/>
  <c r="F179" i="17"/>
  <c r="B180" i="17"/>
  <c r="C180" i="17"/>
  <c r="D180" i="17"/>
  <c r="E180" i="17"/>
  <c r="F180" i="17"/>
  <c r="B181" i="17"/>
  <c r="C181" i="17"/>
  <c r="D181" i="17"/>
  <c r="E181" i="17"/>
  <c r="F181" i="17"/>
  <c r="B182" i="17"/>
  <c r="C182" i="17"/>
  <c r="D182" i="17"/>
  <c r="E182" i="17"/>
  <c r="F182" i="17"/>
  <c r="B183" i="17"/>
  <c r="C183" i="17"/>
  <c r="D183" i="17"/>
  <c r="E183" i="17"/>
  <c r="F183" i="17"/>
  <c r="B184" i="17"/>
  <c r="C184" i="17"/>
  <c r="D184" i="17"/>
  <c r="E184" i="17"/>
  <c r="F184" i="17"/>
  <c r="B185" i="17"/>
  <c r="C185" i="17"/>
  <c r="D185" i="17"/>
  <c r="E185" i="17"/>
  <c r="F185" i="17"/>
  <c r="B186" i="17"/>
  <c r="C186" i="17"/>
  <c r="D186" i="17"/>
  <c r="E186" i="17"/>
  <c r="F186" i="17"/>
  <c r="G186" i="17"/>
  <c r="B187" i="17"/>
  <c r="C187" i="17"/>
  <c r="D187" i="17"/>
  <c r="E187" i="17"/>
  <c r="F187" i="17"/>
  <c r="B188" i="17"/>
  <c r="C188" i="17"/>
  <c r="D188" i="17"/>
  <c r="E188" i="17"/>
  <c r="F188" i="17"/>
  <c r="B189" i="17"/>
  <c r="C189" i="17"/>
  <c r="D189" i="17"/>
  <c r="E189" i="17"/>
  <c r="F189" i="17"/>
  <c r="B190" i="17"/>
  <c r="C190" i="17"/>
  <c r="D190" i="17"/>
  <c r="E190" i="17"/>
  <c r="F190" i="17"/>
  <c r="B191" i="17"/>
  <c r="C191" i="17"/>
  <c r="D191" i="17"/>
  <c r="E191" i="17"/>
  <c r="F191" i="17"/>
  <c r="B192" i="17"/>
  <c r="C192" i="17"/>
  <c r="D192" i="17"/>
  <c r="E192" i="17"/>
  <c r="F192" i="17"/>
  <c r="B193" i="17"/>
  <c r="C193" i="17"/>
  <c r="D193" i="17"/>
  <c r="E193" i="17"/>
  <c r="F193" i="17"/>
  <c r="B194" i="17"/>
  <c r="C194" i="17"/>
  <c r="D194" i="17"/>
  <c r="E194" i="17"/>
  <c r="F194" i="17"/>
  <c r="B195" i="17"/>
  <c r="C195" i="17"/>
  <c r="D195" i="17"/>
  <c r="E195" i="17"/>
  <c r="F195" i="17"/>
  <c r="B196" i="17"/>
  <c r="C196" i="17"/>
  <c r="D196" i="17"/>
  <c r="E196" i="17"/>
  <c r="F196" i="17"/>
  <c r="B197" i="17"/>
  <c r="C197" i="17"/>
  <c r="D197" i="17"/>
  <c r="E197" i="17"/>
  <c r="F197" i="17"/>
  <c r="B198" i="17"/>
  <c r="C198" i="17"/>
  <c r="D198" i="17"/>
  <c r="E198" i="17"/>
  <c r="F198" i="17"/>
  <c r="B199" i="17"/>
  <c r="C199" i="17"/>
  <c r="D199" i="17"/>
  <c r="E199" i="17"/>
  <c r="F199" i="17"/>
  <c r="B200" i="17"/>
  <c r="C200" i="17"/>
  <c r="D200" i="17"/>
  <c r="E200" i="17"/>
  <c r="F200" i="17"/>
  <c r="B201" i="17"/>
  <c r="C201" i="17"/>
  <c r="D201" i="17"/>
  <c r="E201" i="17"/>
  <c r="F201" i="17"/>
  <c r="B202" i="17"/>
  <c r="C202" i="17"/>
  <c r="D202" i="17"/>
  <c r="E202" i="17"/>
  <c r="F202" i="17"/>
  <c r="B203" i="17"/>
  <c r="C203" i="17"/>
  <c r="D203" i="17"/>
  <c r="E203" i="17"/>
  <c r="F203" i="17"/>
  <c r="B204" i="17"/>
  <c r="C204" i="17"/>
  <c r="D204" i="17"/>
  <c r="E204" i="17"/>
  <c r="F204" i="17"/>
  <c r="B205" i="17"/>
  <c r="C205" i="17"/>
  <c r="D205" i="17"/>
  <c r="E205" i="17"/>
  <c r="F205" i="17"/>
  <c r="B206" i="17"/>
  <c r="C206" i="17"/>
  <c r="D206" i="17"/>
  <c r="E206" i="17"/>
  <c r="F206" i="17"/>
  <c r="B207" i="17"/>
  <c r="C207" i="17"/>
  <c r="D207" i="17"/>
  <c r="E207" i="17"/>
  <c r="F207" i="17"/>
  <c r="G207" i="17"/>
  <c r="B208" i="17"/>
  <c r="C208" i="17"/>
  <c r="D208" i="17"/>
  <c r="E208" i="17"/>
  <c r="F208" i="17"/>
  <c r="G208" i="17"/>
  <c r="B209" i="17"/>
  <c r="C209" i="17"/>
  <c r="D209" i="17"/>
  <c r="E209" i="17"/>
  <c r="F209" i="17"/>
  <c r="G209" i="17"/>
  <c r="B210" i="17"/>
  <c r="C210" i="17"/>
  <c r="D210" i="17"/>
  <c r="E210" i="17"/>
  <c r="F210" i="17"/>
  <c r="G210" i="17"/>
  <c r="B211" i="17"/>
  <c r="C211" i="17"/>
  <c r="D211" i="17"/>
  <c r="E211" i="17"/>
  <c r="F211" i="17"/>
  <c r="G211" i="17"/>
  <c r="B212" i="17"/>
  <c r="C212" i="17"/>
  <c r="D212" i="17"/>
  <c r="E212" i="17"/>
  <c r="F212" i="17"/>
  <c r="G212" i="17"/>
  <c r="B213" i="17"/>
  <c r="C213" i="17"/>
  <c r="D213" i="17"/>
  <c r="E213" i="17"/>
  <c r="F213" i="17"/>
  <c r="G213" i="17"/>
  <c r="B214" i="17"/>
  <c r="C214" i="17"/>
  <c r="D214" i="17"/>
  <c r="E214" i="17"/>
  <c r="F214" i="17"/>
  <c r="G214" i="17"/>
  <c r="B215" i="17"/>
  <c r="C215" i="17"/>
  <c r="D215" i="17"/>
  <c r="E215" i="17"/>
  <c r="F215" i="17"/>
  <c r="G215" i="17"/>
  <c r="B216" i="17"/>
  <c r="C216" i="17"/>
  <c r="D216" i="17"/>
  <c r="E216" i="17"/>
  <c r="F216" i="17"/>
  <c r="G216" i="17"/>
  <c r="B217" i="17"/>
  <c r="C217" i="17"/>
  <c r="D217" i="17"/>
  <c r="E217" i="17"/>
  <c r="F217" i="17"/>
  <c r="G217" i="17"/>
  <c r="B218" i="17"/>
  <c r="C218" i="17"/>
  <c r="D218" i="17"/>
  <c r="E218" i="17"/>
  <c r="F218" i="17"/>
  <c r="G218" i="17"/>
  <c r="B219" i="17"/>
  <c r="C219" i="17"/>
  <c r="D219" i="17"/>
  <c r="E219" i="17"/>
  <c r="F219" i="17"/>
  <c r="G219" i="17"/>
  <c r="B220" i="17"/>
  <c r="C220" i="17"/>
  <c r="D220" i="17"/>
  <c r="E220" i="17"/>
  <c r="F220" i="17"/>
  <c r="G220" i="17"/>
  <c r="B221" i="17"/>
  <c r="C221" i="17"/>
  <c r="D221" i="17"/>
  <c r="E221" i="17"/>
  <c r="F221" i="17"/>
  <c r="G221" i="17"/>
  <c r="B222" i="17"/>
  <c r="C222" i="17"/>
  <c r="D222" i="17"/>
  <c r="E222" i="17"/>
  <c r="F222" i="17"/>
  <c r="G222" i="17"/>
  <c r="B223" i="17"/>
  <c r="C223" i="17"/>
  <c r="D223" i="17"/>
  <c r="E223" i="17"/>
  <c r="F223" i="17"/>
  <c r="G223" i="17"/>
  <c r="B224" i="17"/>
  <c r="C224" i="17"/>
  <c r="D224" i="17"/>
  <c r="E224" i="17"/>
  <c r="F224" i="17"/>
  <c r="G224" i="17"/>
  <c r="B225" i="17"/>
  <c r="C225" i="17"/>
  <c r="D225" i="17"/>
  <c r="E225" i="17"/>
  <c r="F225" i="17"/>
  <c r="G225" i="17"/>
  <c r="B226" i="17"/>
  <c r="C226" i="17"/>
  <c r="D226" i="17"/>
  <c r="E226" i="17"/>
  <c r="F226" i="17"/>
  <c r="G226" i="17"/>
  <c r="B227" i="17"/>
  <c r="C227" i="17"/>
  <c r="D227" i="17"/>
  <c r="E227" i="17"/>
  <c r="F227" i="17"/>
  <c r="G227" i="17"/>
  <c r="B228" i="17"/>
  <c r="C228" i="17"/>
  <c r="D228" i="17"/>
  <c r="E228" i="17"/>
  <c r="F228" i="17"/>
  <c r="G228" i="17"/>
  <c r="B229" i="17"/>
  <c r="C229" i="17"/>
  <c r="D229" i="17"/>
  <c r="E229" i="17"/>
  <c r="F229" i="17"/>
  <c r="G229" i="17"/>
  <c r="B230" i="17"/>
  <c r="C230" i="17"/>
  <c r="D230" i="17"/>
  <c r="E230" i="17"/>
  <c r="F230" i="17"/>
  <c r="G230" i="17"/>
  <c r="B231" i="17"/>
  <c r="C231" i="17"/>
  <c r="D231" i="17"/>
  <c r="E231" i="17"/>
  <c r="F231" i="17"/>
  <c r="G231" i="17"/>
  <c r="B232" i="17"/>
  <c r="C232" i="17"/>
  <c r="D232" i="17"/>
  <c r="E232" i="17"/>
  <c r="F232" i="17"/>
  <c r="G232" i="17"/>
  <c r="B233" i="17"/>
  <c r="C233" i="17"/>
  <c r="D233" i="17"/>
  <c r="E233" i="17"/>
  <c r="F233" i="17"/>
  <c r="G233" i="17"/>
  <c r="B234" i="17"/>
  <c r="C234" i="17"/>
  <c r="D234" i="17"/>
  <c r="E234" i="17"/>
  <c r="F234" i="17"/>
  <c r="G234" i="17"/>
  <c r="B235" i="17"/>
  <c r="C235" i="17"/>
  <c r="D235" i="17"/>
  <c r="E235" i="17"/>
  <c r="F235" i="17"/>
  <c r="G235" i="17"/>
  <c r="B236" i="17"/>
  <c r="C236" i="17"/>
  <c r="D236" i="17"/>
  <c r="E236" i="17"/>
  <c r="F236" i="17"/>
  <c r="G236" i="17"/>
  <c r="B237" i="17"/>
  <c r="C237" i="17"/>
  <c r="D237" i="17"/>
  <c r="E237" i="17"/>
  <c r="F237" i="17"/>
  <c r="G237" i="17"/>
  <c r="B238" i="17"/>
  <c r="C238" i="17"/>
  <c r="D238" i="17"/>
  <c r="E238" i="17"/>
  <c r="F238" i="17"/>
  <c r="G238" i="17"/>
  <c r="B239" i="17"/>
  <c r="C239" i="17"/>
  <c r="D239" i="17"/>
  <c r="E239" i="17"/>
  <c r="F239" i="17"/>
  <c r="G239" i="17"/>
  <c r="B240" i="17"/>
  <c r="C240" i="17"/>
  <c r="D240" i="17"/>
  <c r="E240" i="17"/>
  <c r="F240" i="17"/>
  <c r="G240" i="17"/>
  <c r="B241" i="17"/>
  <c r="C241" i="17"/>
  <c r="D241" i="17"/>
  <c r="E241" i="17"/>
  <c r="F241" i="17"/>
  <c r="G241" i="17"/>
  <c r="B242" i="17"/>
  <c r="C242" i="17"/>
  <c r="D242" i="17"/>
  <c r="E242" i="17"/>
  <c r="F242" i="17"/>
  <c r="G242" i="17"/>
  <c r="B243" i="17"/>
  <c r="C243" i="17"/>
  <c r="D243" i="17"/>
  <c r="E243" i="17"/>
  <c r="F243" i="17"/>
  <c r="G243" i="17"/>
  <c r="B244" i="17"/>
  <c r="C244" i="17"/>
  <c r="D244" i="17"/>
  <c r="E244" i="17"/>
  <c r="F244" i="17"/>
  <c r="G244" i="17"/>
  <c r="B245" i="17"/>
  <c r="C245" i="17"/>
  <c r="D245" i="17"/>
  <c r="E245" i="17"/>
  <c r="F245" i="17"/>
  <c r="B246" i="17"/>
  <c r="C246" i="17"/>
  <c r="D246" i="17"/>
  <c r="E246" i="17"/>
  <c r="F246" i="17"/>
  <c r="B247" i="17"/>
  <c r="C247" i="17"/>
  <c r="D247" i="17"/>
  <c r="E247" i="17"/>
  <c r="F247" i="17"/>
  <c r="B248" i="17"/>
  <c r="C248" i="17"/>
  <c r="D248" i="17"/>
  <c r="E248" i="17"/>
  <c r="F248" i="17"/>
  <c r="B249" i="17"/>
  <c r="C249" i="17"/>
  <c r="D249" i="17"/>
  <c r="E249" i="17"/>
  <c r="F249" i="17"/>
  <c r="B250" i="17"/>
  <c r="C250" i="17"/>
  <c r="D250" i="17"/>
  <c r="E250" i="17"/>
  <c r="F250" i="17"/>
  <c r="B251" i="17"/>
  <c r="C251" i="17"/>
  <c r="D251" i="17"/>
  <c r="E251" i="17"/>
  <c r="F251" i="17"/>
  <c r="B252" i="17"/>
  <c r="C252" i="17"/>
  <c r="D252" i="17"/>
  <c r="E252" i="17"/>
  <c r="F252" i="17"/>
  <c r="B253" i="17"/>
  <c r="C253" i="17"/>
  <c r="D253" i="17"/>
  <c r="E253" i="17"/>
  <c r="F253" i="17"/>
  <c r="B254" i="17"/>
  <c r="C254" i="17"/>
  <c r="D254" i="17"/>
  <c r="E254" i="17"/>
  <c r="F254" i="17"/>
  <c r="B255" i="17"/>
  <c r="C255" i="17"/>
  <c r="D255" i="17"/>
  <c r="E255" i="17"/>
  <c r="F255" i="17"/>
  <c r="B256" i="17"/>
  <c r="C256" i="17"/>
  <c r="D256" i="17"/>
  <c r="E256" i="17"/>
  <c r="F256" i="17"/>
  <c r="G256" i="17"/>
  <c r="B257" i="17"/>
  <c r="C257" i="17"/>
  <c r="D257" i="17"/>
  <c r="E257" i="17"/>
  <c r="F257" i="17"/>
  <c r="G257" i="17"/>
  <c r="B258" i="17"/>
  <c r="C258" i="17"/>
  <c r="D258" i="17"/>
  <c r="E258" i="17"/>
  <c r="F258" i="17"/>
  <c r="G258" i="17"/>
  <c r="B259" i="17"/>
  <c r="C259" i="17"/>
  <c r="D259" i="17"/>
  <c r="E259" i="17"/>
  <c r="F259" i="17"/>
  <c r="G259" i="17"/>
  <c r="B260" i="17"/>
  <c r="C260" i="17"/>
  <c r="D260" i="17"/>
  <c r="E260" i="17"/>
  <c r="F260" i="17"/>
  <c r="G260" i="17"/>
  <c r="B261" i="17"/>
  <c r="C261" i="17"/>
  <c r="D261" i="17"/>
  <c r="E261" i="17"/>
  <c r="F261" i="17"/>
  <c r="G261" i="17"/>
  <c r="B262" i="17"/>
  <c r="C262" i="17"/>
  <c r="D262" i="17"/>
  <c r="E262" i="17"/>
  <c r="F262" i="17"/>
  <c r="G262" i="17"/>
  <c r="B263" i="17"/>
  <c r="C263" i="17"/>
  <c r="D263" i="17"/>
  <c r="E263" i="17"/>
  <c r="F263" i="17"/>
  <c r="G263" i="17"/>
  <c r="B264" i="17"/>
  <c r="C264" i="17"/>
  <c r="D264" i="17"/>
  <c r="E264" i="17"/>
  <c r="F264" i="17"/>
  <c r="G264" i="17"/>
  <c r="B265" i="17"/>
  <c r="C265" i="17"/>
  <c r="D265" i="17"/>
  <c r="E265" i="17"/>
  <c r="F265" i="17"/>
  <c r="G265" i="17"/>
  <c r="B266" i="17"/>
  <c r="C266" i="17"/>
  <c r="D266" i="17"/>
  <c r="E266" i="17"/>
  <c r="F266" i="17"/>
  <c r="G266" i="17"/>
  <c r="B267" i="17"/>
  <c r="C267" i="17"/>
  <c r="D267" i="17"/>
  <c r="E267" i="17"/>
  <c r="F267" i="17"/>
  <c r="G267" i="17"/>
  <c r="B268" i="17"/>
  <c r="C268" i="17"/>
  <c r="D268" i="17"/>
  <c r="E268" i="17"/>
  <c r="F268" i="17"/>
  <c r="G268" i="17"/>
  <c r="B269" i="17"/>
  <c r="C269" i="17"/>
  <c r="D269" i="17"/>
  <c r="E269" i="17"/>
  <c r="F269" i="17"/>
  <c r="G269" i="17"/>
  <c r="B270" i="17"/>
  <c r="C270" i="17"/>
  <c r="D270" i="17"/>
  <c r="E270" i="17"/>
  <c r="F270" i="17"/>
  <c r="G270" i="17"/>
  <c r="B271" i="17"/>
  <c r="C271" i="17"/>
  <c r="D271" i="17"/>
  <c r="E271" i="17"/>
  <c r="F271" i="17"/>
  <c r="G271" i="17"/>
  <c r="B272" i="17"/>
  <c r="C272" i="17"/>
  <c r="D272" i="17"/>
  <c r="E272" i="17"/>
  <c r="F272" i="17"/>
  <c r="G272" i="17"/>
  <c r="B273" i="17"/>
  <c r="C273" i="17"/>
  <c r="D273" i="17"/>
  <c r="E273" i="17"/>
  <c r="F273" i="17"/>
  <c r="G273" i="17"/>
  <c r="B274" i="17"/>
  <c r="C274" i="17"/>
  <c r="D274" i="17"/>
  <c r="E274" i="17"/>
  <c r="F274" i="17"/>
  <c r="G274" i="17"/>
  <c r="B275" i="17"/>
  <c r="C275" i="17"/>
  <c r="D275" i="17"/>
  <c r="E275" i="17"/>
  <c r="F275" i="17"/>
  <c r="G275" i="17"/>
  <c r="B276" i="17"/>
  <c r="C276" i="17"/>
  <c r="D276" i="17"/>
  <c r="E276" i="17"/>
  <c r="F276" i="17"/>
  <c r="G276" i="17"/>
  <c r="B277" i="17"/>
  <c r="C277" i="17"/>
  <c r="D277" i="17"/>
  <c r="E277" i="17"/>
  <c r="F277" i="17"/>
  <c r="G277" i="17"/>
  <c r="B278" i="17"/>
  <c r="C278" i="17"/>
  <c r="D278" i="17"/>
  <c r="E278" i="17"/>
  <c r="F278" i="17"/>
  <c r="G278" i="17"/>
  <c r="B279" i="17"/>
  <c r="C279" i="17"/>
  <c r="D279" i="17"/>
  <c r="E279" i="17"/>
  <c r="F279" i="17"/>
  <c r="B280" i="17"/>
  <c r="C280" i="17"/>
  <c r="D280" i="17"/>
  <c r="E280" i="17"/>
  <c r="F280" i="17"/>
  <c r="B281" i="17"/>
  <c r="C281" i="17"/>
  <c r="D281" i="17"/>
  <c r="E281" i="17"/>
  <c r="F281" i="17"/>
  <c r="B282" i="17"/>
  <c r="C282" i="17"/>
  <c r="D282" i="17"/>
  <c r="E282" i="17"/>
  <c r="F282" i="17"/>
  <c r="B283" i="17"/>
  <c r="C283" i="17"/>
  <c r="D283" i="17"/>
  <c r="E283" i="17"/>
  <c r="F283" i="17"/>
  <c r="B284" i="17"/>
  <c r="C284" i="17"/>
  <c r="D284" i="17"/>
  <c r="E284" i="17"/>
  <c r="F284" i="17"/>
  <c r="B285" i="17"/>
  <c r="C285" i="17"/>
  <c r="D285" i="17"/>
  <c r="E285" i="17"/>
  <c r="F285" i="17"/>
  <c r="B286" i="17"/>
  <c r="C286" i="17"/>
  <c r="D286" i="17"/>
  <c r="E286" i="17"/>
  <c r="F286" i="17"/>
  <c r="B287" i="17"/>
  <c r="C287" i="17"/>
  <c r="D287" i="17"/>
  <c r="E287" i="17"/>
  <c r="F287" i="17"/>
  <c r="G287" i="17"/>
  <c r="B288" i="17"/>
  <c r="C288" i="17"/>
  <c r="D288" i="17"/>
  <c r="E288" i="17"/>
  <c r="F288" i="17"/>
  <c r="G288" i="17"/>
  <c r="B289" i="17"/>
  <c r="C289" i="17"/>
  <c r="D289" i="17"/>
  <c r="E289" i="17"/>
  <c r="F289" i="17"/>
  <c r="G289" i="17"/>
  <c r="B290" i="17"/>
  <c r="C290" i="17"/>
  <c r="D290" i="17"/>
  <c r="E290" i="17"/>
  <c r="F290" i="17"/>
  <c r="G290" i="17"/>
  <c r="B291" i="17"/>
  <c r="C291" i="17"/>
  <c r="D291" i="17"/>
  <c r="E291" i="17"/>
  <c r="F291" i="17"/>
  <c r="G291" i="17"/>
  <c r="B292" i="17"/>
  <c r="C292" i="17"/>
  <c r="D292" i="17"/>
  <c r="E292" i="17"/>
  <c r="F292" i="17"/>
  <c r="G292" i="17"/>
  <c r="B293" i="17"/>
  <c r="C293" i="17"/>
  <c r="D293" i="17"/>
  <c r="E293" i="17"/>
  <c r="F293" i="17"/>
  <c r="G293" i="17"/>
  <c r="B294" i="17"/>
  <c r="C294" i="17"/>
  <c r="D294" i="17"/>
  <c r="E294" i="17"/>
  <c r="F294" i="17"/>
  <c r="G294" i="17"/>
  <c r="B295" i="17"/>
  <c r="C295" i="17"/>
  <c r="D295" i="17"/>
  <c r="E295" i="17"/>
  <c r="F295" i="17"/>
  <c r="G295" i="17"/>
  <c r="B296" i="17"/>
  <c r="C296" i="17"/>
  <c r="D296" i="17"/>
  <c r="E296" i="17"/>
  <c r="F296" i="17"/>
  <c r="G296" i="17"/>
  <c r="B297" i="17"/>
  <c r="C297" i="17"/>
  <c r="D297" i="17"/>
  <c r="E297" i="17"/>
  <c r="F297" i="17"/>
  <c r="G297" i="17"/>
  <c r="B298" i="17"/>
  <c r="C298" i="17"/>
  <c r="D298" i="17"/>
  <c r="E298" i="17"/>
  <c r="F298" i="17"/>
  <c r="G298" i="17"/>
  <c r="B299" i="17"/>
  <c r="C299" i="17"/>
  <c r="D299" i="17"/>
  <c r="E299" i="17"/>
  <c r="F299" i="17"/>
  <c r="G299" i="17"/>
  <c r="B300" i="17"/>
  <c r="C300" i="17"/>
  <c r="D300" i="17"/>
  <c r="E300" i="17"/>
  <c r="F300" i="17"/>
  <c r="G300" i="17"/>
  <c r="B301" i="17"/>
  <c r="C301" i="17"/>
  <c r="D301" i="17"/>
  <c r="E301" i="17"/>
  <c r="F301" i="17"/>
  <c r="G301" i="17"/>
  <c r="B302" i="17"/>
  <c r="C302" i="17"/>
  <c r="D302" i="17"/>
  <c r="E302" i="17"/>
  <c r="F302" i="17"/>
  <c r="G302" i="17"/>
  <c r="B303" i="17"/>
  <c r="C303" i="17"/>
  <c r="D303" i="17"/>
  <c r="E303" i="17"/>
  <c r="F303" i="17"/>
  <c r="G303" i="17"/>
  <c r="B304" i="17"/>
  <c r="C304" i="17"/>
  <c r="D304" i="17"/>
  <c r="E304" i="17"/>
  <c r="F304" i="17"/>
  <c r="G304" i="17"/>
  <c r="B305" i="17"/>
  <c r="C305" i="17"/>
  <c r="D305" i="17"/>
  <c r="E305" i="17"/>
  <c r="F305" i="17"/>
  <c r="G305" i="17"/>
  <c r="B306" i="17"/>
  <c r="C306" i="17"/>
  <c r="D306" i="17"/>
  <c r="E306" i="17"/>
  <c r="F306" i="17"/>
  <c r="G306" i="17"/>
  <c r="B307" i="17"/>
  <c r="C307" i="17"/>
  <c r="D307" i="17"/>
  <c r="E307" i="17"/>
  <c r="F307" i="17"/>
  <c r="B308" i="17"/>
  <c r="C308" i="17"/>
  <c r="D308" i="17"/>
  <c r="E308" i="17"/>
  <c r="F308" i="17"/>
  <c r="B309" i="17"/>
  <c r="C309" i="17"/>
  <c r="D309" i="17"/>
  <c r="E309" i="17"/>
  <c r="F309" i="17"/>
  <c r="B310" i="17"/>
  <c r="C310" i="17"/>
  <c r="D310" i="17"/>
  <c r="E310" i="17"/>
  <c r="F310" i="17"/>
  <c r="B311" i="17"/>
  <c r="C311" i="17"/>
  <c r="D311" i="17"/>
  <c r="E311" i="17"/>
  <c r="F311" i="17"/>
  <c r="B312" i="17"/>
  <c r="C312" i="17"/>
  <c r="D312" i="17"/>
  <c r="E312" i="17"/>
  <c r="F312" i="17"/>
  <c r="B313" i="17"/>
  <c r="C313" i="17"/>
  <c r="D313" i="17"/>
  <c r="E313" i="17"/>
  <c r="F313" i="17"/>
  <c r="B314" i="17"/>
  <c r="C314" i="17"/>
  <c r="D314" i="17"/>
  <c r="E314" i="17"/>
  <c r="F314" i="17"/>
  <c r="B315" i="17"/>
  <c r="C315" i="17"/>
  <c r="D315" i="17"/>
  <c r="E315" i="17"/>
  <c r="F315" i="17"/>
  <c r="B316" i="17"/>
  <c r="C316" i="17"/>
  <c r="D316" i="17"/>
  <c r="E316" i="17"/>
  <c r="F316" i="17"/>
  <c r="B317" i="17"/>
  <c r="C317" i="17"/>
  <c r="D317" i="17"/>
  <c r="E317" i="17"/>
  <c r="F317" i="17"/>
  <c r="B318" i="17"/>
  <c r="C318" i="17"/>
  <c r="D318" i="17"/>
  <c r="E318" i="17"/>
  <c r="F318" i="17"/>
  <c r="G318" i="17"/>
  <c r="B319" i="17"/>
  <c r="C319" i="17"/>
  <c r="D319" i="17"/>
  <c r="E319" i="17"/>
  <c r="F319" i="17"/>
  <c r="G319" i="17"/>
  <c r="B320" i="17"/>
  <c r="C320" i="17"/>
  <c r="D320" i="17"/>
  <c r="E320" i="17"/>
  <c r="F320" i="17"/>
  <c r="G320" i="17"/>
  <c r="B321" i="17"/>
  <c r="C321" i="17"/>
  <c r="D321" i="17"/>
  <c r="E321" i="17"/>
  <c r="F321" i="17"/>
  <c r="G321" i="17"/>
  <c r="B322" i="17"/>
  <c r="C322" i="17"/>
  <c r="D322" i="17"/>
  <c r="E322" i="17"/>
  <c r="F322" i="17"/>
  <c r="G322" i="17"/>
  <c r="B323" i="17"/>
  <c r="C323" i="17"/>
  <c r="D323" i="17"/>
  <c r="E323" i="17"/>
  <c r="F323" i="17"/>
  <c r="G323" i="17"/>
  <c r="B324" i="17"/>
  <c r="C324" i="17"/>
  <c r="D324" i="17"/>
  <c r="E324" i="17"/>
  <c r="F324" i="17"/>
  <c r="G324" i="17"/>
  <c r="B325" i="17"/>
  <c r="C325" i="17"/>
  <c r="D325" i="17"/>
  <c r="E325" i="17"/>
  <c r="F325" i="17"/>
  <c r="G325" i="17"/>
  <c r="B326" i="17"/>
  <c r="C326" i="17"/>
  <c r="D326" i="17"/>
  <c r="E326" i="17"/>
  <c r="F326" i="17"/>
  <c r="G326" i="17"/>
  <c r="B327" i="17"/>
  <c r="C327" i="17"/>
  <c r="D327" i="17"/>
  <c r="E327" i="17"/>
  <c r="F327" i="17"/>
  <c r="G327" i="17"/>
  <c r="B328" i="17"/>
  <c r="C328" i="17"/>
  <c r="D328" i="17"/>
  <c r="E328" i="17"/>
  <c r="F328" i="17"/>
  <c r="G328" i="17"/>
  <c r="B329" i="17"/>
  <c r="C329" i="17"/>
  <c r="D329" i="17"/>
  <c r="E329" i="17"/>
  <c r="F329" i="17"/>
  <c r="G329" i="17"/>
  <c r="B330" i="17"/>
  <c r="C330" i="17"/>
  <c r="D330" i="17"/>
  <c r="E330" i="17"/>
  <c r="F330" i="17"/>
  <c r="G330" i="17"/>
  <c r="B331" i="17"/>
  <c r="C331" i="17"/>
  <c r="D331" i="17"/>
  <c r="E331" i="17"/>
  <c r="F331" i="17"/>
  <c r="G331" i="17"/>
  <c r="B332" i="17"/>
  <c r="C332" i="17"/>
  <c r="D332" i="17"/>
  <c r="E332" i="17"/>
  <c r="F332" i="17"/>
  <c r="G332" i="17"/>
  <c r="B333" i="17"/>
  <c r="C333" i="17"/>
  <c r="D333" i="17"/>
  <c r="E333" i="17"/>
  <c r="F333" i="17"/>
  <c r="G333" i="17"/>
  <c r="B334" i="17"/>
  <c r="C334" i="17"/>
  <c r="D334" i="17"/>
  <c r="E334" i="17"/>
  <c r="F334" i="17"/>
  <c r="G334" i="17"/>
  <c r="B335" i="17"/>
  <c r="C335" i="17"/>
  <c r="D335" i="17"/>
  <c r="E335" i="17"/>
  <c r="F335" i="17"/>
  <c r="G335" i="17"/>
  <c r="B336" i="17"/>
  <c r="C336" i="17"/>
  <c r="D336" i="17"/>
  <c r="E336" i="17"/>
  <c r="F336" i="17"/>
  <c r="G336" i="17"/>
  <c r="B337" i="17"/>
  <c r="C337" i="17"/>
  <c r="D337" i="17"/>
  <c r="E337" i="17"/>
  <c r="F337" i="17"/>
  <c r="G337" i="17"/>
  <c r="B338" i="17"/>
  <c r="C338" i="17"/>
  <c r="D338" i="17"/>
  <c r="E338" i="17"/>
  <c r="F338" i="17"/>
  <c r="G338" i="17"/>
  <c r="C339" i="17"/>
  <c r="D339" i="17"/>
  <c r="E339" i="17"/>
  <c r="F339" i="17"/>
  <c r="C340" i="17"/>
  <c r="D340" i="17"/>
  <c r="E340" i="17"/>
  <c r="F340" i="17"/>
  <c r="C341" i="17"/>
  <c r="D341" i="17"/>
  <c r="E341" i="17"/>
  <c r="F341" i="17"/>
  <c r="C342" i="17"/>
  <c r="D342" i="17"/>
  <c r="E342" i="17"/>
  <c r="F342" i="17"/>
  <c r="B343" i="17"/>
  <c r="C343" i="17"/>
  <c r="D343" i="17"/>
  <c r="E343" i="17"/>
  <c r="F343" i="17"/>
  <c r="B344" i="17"/>
  <c r="C344" i="17"/>
  <c r="D344" i="17"/>
  <c r="E344" i="17"/>
  <c r="F344" i="17"/>
  <c r="B345" i="17"/>
  <c r="C345" i="17"/>
  <c r="D345" i="17"/>
  <c r="E345" i="17"/>
  <c r="F345" i="17"/>
  <c r="B346" i="17"/>
  <c r="C346" i="17"/>
  <c r="D346" i="17"/>
  <c r="E346" i="17"/>
  <c r="F346" i="17"/>
  <c r="B347" i="17"/>
  <c r="C347" i="17"/>
  <c r="D347" i="17"/>
  <c r="E347" i="17"/>
  <c r="F347" i="17"/>
  <c r="B348" i="17"/>
  <c r="C348" i="17"/>
  <c r="D348" i="17"/>
  <c r="E348" i="17"/>
  <c r="F348" i="17"/>
  <c r="B349" i="17"/>
  <c r="C349" i="17"/>
  <c r="D349" i="17"/>
  <c r="E349" i="17"/>
  <c r="F349" i="17"/>
  <c r="B350" i="17"/>
  <c r="C350" i="17"/>
  <c r="D350" i="17"/>
  <c r="E350" i="17"/>
  <c r="F350" i="17"/>
  <c r="B351" i="17"/>
  <c r="C351" i="17"/>
  <c r="D351" i="17"/>
  <c r="E351" i="17"/>
  <c r="F351" i="17"/>
  <c r="B352" i="17"/>
  <c r="C352" i="17"/>
  <c r="D352" i="17"/>
  <c r="E352" i="17"/>
  <c r="F352" i="17"/>
  <c r="B353" i="17"/>
  <c r="C353" i="17"/>
  <c r="D353" i="17"/>
  <c r="E353" i="17"/>
  <c r="F353" i="17"/>
  <c r="B354" i="17"/>
  <c r="C354" i="17"/>
  <c r="D354" i="17"/>
  <c r="E354" i="17"/>
  <c r="F354" i="17"/>
  <c r="B355" i="17"/>
  <c r="C355" i="17"/>
  <c r="D355" i="17"/>
  <c r="E355" i="17"/>
  <c r="F355" i="17"/>
  <c r="B356" i="17"/>
  <c r="C356" i="17"/>
  <c r="D356" i="17"/>
  <c r="E356" i="17"/>
  <c r="F356" i="17"/>
  <c r="B357" i="17"/>
  <c r="C357" i="17"/>
  <c r="D357" i="17"/>
  <c r="E357" i="17"/>
  <c r="F357" i="17"/>
  <c r="B358" i="17"/>
  <c r="C358" i="17"/>
  <c r="D358" i="17"/>
  <c r="E358" i="17"/>
  <c r="F358" i="17"/>
  <c r="B359" i="17"/>
  <c r="C359" i="17"/>
  <c r="D359" i="17"/>
  <c r="E359" i="17"/>
  <c r="F359" i="17"/>
  <c r="B360" i="17"/>
  <c r="C360" i="17"/>
  <c r="D360" i="17"/>
  <c r="E360" i="17"/>
  <c r="F360" i="17"/>
  <c r="B361" i="17"/>
  <c r="C361" i="17"/>
  <c r="D361" i="17"/>
  <c r="E361" i="17"/>
  <c r="F361" i="17"/>
  <c r="B362" i="17"/>
  <c r="C362" i="17"/>
  <c r="D362" i="17"/>
  <c r="E362" i="17"/>
  <c r="F362" i="17"/>
  <c r="B363" i="17"/>
  <c r="C363" i="17"/>
  <c r="D363" i="17"/>
  <c r="E363" i="17"/>
  <c r="F363" i="17"/>
  <c r="B364" i="17"/>
  <c r="C364" i="17"/>
  <c r="D364" i="17"/>
  <c r="E364" i="17"/>
  <c r="F364" i="17"/>
  <c r="B365" i="17"/>
  <c r="C365" i="17"/>
  <c r="D365" i="17"/>
  <c r="E365" i="17"/>
  <c r="F365" i="17"/>
  <c r="B366" i="17"/>
  <c r="C366" i="17"/>
  <c r="D366" i="17"/>
  <c r="E366" i="17"/>
  <c r="F366" i="17"/>
  <c r="G366" i="17"/>
  <c r="B367" i="17"/>
  <c r="C367" i="17"/>
  <c r="D367" i="17"/>
  <c r="E367" i="17"/>
  <c r="F367" i="17"/>
  <c r="G367" i="17"/>
  <c r="B368" i="17"/>
  <c r="C368" i="17"/>
  <c r="D368" i="17"/>
  <c r="E368" i="17"/>
  <c r="F368" i="17"/>
  <c r="G368" i="17"/>
  <c r="B369" i="17"/>
  <c r="C369" i="17"/>
  <c r="D369" i="17"/>
  <c r="E369" i="17"/>
  <c r="F369" i="17"/>
  <c r="G369" i="17"/>
  <c r="B370" i="17"/>
  <c r="C370" i="17"/>
  <c r="D370" i="17"/>
  <c r="E370" i="17"/>
  <c r="F370" i="17"/>
  <c r="G370" i="17"/>
  <c r="B371" i="17"/>
  <c r="C371" i="17"/>
  <c r="D371" i="17"/>
  <c r="E371" i="17"/>
  <c r="F371" i="17"/>
  <c r="G371" i="17"/>
  <c r="B372" i="17"/>
  <c r="C372" i="17"/>
  <c r="D372" i="17"/>
  <c r="E372" i="17"/>
  <c r="F372" i="17"/>
  <c r="G372" i="17"/>
  <c r="B373" i="17"/>
  <c r="C373" i="17"/>
  <c r="D373" i="17"/>
  <c r="E373" i="17"/>
  <c r="F373" i="17"/>
  <c r="G373" i="17"/>
  <c r="B374" i="17"/>
  <c r="C374" i="17"/>
  <c r="D374" i="17"/>
  <c r="E374" i="17"/>
  <c r="F374" i="17"/>
  <c r="G374" i="17"/>
  <c r="B375" i="17"/>
  <c r="C375" i="17"/>
  <c r="D375" i="17"/>
  <c r="E375" i="17"/>
  <c r="F375" i="17"/>
  <c r="G375" i="17"/>
  <c r="B376" i="17"/>
  <c r="C376" i="17"/>
  <c r="D376" i="17"/>
  <c r="E376" i="17"/>
  <c r="F376" i="17"/>
  <c r="G376" i="17"/>
  <c r="B377" i="17"/>
  <c r="C377" i="17"/>
  <c r="D377" i="17"/>
  <c r="E377" i="17"/>
  <c r="F377" i="17"/>
  <c r="G377" i="17"/>
  <c r="B378" i="17"/>
  <c r="C378" i="17"/>
  <c r="D378" i="17"/>
  <c r="E378" i="17"/>
  <c r="F378" i="17"/>
  <c r="G378" i="17"/>
  <c r="B379" i="17"/>
  <c r="C379" i="17"/>
  <c r="D379" i="17"/>
  <c r="E379" i="17"/>
  <c r="F379" i="17"/>
  <c r="G379" i="17"/>
  <c r="B380" i="17"/>
  <c r="C380" i="17"/>
  <c r="D380" i="17"/>
  <c r="E380" i="17"/>
  <c r="F380" i="17"/>
  <c r="G380" i="17"/>
  <c r="B381" i="17"/>
  <c r="C381" i="17"/>
  <c r="D381" i="17"/>
  <c r="E381" i="17"/>
  <c r="F381" i="17"/>
  <c r="G381" i="17"/>
  <c r="B382" i="17"/>
  <c r="C382" i="17"/>
  <c r="D382" i="17"/>
  <c r="E382" i="17"/>
  <c r="F382" i="17"/>
  <c r="G382" i="17"/>
  <c r="B383" i="17"/>
  <c r="C383" i="17"/>
  <c r="D383" i="17"/>
  <c r="E383" i="17"/>
  <c r="F383" i="17"/>
  <c r="G383" i="17"/>
  <c r="B384" i="17"/>
  <c r="C384" i="17"/>
  <c r="D384" i="17"/>
  <c r="E384" i="17"/>
  <c r="F384" i="17"/>
  <c r="G384" i="17"/>
  <c r="B385" i="17"/>
  <c r="C385" i="17"/>
  <c r="D385" i="17"/>
  <c r="E385" i="17"/>
  <c r="F385" i="17"/>
  <c r="G385" i="17"/>
  <c r="B386" i="17"/>
  <c r="C386" i="17"/>
  <c r="D386" i="17"/>
  <c r="E386" i="17"/>
  <c r="F386" i="17"/>
  <c r="G386" i="17"/>
  <c r="B387" i="17"/>
  <c r="C387" i="17"/>
  <c r="D387" i="17"/>
  <c r="E387" i="17"/>
  <c r="F387" i="17"/>
  <c r="G387" i="17"/>
  <c r="B388" i="17"/>
  <c r="C388" i="17"/>
  <c r="D388" i="17"/>
  <c r="E388" i="17"/>
  <c r="F388" i="17"/>
  <c r="G388" i="17"/>
  <c r="B389" i="17"/>
  <c r="C389" i="17"/>
  <c r="D389" i="17"/>
  <c r="E389" i="17"/>
  <c r="F389" i="17"/>
  <c r="G389" i="17"/>
  <c r="B390" i="17"/>
  <c r="C390" i="17"/>
  <c r="D390" i="17"/>
  <c r="E390" i="17"/>
  <c r="F390" i="17"/>
  <c r="G390" i="17"/>
  <c r="B391" i="17"/>
  <c r="C391" i="17"/>
  <c r="D391" i="17"/>
  <c r="E391" i="17"/>
  <c r="F391" i="17"/>
  <c r="G391" i="17"/>
  <c r="B392" i="17"/>
  <c r="C392" i="17"/>
  <c r="D392" i="17"/>
  <c r="E392" i="17"/>
  <c r="F392" i="17"/>
  <c r="G392" i="17"/>
  <c r="B393" i="17"/>
  <c r="C393" i="17"/>
  <c r="D393" i="17"/>
  <c r="E393" i="17"/>
  <c r="F393" i="17"/>
  <c r="G393" i="17"/>
  <c r="B394" i="17"/>
  <c r="C394" i="17"/>
  <c r="D394" i="17"/>
  <c r="E394" i="17"/>
  <c r="F394" i="17"/>
  <c r="G394" i="17"/>
  <c r="B395" i="17"/>
  <c r="C395" i="17"/>
  <c r="D395" i="17"/>
  <c r="E395" i="17"/>
  <c r="F395" i="17"/>
  <c r="G395" i="17"/>
  <c r="B396" i="17"/>
  <c r="C396" i="17"/>
  <c r="D396" i="17"/>
  <c r="E396" i="17"/>
  <c r="F396" i="17"/>
  <c r="G396" i="17"/>
  <c r="B397" i="17"/>
  <c r="C397" i="17"/>
  <c r="D397" i="17"/>
  <c r="E397" i="17"/>
  <c r="F397" i="17"/>
  <c r="G397" i="17"/>
  <c r="B398" i="17"/>
  <c r="C398" i="17"/>
  <c r="D398" i="17"/>
  <c r="E398" i="17"/>
  <c r="F398" i="17"/>
  <c r="G398" i="17"/>
  <c r="B399" i="17"/>
  <c r="C399" i="17"/>
  <c r="D399" i="17"/>
  <c r="E399" i="17"/>
  <c r="F399" i="17"/>
  <c r="G399" i="17"/>
  <c r="B400" i="17"/>
  <c r="C400" i="17"/>
  <c r="D400" i="17"/>
  <c r="E400" i="17"/>
  <c r="F400" i="17"/>
  <c r="G400" i="17"/>
  <c r="B401" i="17"/>
  <c r="C401" i="17"/>
  <c r="D401" i="17"/>
  <c r="E401" i="17"/>
  <c r="F401" i="17"/>
  <c r="G401" i="17"/>
  <c r="B402" i="17"/>
  <c r="C402" i="17"/>
  <c r="D402" i="17"/>
  <c r="E402" i="17"/>
  <c r="F402" i="17"/>
  <c r="G402" i="17"/>
  <c r="B403" i="17"/>
  <c r="C403" i="17"/>
  <c r="D403" i="17"/>
  <c r="E403" i="17"/>
  <c r="F403" i="17"/>
  <c r="G403" i="17"/>
  <c r="B404" i="17"/>
  <c r="C404" i="17"/>
  <c r="D404" i="17"/>
  <c r="E404" i="17"/>
  <c r="F404" i="17"/>
  <c r="G404" i="17"/>
  <c r="B405" i="17"/>
  <c r="C405" i="17"/>
  <c r="D405" i="17"/>
  <c r="E405" i="17"/>
  <c r="F405" i="17"/>
  <c r="G405" i="17"/>
  <c r="B406" i="17"/>
  <c r="C406" i="17"/>
  <c r="D406" i="17"/>
  <c r="E406" i="17"/>
  <c r="F406" i="17"/>
  <c r="G406" i="17"/>
  <c r="B407" i="17"/>
  <c r="C407" i="17"/>
  <c r="D407" i="17"/>
  <c r="E407" i="17"/>
  <c r="F407" i="17"/>
  <c r="G407" i="17"/>
  <c r="B408" i="17"/>
  <c r="C408" i="17"/>
  <c r="D408" i="17"/>
  <c r="E408" i="17"/>
  <c r="F408" i="17"/>
  <c r="G408" i="17"/>
  <c r="B409" i="17"/>
  <c r="C409" i="17"/>
  <c r="D409" i="17"/>
  <c r="E409" i="17"/>
  <c r="F409" i="17"/>
  <c r="G409" i="17"/>
  <c r="B410" i="17"/>
  <c r="C410" i="17"/>
  <c r="D410" i="17"/>
  <c r="E410" i="17"/>
  <c r="F410" i="17"/>
  <c r="G410" i="17"/>
  <c r="B411" i="17"/>
  <c r="C411" i="17"/>
  <c r="D411" i="17"/>
  <c r="E411" i="17"/>
  <c r="F411" i="17"/>
  <c r="G411" i="17"/>
  <c r="B412" i="17"/>
  <c r="C412" i="17"/>
  <c r="D412" i="17"/>
  <c r="E412" i="17"/>
  <c r="F412" i="17"/>
  <c r="G412" i="17"/>
  <c r="B413" i="17"/>
  <c r="C413" i="17"/>
  <c r="D413" i="17"/>
  <c r="E413" i="17"/>
  <c r="F413" i="17"/>
  <c r="G413" i="17"/>
  <c r="B414" i="17"/>
  <c r="C414" i="17"/>
  <c r="D414" i="17"/>
  <c r="E414" i="17"/>
  <c r="F414" i="17"/>
  <c r="G414" i="17"/>
  <c r="B415" i="17"/>
  <c r="C415" i="17"/>
  <c r="D415" i="17"/>
  <c r="E415" i="17"/>
  <c r="F415" i="17"/>
  <c r="G415" i="17"/>
  <c r="B416" i="17"/>
  <c r="C416" i="17"/>
  <c r="D416" i="17"/>
  <c r="E416" i="17"/>
  <c r="F416" i="17"/>
  <c r="G416" i="17"/>
  <c r="B417" i="17"/>
  <c r="C417" i="17"/>
  <c r="D417" i="17"/>
  <c r="E417" i="17"/>
  <c r="F417" i="17"/>
  <c r="G417" i="17"/>
  <c r="B418" i="17"/>
  <c r="C418" i="17"/>
  <c r="D418" i="17"/>
  <c r="E418" i="17"/>
  <c r="F418" i="17"/>
  <c r="G418" i="17"/>
  <c r="B419" i="17"/>
  <c r="C419" i="17"/>
  <c r="D419" i="17"/>
  <c r="E419" i="17"/>
  <c r="F419" i="17"/>
  <c r="G419" i="17"/>
  <c r="B420" i="17"/>
  <c r="C420" i="17"/>
  <c r="D420" i="17"/>
  <c r="E420" i="17"/>
  <c r="F420" i="17"/>
  <c r="G420" i="17"/>
  <c r="B421" i="17"/>
  <c r="C421" i="17"/>
  <c r="D421" i="17"/>
  <c r="E421" i="17"/>
  <c r="F421" i="17"/>
  <c r="G421" i="17"/>
  <c r="B422" i="17"/>
  <c r="C422" i="17"/>
  <c r="D422" i="17"/>
  <c r="E422" i="17"/>
  <c r="F422" i="17"/>
  <c r="G422" i="17"/>
  <c r="B423" i="17"/>
  <c r="C423" i="17"/>
  <c r="D423" i="17"/>
  <c r="E423" i="17"/>
  <c r="F423" i="17"/>
  <c r="G423" i="17"/>
  <c r="B424" i="17"/>
  <c r="C424" i="17"/>
  <c r="D424" i="17"/>
  <c r="E424" i="17"/>
  <c r="F424" i="17"/>
  <c r="G424" i="17"/>
  <c r="B425" i="17"/>
  <c r="C425" i="17"/>
  <c r="D425" i="17"/>
  <c r="E425" i="17"/>
  <c r="F425" i="17"/>
  <c r="G425" i="17"/>
  <c r="B426" i="17"/>
  <c r="C426" i="17"/>
  <c r="D426" i="17"/>
  <c r="E426" i="17"/>
  <c r="F426" i="17"/>
  <c r="G426" i="17"/>
  <c r="B427" i="17"/>
  <c r="C427" i="17"/>
  <c r="D427" i="17"/>
  <c r="E427" i="17"/>
  <c r="F427" i="17"/>
  <c r="G427" i="17"/>
  <c r="B428" i="17"/>
  <c r="C428" i="17"/>
  <c r="D428" i="17"/>
  <c r="E428" i="17"/>
  <c r="F428" i="17"/>
  <c r="G428" i="17"/>
  <c r="B429" i="17"/>
  <c r="C429" i="17"/>
  <c r="D429" i="17"/>
  <c r="E429" i="17"/>
  <c r="F429" i="17"/>
  <c r="G429" i="17"/>
  <c r="B430" i="17"/>
  <c r="C430" i="17"/>
  <c r="D430" i="17"/>
  <c r="E430" i="17"/>
  <c r="F430" i="17"/>
  <c r="G430" i="17"/>
  <c r="B431" i="17"/>
  <c r="C431" i="17"/>
  <c r="D431" i="17"/>
  <c r="E431" i="17"/>
  <c r="F431" i="17"/>
  <c r="G431" i="17"/>
  <c r="B432" i="17"/>
  <c r="C432" i="17"/>
  <c r="D432" i="17"/>
  <c r="E432" i="17"/>
  <c r="F432" i="17"/>
  <c r="G432" i="17"/>
  <c r="B433" i="17"/>
  <c r="C433" i="17"/>
  <c r="D433" i="17"/>
  <c r="E433" i="17"/>
  <c r="F433" i="17"/>
  <c r="G433" i="17"/>
  <c r="B434" i="17"/>
  <c r="C434" i="17"/>
  <c r="D434" i="17"/>
  <c r="E434" i="17"/>
  <c r="F434" i="17"/>
  <c r="G434" i="17"/>
  <c r="B435" i="17"/>
  <c r="C435" i="17"/>
  <c r="D435" i="17"/>
  <c r="E435" i="17"/>
  <c r="F435" i="17"/>
  <c r="G435" i="17"/>
  <c r="B436" i="17"/>
  <c r="C436" i="17"/>
  <c r="D436" i="17"/>
  <c r="E436" i="17"/>
  <c r="F436" i="17"/>
  <c r="G436" i="17"/>
  <c r="B437" i="17"/>
  <c r="C437" i="17"/>
  <c r="D437" i="17"/>
  <c r="E437" i="17"/>
  <c r="F437" i="17"/>
  <c r="G437" i="17"/>
  <c r="B438" i="17"/>
  <c r="C438" i="17"/>
  <c r="D438" i="17"/>
  <c r="E438" i="17"/>
  <c r="F438" i="17"/>
  <c r="G438" i="17"/>
  <c r="B439" i="17"/>
  <c r="C439" i="17"/>
  <c r="D439" i="17"/>
  <c r="E439" i="17"/>
  <c r="F439" i="17"/>
  <c r="G439" i="17"/>
  <c r="B440" i="17"/>
  <c r="C440" i="17"/>
  <c r="D440" i="17"/>
  <c r="E440" i="17"/>
  <c r="F440" i="17"/>
  <c r="G440" i="17"/>
  <c r="B441" i="17"/>
  <c r="C441" i="17"/>
  <c r="D441" i="17"/>
  <c r="E441" i="17"/>
  <c r="F441" i="17"/>
  <c r="G441" i="17"/>
  <c r="B442" i="17"/>
  <c r="C442" i="17"/>
  <c r="D442" i="17"/>
  <c r="E442" i="17"/>
  <c r="F442" i="17"/>
  <c r="G442" i="17"/>
  <c r="B443" i="17"/>
  <c r="C443" i="17"/>
  <c r="D443" i="17"/>
  <c r="E443" i="17"/>
  <c r="F443" i="17"/>
  <c r="G443" i="17"/>
  <c r="B444" i="17"/>
  <c r="C444" i="17"/>
  <c r="D444" i="17"/>
  <c r="E444" i="17"/>
  <c r="F444" i="17"/>
  <c r="G444" i="17"/>
  <c r="B445" i="17"/>
  <c r="C445" i="17"/>
  <c r="D445" i="17"/>
  <c r="E445" i="17"/>
  <c r="F445" i="17"/>
  <c r="G445" i="17"/>
  <c r="B446" i="17"/>
  <c r="C446" i="17"/>
  <c r="D446" i="17"/>
  <c r="E446" i="17"/>
  <c r="F446" i="17"/>
  <c r="G446" i="17"/>
  <c r="B447" i="17"/>
  <c r="C447" i="17"/>
  <c r="D447" i="17"/>
  <c r="E447" i="17"/>
  <c r="F447" i="17"/>
  <c r="G447" i="17"/>
  <c r="B448" i="17"/>
  <c r="C448" i="17"/>
  <c r="D448" i="17"/>
  <c r="E448" i="17"/>
  <c r="F448" i="17"/>
  <c r="G448" i="17"/>
  <c r="B449" i="17"/>
  <c r="C449" i="17"/>
  <c r="D449" i="17"/>
  <c r="E449" i="17"/>
  <c r="F449" i="17"/>
  <c r="G449" i="17"/>
  <c r="B450" i="17"/>
  <c r="C450" i="17"/>
  <c r="D450" i="17"/>
  <c r="E450" i="17"/>
  <c r="F450" i="17"/>
  <c r="G450" i="17"/>
  <c r="B451" i="17"/>
  <c r="C451" i="17"/>
  <c r="D451" i="17"/>
  <c r="E451" i="17"/>
  <c r="F451" i="17"/>
  <c r="G451" i="17"/>
  <c r="B452" i="17"/>
  <c r="C452" i="17"/>
  <c r="D452" i="17"/>
  <c r="E452" i="17"/>
  <c r="F452" i="17"/>
  <c r="G452" i="17"/>
  <c r="B453" i="17"/>
  <c r="C453" i="17"/>
  <c r="D453" i="17"/>
  <c r="E453" i="17"/>
  <c r="F453" i="17"/>
  <c r="G453" i="17"/>
  <c r="B454" i="17"/>
  <c r="C454" i="17"/>
  <c r="D454" i="17"/>
  <c r="E454" i="17"/>
  <c r="F454" i="17"/>
  <c r="G454" i="17"/>
  <c r="B455" i="17"/>
  <c r="C455" i="17"/>
  <c r="D455" i="17"/>
  <c r="E455" i="17"/>
  <c r="F455" i="17"/>
  <c r="G455" i="17"/>
  <c r="B456" i="17"/>
  <c r="C456" i="17"/>
  <c r="D456" i="17"/>
  <c r="E456" i="17"/>
  <c r="F456" i="17"/>
  <c r="G456" i="17"/>
  <c r="B457" i="17"/>
  <c r="C457" i="17"/>
  <c r="D457" i="17"/>
  <c r="E457" i="17"/>
  <c r="F457" i="17"/>
  <c r="G457" i="17"/>
  <c r="B458" i="17"/>
  <c r="C458" i="17"/>
  <c r="D458" i="17"/>
  <c r="E458" i="17"/>
  <c r="F458" i="17"/>
  <c r="G458" i="17"/>
  <c r="B459" i="17"/>
  <c r="C459" i="17"/>
  <c r="D459" i="17"/>
  <c r="E459" i="17"/>
  <c r="F459" i="17"/>
  <c r="G459" i="17"/>
  <c r="B460" i="17"/>
  <c r="C460" i="17"/>
  <c r="D460" i="17"/>
  <c r="E460" i="17"/>
  <c r="F460" i="17"/>
  <c r="G460" i="17"/>
  <c r="B461" i="17"/>
  <c r="C461" i="17"/>
  <c r="D461" i="17"/>
  <c r="E461" i="17"/>
  <c r="F461" i="17"/>
  <c r="G461" i="17"/>
  <c r="B462" i="17"/>
  <c r="C462" i="17"/>
  <c r="D462" i="17"/>
  <c r="E462" i="17"/>
  <c r="F462" i="17"/>
  <c r="G462" i="17"/>
  <c r="B463" i="17"/>
  <c r="C463" i="17"/>
  <c r="D463" i="17"/>
  <c r="E463" i="17"/>
  <c r="F463" i="17"/>
  <c r="G463" i="17"/>
  <c r="B464" i="17"/>
  <c r="C464" i="17"/>
  <c r="D464" i="17"/>
  <c r="E464" i="17"/>
  <c r="F464" i="17"/>
  <c r="G464" i="17"/>
  <c r="B465" i="17"/>
  <c r="C465" i="17"/>
  <c r="D465" i="17"/>
  <c r="E465" i="17"/>
  <c r="F465" i="17"/>
  <c r="G465" i="17"/>
  <c r="B466" i="17"/>
  <c r="C466" i="17"/>
  <c r="D466" i="17"/>
  <c r="E466" i="17"/>
  <c r="F466" i="17"/>
  <c r="G466" i="17"/>
  <c r="B467" i="17"/>
  <c r="C467" i="17"/>
  <c r="D467" i="17"/>
  <c r="E467" i="17"/>
  <c r="F467" i="17"/>
  <c r="G467" i="17"/>
  <c r="B468" i="17"/>
  <c r="C468" i="17"/>
  <c r="D468" i="17"/>
  <c r="E468" i="17"/>
  <c r="F468" i="17"/>
  <c r="G468" i="17"/>
  <c r="B469" i="17"/>
  <c r="C469" i="17"/>
  <c r="D469" i="17"/>
  <c r="E469" i="17"/>
  <c r="F469" i="17"/>
  <c r="G469" i="17"/>
  <c r="B470" i="17"/>
  <c r="C470" i="17"/>
  <c r="D470" i="17"/>
  <c r="E470" i="17"/>
  <c r="F470" i="17"/>
  <c r="G470" i="17"/>
  <c r="B471" i="17"/>
  <c r="C471" i="17"/>
  <c r="D471" i="17"/>
  <c r="E471" i="17"/>
  <c r="F471" i="17"/>
  <c r="G471" i="17"/>
  <c r="B472" i="17"/>
  <c r="C472" i="17"/>
  <c r="D472" i="17"/>
  <c r="E472" i="17"/>
  <c r="F472" i="17"/>
  <c r="G472" i="17"/>
  <c r="B473" i="17"/>
  <c r="C473" i="17"/>
  <c r="D473" i="17"/>
  <c r="E473" i="17"/>
  <c r="F473" i="17"/>
  <c r="G473" i="17"/>
  <c r="B474" i="17"/>
  <c r="C474" i="17"/>
  <c r="D474" i="17"/>
  <c r="E474" i="17"/>
  <c r="F474" i="17"/>
  <c r="G474" i="17"/>
  <c r="B475" i="17"/>
  <c r="C475" i="17"/>
  <c r="D475" i="17"/>
  <c r="E475" i="17"/>
  <c r="F475" i="17"/>
  <c r="G475" i="17"/>
  <c r="B476" i="17"/>
  <c r="C476" i="17"/>
  <c r="D476" i="17"/>
  <c r="E476" i="17"/>
  <c r="F476" i="17"/>
  <c r="G476" i="17"/>
  <c r="B477" i="17"/>
  <c r="C477" i="17"/>
  <c r="D477" i="17"/>
  <c r="E477" i="17"/>
  <c r="F477" i="17"/>
  <c r="G477" i="17"/>
  <c r="B478" i="17"/>
  <c r="C478" i="17"/>
  <c r="D478" i="17"/>
  <c r="E478" i="17"/>
  <c r="F478" i="17"/>
  <c r="G478" i="17"/>
  <c r="B479" i="17"/>
  <c r="C479" i="17"/>
  <c r="D479" i="17"/>
  <c r="E479" i="17"/>
  <c r="F479" i="17"/>
  <c r="G479" i="17"/>
  <c r="B480" i="17"/>
  <c r="C480" i="17"/>
  <c r="D480" i="17"/>
  <c r="E480" i="17"/>
  <c r="F480" i="17"/>
  <c r="G480" i="17"/>
  <c r="B481" i="17"/>
  <c r="C481" i="17"/>
  <c r="D481" i="17"/>
  <c r="E481" i="17"/>
  <c r="F481" i="17"/>
  <c r="G481" i="17"/>
  <c r="B482" i="17"/>
  <c r="C482" i="17"/>
  <c r="D482" i="17"/>
  <c r="E482" i="17"/>
  <c r="F482" i="17"/>
  <c r="G482" i="17"/>
  <c r="B483" i="17"/>
  <c r="C483" i="17"/>
  <c r="D483" i="17"/>
  <c r="E483" i="17"/>
  <c r="F483" i="17"/>
  <c r="G483" i="17"/>
  <c r="B484" i="17"/>
  <c r="C484" i="17"/>
  <c r="D484" i="17"/>
  <c r="E484" i="17"/>
  <c r="F484" i="17"/>
  <c r="G484" i="17"/>
  <c r="B4" i="17"/>
  <c r="F4" i="17"/>
  <c r="D4" i="17"/>
  <c r="E4"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RENAUT Gilles-Alexis</author>
  </authors>
  <commentList>
    <comment ref="A42" authorId="0" shapeId="0" xr:uid="{00000000-0006-0000-0500-000001000000}">
      <text>
        <r>
          <rPr>
            <b/>
            <sz val="9"/>
            <color indexed="81"/>
            <rFont val="Tahoma"/>
            <family val="2"/>
          </rPr>
          <t>RENAUT Gilles-Alexis:</t>
        </r>
        <r>
          <rPr>
            <sz val="9"/>
            <color indexed="81"/>
            <rFont val="Tahoma"/>
            <family val="2"/>
          </rPr>
          <t xml:space="preserve">
Ghina + FDD Eq Lapla 
</t>
        </r>
      </text>
    </comment>
    <comment ref="A44" authorId="0" shapeId="0" xr:uid="{00000000-0006-0000-0500-000002000000}">
      <text>
        <r>
          <rPr>
            <b/>
            <sz val="9"/>
            <color indexed="81"/>
            <rFont val="Tahoma"/>
            <family val="2"/>
          </rPr>
          <t>RENAUT Gilles-Alexis:</t>
        </r>
        <r>
          <rPr>
            <sz val="9"/>
            <color indexed="81"/>
            <rFont val="Tahoma"/>
            <family val="2"/>
          </rPr>
          <t xml:space="preserve">
Anias +Mohamad El falou</t>
        </r>
      </text>
    </comment>
  </commentList>
</comments>
</file>

<file path=xl/sharedStrings.xml><?xml version="1.0" encoding="utf-8"?>
<sst xmlns="http://schemas.openxmlformats.org/spreadsheetml/2006/main" count="1947" uniqueCount="854">
  <si>
    <t>A - Fondamentaux en mathématiques (notions de prérequis)</t>
  </si>
  <si>
    <t>Cycle préparatoire (CPI)</t>
  </si>
  <si>
    <t>B.2  Savoir employer une démarche de résolution analytico-numérique (du modèle physique ou des hypothèses jusqu'à l'implémentation)</t>
  </si>
  <si>
    <t>B.3  Savoir lire, comprendre, concevoir des algorithmes (sans langage spécifique, en privilégiant le pseudo-code)</t>
  </si>
  <si>
    <t>B.4  Savoir analyser et interpréter un résultat, avoir un point de vue critique et l'exprimer</t>
  </si>
  <si>
    <t>C - Sciences des données</t>
  </si>
  <si>
    <t>Cycle ingénieur (CI)</t>
  </si>
  <si>
    <t>C.2  Savoir traiter les jeux de données, y compris de grand volume (décrire, visualiser, explorer, analyser, modéliser)</t>
  </si>
  <si>
    <t>D - Sciences de la modélisation</t>
  </si>
  <si>
    <t>D.1  Savoir identifier les outils utiles pour la résolution du problème</t>
  </si>
  <si>
    <t>D.2  Connaître, comprendre et savoir faire usage des outils de la modélisation numérique (MEF, VF, DF)</t>
  </si>
  <si>
    <t>Remédiation</t>
  </si>
  <si>
    <t>Propositions d'Items pour les Objectifs d'apprentissage</t>
  </si>
  <si>
    <t>nv</t>
  </si>
  <si>
    <t>nv rétention A4</t>
  </si>
  <si>
    <t>nv rétention A2</t>
  </si>
  <si>
    <t>A3</t>
  </si>
  <si>
    <t>lien Unisciel ou livre scolaire</t>
  </si>
  <si>
    <t>Arithmétique</t>
  </si>
  <si>
    <t>Divisibilité</t>
  </si>
  <si>
    <t>Critères de divisibilité</t>
  </si>
  <si>
    <t>https://uel.unisciel.fr/mathematiques/arithmetique/arithmetique/co/arithmetique.html</t>
  </si>
  <si>
    <t>lien1</t>
  </si>
  <si>
    <t>Division euclidienne</t>
  </si>
  <si>
    <t>Algorithme d'Euclide.</t>
  </si>
  <si>
    <t>Congruences</t>
  </si>
  <si>
    <t>Factorisation</t>
  </si>
  <si>
    <t>Nombres premiers, Crible d'Eratosthène</t>
  </si>
  <si>
    <t>Lemme d'Euclide</t>
  </si>
  <si>
    <t>Petit théorème de Fermat</t>
  </si>
  <si>
    <t>Décomposition en facteurs premiers / Théorème fondamental de l'arithmétique</t>
  </si>
  <si>
    <t>PGCD</t>
  </si>
  <si>
    <t>PGCD de 2 entiers, lien avec la décomposition en facteurs premiers</t>
  </si>
  <si>
    <t>Théorème de Bezout</t>
  </si>
  <si>
    <t>Nombres premiers entre eux, caractérisation via Bezout, Lemme de Gauss</t>
  </si>
  <si>
    <t>PPCM</t>
  </si>
  <si>
    <t>Chiffrage</t>
  </si>
  <si>
    <t>Chiffrement simple</t>
  </si>
  <si>
    <t>rot, César, Vigenère...</t>
  </si>
  <si>
    <t>Chiffrement symétrique</t>
  </si>
  <si>
    <t>Verman</t>
  </si>
  <si>
    <t>Division euclidienne de polynômes</t>
  </si>
  <si>
    <t>Chiffrement asymétrique</t>
  </si>
  <si>
    <t>Logique</t>
  </si>
  <si>
    <t>Logique et raisonnements</t>
  </si>
  <si>
    <t xml:space="preserve">Rudiments de logique </t>
  </si>
  <si>
    <t>https://uel.unisciel.fr/mathematiques/logique1/logique1/co/logique1.html</t>
  </si>
  <si>
    <t>Tables de vérité</t>
  </si>
  <si>
    <t>Quantificateurs .</t>
  </si>
  <si>
    <t xml:space="preserve">Négations </t>
  </si>
  <si>
    <t>lien Moodle</t>
  </si>
  <si>
    <t xml:space="preserve">Propriétés de N </t>
  </si>
  <si>
    <t>Définitions générales .</t>
  </si>
  <si>
    <t>Parties de N .</t>
  </si>
  <si>
    <t xml:space="preserve">Autres types de raisonnements </t>
  </si>
  <si>
    <t xml:space="preserve">Raisonnement par récurrence </t>
  </si>
  <si>
    <t>Raisonnement par contraposition</t>
  </si>
  <si>
    <t xml:space="preserve">Raisonnement par l’absurde </t>
  </si>
  <si>
    <t>Logique booléenne</t>
  </si>
  <si>
    <t>Tables de verité</t>
  </si>
  <si>
    <t>Représentations graphiques des fonctions booléennes</t>
  </si>
  <si>
    <t>Connaissance des symboles de représentation</t>
  </si>
  <si>
    <t>Les nombres complexes</t>
  </si>
  <si>
    <t>https://uel.unisciel.fr/physique/outils_nancy/outils_nancy_ch04/co/apprendre_ch04.html</t>
  </si>
  <si>
    <t>Savoir faire des opérations sur les nombres complexes.</t>
  </si>
  <si>
    <t>Module d’un nombre complexe</t>
  </si>
  <si>
    <t>Savoir calculer un module d'un nombre complexe.</t>
  </si>
  <si>
    <t xml:space="preserve">Savoir calculer le module d’un produit, d’un quotient. </t>
  </si>
  <si>
    <t>Savoir résoudre des équations du type |z-zA|=|z-zB| et |z-zA|=R &gt; 0</t>
  </si>
  <si>
    <t>Argument d'un nombre complexe et forme trigonometrique</t>
  </si>
  <si>
    <t xml:space="preserve">Savoir calculer l'argument d’un produit, d’un quotient. </t>
  </si>
  <si>
    <t>Complexes de module 1 et forme exponentielle d'un nombre complexe</t>
  </si>
  <si>
    <t>savoir effectuer une linearisation, polynomes de Tchebychev, somme de cosinus et sunis</t>
  </si>
  <si>
    <t>Solutions complexes d'équations polynomiales</t>
  </si>
  <si>
    <t>Equations du second degré</t>
  </si>
  <si>
    <t>Savoir résudre les équations du second degré à coefficients complexes (discriminant complexe)</t>
  </si>
  <si>
    <t>Racines n-ièmes</t>
  </si>
  <si>
    <t>Savoir résoudre les équations du type quation z ^n = a avec a complexe.</t>
  </si>
  <si>
    <t>Nombre complexes et géometrie plane</t>
  </si>
  <si>
    <t>Traduction de l'aligenment et de l'orthogonlité. Transformations z→ ̅z et interpretation géometrique.</t>
  </si>
  <si>
    <t xml:space="preserve"> Transformations classiques du plan : translation, rotation homothetie, similitude.</t>
  </si>
  <si>
    <t>Les polynômes</t>
  </si>
  <si>
    <t>Présentation de l'ensemble IK[X]</t>
  </si>
  <si>
    <t>Degré</t>
  </si>
  <si>
    <t>Développements limités (unisciel.fr)</t>
  </si>
  <si>
    <t>Savoir trouver le degré d'une somme, d'un produit, d'une composée.</t>
  </si>
  <si>
    <t>Divisibilité et division euclidienne dans IK[X]</t>
  </si>
  <si>
    <t>Savoir effectuer une division posée suivant les puissances décroissantes, polynômes premiers entre eux.</t>
  </si>
  <si>
    <t>Dérivation des polynomes</t>
  </si>
  <si>
    <t>Formules de Taylor</t>
  </si>
  <si>
    <t>Décomposition en facteurs irreductibles</t>
  </si>
  <si>
    <t xml:space="preserve">Racines (ou zéros) d’un polynôme. </t>
  </si>
  <si>
    <t xml:space="preserve">Multiplicité d’une racine. </t>
  </si>
  <si>
    <t xml:space="preserve">Savoir que le nombre de racines d’un polynôme P non nul est majoré par le degré de P. </t>
  </si>
  <si>
    <t>Décomposition dans C[X] et R[X]</t>
  </si>
  <si>
    <t>Les Fractions rationnelles</t>
  </si>
  <si>
    <t>Présentation de l'ensemble des fractions rationnelles</t>
  </si>
  <si>
    <t>Opération dans l'ensemble des fractions rationnelles</t>
  </si>
  <si>
    <t>Dérivation dans l'ensemble des fractions rationnelles</t>
  </si>
  <si>
    <t>Partie entière d'une fraction rationnelle</t>
  </si>
  <si>
    <t>Décomposition en élement simple</t>
  </si>
  <si>
    <t>Théorie de la décomposition</t>
  </si>
  <si>
    <t>Les Matrices</t>
  </si>
  <si>
    <t>Ensembles de matrices</t>
  </si>
  <si>
    <t>Ensemble Mn,p (K) des matrices à n lignes et p colonnes à coefficients dans K.</t>
  </si>
  <si>
    <t>Propriétés des opérations matricielles.</t>
  </si>
  <si>
    <t>Savoir effectuer des opérations de type somme, produit par un scalaire produit de deux matrices. Savoir transposer un système en écriture matricielle. Savoir qu'il existe des matrices non nulles dont le produit est nul.</t>
  </si>
  <si>
    <t>Calcul matriciel (unisciel.fr)</t>
  </si>
  <si>
    <t>Ensemble des matrices carrées Mn(K).</t>
  </si>
  <si>
    <t>Définition, notation</t>
  </si>
  <si>
    <t>Matrices diagonales, triangulaires</t>
  </si>
  <si>
    <t>Opérations sur les matrices carrées</t>
  </si>
  <si>
    <t>Transposée</t>
  </si>
  <si>
    <t>Trace d'une matrice</t>
  </si>
  <si>
    <t>Définition et exemple de calcul.</t>
  </si>
  <si>
    <t>Determinant d'une matrice carrée</t>
  </si>
  <si>
    <t>Propriétés</t>
  </si>
  <si>
    <t>Nullité du determinant d'une matricelorsque deux lignes ou deux colonnes sont identiques</t>
  </si>
  <si>
    <t>Matrices carrées inversibles</t>
  </si>
  <si>
    <t>Inverses du produit, d'une puissance et de la transposée de matrices inversibles.</t>
  </si>
  <si>
    <t>algotithme de Gauss Jordan. Calcul à l'aide de la transposée de la comatrice.</t>
  </si>
  <si>
    <t>Les Systèmes</t>
  </si>
  <si>
    <t>Définitions</t>
  </si>
  <si>
    <t>Définition d'une équation linéaire</t>
  </si>
  <si>
    <t>Savoir ce qu'est une équation linéaire et une combinaison linéaire.</t>
  </si>
  <si>
    <t>Définition d'un système linéaire</t>
  </si>
  <si>
    <t>lien2</t>
  </si>
  <si>
    <t>Matrice associée à un système</t>
  </si>
  <si>
    <t>Savoir transposer un système en écriture matricielle.</t>
  </si>
  <si>
    <t>Systèmes équivalents</t>
  </si>
  <si>
    <t>Algorithme de Gauss</t>
  </si>
  <si>
    <t>Savoir ce qu'est un pivot.</t>
  </si>
  <si>
    <t xml:space="preserve">Résolution d’un système linéaire </t>
  </si>
  <si>
    <t>Résolution</t>
  </si>
  <si>
    <t>Résolution d'un système à l'aide des matrices</t>
  </si>
  <si>
    <t>La Théorie des graphes</t>
  </si>
  <si>
    <t>Terminologie et définitions</t>
  </si>
  <si>
    <t>Sommet, ordre, arete, graphe orienté, aretes adjacentes, degré d'un sommet</t>
  </si>
  <si>
    <t>2. Les graphes | Lelivrescolaire.fr</t>
  </si>
  <si>
    <t xml:space="preserve">Graphe complet </t>
  </si>
  <si>
    <t>Graphe orienté</t>
  </si>
  <si>
    <t>lien 3</t>
  </si>
  <si>
    <t>Matrice d'adjacence d'un graphe</t>
  </si>
  <si>
    <t xml:space="preserve">Chaines et cycles </t>
  </si>
  <si>
    <t>Terminologie</t>
  </si>
  <si>
    <t>Chaines et Cycles hamiltoniens</t>
  </si>
  <si>
    <t>Application</t>
  </si>
  <si>
    <t>Coloration d'un graphe</t>
  </si>
  <si>
    <t>Comprendre le principe de coloration des graphes dans le but d'utiliser le nombre minimal de couleurs (coloration minimale). Comprendre le champ d'applications de la coloration de graphe.</t>
  </si>
  <si>
    <t>Graphes pondérés/valués</t>
  </si>
  <si>
    <t>Graphes probabilistes</t>
  </si>
  <si>
    <t>Espaces vectoriels de dimension finie</t>
  </si>
  <si>
    <t xml:space="preserve">Espaces vectoriels </t>
  </si>
  <si>
    <t>Définition</t>
  </si>
  <si>
    <t>Sous espaces vectoriels et sommes de sous espaces vectoriels</t>
  </si>
  <si>
    <t>Familles de vecteurs</t>
  </si>
  <si>
    <t>Familles géneratrices</t>
  </si>
  <si>
    <t>Familles libres</t>
  </si>
  <si>
    <t>Bases</t>
  </si>
  <si>
    <t>Réduction des matrices carrées</t>
  </si>
  <si>
    <t>Lien application linéaire / matrice</t>
  </si>
  <si>
    <t>ETS 23-24 ++ sur ces thématiques à prévoir</t>
  </si>
  <si>
    <t xml:space="preserve">Éléments propres et polynôme caractéristique </t>
  </si>
  <si>
    <t>Valeurs propres</t>
  </si>
  <si>
    <t>Vecteurs propres</t>
  </si>
  <si>
    <t xml:space="preserve">Propriétés </t>
  </si>
  <si>
    <t>Polynômes caractéristiques</t>
  </si>
  <si>
    <t>Recherche des sous espaces propres</t>
  </si>
  <si>
    <t>Diagonalisation</t>
  </si>
  <si>
    <t>Définitions de matrices semblables</t>
  </si>
  <si>
    <t>Matrices diagonalisables</t>
  </si>
  <si>
    <t>Technique de diagonalisation</t>
  </si>
  <si>
    <t>Applications</t>
  </si>
  <si>
    <t>Systèmes différentiels linéaires</t>
  </si>
  <si>
    <t>Équation linéaire scalaire à coefficients constants</t>
  </si>
  <si>
    <t xml:space="preserve">Suites </t>
  </si>
  <si>
    <t>Géometrie</t>
  </si>
  <si>
    <t>Géometrie du plan</t>
  </si>
  <si>
    <t xml:space="preserve">Repérage du plan  </t>
  </si>
  <si>
    <t>1. Vecteurs de l'espace | Lelivrescolaire.fr</t>
  </si>
  <si>
    <t xml:space="preserve">Produit scalaire </t>
  </si>
  <si>
    <t>Produit scalaire [Vecteurs] (unisciel.fr)</t>
  </si>
  <si>
    <t xml:space="preserve">Déterminant  </t>
  </si>
  <si>
    <t>Droites du plan</t>
  </si>
  <si>
    <t xml:space="preserve">Définitions </t>
  </si>
  <si>
    <t xml:space="preserve">Cercles du plan </t>
  </si>
  <si>
    <t xml:space="preserve">Définition </t>
  </si>
  <si>
    <t xml:space="preserve">Géométrie dans l’espace </t>
  </si>
  <si>
    <t>Repérage de l’espace</t>
  </si>
  <si>
    <t xml:space="preserve">Produit scalaire  </t>
  </si>
  <si>
    <t xml:space="preserve">Produit vectoriel </t>
  </si>
  <si>
    <t>Produit mixte</t>
  </si>
  <si>
    <t>Plans de l'éspace</t>
  </si>
  <si>
    <t>Droites de l'espace</t>
  </si>
  <si>
    <t>Sphères</t>
  </si>
  <si>
    <t>Barycentres</t>
  </si>
  <si>
    <t>Fonction vectorielle de Leibniz</t>
  </si>
  <si>
    <t xml:space="preserve">Barycentre </t>
  </si>
  <si>
    <t>Définition et existence</t>
  </si>
  <si>
    <t>Analyse</t>
  </si>
  <si>
    <t>Fonctions d'une variable</t>
  </si>
  <si>
    <t>Géneralités sur les fonctions</t>
  </si>
  <si>
    <t>Généralités sur les fonctions (unisciel.fr)</t>
  </si>
  <si>
    <t xml:space="preserve">Limites </t>
  </si>
  <si>
    <t>Limites des fonctions usuelles</t>
  </si>
  <si>
    <t>Opérations sur les limites et formes indéterminées</t>
  </si>
  <si>
    <t xml:space="preserve">Techniques de calculs de limites </t>
  </si>
  <si>
    <t>Interprétation graphique et asymptotes</t>
  </si>
  <si>
    <t>Continuité</t>
  </si>
  <si>
    <t>Continuité en un point</t>
  </si>
  <si>
    <t>Continuité sur un intervalle</t>
  </si>
  <si>
    <t>Derivation</t>
  </si>
  <si>
    <t>Dérivabilité en un point</t>
  </si>
  <si>
    <t>Notion de nombre dérivé et interprétation géométrique. Taux de variation.</t>
  </si>
  <si>
    <t>Etude locale des fonctions d'une variable réelle (unisciel.fr)</t>
  </si>
  <si>
    <t>Dérivabilité sur un intervalle</t>
  </si>
  <si>
    <t>Application de la dérivée</t>
  </si>
  <si>
    <t>Théorèmes</t>
  </si>
  <si>
    <t>Fonctions de plusieurs variables</t>
  </si>
  <si>
    <t>Limites et continuité</t>
  </si>
  <si>
    <t>Fonction de plusieurs variables et surfaces.</t>
  </si>
  <si>
    <t xml:space="preserve">Continuité </t>
  </si>
  <si>
    <t xml:space="preserve">Calcul différentiel </t>
  </si>
  <si>
    <t>Dérivées partielles d'ordre 1</t>
  </si>
  <si>
    <t>Dérivées partielles d’ordre 2</t>
  </si>
  <si>
    <t xml:space="preserve">Applications </t>
  </si>
  <si>
    <t xml:space="preserve">Équations aux dérivées partielles </t>
  </si>
  <si>
    <t xml:space="preserve">Extrema d’une fonction de deux variables </t>
  </si>
  <si>
    <t>Applications géométriques</t>
  </si>
  <si>
    <t>Calcul différentiel</t>
  </si>
  <si>
    <t>Développements limités</t>
  </si>
  <si>
    <t xml:space="preserve">Développements limités </t>
  </si>
  <si>
    <t>Connaissance du principe, unicité, partie régulière du DL, ordre du DL. Lien entre DL d'ordre 1 et tangente en un point.</t>
  </si>
  <si>
    <t>Formules de Taylor Young</t>
  </si>
  <si>
    <t>Exemples</t>
  </si>
  <si>
    <t xml:space="preserve">Développements limités usuels </t>
  </si>
  <si>
    <t>1-x, 1+x, ,exp(x), cos(x), sin(x), (1+x)¨α</t>
  </si>
  <si>
    <t xml:space="preserve"> Opérations sur les DL</t>
  </si>
  <si>
    <t xml:space="preserve">Somme et produit </t>
  </si>
  <si>
    <t>Composée</t>
  </si>
  <si>
    <t xml:space="preserve">Quotient </t>
  </si>
  <si>
    <t xml:space="preserve">Primitive </t>
  </si>
  <si>
    <t>Utilisation des ces formules pour obtenir les DL d'autres fonctions usuelles type ln(1+x), etc…</t>
  </si>
  <si>
    <t>Dérivée</t>
  </si>
  <si>
    <t>Utilisation des ces formules pour obtenir les DL d'autres fonctions usuelles type 1/(1+x)², etc…</t>
  </si>
  <si>
    <t>Développements limités ailleurs qu’en 0</t>
  </si>
  <si>
    <t xml:space="preserve">DL en a </t>
  </si>
  <si>
    <t>DL en ±∞</t>
  </si>
  <si>
    <t>Étude locale</t>
  </si>
  <si>
    <t>Integrales simples</t>
  </si>
  <si>
    <t>Primitive</t>
  </si>
  <si>
    <t>L'intégrale simple (unisciel.fr)</t>
  </si>
  <si>
    <t>Primitives des fonctions usuelles</t>
  </si>
  <si>
    <t>Primitives des fonctions composées</t>
  </si>
  <si>
    <t xml:space="preserve">Intégrale d’une fonction continue </t>
  </si>
  <si>
    <t>Propriété de l'intégrale</t>
  </si>
  <si>
    <t>Intégrales généralisées</t>
  </si>
  <si>
    <t>lien avec les suites/séries/Probabilités</t>
  </si>
  <si>
    <t>Intégrales curvilignes</t>
  </si>
  <si>
    <t>Application physique</t>
  </si>
  <si>
    <t>Interprétation géométrique de l'intégrale</t>
  </si>
  <si>
    <t>Calculs de l'aire sous la courbe à l'aide de l'intégrale</t>
  </si>
  <si>
    <t>Calculs de l'aire entre deux courbes à l'aide de l'intégrale</t>
  </si>
  <si>
    <t>Méthodes exactes de calculs d'intégrales</t>
  </si>
  <si>
    <t>Intégration directe</t>
  </si>
  <si>
    <t xml:space="preserve">Intégration par partie </t>
  </si>
  <si>
    <t>Changement de variable</t>
  </si>
  <si>
    <t>Décomposition en éléments simples (fractions rationnelles)</t>
  </si>
  <si>
    <t>Méthodes approchées de calculs d'intégrales</t>
  </si>
  <si>
    <t>Méthode des rectangles (Sommes de Riemann)</t>
  </si>
  <si>
    <t>Méthode des trapèzes</t>
  </si>
  <si>
    <t>Méthode de Simpson</t>
  </si>
  <si>
    <t>Intégrales multiples</t>
  </si>
  <si>
    <t>Intégrales doubles</t>
  </si>
  <si>
    <t>Définition et propriétés</t>
  </si>
  <si>
    <t>Séparation de variables / Fubini</t>
  </si>
  <si>
    <t xml:space="preserve">Intégration par piles et par tranches </t>
  </si>
  <si>
    <t xml:space="preserve">Changement de variables </t>
  </si>
  <si>
    <t>Formule de Green-Riemann</t>
  </si>
  <si>
    <t xml:space="preserve">Intégrales triples </t>
  </si>
  <si>
    <t>Définitions et propriétés</t>
  </si>
  <si>
    <t>Exeles simples et efficaces : pas d'excés de calculs</t>
  </si>
  <si>
    <t xml:space="preserve">Calculs d’aires </t>
  </si>
  <si>
    <t>Calculs de volumes</t>
  </si>
  <si>
    <t>Centre de gravité d'une sruface / d'un volume</t>
  </si>
  <si>
    <t>Les équations différentielles</t>
  </si>
  <si>
    <t>Équations différentielles linéaires du premier orde</t>
  </si>
  <si>
    <t>Généralités</t>
  </si>
  <si>
    <t>Equations différentielles (unisciel.fr)</t>
  </si>
  <si>
    <t>Solutions de l’équation homogène</t>
  </si>
  <si>
    <t xml:space="preserve">Solutions générales de l’équation avec second membre </t>
  </si>
  <si>
    <t>Équations de la forme y′ +a(x)y = p(x)</t>
  </si>
  <si>
    <t>Méthode de variation de la constante</t>
  </si>
  <si>
    <t>Équations différentielles linéaires du second ordre à coefficients constants</t>
  </si>
  <si>
    <t xml:space="preserve">Solutions de l’équation homogène </t>
  </si>
  <si>
    <t>Solutions générales de l’équation avec second membre</t>
  </si>
  <si>
    <t>Résolution par changement de variable</t>
  </si>
  <si>
    <t>Transformée de Laplace</t>
  </si>
  <si>
    <t>Transformée</t>
  </si>
  <si>
    <t>Transformée en p</t>
  </si>
  <si>
    <t>Cycle Ingé A3/A4 en 2022/23</t>
  </si>
  <si>
    <t>Transformées usuelles, transformées inverses</t>
  </si>
  <si>
    <t>Transformée d'une dérivée</t>
  </si>
  <si>
    <t>Utilisation</t>
  </si>
  <si>
    <t>Retard, changement d'échelle</t>
  </si>
  <si>
    <t>Fonctions de transfert</t>
  </si>
  <si>
    <t>Application à la résolution d'équations différentielles</t>
  </si>
  <si>
    <t>Transformée de Fourier et en Z</t>
  </si>
  <si>
    <t>S3E A3</t>
  </si>
  <si>
    <t>Transformation de Fourier discrète, Transformation de Fourier rapide</t>
  </si>
  <si>
    <t>Transformée en Z</t>
  </si>
  <si>
    <t>Synthèse des filtres numériques et analogiques</t>
  </si>
  <si>
    <t>Suites de nombres réels (unisciel.fr)</t>
  </si>
  <si>
    <t>Suites</t>
  </si>
  <si>
    <t>Géneralités</t>
  </si>
  <si>
    <t>Variations d'une suite</t>
  </si>
  <si>
    <t xml:space="preserve">Suites majorées, minorées, bormées </t>
  </si>
  <si>
    <t>Convergence d'une suite</t>
  </si>
  <si>
    <t>Convergence des suites majorées, calculs de limites, point fixe</t>
  </si>
  <si>
    <t>Représentation graphique des suites</t>
  </si>
  <si>
    <t>Sutes de référence</t>
  </si>
  <si>
    <t>Suites Arithmétiques</t>
  </si>
  <si>
    <t>Définition, terme géberal, somme des termes consécutifs</t>
  </si>
  <si>
    <t>Suites Géometriques</t>
  </si>
  <si>
    <t>Suites arithmético-géométriques</t>
  </si>
  <si>
    <t>Methodes d'étude de suites</t>
  </si>
  <si>
    <t>Sommes partielles et convergence des sommes partielles</t>
  </si>
  <si>
    <t>S(n+1) - S(n) = u(n+1) =&gt; la série converge seulement si u -&gt; 0</t>
  </si>
  <si>
    <t>Series numériques</t>
  </si>
  <si>
    <t>Présentation des quelques critères de convergence sans excés…..</t>
  </si>
  <si>
    <t>Exemples fondamentaux</t>
  </si>
  <si>
    <t>Linéarité, critère de convergence</t>
  </si>
  <si>
    <t>Séries à termes positifs</t>
  </si>
  <si>
    <t>Théorème fondamental</t>
  </si>
  <si>
    <t xml:space="preserve">Critères de convergence et divergence </t>
  </si>
  <si>
    <t>Séries de références</t>
  </si>
  <si>
    <t>Règles de d’Alembert et de Cauchy</t>
  </si>
  <si>
    <t>Convergence absolue</t>
  </si>
  <si>
    <t>Séries alternées</t>
  </si>
  <si>
    <t>Series de fourier</t>
  </si>
  <si>
    <t>Définition, présentation</t>
  </si>
  <si>
    <t>Ecriture d'une série de Fourier</t>
  </si>
  <si>
    <t>Spécialité S3E (cycle ingé)</t>
  </si>
  <si>
    <t>Coefficients de Fourier</t>
  </si>
  <si>
    <t>Définition, formules de calcul des coefficients</t>
  </si>
  <si>
    <t>Cas particulier des fonctions paires et impaires</t>
  </si>
  <si>
    <t xml:space="preserve">Théorèmes de convergence </t>
  </si>
  <si>
    <t>Théorème de Parseval</t>
  </si>
  <si>
    <t>Théorème de Dirichlet</t>
  </si>
  <si>
    <t>Transformée de Fourier</t>
  </si>
  <si>
    <t>Probabilités et statistiques - Lois de probabilité continues (unisciel.fr)</t>
  </si>
  <si>
    <t>Les Probabilités</t>
  </si>
  <si>
    <t>Probabilité et statistiques</t>
  </si>
  <si>
    <t>Dénombrement</t>
  </si>
  <si>
    <t>Liste : tirages successifs avec remise</t>
  </si>
  <si>
    <t>lien3</t>
  </si>
  <si>
    <t>Arrangement : tirages successifs sans remise - Permutations</t>
  </si>
  <si>
    <t>lien 4</t>
  </si>
  <si>
    <t>Combinaison : tirages simultannés</t>
  </si>
  <si>
    <t>Probabilités sur un univers fini</t>
  </si>
  <si>
    <t>Vocabulaire des événements</t>
  </si>
  <si>
    <t>Loi de probabilité</t>
  </si>
  <si>
    <t>Calcul de probabilités</t>
  </si>
  <si>
    <t>Equiprobabilité et situations non équiprobables. Arbres de probabilité, tableaux.</t>
  </si>
  <si>
    <t>Probabilités conditionnelles et indépendance</t>
  </si>
  <si>
    <t>Notions de variables aléatoires</t>
  </si>
  <si>
    <t>Espérance, variance d'une variable aléatoire</t>
  </si>
  <si>
    <t>Variables aléatoires</t>
  </si>
  <si>
    <t xml:space="preserve">Variables aléatoires discrètes </t>
  </si>
  <si>
    <t xml:space="preserve">Espérance et variance. </t>
  </si>
  <si>
    <t xml:space="preserve">Variables aléatoires continues </t>
  </si>
  <si>
    <t xml:space="preserve">Densité et fonction de répartition. </t>
  </si>
  <si>
    <t>Espérance, variance, écart-type</t>
  </si>
  <si>
    <t>Les statistiques</t>
  </si>
  <si>
    <t>Statistiques a une variable</t>
  </si>
  <si>
    <t xml:space="preserve">Moyenne, médiane, quartiles, déciles. </t>
  </si>
  <si>
    <t>Représentation à l'aide d'une boite à moustache.</t>
  </si>
  <si>
    <t>Caractéristiques de dispersion</t>
  </si>
  <si>
    <t>Etendue, Intervalles inter quartillles</t>
  </si>
  <si>
    <t xml:space="preserve">Variance, Ecart type. </t>
  </si>
  <si>
    <t>Statistiques a deux variables quantitatives</t>
  </si>
  <si>
    <t>Position du problème de régression linéaire</t>
  </si>
  <si>
    <t>Ajustements linéaires ou non</t>
  </si>
  <si>
    <t>"Qualité" d'une régression linéaire</t>
  </si>
  <si>
    <t>Estimation / Echantillonnage</t>
  </si>
  <si>
    <t>Echantillonnage</t>
  </si>
  <si>
    <t>Estimation</t>
  </si>
  <si>
    <t>Tests d'hypothèses paramétriques</t>
  </si>
  <si>
    <t>Comparaison de deux échantillons</t>
  </si>
  <si>
    <t>Tests non-paramétriques</t>
  </si>
  <si>
    <t>Algorithmique et Complexité</t>
  </si>
  <si>
    <t>Théorie du langage, automates et complexité</t>
  </si>
  <si>
    <t>Classifier un problème d'optimisation en utilisant une étude de complexité du problème de décision associé</t>
  </si>
  <si>
    <t>Recherche opérationnelle</t>
  </si>
  <si>
    <t>RO</t>
  </si>
  <si>
    <t>Associer des situations réelles à des problèmes types de la R.O.</t>
  </si>
  <si>
    <t>Le test de positionnement est constitué de :</t>
  </si>
  <si>
    <t>Compétences</t>
  </si>
  <si>
    <t>Calculer</t>
  </si>
  <si>
    <t>Raisonner</t>
  </si>
  <si>
    <t>Représenter</t>
  </si>
  <si>
    <t>Communiquer</t>
  </si>
  <si>
    <t>Chercher</t>
  </si>
  <si>
    <t>Modéliser</t>
  </si>
  <si>
    <t>Chapitre/Capacités</t>
  </si>
  <si>
    <t>Analyse : Suites et Séries numériques</t>
  </si>
  <si>
    <t>Analyse : Intégration 1-2-3 D</t>
  </si>
  <si>
    <t>Analyse : Fonctions 1-2-3 D</t>
  </si>
  <si>
    <t>Probabilités</t>
  </si>
  <si>
    <t xml:space="preserve">Statistiques </t>
  </si>
  <si>
    <t>Algèbre : Arithmétique</t>
  </si>
  <si>
    <t>Algèbre : Graphes et matrice</t>
  </si>
  <si>
    <t>Géomètrie analytique et plane</t>
  </si>
  <si>
    <t xml:space="preserve">nombre de questions </t>
  </si>
  <si>
    <t>Analyse : fonctions, développement limité 1</t>
  </si>
  <si>
    <t>Statistiques univariés et bivariés</t>
  </si>
  <si>
    <t>Algèbre : Nombres complexes</t>
  </si>
  <si>
    <t xml:space="preserve">Algèbre : Graphes </t>
  </si>
  <si>
    <t>Géométrie</t>
  </si>
  <si>
    <t>Analyse : Intégration 1D</t>
  </si>
  <si>
    <t>Analyse : Fonctions  1D</t>
  </si>
  <si>
    <t>nombre de questions</t>
  </si>
  <si>
    <t>Géomètrie analytique</t>
  </si>
  <si>
    <t>Probabilités- Statistique</t>
  </si>
  <si>
    <t xml:space="preserve">Algèbre : Arithmétique </t>
  </si>
  <si>
    <t>Analyse : Suites et Séries</t>
  </si>
  <si>
    <t>Analyse : Primitives-Intégrations  0</t>
  </si>
  <si>
    <t>Analyse : Fonctions périodiques</t>
  </si>
  <si>
    <t xml:space="preserve">Analyse : Approfondissement sur les fonctions </t>
  </si>
  <si>
    <t>Analyse : Interpolation, développement limité 0</t>
  </si>
  <si>
    <t>Analyse : Equations différentielles  0</t>
  </si>
  <si>
    <t>Théorie des ensembles</t>
  </si>
  <si>
    <t>Statistiques descriptives</t>
  </si>
  <si>
    <t>Aide :</t>
  </si>
  <si>
    <t>Vos révisions sont donc ciblées sur la base de ce référentiel</t>
  </si>
  <si>
    <t>Pour les A1 et A3 vous pouvez renseigner vos scores et voir votre progression par rapport au positionnement</t>
  </si>
  <si>
    <t>1) Donner le numéro de votre année</t>
  </si>
  <si>
    <t>2) Insérer vos résultats (nombre de bonnes réponses) dans les cases blanches :</t>
  </si>
  <si>
    <t>% Réussite</t>
  </si>
  <si>
    <t>Semestre impair</t>
  </si>
  <si>
    <t>Semestre pair</t>
  </si>
  <si>
    <t>Objectifs d'apprentissage des Mathématiques</t>
  </si>
  <si>
    <t>EE du DS</t>
  </si>
  <si>
    <t>Domaine</t>
  </si>
  <si>
    <t>Discipline</t>
  </si>
  <si>
    <t>Chapitres</t>
  </si>
  <si>
    <t>ETS</t>
  </si>
  <si>
    <t>Projet Strongbox-Electronique</t>
  </si>
  <si>
    <t>Projet Strongbox-Electronique et ETS</t>
  </si>
  <si>
    <t>Géométire analytique</t>
  </si>
  <si>
    <t>Projet Mécanique et ETS</t>
  </si>
  <si>
    <t xml:space="preserve">Projet Signal </t>
  </si>
  <si>
    <t>Projet Etude de fonction</t>
  </si>
  <si>
    <t>ETS et Projet Etude de fonctions</t>
  </si>
  <si>
    <t xml:space="preserve">Algèbre : Nombres complexes, arithmétique </t>
  </si>
  <si>
    <t>Projet BDD</t>
  </si>
  <si>
    <t>Cours [Calcul matriciel] (unisciel.fr)</t>
  </si>
  <si>
    <t>ETS et projet BTP</t>
  </si>
  <si>
    <t>Géométrie analytique (unisciel.fr)</t>
  </si>
  <si>
    <t>Fonctions de variables | La Licence Type (unisciel.fr)</t>
  </si>
  <si>
    <t>Analyse : Primitives-Intégrations 1</t>
  </si>
  <si>
    <t>https://uel.unisciel.fr/physique/outils_nancy/outils_nancy_ch08/co/outils_nancy_ch08.html</t>
  </si>
  <si>
    <t>Systèmes différentiels (unisciel.fr)</t>
  </si>
  <si>
    <t>Projet Industrie et ETS</t>
  </si>
  <si>
    <t>https://ressources.unisciel.fr/ramses/519-21_probabilites/co/fa901_5.html</t>
  </si>
  <si>
    <t>Maths élémentaires</t>
  </si>
  <si>
    <t>ETS et projet PBL</t>
  </si>
  <si>
    <t>voir onglet CPI S1 et S2</t>
  </si>
  <si>
    <t>Maths spécialité : graphes en FISE info FISA info</t>
  </si>
  <si>
    <t>https://uel.unisciel.fr/mathematiques/analyse1/analyse1_ch03/co/analyse1_ch03.html</t>
  </si>
  <si>
    <t>Projet Mécanique des fluides et ETS</t>
  </si>
  <si>
    <t>pac.unisciel.fr/fonctions-de-variables/</t>
  </si>
  <si>
    <t>ETS et projets PBL</t>
  </si>
  <si>
    <t>https://ressources.unisciel.fr/pfci/cours/Int_Doubles/co/cours_02.html?msclkid=2b32afa7c21411ecb42b0a00f80e6608</t>
  </si>
  <si>
    <t>Projet Système embarqué</t>
  </si>
  <si>
    <t>Complexité et algorithmique avancée : Une introduction Ed. 2 Auteur: Lavallée, Ivan Editeur: Editions Hermann Année de Publication: 2008</t>
  </si>
  <si>
    <t>Mathématiques : élémentaire</t>
  </si>
  <si>
    <t>ETS-Harmonisation mathématiques</t>
  </si>
  <si>
    <t xml:space="preserve">Mathématiques : élémentaire  </t>
  </si>
  <si>
    <t>https://uel.unisciel.fr/physique/outils_nancy/outils_nancy_ch11/co/outils_nancy_ch11.html</t>
  </si>
  <si>
    <t>https://uel.unisciel.fr/mathematiques/dev_limites/dev_limites/co/dev_limites.html</t>
  </si>
  <si>
    <t>https://uel.unisciel.fr/mathematiques/eq_diff/eq_diff/co/eq_diff.html</t>
  </si>
  <si>
    <t>Projet A2P2+ETS</t>
  </si>
  <si>
    <t>Projet Thermique</t>
  </si>
  <si>
    <t>Mathématiques élémentaires</t>
  </si>
  <si>
    <t>Projet A2P2</t>
  </si>
  <si>
    <t>Projet Modélisation numérique</t>
  </si>
  <si>
    <t>Formation S3E</t>
  </si>
  <si>
    <t>ScholarVox : Automatique : Systèmes linéaires, non linéaires, à temps continu, à temps discret, représentation d'états... Ed. 4 page 3 à 24 inclus</t>
  </si>
  <si>
    <t>https://hal.archives-ouvertes.fr/hal-02442442/document</t>
  </si>
  <si>
    <t>Séries numériques (unisciel.fr)</t>
  </si>
  <si>
    <t>Projet Great Barreer et ETS</t>
  </si>
  <si>
    <t xml:space="preserve">Maths spé maths en G et BTP :  Probabilité </t>
  </si>
  <si>
    <t xml:space="preserve">Statistique univarié et bivariés </t>
  </si>
  <si>
    <t>Projet DATA</t>
  </si>
  <si>
    <t>Projet industrie</t>
  </si>
  <si>
    <t>ScholarVox : Précis de recherche opérationnelle : Méthodes et exercices d'application Ed. 7 Faure, Dunod 2014</t>
  </si>
  <si>
    <t xml:space="preserve"> Maths  spé en FISE info, G et FISA INFO (hors TOMIC en CCTL)</t>
  </si>
  <si>
    <t xml:space="preserve"> Maths spé en FISE info, G et FISA INFO (hors TOMIC en CCTL)</t>
  </si>
  <si>
    <t>Objectifs d'apprentissage 
du tronc commun de la formation en mathématiques au sein de l'Ecole d'Ingénieurs CESI</t>
  </si>
  <si>
    <t>B.1  Faire preuve d'autonomie, d'initiative dans la démarche de résolution d'un problème</t>
  </si>
  <si>
    <t>A.2  Mobiliser les 6 compétences élémentaires dans des exercices d'application (Modéliser, Calculer, Représenter, Chercher, Communiquer, Raisonner)</t>
  </si>
  <si>
    <t>B - Calcul numérique et analytique</t>
  </si>
  <si>
    <t>A.1  Connaître les grandes notions d'algèbre, d'analyse, de géomètrie, de probabilité statiques</t>
  </si>
  <si>
    <t>C.3  Connaître les tests permettant une analyse décisionnelle</t>
  </si>
  <si>
    <t>D.3  Être capable d'analyse de critique des modèles, des résultats</t>
  </si>
  <si>
    <t>C.1  Savoir gérer des jeux de données (choix des modèles discrets, continus ; des conditions)</t>
  </si>
  <si>
    <t>Vous trouverez votre cursus dans les onglets</t>
  </si>
  <si>
    <t>Vous trouverez les éléments évaluables de votre dossier de synthèse avec les chapitres et thèmes sur lesquels vous serez interrogé</t>
  </si>
  <si>
    <t>Algèbre :
Nombres complexes</t>
  </si>
  <si>
    <t>Analyse :
Interpolation,
développement limité 0</t>
  </si>
  <si>
    <t xml:space="preserve">Algèbre :
Matrices et système  </t>
  </si>
  <si>
    <t>Analyse :
Equations différentielles 1</t>
  </si>
  <si>
    <t>Algèbre : 
arithmétique</t>
  </si>
  <si>
    <t>Notions à maîtriser en A2 (en révisant le socle A1)</t>
  </si>
  <si>
    <t>Notions à maîtriser en CPI A1 S2  (+onglet A1 CPI S1)</t>
  </si>
  <si>
    <t>Notions à maîtriser en CPI A1 S1</t>
  </si>
  <si>
    <t>Thèmes</t>
  </si>
  <si>
    <t>Détail des chapitres</t>
  </si>
  <si>
    <t>Notions à maîtriser en Cycle Ingénieur Semestre 5</t>
  </si>
  <si>
    <t>Notions à maîtriser en Cycle Ingénieur Semestre 6   (+onglet A3 CI S5)</t>
  </si>
  <si>
    <t>Analyse :
Equations différentielles  0</t>
  </si>
  <si>
    <t>Analyse :
Suites et Séries</t>
  </si>
  <si>
    <t>Probabilités
et 
Statistiques</t>
  </si>
  <si>
    <t>Analyse :
Primitives-Intégrations  0</t>
  </si>
  <si>
    <t>Analyse :
Fonctions périodiques</t>
  </si>
  <si>
    <r>
      <t xml:space="preserve">Algèbre de Boole
</t>
    </r>
    <r>
      <rPr>
        <sz val="12"/>
        <color theme="0"/>
        <rFont val="Calibri"/>
        <family val="2"/>
      </rPr>
      <t>(hors TOMIC)</t>
    </r>
  </si>
  <si>
    <t>Analyse :
fonctions de plusieurs variables</t>
  </si>
  <si>
    <t>Mathématiques de spécialité
Généraliste &amp; BTP</t>
  </si>
  <si>
    <t>Mathématiques de spécialité
S3E &amp; Informatique</t>
  </si>
  <si>
    <t>Analyse :
fonctions de plusieurs variables, opérateurs vectoriels 1</t>
  </si>
  <si>
    <t xml:space="preserve"> Mathématiques spécialité FISA S3E : transformée de Fourier</t>
  </si>
  <si>
    <t>Algèbre</t>
  </si>
  <si>
    <t>Géométrie analytique</t>
  </si>
  <si>
    <t>Géométrie :
produit scalaire et vectoriel</t>
  </si>
  <si>
    <t>Algèbre :
Graphes</t>
  </si>
  <si>
    <t>Géométrie :
Produit scalaire et vectoriel</t>
  </si>
  <si>
    <t>Algèbre :
Arithmétique</t>
  </si>
  <si>
    <t>Algèbre :
Matrices et système</t>
  </si>
  <si>
    <t>Analyse :
Approfondissement sur les fonctions</t>
  </si>
  <si>
    <t>Séries numériques</t>
  </si>
  <si>
    <t>Séries de Fourier</t>
  </si>
  <si>
    <t>Les probabilités</t>
  </si>
  <si>
    <t>Analyse : Suites</t>
  </si>
  <si>
    <t>Analyse : Équations différentielles</t>
  </si>
  <si>
    <t>Algèbre : Polynômes</t>
  </si>
  <si>
    <t>Équations dophantiennes</t>
  </si>
  <si>
    <t>Définition et écriture algébrique des nombres complexes</t>
  </si>
  <si>
    <t xml:space="preserve"> Forme trigonométrique et exponentielle d'un nombre complexe</t>
  </si>
  <si>
    <t>Lien avec les CRC</t>
  </si>
  <si>
    <t>Opérations : négation, conjonction, disjonction, implication, équivalence.</t>
  </si>
  <si>
    <t>RSA, PGP (hybride)</t>
  </si>
  <si>
    <t>Fonction NOT, NOR, AND, OR</t>
  </si>
  <si>
    <t>Fonctions Booléennes</t>
  </si>
  <si>
    <t>Utilisation dans la description des circuits logiques.</t>
  </si>
  <si>
    <t>Connaître l'écriture algébrique, la partie réelle et imaginaire d'un nombre complexe</t>
  </si>
  <si>
    <t>Connaître et savoir calculer le conjugué d'un nombre complexe. Connaître les propriétés du conjugué et son utilité dans l'écriture des fractions complexes sous forme algébrique.</t>
  </si>
  <si>
    <t>Savoir associer un point du plan à un nombre complexe, affixe d’un point du plan, affixe d’un vecteur du plan (dentifier C au plan usuel muni d’un repère orthonormé direct)</t>
  </si>
  <si>
    <t>Connaître l'interprétation géométrique d'un module et repérer les images des affixes de même module.</t>
  </si>
  <si>
    <t>Connaître le cercle trigonométrique. Savoir repérer un point du cercle avec les fonctions circulaires sinus et cosinus. Connaître les formules des angles associés, cos(a±b), sin(a±b), cos(2a), sin(2a),</t>
  </si>
  <si>
    <t xml:space="preserve">Savoir calculer l'argument d'un nombre complexe à partir de sa forme algébrique et connaître l'interprétation géométrique de l'argument. </t>
  </si>
  <si>
    <t>Savoir passer de la forme algébrique à la forme trigonométrique d'un nombre complexe.</t>
  </si>
  <si>
    <t>Définition de exp(it) pour t réel.</t>
  </si>
  <si>
    <t>Savoir réaliser des opérations avec les nombres complexes.</t>
  </si>
  <si>
    <t>Connaître l'écriture exponentielle d'un nombre complexe sous la forme r.exp(it).</t>
  </si>
  <si>
    <t>Connaître les formules de Moivre et d'Euler. Savoir factoriser 1±exp(it)</t>
  </si>
  <si>
    <t>Connaître la méthode permettant de calculer les racines carrées d’un nombre complexe.</t>
  </si>
  <si>
    <t>Connaître la description des racines n-ièmes de l’unité et la représentation géometrique des solutions.</t>
  </si>
  <si>
    <t>Savoir traduite l'alignement et l'orthogonalité à l'aide de l'argument</t>
  </si>
  <si>
    <t>Savoir repérer le coefficient dominant, terme de plus haurt degré, polynôme nul, polynôme unitaire.</t>
  </si>
  <si>
    <t>Savoir effectuer la somme, produit, composée de deux polynômes.</t>
  </si>
  <si>
    <t>Connaître l'écriture du polynôme dérivé d'ordre 1 et d'ordres supérieurs. Connaître la formule de la dérivée du monôme de degré n pour tout n.</t>
  </si>
  <si>
    <t>Connaître la formule de Leibniz : savoir l'appliquer à la dérivation d'un produit de polynômes.</t>
  </si>
  <si>
    <t>Savoir établir la formules de Taylor d'un polynôme, à un ordre n, en 0 et en a réel donné.</t>
  </si>
  <si>
    <t>Connaître les techniques de détermination des racines d'un polynôme et les factorisations qui en découlent (polynômes d'ordre 2, 3 et plus).</t>
  </si>
  <si>
    <t>Savoir caractériser l'ordre de multiplicité d'une racine par l'annulation des dérivées successives.</t>
  </si>
  <si>
    <t>Polynôme scindé sur K. Théorie de la décomposition dans l'ensemble des complexes.</t>
  </si>
  <si>
    <t>Savoir décomposer un polynôme en facteurs irreductibles. Savoir passer de la décomposition dans C à celle dans R.</t>
  </si>
  <si>
    <t>Somme et produit des racines. Cas des polynômes de degré deux.</t>
  </si>
  <si>
    <t>Savoir calculer la somme, le produit de fractions rationnelles.</t>
  </si>
  <si>
    <t>Connaître la formule de dérivation.</t>
  </si>
  <si>
    <t>Savoir mettre une fraction rationnelle sous forme irréductibles.</t>
  </si>
  <si>
    <t>Savoir analyser des degrés des polynômes de la fraction rationnelle et obtenir la partie entierre à l'aide de la division éuclidienne des polynômes.</t>
  </si>
  <si>
    <t>Connaître l'écriture/la forme théorique d'une décomposition en élements simples de première et de seconde espèce dans C et dans R.</t>
  </si>
  <si>
    <t>Savoir effectuer une recherche de pôles.</t>
  </si>
  <si>
    <t>Connaître la différence entre zeros et pôles d'une fraction rationnelle et définir leur ordre de multiplicité.</t>
  </si>
  <si>
    <t>Connaître la décomposition en élements simples de première espèce : pôles simples, pôles doubles, pôles d'ordre supérieur ou égal à 3.</t>
  </si>
  <si>
    <t>Connaître la décomposition en élements simples de seconde espèce.</t>
  </si>
  <si>
    <t>Connaître les techniques de calculs des coefficients de la décomposition (multiplication-évaluation, dérivation, limites, parité/imparité,passage dans C).</t>
  </si>
  <si>
    <t>Définition, vocabulaire. Trace d'une matrice. Savoir calculer les premières puissances d’une matrice carrée. Exemple de matrices nilpotentes.</t>
  </si>
  <si>
    <t>Connaître la dénomination de matrices triangulaires supérieures et inférieures. Notation In pour la matrice identité. Exemple de matrices nilpotentes.</t>
  </si>
  <si>
    <t>Commutativité des matrices. Formule du Binôme.</t>
  </si>
  <si>
    <t>Notations, Matrices symétriques et antisymétriques.Transposée d’une somme, d’un produit de matrices.</t>
  </si>
  <si>
    <t>Exemple de calcul du déterminant sur des matrices 2X2 et 3X3. Formule de calcul et Methodes de Sarrus.</t>
  </si>
  <si>
    <t>Effet de la combinaison linéaire de deux lignes ou deux colones sur le calcul du déterminant.</t>
  </si>
  <si>
    <t>Déterminant de la transposée.</t>
  </si>
  <si>
    <t>Unicité de l'inverse quand elle existe.</t>
  </si>
  <si>
    <t>Critère d'existence de l'inverse à l'aide du déterminant.</t>
  </si>
  <si>
    <t>Méthodes de calcul de l'inverse d'une matrice.</t>
  </si>
  <si>
    <t>Connaître l'interprétation géometrique : intersections de droites, de plans et les differents cas de figures possibles.</t>
  </si>
  <si>
    <t>Connaître les opérations élémentaires sur les lignes qui ne changent pas les solutions.</t>
  </si>
  <si>
    <t>Savoir appliquer l'algorithme de Gauss au système ainsi qu'en échelonnant la matrice.</t>
  </si>
  <si>
    <t>Condition d'unicité de la solution lorsque le determinant est non nul.</t>
  </si>
  <si>
    <t>Connaître la méthode de Cramer pour résoudre les systèmes.</t>
  </si>
  <si>
    <t>Savoir résoudre un système à l'aide de la matrice inverse.</t>
  </si>
  <si>
    <t xml:space="preserve">Connaître le vocabulaire spécifique à la théorie des graphes. </t>
  </si>
  <si>
    <t>Savoir que la somme des degrés de tous les sommets d’un graphe est égal au double du nombre total d’arêtes. Savoir qu'un graphe complet est un graphe simple dont tous les sommets sont adjacents les uns avec les autres.</t>
  </si>
  <si>
    <t>Savoir établir la matrice d'adjacence d'un graphe dans le cas d'un graphe orienté et non orienté.</t>
  </si>
  <si>
    <t>Connaître la caractérisation d'une chaîne, d'une chaîne orientée, ainsi que des cycles et graphes connexes.</t>
  </si>
  <si>
    <t>Savoir qu'un graphe connexe admet une chaîne eulérienne entre les sommets A et B si et seulement si A et B sont les seuls sommets de degré impair. Savoir qu'un graphe connexe admet un cycle eulérien si et seulement si tous les sommets sont de degré pair. Application à la "promenade de Königsberg"</t>
  </si>
  <si>
    <t>Savoir trouver le nombre de chaînes de longueur k entre 2 sommets on regarde M^k où M est la matrice d'adjacence du graphe.</t>
  </si>
  <si>
    <t>Savoir qu'un chemin hamiltonien d'un graphe orienté ou non orienté est un chemin qui passe par tous les sommets une fois et une seule. Un cycle hamiltonien est un chemin hamiltonien qui est un cycle. Un graphe hamiltonien est un graphe qui possède un cycle hamiltonien.</t>
  </si>
  <si>
    <t>Savoir appliquer l'algorithme de coloration de Welsh et Powell.</t>
  </si>
  <si>
    <t>Savoir ce qu'est un graphe pondéré et être capable de modélier un énoncé avec cette représentation.</t>
  </si>
  <si>
    <t>Savoir appliquer l'algorithme de Dijkstra, afin de déterminer le plus court chemin.</t>
  </si>
  <si>
    <t>Savoir traduire une situation probabiliste en graphe et obtenir la matrice de transition. Savoir ce qu'est un état stable.</t>
  </si>
  <si>
    <t>Connaître les chaînes de Markov.</t>
  </si>
  <si>
    <t>Connaître les applications les plus classiques de l'utilisation de la théorie des graphes.</t>
  </si>
  <si>
    <t>Définition, spectre.</t>
  </si>
  <si>
    <t>Définition.</t>
  </si>
  <si>
    <t>Sous espaces propres.</t>
  </si>
  <si>
    <t>Somme directe des sous espaces propres.</t>
  </si>
  <si>
    <t>Racines du polynôme.</t>
  </si>
  <si>
    <t>Ordre de multiplicité des racines et dimensions du sous espace propre.</t>
  </si>
  <si>
    <t>Recherche du spectre.</t>
  </si>
  <si>
    <t>Recherche des vecteurs propres.</t>
  </si>
  <si>
    <t>Vérification du critère de diagonalisation.</t>
  </si>
  <si>
    <t>Matrice de passage et Diagonalisée.</t>
  </si>
  <si>
    <t>Eléments finis/Méthodes numériques.</t>
  </si>
  <si>
    <t>Résolution d'équations différentielles.</t>
  </si>
  <si>
    <t>Suites multi-récurrentes.</t>
  </si>
  <si>
    <t>Repère cartésien.</t>
  </si>
  <si>
    <t>Repère polaire.</t>
  </si>
  <si>
    <t>Définition et propriétés.</t>
  </si>
  <si>
    <t>Calculs du produit scalaire.</t>
  </si>
  <si>
    <t>Définition et propriétés = condition de colinéarité.</t>
  </si>
  <si>
    <t>Calculs du déterminant.</t>
  </si>
  <si>
    <t>Définitions.</t>
  </si>
  <si>
    <t>Équations.</t>
  </si>
  <si>
    <t>Intersections et distances d'un point à une droite.</t>
  </si>
  <si>
    <t>Intersection entre cercles et droites.</t>
  </si>
  <si>
    <t>Repères cylindrique et sphérique.</t>
  </si>
  <si>
    <t>Calculs du produit scalaire - Interprétation géométrique.</t>
  </si>
  <si>
    <t>Calculs du produit vectoriel - Interprétation géométrique.</t>
  </si>
  <si>
    <t>Calculs du produit mixte - Interprétation géométrique.</t>
  </si>
  <si>
    <t>Définition et équation.</t>
  </si>
  <si>
    <t>Intersection de plans.</t>
  </si>
  <si>
    <t>Distance d'un point à un plan.</t>
  </si>
  <si>
    <t>Intersection de droites et intersections de droites et de plans.</t>
  </si>
  <si>
    <t>Intersection d'une sphère et d'un plan.</t>
  </si>
  <si>
    <t>Définition et propriété.</t>
  </si>
  <si>
    <t>Définition et existence.</t>
  </si>
  <si>
    <t>Construction géométrique.</t>
  </si>
  <si>
    <t>Utilisation pour le recherche d'ensembles de points.</t>
  </si>
  <si>
    <t>Systèmes pondérés, moyenne pondérée.</t>
  </si>
  <si>
    <t>Savoir les définitions d'antécédent, d'image.</t>
  </si>
  <si>
    <t>Etudier la parité, la périodicité, réduction d'intervalles d'étude et étudier une fonction.</t>
  </si>
  <si>
    <t>Levées d'indeterminations.</t>
  </si>
  <si>
    <t>Existence et équation de la tangente en un point.</t>
  </si>
  <si>
    <t>Formules des dérivées usuelles et domaines d'existence.</t>
  </si>
  <si>
    <t>Signe de la dérivée d'ordre un et variation.</t>
  </si>
  <si>
    <t>Extremum local et global.</t>
  </si>
  <si>
    <t>Signe de la dérivée d'ordre deux et convexité.</t>
  </si>
  <si>
    <t>Dérivées d'ordre supérieur, formule de la dérivée n-ième d'un produit de fonctions dérivables.</t>
  </si>
  <si>
    <t>Fonctions de classe Cn.</t>
  </si>
  <si>
    <t>Théorème de Rolle.</t>
  </si>
  <si>
    <t>Inégalité et théorème des accroissements finis.</t>
  </si>
  <si>
    <t>Théorème des valeurs intermédiaires, théorème de la bijection.</t>
  </si>
  <si>
    <t xml:space="preserve">Savoir ce que signifie avoir une limite finie en un point de IRXIR (calculs de limites selon différents chemins). </t>
  </si>
  <si>
    <t>Dérivées partielles en un point et notation.</t>
  </si>
  <si>
    <t>Développement limité d'ordre 1 / Lien avec l'estimation au voisinage d'un point/plan tangent.</t>
  </si>
  <si>
    <t>Composées.</t>
  </si>
  <si>
    <t>Différentielle.</t>
  </si>
  <si>
    <t>Théorème de Schwartz.</t>
  </si>
  <si>
    <t>Développement limité d'ordre 2 pour les fonctions de deux variables / lien avec l'estimation au voisinage d'un point.</t>
  </si>
  <si>
    <t>Premier ordre.</t>
  </si>
  <si>
    <t>Second ordre.</t>
  </si>
  <si>
    <t xml:space="preserve">Connaître la définition de la continuité pour une fonction de deux variables. </t>
  </si>
  <si>
    <t>Changement de variables, application aux équations de propagation d'ondes.</t>
  </si>
  <si>
    <t>Points critiques.</t>
  </si>
  <si>
    <t>Technique de recherche d'extremats, points col/selle, coefficients de Monge.</t>
  </si>
  <si>
    <t>Surfaces de l’espace.</t>
  </si>
  <si>
    <t>Gradient en un point et plan tangent.</t>
  </si>
  <si>
    <t>Champs scalaires et champs vectoriels / exemples réels.</t>
  </si>
  <si>
    <t>Gradient.</t>
  </si>
  <si>
    <t>Rotationnel.</t>
  </si>
  <si>
    <t>Divergence.</t>
  </si>
  <si>
    <t>Laplacien.</t>
  </si>
  <si>
    <t>Opérations, troncature et parité.</t>
  </si>
  <si>
    <t>Exemples.</t>
  </si>
  <si>
    <t>Utilisation des ces formules pour obtenir les DL d'autres fonctions usuelles type.</t>
  </si>
  <si>
    <t>Utilisation des ces formules pour obtenir les DL d'autres fonctions usuelles type 1/1+x, 1/1+x² et tanx.</t>
  </si>
  <si>
    <t>Savoir faire un changement de variable x = h + a.</t>
  </si>
  <si>
    <t>Savoir faire un changement de variable x = 1/h.</t>
  </si>
  <si>
    <t>Savoir que le développement limité d’une fonction f en un point x0 nous permet de comprendre le comportement de f en x0.</t>
  </si>
  <si>
    <t>Tangente application au calcul de limites et levées de formes indéterminées / équivalents.</t>
  </si>
  <si>
    <t>Application à la détermination de la position par rapport à la tangente.</t>
  </si>
  <si>
    <t>Connaître la relation entre les primitives d'une même fonction. Unicité de la primitive avec la donnée d'une condition initiale.</t>
  </si>
  <si>
    <t>Connaître les formules et être capable de les appliquer.</t>
  </si>
  <si>
    <t>Linéarité, positivité, relation de Chasles, Valeur moyenne d'une fonction.</t>
  </si>
  <si>
    <t>Intégrales dont une borne dépend d'un paramètre : comprendre la notation, savoir la dérivée et l'étudier.</t>
  </si>
  <si>
    <t>Connaître l'écriture d'une primitive sous forme intégrale (notation sans borme).</t>
  </si>
  <si>
    <t>Changement de variables affine.</t>
  </si>
  <si>
    <t>Changement de variables polaire.</t>
  </si>
  <si>
    <t>Formule du Jacobien.</t>
  </si>
  <si>
    <t>Changement de variables cylindrique.</t>
  </si>
  <si>
    <t>Changement de variables sphérique.</t>
  </si>
  <si>
    <t>Solutions particulières de l’équation avec second membre.</t>
  </si>
  <si>
    <t>Principe de superposition.</t>
  </si>
  <si>
    <t>Équations de la forme y′ +ay = p(x)exp(αx)</t>
  </si>
  <si>
    <t>Équations de la forme y′ +ay = bcos(ωx) +csin(ωx)</t>
  </si>
  <si>
    <t>Équations de la forme y′ +ay = p(x)(bcos(ω1x) +csin(ω2x))</t>
  </si>
  <si>
    <t>Cas où d(x) est un polynôme.</t>
  </si>
  <si>
    <t>Cas où d(x) est le produit d’un polynôme et d’une exponentielle.</t>
  </si>
  <si>
    <t>Cas où d(x) est une combinaison linéaire de fonctions trigonométriques.</t>
  </si>
  <si>
    <t>Cas où d(x) est le produit d’une fonction trigonométrique et d’une exponentielle.</t>
  </si>
  <si>
    <t>Echelon unité.</t>
  </si>
  <si>
    <t>Lien avec l'automatique.</t>
  </si>
  <si>
    <t>Méthode un+1-Un, Un+1/Un, Un+1=f(Un)</t>
  </si>
  <si>
    <t>Point fixe</t>
  </si>
  <si>
    <t>Critères de convergence de Riemann pour les séries géométriques, exemples classiques (harmonique…)</t>
  </si>
  <si>
    <t>Série arithmétique, série géométrique, série harmonique.</t>
  </si>
  <si>
    <t>Séries de Riemman, Séries de Bertrand et critères de convergence.</t>
  </si>
  <si>
    <t>Critères de convergence.</t>
  </si>
  <si>
    <t>Connaître le nom des coefficients. Savoir que a0 correspond à la valeur moyenne de f sur T.</t>
  </si>
  <si>
    <t>Formules de calcul des coefficients réels et complexes.</t>
  </si>
  <si>
    <t>Connaître les simplifications obtenues dans ces deux cas.</t>
  </si>
  <si>
    <t>Symétrie glissée et nullité des coefficients pairs.</t>
  </si>
  <si>
    <t>Application aux calculs de sommes.</t>
  </si>
  <si>
    <t>Définition de la notation factorielle n! et propriétés.</t>
  </si>
  <si>
    <t>Propriétés des combinaisons, formule du binôme.</t>
  </si>
  <si>
    <t>Univers, évènements élémentaires, évènements contraires, certains et impossibles. Loi de Morgan. Diagrammes de Venn</t>
  </si>
  <si>
    <t xml:space="preserve">Définr ce qu'est une expérience aléatoire et une probabilité. Evènements incompatibles. </t>
  </si>
  <si>
    <t>Baye.</t>
  </si>
  <si>
    <t>Exemples simples.</t>
  </si>
  <si>
    <t>Lien avec les barycentres / systèmes pondérés.</t>
  </si>
  <si>
    <t>Loi (et fonction de répartition ?).</t>
  </si>
  <si>
    <t>Lois usuelles (Uniforme, Bernoulli, binomiale, géométrique, Poisson), lien entre loi uniforme et équiprobabilité.</t>
  </si>
  <si>
    <t>Inégalité de Markov / Bienaymé-Tchebychev.</t>
  </si>
  <si>
    <t>Lois usuelles (uniforme, exponentielle, normale) + lois utilisées en statistiques ? (X2, Student, Fisher...).</t>
  </si>
  <si>
    <t>Loi des grands nombres / Lien avec les statistiques (échantillonnage / estimation).</t>
  </si>
  <si>
    <t>Théorème central limite / Théorème de Moivre-Laplace.</t>
  </si>
  <si>
    <t>Résoudre des problèmes complexes en lien avec les thématiques industrielles (fiabilité, maintenance de machine, test de production etc).</t>
  </si>
  <si>
    <t>Vocabulaire (variables quantitatives/qualitatives, discrètes/continues).</t>
  </si>
  <si>
    <t>Tableaux statistiques et graphiques.</t>
  </si>
  <si>
    <t>Mode.</t>
  </si>
  <si>
    <t>Nuage de points.</t>
  </si>
  <si>
    <t>Coefficient de corrélation linéaire.</t>
  </si>
  <si>
    <t>Méthode de Mayer (points moyens).</t>
  </si>
  <si>
    <t>Méthode des points extrêmes.</t>
  </si>
  <si>
    <t>Méthode des moindres carrés.</t>
  </si>
  <si>
    <t>Autres méthodes faisant intervenir des changements de variables (exponentiel, logarithmiques…).</t>
  </si>
  <si>
    <t>Ajustements non linéaires.</t>
  </si>
  <si>
    <t>Régressions logistiques.</t>
  </si>
  <si>
    <t>Notion d'échantillon.</t>
  </si>
  <si>
    <t>Lois d'échantillonnage de la moyenne et de la fréquence.</t>
  </si>
  <si>
    <t>Intervalle de fluctuation.</t>
  </si>
  <si>
    <t>Notion d'estimation (biais, ...).</t>
  </si>
  <si>
    <t>Estimation ponctuelle de la moyenne et de la fréquence.</t>
  </si>
  <si>
    <t>Estimation par intervalle de confiance de la moyenne et de la fréquence.</t>
  </si>
  <si>
    <t>De la moyenne (test de Student).</t>
  </si>
  <si>
    <t>De la fréquence.</t>
  </si>
  <si>
    <t>De la moyenne.</t>
  </si>
  <si>
    <t>Comparaison de deux variances (test de Fisher).</t>
  </si>
  <si>
    <t>Comparaison de deux moyennes.</t>
  </si>
  <si>
    <t>Illustration de l'ajusement à une loi normale: droite de Henry (QQ plot).</t>
  </si>
  <si>
    <t>Test d'adéquation (ou d'justement) du Khi-Deux (ex: est-ce que ma VA suit une loi normale ?).</t>
  </si>
  <si>
    <t>Test d'indépendance du Khi-Deux (ex: est-ce que les VA Genre et fumeurs sont indépendantes ?).</t>
  </si>
  <si>
    <t>Distinguer les différents types de complexité.</t>
  </si>
  <si>
    <t>Calculer la complexité d'un programme simple.</t>
  </si>
  <si>
    <t>Estimer la taille d'une variable complexe en mémoire.</t>
  </si>
  <si>
    <t>Ordonner les différentes classes de complexité.</t>
  </si>
  <si>
    <t>Interpréter la complexité d’un algorithme ou d’un problème du point de vue de l’implémentation.</t>
  </si>
  <si>
    <t>Déterminer si un problème de décision est dans NP par un test polynomial sur une solution candidate.</t>
  </si>
  <si>
    <t>Calculer la complexité d'un algorithme, et la représenter sous forme asymptotique.</t>
  </si>
  <si>
    <t>Déterminer une complexité temporelle raisonnable en fonction du contexte.</t>
  </si>
  <si>
    <t>Relier un problème d'optimisation à un problème de décision.</t>
  </si>
  <si>
    <t>Distinguer la classe P et la classe NP.</t>
  </si>
  <si>
    <t>Reformuler la position d’un problème NP-Complet dans NP.</t>
  </si>
  <si>
    <t>Expliquer et interpréter une démonstration de NP-Complétude.</t>
  </si>
  <si>
    <t>Décrire le principe de notation asymptotique d'une complexité.</t>
  </si>
  <si>
    <t>Classifier les ordres de grandeur de complexité algorithmique.</t>
  </si>
  <si>
    <t>Exprimer le fait que la notion de complexité dépend du codage d’une instance.</t>
  </si>
  <si>
    <t>Citer la notion de NP-Complétude forte qui en découle.</t>
  </si>
  <si>
    <t>Mentionner le lien entre complexité d’un problème de décision et Machine de Turing.</t>
  </si>
  <si>
    <t>Définir la Recherche Opérationnelle.</t>
  </si>
  <si>
    <t>Lister les différentes classifications des problèmes d'optimisation.</t>
  </si>
  <si>
    <t>Appréhender les modèles de calculs en R.O. : programmation linéaire et non-linéaire, programmation dynamique, meta-heuristiques.</t>
  </si>
  <si>
    <t>Utiliser le vocabulaire utilisé dans la Programmation Linéaire.</t>
  </si>
  <si>
    <t>Transformer les informations d'un problème en un système d'équations/d'inéquations.</t>
  </si>
  <si>
    <t>Calculer une solution en appliquant une méthode de résolution graphique.</t>
  </si>
  <si>
    <t>Lister les étapes de l'algorithme du simplexe.</t>
  </si>
  <si>
    <t>Transformer un problème primal en un problème dual.</t>
  </si>
  <si>
    <t>Reformuler le principe de problème difficile en utilisant la notion de voisinage, d’algorithme glouton, et d’optimum local/global.</t>
  </si>
  <si>
    <t>Modéliser la notion de voisin d’une solution d’un problème d’optimisation algorithmique.</t>
  </si>
  <si>
    <t>Démontrer la différence entre un optimum local et un optimum global.</t>
  </si>
  <si>
    <t>Construire une structure de données pour représenter un problème et ses solutions.</t>
  </si>
  <si>
    <t>Utiliser des Trasnformée de Fourier sur des signaux non périodique</t>
  </si>
  <si>
    <t>Représentation graphique, conjecture, démonstration / récurrence</t>
  </si>
  <si>
    <t>Définition d'une série</t>
  </si>
  <si>
    <t>Présentation, définition de la convergence d'une série</t>
  </si>
  <si>
    <t>Conséquence de certains autres élements de symétrie sur les coefficients</t>
  </si>
  <si>
    <t>Sens direct</t>
  </si>
  <si>
    <t>Sens inverse</t>
  </si>
  <si>
    <t>Caractéristiques de position</t>
  </si>
  <si>
    <t>Méthodes de représentation</t>
  </si>
  <si>
    <t>Test unilatéral</t>
  </si>
  <si>
    <t>Test bilatéral</t>
  </si>
  <si>
    <t>Mode de génération d'une suite : explicite ou récurrente</t>
  </si>
  <si>
    <t>Limites finies et infinies en un réel fini et en l'infini</t>
  </si>
  <si>
    <t>Dimension d'un espace vectoriel</t>
  </si>
  <si>
    <t>Sous espace vectoriel supplémentaire</t>
  </si>
  <si>
    <t>Combinaison linéaire</t>
  </si>
  <si>
    <t>Applications linéaires, rang, image, noyau</t>
  </si>
  <si>
    <t>Modélisation de situations par un graphe</t>
  </si>
  <si>
    <t>Chaines et Cycles eulériens</t>
  </si>
  <si>
    <t>Méthodologie de la décomposition</t>
  </si>
  <si>
    <t xml:space="preserve">Zéros et Pôles d'une fraction rationnelle </t>
  </si>
  <si>
    <t>Polynôme dérivé et degré</t>
  </si>
  <si>
    <t>Opérations</t>
  </si>
  <si>
    <t>Analyse : Etude 1D</t>
  </si>
  <si>
    <t>Analyse : fonctions de plx variables</t>
  </si>
  <si>
    <t>Graphes</t>
  </si>
  <si>
    <t>Matrices et systèmes</t>
  </si>
  <si>
    <t>Epreuve rédactionnelle :Maths spé  G/BTP : fonctions de plusieurs variables // Info/S3E Complexité Algo</t>
  </si>
  <si>
    <t>Epreuve rédactionnelle - Etude de fonctions 1D</t>
  </si>
  <si>
    <t>Epreuve rédactionnelle : Statistique et probabilités</t>
  </si>
  <si>
    <t>Epreuve rédactionnelle : Equations différentielles</t>
  </si>
  <si>
    <t>QCM : Analyse : Etude de plusieurs variables, suites et série</t>
  </si>
  <si>
    <t>QCM : Géométrie</t>
  </si>
  <si>
    <t>QCM : Algèbre : nombres complexes, matrices et systèmes</t>
  </si>
  <si>
    <t>Probabilités continues et discrètes</t>
  </si>
  <si>
    <t>QCM : Analyse : Equations différentielles 1</t>
  </si>
  <si>
    <t>QCM : Analyse : fonctions multivariées, opérateurs et développements limités</t>
  </si>
  <si>
    <t>QCM : Probabilités continues et discrètes</t>
  </si>
  <si>
    <t>QCM : Statistiques univariés et bivariés</t>
  </si>
  <si>
    <t xml:space="preserve">QCM : Géomètrie </t>
  </si>
  <si>
    <t>QCM : Analyse : suites, série 1</t>
  </si>
  <si>
    <t>QCM : Algèbre : Nombres complexes</t>
  </si>
  <si>
    <t>QCM : Algèbre : Arithmétique</t>
  </si>
  <si>
    <t>QCM : Algèbre : Matrice et système</t>
  </si>
  <si>
    <t>QCM : Analyse : fonctiosn, developpement limités</t>
  </si>
  <si>
    <t xml:space="preserve">QCM : Géométrie </t>
  </si>
  <si>
    <t>QCM : Analyse :  Etude nD</t>
  </si>
  <si>
    <t>Rédactionnel : Démarche : Transformées de Laplace et  Equa Diff, fonctions NV 1 et 2</t>
  </si>
  <si>
    <t>Rédactionnel :Modéliser/Représenter des données : Statistiques inférentielles</t>
  </si>
  <si>
    <t>Rédactionnel :Modéliser/Représenter des données  : Statistiques descriptives</t>
  </si>
  <si>
    <t>Analyse :
Etude 1D</t>
  </si>
  <si>
    <t xml:space="preserve">Probabilités </t>
  </si>
  <si>
    <t>Statistiques inférentielles (hors TOMIC)</t>
  </si>
  <si>
    <t>Analyse : Etude de fonction 1D</t>
  </si>
  <si>
    <t xml:space="preserve">Equations différentielles (oscillation/harmoniques) 
</t>
  </si>
  <si>
    <t xml:space="preserve">
Probabilités et Statistiques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</si>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</sst>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63" x14ac:knownFonts="1">
    <font>
      <sz val="10"/>
      <color rgb="FF000000"/>
      <name val="Arial"/>
    </font>
    <font>
      <b/>
      <sz val="10"/>
      <color rgb="FF000000"/>
      <name val="Arial"/>
      <family val="2"/>
    </font>
    <font>
      <b/>
      <sz val="14"/>
      <color rgb="FF000000"/>
      <name val="Arial"/>
      <family val="2"/>
    </font>
    <font>
      <sz val="10"/>
      <color rgb="FF000000"/>
      <name val="Arial"/>
      <family val="2"/>
    </font>
    <font>
      <i/>
      <sz val="10"/>
      <color rgb="FF000000"/>
      <name val="Arial"/>
      <family val="2"/>
    </font>
    <font>
      <sz val="10"/>
      <color rgb="FF000000"/>
      <name val="Arial"/>
      <family val="2"/>
    </font>
    <font>
      <u/>
      <sz val="10"/>
      <color theme="10"/>
      <name val="Arial"/>
      <family val="2"/>
    </font>
    <font>
      <b/>
      <sz val="16"/>
      <color theme="1"/>
      <name val="Arial"/>
      <family val="2"/>
    </font>
    <font>
      <sz val="16"/>
      <color rgb="FF000000"/>
      <name val="Arial"/>
      <family val="2"/>
    </font>
    <font>
      <b/>
      <sz val="12"/>
      <color rgb="FF000000"/>
      <name val="Arial"/>
      <family val="2"/>
    </font>
    <font>
      <sz val="11"/>
      <color rgb="FF006100"/>
      <name val="Arial"/>
      <family val="2"/>
      <scheme val="minor"/>
    </font>
    <font>
      <b/>
      <sz val="18"/>
      <color rgb="FF000000"/>
      <name val="Arial"/>
      <family val="2"/>
    </font>
    <font>
      <b/>
      <u/>
      <sz val="10"/>
      <color theme="10"/>
      <name val="Arial"/>
      <family val="2"/>
    </font>
    <font>
      <b/>
      <sz val="10"/>
      <color rgb="FF000000"/>
      <name val="Calibri"/>
      <family val="2"/>
    </font>
    <font>
      <sz val="10"/>
      <color rgb="FF000000"/>
      <name val="Calibri"/>
      <family val="2"/>
    </font>
    <font>
      <b/>
      <sz val="14"/>
      <color theme="1"/>
      <name val="Calibri"/>
      <family val="2"/>
    </font>
    <font>
      <sz val="10"/>
      <name val="Calibri"/>
      <family val="2"/>
    </font>
    <font>
      <b/>
      <sz val="12"/>
      <color rgb="FF000000"/>
      <name val="Calibri"/>
      <family val="2"/>
    </font>
    <font>
      <b/>
      <sz val="11"/>
      <color theme="1"/>
      <name val="Calibri"/>
      <family val="2"/>
    </font>
    <font>
      <b/>
      <sz val="20"/>
      <color theme="1"/>
      <name val="Calibri"/>
      <family val="2"/>
    </font>
    <font>
      <b/>
      <sz val="14"/>
      <color theme="0"/>
      <name val="Calibri"/>
      <family val="2"/>
    </font>
    <font>
      <sz val="10"/>
      <color theme="0"/>
      <name val="Calibri"/>
      <family val="2"/>
    </font>
    <font>
      <sz val="12"/>
      <color rgb="FF000000"/>
      <name val="Calibri"/>
      <family val="2"/>
    </font>
    <font>
      <sz val="12"/>
      <color theme="1"/>
      <name val="Calibri"/>
      <family val="2"/>
    </font>
    <font>
      <b/>
      <sz val="16"/>
      <color rgb="FFFFFFFF"/>
      <name val="Calibri"/>
      <family val="2"/>
    </font>
    <font>
      <b/>
      <sz val="14"/>
      <color rgb="FFFFFFFF"/>
      <name val="Calibri"/>
      <family val="2"/>
    </font>
    <font>
      <sz val="11"/>
      <color rgb="FF231F20"/>
      <name val="Calibri"/>
      <family val="2"/>
    </font>
    <font>
      <sz val="12"/>
      <color rgb="FF231F20"/>
      <name val="Calibri"/>
      <family val="2"/>
    </font>
    <font>
      <b/>
      <sz val="12"/>
      <color rgb="FF006100"/>
      <name val="Calibri"/>
      <family val="2"/>
    </font>
    <font>
      <b/>
      <sz val="10"/>
      <color rgb="FFFFFFFF"/>
      <name val="Calibri"/>
      <family val="2"/>
    </font>
    <font>
      <b/>
      <sz val="12"/>
      <name val="Calibri"/>
      <family val="2"/>
    </font>
    <font>
      <b/>
      <sz val="12"/>
      <color theme="0"/>
      <name val="Calibri"/>
      <family val="2"/>
    </font>
    <font>
      <sz val="12"/>
      <color theme="0"/>
      <name val="Calibri"/>
      <family val="2"/>
    </font>
    <font>
      <b/>
      <sz val="14"/>
      <color rgb="FFD2005E"/>
      <name val="Calibri"/>
      <family val="2"/>
    </font>
    <font>
      <b/>
      <sz val="22"/>
      <color theme="0"/>
      <name val="Arial"/>
      <family val="2"/>
    </font>
    <font>
      <b/>
      <sz val="26"/>
      <color rgb="FF000000"/>
      <name val="Arial"/>
      <family val="2"/>
    </font>
    <font>
      <b/>
      <sz val="18"/>
      <color rgb="FF000000"/>
      <name val="Calibri"/>
      <family val="2"/>
    </font>
    <font>
      <b/>
      <sz val="16"/>
      <color theme="1"/>
      <name val="Calibri"/>
      <family val="2"/>
    </font>
    <font>
      <sz val="16"/>
      <color rgb="FF000000"/>
      <name val="Calibri"/>
      <family val="2"/>
    </font>
    <font>
      <u/>
      <sz val="10"/>
      <color theme="10"/>
      <name val="Calibri"/>
      <family val="2"/>
    </font>
    <font>
      <b/>
      <sz val="14"/>
      <color rgb="FF000000"/>
      <name val="Calibri"/>
      <family val="2"/>
    </font>
    <font>
      <i/>
      <sz val="10"/>
      <color rgb="FF000000"/>
      <name val="Calibri"/>
      <family val="2"/>
    </font>
    <font>
      <b/>
      <u/>
      <sz val="10"/>
      <color theme="10"/>
      <name val="Calibri"/>
      <family val="2"/>
    </font>
    <font>
      <b/>
      <sz val="22"/>
      <color theme="0"/>
      <name val="Calibri"/>
      <family val="2"/>
    </font>
    <font>
      <b/>
      <sz val="26"/>
      <color rgb="FF000000"/>
      <name val="Calibri"/>
      <family val="2"/>
    </font>
    <font>
      <b/>
      <sz val="12"/>
      <color theme="1"/>
      <name val="Calibri"/>
      <family val="2"/>
    </font>
    <font>
      <b/>
      <sz val="9"/>
      <color rgb="FFFFFFFF"/>
      <name val="Calibri"/>
      <family val="2"/>
    </font>
    <font>
      <sz val="11"/>
      <color rgb="FF006100"/>
      <name val="Calibri"/>
      <family val="2"/>
    </font>
    <font>
      <b/>
      <sz val="28"/>
      <color rgb="FF000000"/>
      <name val="Calibri"/>
      <family val="2"/>
    </font>
    <font>
      <b/>
      <sz val="24"/>
      <color theme="1"/>
      <name val="Calibri"/>
      <family val="2"/>
    </font>
    <font>
      <sz val="20"/>
      <color rgb="FF000000"/>
      <name val="Calibri"/>
      <family val="2"/>
    </font>
    <font>
      <b/>
      <sz val="18"/>
      <color theme="1"/>
      <name val="Calibri"/>
      <family val="2"/>
    </font>
    <font>
      <b/>
      <sz val="16"/>
      <color theme="0"/>
      <name val="Calibri"/>
      <family val="2"/>
    </font>
    <font>
      <b/>
      <sz val="9"/>
      <color theme="0"/>
      <name val="Calibri"/>
      <family val="2"/>
    </font>
    <font>
      <i/>
      <sz val="12"/>
      <color rgb="FF000000"/>
      <name val="Calibri"/>
      <family val="2"/>
    </font>
    <font>
      <b/>
      <i/>
      <sz val="12"/>
      <color rgb="FF000000"/>
      <name val="Calibri"/>
      <family val="2"/>
    </font>
    <font>
      <u/>
      <sz val="12"/>
      <color theme="10"/>
      <name val="Calibri"/>
      <family val="2"/>
    </font>
    <font>
      <sz val="12"/>
      <color rgb="FF242424"/>
      <name val="Calibri"/>
      <family val="2"/>
    </font>
    <font>
      <sz val="10"/>
      <color rgb="FF000000"/>
      <name val="Arial"/>
      <family val="2"/>
      <scheme val="minor"/>
    </font>
    <font>
      <sz val="10"/>
      <color rgb="FF231F20"/>
      <name val="Arial"/>
      <family val="2"/>
      <scheme val="minor"/>
    </font>
    <font>
      <sz val="10"/>
      <color theme="1"/>
      <name val="Arial"/>
      <family val="2"/>
      <scheme val="minor"/>
    </font>
    <font>
      <b/>
      <sz val="9"/>
      <color indexed="81"/>
      <name val="Tahoma"/>
      <family val="2"/>
    </font>
    <font>
      <sz val="9"/>
      <color indexed="81"/>
      <name val="Tahoma"/>
      <family val="2"/>
    </font>
  </fonts>
  <fills count="45">
    <fill>
      <patternFill patternType="none"/>
    </fill>
    <fill>
      <patternFill patternType="gray125"/>
    </fill>
    <fill>
      <patternFill patternType="solid">
        <fgColor rgb="FFCCCCCC"/>
        <bgColor rgb="FFCCCCCC"/>
      </patternFill>
    </fill>
    <fill>
      <patternFill patternType="solid">
        <fgColor rgb="FFFFFF00"/>
        <bgColor indexed="64"/>
      </patternFill>
    </fill>
    <fill>
      <patternFill patternType="solid">
        <fgColor rgb="FF0070C0"/>
        <bgColor theme="6"/>
      </patternFill>
    </fill>
    <fill>
      <patternFill patternType="solid">
        <fgColor rgb="FF0070C0"/>
        <bgColor indexed="64"/>
      </patternFill>
    </fill>
    <fill>
      <patternFill patternType="solid">
        <fgColor theme="8" tint="0.79998168889431442"/>
        <bgColor indexed="64"/>
      </patternFill>
    </fill>
    <fill>
      <patternFill patternType="solid">
        <fgColor rgb="FF7030A0"/>
        <bgColor indexed="64"/>
      </patternFill>
    </fill>
    <fill>
      <patternFill patternType="solid">
        <fgColor rgb="FFFFFFFF"/>
        <bgColor indexed="64"/>
      </patternFill>
    </fill>
    <fill>
      <patternFill patternType="solid">
        <fgColor rgb="FFFF0000"/>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rgb="FF92D050"/>
        <bgColor indexed="64"/>
      </patternFill>
    </fill>
    <fill>
      <patternFill patternType="solid">
        <fgColor theme="0"/>
        <bgColor indexed="64"/>
      </patternFill>
    </fill>
    <fill>
      <patternFill patternType="solid">
        <fgColor rgb="FFC6EFCE"/>
      </patternFill>
    </fill>
    <fill>
      <patternFill patternType="solid">
        <fgColor rgb="FF5C88DA"/>
        <bgColor indexed="64"/>
      </patternFill>
    </fill>
    <fill>
      <patternFill patternType="solid">
        <fgColor rgb="FF5C88DA"/>
        <bgColor rgb="FFFBBC04"/>
      </patternFill>
    </fill>
    <fill>
      <patternFill patternType="solid">
        <fgColor rgb="FF5C88DA"/>
        <bgColor rgb="FF77BC65"/>
      </patternFill>
    </fill>
    <fill>
      <patternFill patternType="solid">
        <fgColor rgb="FF5C88DA"/>
        <bgColor rgb="FFD5A6BD"/>
      </patternFill>
    </fill>
    <fill>
      <patternFill patternType="solid">
        <fgColor rgb="FF5C88DA"/>
        <bgColor rgb="FF729FCF"/>
      </patternFill>
    </fill>
    <fill>
      <patternFill patternType="solid">
        <fgColor rgb="FFDEE7F7"/>
        <bgColor rgb="FFFCE5CD"/>
      </patternFill>
    </fill>
    <fill>
      <patternFill patternType="solid">
        <fgColor rgb="FFDEE7F7"/>
        <bgColor indexed="64"/>
      </patternFill>
    </fill>
    <fill>
      <patternFill patternType="solid">
        <fgColor rgb="FFDEE7F7"/>
        <bgColor rgb="FFB6D7A8"/>
      </patternFill>
    </fill>
    <fill>
      <patternFill patternType="solid">
        <fgColor rgb="FFDEE7F7"/>
        <bgColor rgb="FFFAD6E3"/>
      </patternFill>
    </fill>
    <fill>
      <patternFill patternType="solid">
        <fgColor rgb="FFDEE7F7"/>
        <bgColor rgb="FFC9DAF8"/>
      </patternFill>
    </fill>
    <fill>
      <patternFill patternType="solid">
        <fgColor rgb="FFD2005E"/>
        <bgColor indexed="64"/>
      </patternFill>
    </fill>
    <fill>
      <patternFill patternType="solid">
        <fgColor rgb="FF5C88DA"/>
        <bgColor rgb="FFCCCCCC"/>
      </patternFill>
    </fill>
    <fill>
      <patternFill patternType="solid">
        <fgColor rgb="FF326295"/>
        <bgColor indexed="64"/>
      </patternFill>
    </fill>
    <fill>
      <patternFill patternType="solid">
        <fgColor rgb="FF1B365D"/>
        <bgColor indexed="64"/>
      </patternFill>
    </fill>
    <fill>
      <patternFill patternType="solid">
        <fgColor rgb="FF69B3E7"/>
        <bgColor indexed="64"/>
      </patternFill>
    </fill>
    <fill>
      <patternFill patternType="solid">
        <fgColor rgb="FFB1B3B3"/>
        <bgColor indexed="64"/>
      </patternFill>
    </fill>
    <fill>
      <patternFill patternType="solid">
        <fgColor theme="0" tint="-0.499984740745262"/>
        <bgColor indexed="64"/>
      </patternFill>
    </fill>
    <fill>
      <patternFill patternType="solid">
        <fgColor rgb="FF1B365D"/>
        <bgColor theme="6"/>
      </patternFill>
    </fill>
    <fill>
      <patternFill patternType="solid">
        <fgColor theme="2" tint="-9.9978637043366805E-2"/>
        <bgColor indexed="64"/>
      </patternFill>
    </fill>
    <fill>
      <patternFill patternType="solid">
        <fgColor theme="0" tint="-0.249977111117893"/>
        <bgColor indexed="64"/>
      </patternFill>
    </fill>
    <fill>
      <patternFill patternType="solid">
        <fgColor rgb="FFFFC000"/>
        <bgColor indexed="64"/>
      </patternFill>
    </fill>
    <fill>
      <patternFill patternType="solid">
        <fgColor theme="2"/>
        <bgColor indexed="64"/>
      </patternFill>
    </fill>
    <fill>
      <patternFill patternType="solid">
        <fgColor theme="0" tint="-0.14999847407452621"/>
        <bgColor indexed="64"/>
      </patternFill>
    </fill>
    <fill>
      <patternFill patternType="solid">
        <fgColor theme="4" tint="0.39997558519241921"/>
        <bgColor indexed="64"/>
      </patternFill>
    </fill>
  </fills>
  <borders count="148">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rgb="FF000000"/>
      </right>
      <top style="thin">
        <color rgb="FF000000"/>
      </top>
      <bottom style="thin">
        <color indexed="64"/>
      </bottom>
      <diagonal/>
    </border>
    <border>
      <left/>
      <right style="thin">
        <color rgb="FF000000"/>
      </right>
      <top style="thin">
        <color indexed="64"/>
      </top>
      <bottom style="thin">
        <color rgb="FF000000"/>
      </bottom>
      <diagonal/>
    </border>
    <border>
      <left style="thin">
        <color indexed="64"/>
      </left>
      <right style="thin">
        <color indexed="64"/>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thin">
        <color indexed="64"/>
      </right>
      <top style="thin">
        <color indexed="64"/>
      </top>
      <bottom style="medium">
        <color indexed="64"/>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thick">
        <color indexed="64"/>
      </right>
      <top style="thick">
        <color indexed="64"/>
      </top>
      <bottom style="medium">
        <color indexed="64"/>
      </bottom>
      <diagonal/>
    </border>
    <border>
      <left style="thin">
        <color indexed="64"/>
      </left>
      <right style="thick">
        <color indexed="64"/>
      </right>
      <top/>
      <bottom style="thin">
        <color indexed="64"/>
      </bottom>
      <diagonal/>
    </border>
    <border>
      <left style="thick">
        <color indexed="64"/>
      </left>
      <right/>
      <top style="thin">
        <color rgb="FF000000"/>
      </top>
      <bottom style="thin">
        <color rgb="FF000000"/>
      </bottom>
      <diagonal/>
    </border>
    <border>
      <left style="thin">
        <color indexed="64"/>
      </left>
      <right style="thick">
        <color indexed="64"/>
      </right>
      <top style="thin">
        <color indexed="64"/>
      </top>
      <bottom style="thin">
        <color indexed="64"/>
      </bottom>
      <diagonal/>
    </border>
    <border>
      <left style="thick">
        <color indexed="64"/>
      </left>
      <right/>
      <top style="thin">
        <color rgb="FF000000"/>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top style="thick">
        <color indexed="64"/>
      </top>
      <bottom/>
      <diagonal/>
    </border>
    <border>
      <left/>
      <right/>
      <top style="thick">
        <color indexed="64"/>
      </top>
      <bottom/>
      <diagonal/>
    </border>
    <border>
      <left style="thick">
        <color indexed="64"/>
      </left>
      <right/>
      <top style="thin">
        <color rgb="FF000000"/>
      </top>
      <bottom/>
      <diagonal/>
    </border>
    <border>
      <left style="thick">
        <color indexed="64"/>
      </left>
      <right/>
      <top style="medium">
        <color indexed="64"/>
      </top>
      <bottom style="thin">
        <color rgb="FF000000"/>
      </bottom>
      <diagonal/>
    </border>
    <border>
      <left style="thin">
        <color indexed="64"/>
      </left>
      <right style="thick">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ck">
        <color indexed="64"/>
      </right>
      <top style="medium">
        <color indexed="64"/>
      </top>
      <bottom style="thin">
        <color indexed="64"/>
      </bottom>
      <diagonal/>
    </border>
    <border>
      <left style="thin">
        <color indexed="64"/>
      </left>
      <right style="thin">
        <color indexed="64"/>
      </right>
      <top style="medium">
        <color indexed="64"/>
      </top>
      <bottom style="thick">
        <color indexed="64"/>
      </bottom>
      <diagonal/>
    </border>
    <border>
      <left/>
      <right style="thick">
        <color indexed="64"/>
      </right>
      <top style="medium">
        <color indexed="64"/>
      </top>
      <bottom style="thick">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ck">
        <color indexed="64"/>
      </bottom>
      <diagonal/>
    </border>
    <border>
      <left style="medium">
        <color indexed="64"/>
      </left>
      <right style="thick">
        <color indexed="64"/>
      </right>
      <top style="thin">
        <color indexed="64"/>
      </top>
      <bottom/>
      <diagonal/>
    </border>
    <border>
      <left style="medium">
        <color indexed="64"/>
      </left>
      <right style="thick">
        <color indexed="64"/>
      </right>
      <top/>
      <bottom style="medium">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thin">
        <color indexed="64"/>
      </bottom>
      <diagonal/>
    </border>
    <border>
      <left style="medium">
        <color indexed="64"/>
      </left>
      <right style="thick">
        <color indexed="64"/>
      </right>
      <top style="medium">
        <color indexed="64"/>
      </top>
      <bottom style="thick">
        <color indexed="64"/>
      </bottom>
      <diagonal/>
    </border>
    <border>
      <left/>
      <right style="thick">
        <color indexed="64"/>
      </right>
      <top style="thick">
        <color indexed="64"/>
      </top>
      <bottom/>
      <diagonal/>
    </border>
    <border>
      <left style="thin">
        <color indexed="64"/>
      </left>
      <right/>
      <top style="medium">
        <color indexed="64"/>
      </top>
      <bottom style="thin">
        <color indexed="64"/>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style="thick">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ck">
        <color indexed="64"/>
      </bottom>
      <diagonal/>
    </border>
    <border>
      <left style="thick">
        <color indexed="64"/>
      </left>
      <right style="medium">
        <color indexed="64"/>
      </right>
      <top style="medium">
        <color indexed="64"/>
      </top>
      <bottom style="thin">
        <color indexed="64"/>
      </bottom>
      <diagonal/>
    </border>
    <border>
      <left style="thick">
        <color indexed="64"/>
      </left>
      <right style="medium">
        <color indexed="64"/>
      </right>
      <top style="thin">
        <color indexed="64"/>
      </top>
      <bottom style="medium">
        <color indexed="64"/>
      </bottom>
      <diagonal/>
    </border>
    <border>
      <left style="thick">
        <color indexed="64"/>
      </left>
      <right style="medium">
        <color indexed="64"/>
      </right>
      <top/>
      <bottom style="thin">
        <color indexed="64"/>
      </bottom>
      <diagonal/>
    </border>
    <border>
      <left style="thick">
        <color indexed="64"/>
      </left>
      <right style="medium">
        <color indexed="64"/>
      </right>
      <top style="thin">
        <color indexed="64"/>
      </top>
      <bottom style="thin">
        <color indexed="64"/>
      </bottom>
      <diagonal/>
    </border>
    <border>
      <left style="thick">
        <color indexed="64"/>
      </left>
      <right style="medium">
        <color indexed="64"/>
      </right>
      <top style="thin">
        <color indexed="64"/>
      </top>
      <bottom/>
      <diagonal/>
    </border>
    <border>
      <left/>
      <right style="thick">
        <color indexed="64"/>
      </right>
      <top/>
      <bottom/>
      <diagonal/>
    </border>
    <border>
      <left style="medium">
        <color indexed="64"/>
      </left>
      <right style="thick">
        <color indexed="64"/>
      </right>
      <top/>
      <bottom/>
      <diagonal/>
    </border>
    <border>
      <left style="thin">
        <color indexed="64"/>
      </left>
      <right style="thick">
        <color indexed="64"/>
      </right>
      <top/>
      <bottom/>
      <diagonal/>
    </border>
    <border>
      <left style="medium">
        <color indexed="64"/>
      </left>
      <right style="thick">
        <color auto="1"/>
      </right>
      <top/>
      <bottom style="thick">
        <color auto="1"/>
      </bottom>
      <diagonal/>
    </border>
    <border>
      <left style="thick">
        <color auto="1"/>
      </left>
      <right style="medium">
        <color auto="1"/>
      </right>
      <top/>
      <bottom style="thick">
        <color indexed="64"/>
      </bottom>
      <diagonal/>
    </border>
    <border>
      <left style="thick">
        <color auto="1"/>
      </left>
      <right style="medium">
        <color auto="1"/>
      </right>
      <top/>
      <bottom/>
      <diagonal/>
    </border>
    <border>
      <left style="thick">
        <color auto="1"/>
      </left>
      <right style="medium">
        <color auto="1"/>
      </right>
      <top style="medium">
        <color indexed="64"/>
      </top>
      <bottom/>
      <diagonal/>
    </border>
    <border>
      <left style="thick">
        <color auto="1"/>
      </left>
      <right style="medium">
        <color auto="1"/>
      </right>
      <top/>
      <bottom style="medium">
        <color indexed="64"/>
      </bottom>
      <diagonal/>
    </border>
    <border>
      <left style="medium">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auto="1"/>
      </left>
      <right style="thin">
        <color auto="1"/>
      </right>
      <top style="thin">
        <color auto="1"/>
      </top>
      <bottom style="thick">
        <color indexed="64"/>
      </bottom>
      <diagonal/>
    </border>
    <border>
      <left style="thin">
        <color auto="1"/>
      </left>
      <right style="medium">
        <color indexed="64"/>
      </right>
      <top style="thin">
        <color auto="1"/>
      </top>
      <bottom style="thick">
        <color indexed="64"/>
      </bottom>
      <diagonal/>
    </border>
    <border>
      <left style="thin">
        <color auto="1"/>
      </left>
      <right style="medium">
        <color indexed="64"/>
      </right>
      <top style="medium">
        <color indexed="64"/>
      </top>
      <bottom style="thick">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thick">
        <color auto="1"/>
      </left>
      <right/>
      <top/>
      <bottom style="thick">
        <color auto="1"/>
      </bottom>
      <diagonal/>
    </border>
    <border>
      <left/>
      <right/>
      <top/>
      <bottom style="thick">
        <color auto="1"/>
      </bottom>
      <diagonal/>
    </border>
    <border>
      <left style="thin">
        <color indexed="64"/>
      </left>
      <right/>
      <top/>
      <bottom style="thick">
        <color auto="1"/>
      </bottom>
      <diagonal/>
    </border>
    <border>
      <left/>
      <right style="thick">
        <color auto="1"/>
      </right>
      <top/>
      <bottom style="thick">
        <color auto="1"/>
      </bottom>
      <diagonal/>
    </border>
    <border>
      <left style="thick">
        <color auto="1"/>
      </left>
      <right style="medium">
        <color indexed="64"/>
      </right>
      <top style="thick">
        <color auto="1"/>
      </top>
      <bottom/>
      <diagonal/>
    </border>
    <border>
      <left style="medium">
        <color auto="1"/>
      </left>
      <right style="thin">
        <color auto="1"/>
      </right>
      <top style="thick">
        <color auto="1"/>
      </top>
      <bottom style="thin">
        <color auto="1"/>
      </bottom>
      <diagonal/>
    </border>
    <border>
      <left style="thin">
        <color indexed="64"/>
      </left>
      <right style="thin">
        <color indexed="64"/>
      </right>
      <top style="thick">
        <color auto="1"/>
      </top>
      <bottom style="thin">
        <color indexed="64"/>
      </bottom>
      <diagonal/>
    </border>
    <border>
      <left style="thin">
        <color auto="1"/>
      </left>
      <right style="medium">
        <color indexed="64"/>
      </right>
      <top style="thick">
        <color auto="1"/>
      </top>
      <bottom style="thin">
        <color auto="1"/>
      </bottom>
      <diagonal/>
    </border>
    <border>
      <left style="medium">
        <color indexed="64"/>
      </left>
      <right style="medium">
        <color indexed="64"/>
      </right>
      <top style="thick">
        <color auto="1"/>
      </top>
      <bottom/>
      <diagonal/>
    </border>
    <border>
      <left style="medium">
        <color indexed="64"/>
      </left>
      <right/>
      <top style="thick">
        <color auto="1"/>
      </top>
      <bottom/>
      <diagonal/>
    </border>
    <border>
      <left style="medium">
        <color indexed="64"/>
      </left>
      <right style="medium">
        <color indexed="64"/>
      </right>
      <top/>
      <bottom style="thick">
        <color auto="1"/>
      </bottom>
      <diagonal/>
    </border>
    <border>
      <left style="medium">
        <color indexed="64"/>
      </left>
      <right/>
      <top/>
      <bottom style="thick">
        <color auto="1"/>
      </bottom>
      <diagonal/>
    </border>
    <border>
      <left style="thick">
        <color auto="1"/>
      </left>
      <right style="medium">
        <color indexed="64"/>
      </right>
      <top style="thick">
        <color auto="1"/>
      </top>
      <bottom style="thick">
        <color auto="1"/>
      </bottom>
      <diagonal/>
    </border>
    <border>
      <left style="medium">
        <color indexed="64"/>
      </left>
      <right style="thin">
        <color indexed="64"/>
      </right>
      <top style="thick">
        <color auto="1"/>
      </top>
      <bottom style="thick">
        <color auto="1"/>
      </bottom>
      <diagonal/>
    </border>
    <border>
      <left style="thin">
        <color indexed="64"/>
      </left>
      <right style="thin">
        <color indexed="64"/>
      </right>
      <top style="thick">
        <color auto="1"/>
      </top>
      <bottom style="thick">
        <color auto="1"/>
      </bottom>
      <diagonal/>
    </border>
    <border>
      <left style="thin">
        <color indexed="64"/>
      </left>
      <right style="medium">
        <color indexed="64"/>
      </right>
      <top style="thick">
        <color auto="1"/>
      </top>
      <bottom style="thick">
        <color auto="1"/>
      </bottom>
      <diagonal/>
    </border>
    <border>
      <left style="medium">
        <color indexed="64"/>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ck">
        <color indexed="64"/>
      </left>
      <right style="thin">
        <color indexed="64"/>
      </right>
      <top style="medium">
        <color indexed="64"/>
      </top>
      <bottom style="medium">
        <color indexed="64"/>
      </bottom>
      <diagonal/>
    </border>
    <border>
      <left style="medium">
        <color indexed="64"/>
      </left>
      <right style="thick">
        <color indexed="64"/>
      </right>
      <top style="thick">
        <color indexed="64"/>
      </top>
      <bottom/>
      <diagonal/>
    </border>
    <border>
      <left style="medium">
        <color indexed="64"/>
      </left>
      <right style="thick">
        <color indexed="64"/>
      </right>
      <top style="thick">
        <color indexed="64"/>
      </top>
      <bottom style="thick">
        <color indexed="64"/>
      </bottom>
      <diagonal/>
    </border>
    <border>
      <left style="thick">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ck">
        <color indexed="64"/>
      </right>
      <top/>
      <bottom style="medium">
        <color indexed="64"/>
      </bottom>
      <diagonal/>
    </border>
    <border>
      <left/>
      <right/>
      <top style="medium">
        <color indexed="64"/>
      </top>
      <bottom style="thick">
        <color auto="1"/>
      </bottom>
      <diagonal/>
    </border>
    <border>
      <left/>
      <right style="medium">
        <color indexed="64"/>
      </right>
      <top style="medium">
        <color indexed="64"/>
      </top>
      <bottom style="thick">
        <color auto="1"/>
      </bottom>
      <diagonal/>
    </border>
    <border>
      <left style="thick">
        <color auto="1"/>
      </left>
      <right/>
      <top/>
      <bottom/>
      <diagonal/>
    </border>
    <border>
      <left/>
      <right style="medium">
        <color indexed="64"/>
      </right>
      <top/>
      <bottom style="thick">
        <color auto="1"/>
      </bottom>
      <diagonal/>
    </border>
    <border>
      <left/>
      <right style="medium">
        <color indexed="64"/>
      </right>
      <top style="thick">
        <color auto="1"/>
      </top>
      <bottom/>
      <diagonal/>
    </border>
    <border>
      <left/>
      <right style="medium">
        <color indexed="64"/>
      </right>
      <top style="thick">
        <color auto="1"/>
      </top>
      <bottom style="thick">
        <color auto="1"/>
      </bottom>
      <diagonal/>
    </border>
    <border>
      <left style="thick">
        <color indexed="64"/>
      </left>
      <right style="thin">
        <color indexed="64"/>
      </right>
      <top style="thin">
        <color indexed="64"/>
      </top>
      <bottom style="medium">
        <color indexed="64"/>
      </bottom>
      <diagonal/>
    </border>
    <border>
      <left/>
      <right style="thin">
        <color indexed="64"/>
      </right>
      <top style="thick">
        <color auto="1"/>
      </top>
      <bottom style="thin">
        <color indexed="64"/>
      </bottom>
      <diagonal/>
    </border>
    <border>
      <left/>
      <right style="thin">
        <color indexed="64"/>
      </right>
      <top style="thin">
        <color indexed="64"/>
      </top>
      <bottom style="thick">
        <color auto="1"/>
      </bottom>
      <diagonal/>
    </border>
    <border>
      <left/>
      <right style="thin">
        <color indexed="64"/>
      </right>
      <top style="thick">
        <color auto="1"/>
      </top>
      <bottom style="thick">
        <color auto="1"/>
      </bottom>
      <diagonal/>
    </border>
    <border>
      <left style="medium">
        <color indexed="64"/>
      </left>
      <right style="medium">
        <color indexed="64"/>
      </right>
      <top style="thick">
        <color auto="1"/>
      </top>
      <bottom style="thick">
        <color auto="1"/>
      </bottom>
      <diagonal/>
    </border>
    <border>
      <left style="thick">
        <color auto="1"/>
      </left>
      <right style="medium">
        <color indexed="64"/>
      </right>
      <top style="thick">
        <color auto="1"/>
      </top>
      <bottom style="medium">
        <color indexed="64"/>
      </bottom>
      <diagonal/>
    </border>
    <border>
      <left/>
      <right style="thin">
        <color indexed="64"/>
      </right>
      <top style="thick">
        <color auto="1"/>
      </top>
      <bottom style="medium">
        <color indexed="64"/>
      </bottom>
      <diagonal/>
    </border>
    <border>
      <left style="thin">
        <color indexed="64"/>
      </left>
      <right style="thin">
        <color indexed="64"/>
      </right>
      <top style="thick">
        <color auto="1"/>
      </top>
      <bottom style="medium">
        <color indexed="64"/>
      </bottom>
      <diagonal/>
    </border>
    <border>
      <left style="thin">
        <color indexed="64"/>
      </left>
      <right style="medium">
        <color indexed="64"/>
      </right>
      <top style="thick">
        <color auto="1"/>
      </top>
      <bottom style="medium">
        <color indexed="64"/>
      </bottom>
      <diagonal/>
    </border>
    <border>
      <left style="medium">
        <color indexed="64"/>
      </left>
      <right style="medium">
        <color indexed="64"/>
      </right>
      <top style="thick">
        <color auto="1"/>
      </top>
      <bottom style="medium">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medium">
        <color indexed="64"/>
      </bottom>
      <diagonal/>
    </border>
    <border>
      <left style="thick">
        <color indexed="64"/>
      </left>
      <right style="medium">
        <color indexed="64"/>
      </right>
      <top style="thick">
        <color indexed="64"/>
      </top>
      <bottom style="thin">
        <color indexed="64"/>
      </bottom>
      <diagonal/>
    </border>
    <border>
      <left style="thick">
        <color indexed="64"/>
      </left>
      <right style="medium">
        <color indexed="64"/>
      </right>
      <top style="thin">
        <color indexed="64"/>
      </top>
      <bottom style="thick">
        <color auto="1"/>
      </bottom>
      <diagonal/>
    </border>
    <border>
      <left style="thin">
        <color indexed="64"/>
      </left>
      <right/>
      <top style="thick">
        <color auto="1"/>
      </top>
      <bottom style="thin">
        <color indexed="64"/>
      </bottom>
      <diagonal/>
    </border>
    <border>
      <left style="medium">
        <color indexed="64"/>
      </left>
      <right style="thick">
        <color indexed="64"/>
      </right>
      <top style="thick">
        <color indexed="64"/>
      </top>
      <bottom style="thin">
        <color indexed="64"/>
      </bottom>
      <diagonal/>
    </border>
    <border>
      <left style="medium">
        <color indexed="64"/>
      </left>
      <right style="thick">
        <color indexed="64"/>
      </right>
      <top style="thin">
        <color indexed="64"/>
      </top>
      <bottom style="medium">
        <color indexed="64"/>
      </bottom>
      <diagonal/>
    </border>
    <border>
      <left style="thin">
        <color indexed="64"/>
      </left>
      <right style="medium">
        <color indexed="64"/>
      </right>
      <top style="thick">
        <color auto="1"/>
      </top>
      <bottom/>
      <diagonal/>
    </border>
    <border>
      <left style="thin">
        <color indexed="64"/>
      </left>
      <right style="thin">
        <color indexed="64"/>
      </right>
      <top style="thick">
        <color auto="1"/>
      </top>
      <bottom/>
      <diagonal/>
    </border>
    <border>
      <left style="medium">
        <color indexed="64"/>
      </left>
      <right style="thin">
        <color indexed="64"/>
      </right>
      <top style="thick">
        <color auto="1"/>
      </top>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s>
  <cellStyleXfs count="4">
    <xf numFmtId="0" fontId="0" fillId="0" borderId="0"/>
    <xf numFmtId="43" fontId="5" fillId="0" borderId="0" applyFont="0" applyFill="0" applyBorder="0" applyAlignment="0" applyProtection="0"/>
    <xf numFmtId="0" fontId="6" fillId="0" borderId="0" applyNumberFormat="0" applyFill="0" applyBorder="0" applyAlignment="0" applyProtection="0"/>
    <xf numFmtId="0" fontId="10" fillId="20" borderId="0" applyNumberFormat="0" applyBorder="0" applyAlignment="0" applyProtection="0"/>
  </cellStyleXfs>
  <cellXfs count="766">
    <xf numFmtId="0" fontId="0" fillId="0" borderId="0" xfId="0"/>
    <xf numFmtId="0" fontId="2" fillId="0" borderId="0" xfId="0" applyFont="1" applyAlignment="1">
      <alignment horizontal="left" vertical="top"/>
    </xf>
    <xf numFmtId="0" fontId="3" fillId="0" borderId="0" xfId="0" applyFont="1"/>
    <xf numFmtId="0" fontId="0" fillId="0" borderId="0" xfId="0" applyAlignment="1">
      <alignment wrapText="1"/>
    </xf>
    <xf numFmtId="0" fontId="4" fillId="0" borderId="0" xfId="0" applyFont="1" applyAlignment="1">
      <alignment horizontal="left" vertical="top"/>
    </xf>
    <xf numFmtId="0" fontId="4" fillId="0" borderId="0" xfId="0" applyFont="1" applyAlignment="1">
      <alignment horizontal="left" vertical="top" wrapText="1"/>
    </xf>
    <xf numFmtId="0" fontId="3" fillId="0" borderId="0" xfId="0" applyFont="1" applyAlignment="1">
      <alignment horizontal="left" vertical="top"/>
    </xf>
    <xf numFmtId="0" fontId="0" fillId="0" borderId="0" xfId="0" applyAlignment="1">
      <alignment horizontal="center"/>
    </xf>
    <xf numFmtId="0" fontId="0" fillId="0" borderId="24" xfId="0" applyBorder="1"/>
    <xf numFmtId="0" fontId="0" fillId="0" borderId="25" xfId="0" applyBorder="1"/>
    <xf numFmtId="0" fontId="0" fillId="0" borderId="27" xfId="0" applyBorder="1"/>
    <xf numFmtId="0" fontId="0" fillId="0" borderId="29" xfId="0" applyBorder="1"/>
    <xf numFmtId="0" fontId="0" fillId="0" borderId="30" xfId="0" applyBorder="1"/>
    <xf numFmtId="0" fontId="0" fillId="0" borderId="23" xfId="0" applyBorder="1" applyAlignment="1">
      <alignment horizontal="center" vertical="center" wrapText="1"/>
    </xf>
    <xf numFmtId="0" fontId="0" fillId="0" borderId="26" xfId="0" applyBorder="1" applyAlignment="1">
      <alignment horizontal="center" vertical="center" wrapText="1"/>
    </xf>
    <xf numFmtId="0" fontId="0" fillId="0" borderId="0" xfId="0" applyAlignment="1">
      <alignment vertical="center" wrapText="1"/>
    </xf>
    <xf numFmtId="0" fontId="0" fillId="0" borderId="26" xfId="0" applyBorder="1"/>
    <xf numFmtId="0" fontId="1" fillId="0" borderId="0" xfId="0" applyFont="1"/>
    <xf numFmtId="0" fontId="1" fillId="16" borderId="0" xfId="0" applyFont="1" applyFill="1" applyAlignment="1">
      <alignment horizontal="center" vertical="center" wrapText="1"/>
    </xf>
    <xf numFmtId="0" fontId="1" fillId="12" borderId="23" xfId="0" applyFont="1" applyFill="1" applyBorder="1" applyAlignment="1">
      <alignment vertical="center" wrapText="1"/>
    </xf>
    <xf numFmtId="0" fontId="1" fillId="12" borderId="26" xfId="0" applyFont="1" applyFill="1" applyBorder="1" applyAlignment="1">
      <alignment vertical="center" wrapText="1"/>
    </xf>
    <xf numFmtId="0" fontId="1" fillId="12" borderId="28" xfId="0" applyFont="1" applyFill="1" applyBorder="1" applyAlignment="1">
      <alignment vertical="center" wrapText="1"/>
    </xf>
    <xf numFmtId="0" fontId="1" fillId="14" borderId="0" xfId="0" applyFont="1" applyFill="1" applyAlignment="1">
      <alignment horizontal="center" vertical="center" wrapText="1"/>
    </xf>
    <xf numFmtId="0" fontId="1" fillId="6" borderId="0" xfId="0" applyFont="1" applyFill="1" applyAlignment="1">
      <alignment horizontal="center" vertical="center" wrapText="1"/>
    </xf>
    <xf numFmtId="0" fontId="1" fillId="16" borderId="0" xfId="0" applyFont="1" applyFill="1" applyAlignment="1">
      <alignment vertical="center" wrapText="1"/>
    </xf>
    <xf numFmtId="0" fontId="1" fillId="0" borderId="26" xfId="0" applyFont="1" applyBorder="1" applyAlignment="1">
      <alignment horizontal="center" vertical="center" wrapText="1"/>
    </xf>
    <xf numFmtId="0" fontId="0" fillId="0" borderId="0" xfId="0" applyAlignment="1">
      <alignment horizontal="center" vertical="center" wrapText="1"/>
    </xf>
    <xf numFmtId="0" fontId="13" fillId="0" borderId="0" xfId="0" applyFont="1" applyAlignment="1">
      <alignment horizontal="center"/>
    </xf>
    <xf numFmtId="0" fontId="14" fillId="0" borderId="0" xfId="0" applyFont="1"/>
    <xf numFmtId="0" fontId="18" fillId="0" borderId="0" xfId="0" applyFont="1" applyAlignment="1">
      <alignment horizontal="center"/>
    </xf>
    <xf numFmtId="0" fontId="14" fillId="19" borderId="0" xfId="0" applyFont="1" applyFill="1"/>
    <xf numFmtId="0" fontId="20" fillId="22" borderId="48" xfId="0" applyFont="1" applyFill="1" applyBorder="1" applyAlignment="1">
      <alignment vertical="center" wrapText="1"/>
    </xf>
    <xf numFmtId="0" fontId="23" fillId="26" borderId="40" xfId="0" applyFont="1" applyFill="1" applyBorder="1" applyAlignment="1">
      <alignment vertical="center"/>
    </xf>
    <xf numFmtId="0" fontId="23" fillId="0" borderId="47" xfId="0" applyFont="1" applyBorder="1" applyAlignment="1">
      <alignment vertical="center"/>
    </xf>
    <xf numFmtId="0" fontId="20" fillId="23" borderId="48" xfId="0" applyFont="1" applyFill="1" applyBorder="1" applyAlignment="1">
      <alignment vertical="center" wrapText="1"/>
    </xf>
    <xf numFmtId="0" fontId="23" fillId="28" borderId="40" xfId="0" applyFont="1" applyFill="1" applyBorder="1" applyAlignment="1">
      <alignment vertical="center"/>
    </xf>
    <xf numFmtId="0" fontId="23" fillId="0" borderId="40" xfId="0" applyFont="1" applyBorder="1" applyAlignment="1">
      <alignment vertical="center"/>
    </xf>
    <xf numFmtId="0" fontId="20" fillId="24" borderId="48" xfId="0" applyFont="1" applyFill="1" applyBorder="1" applyAlignment="1">
      <alignment vertical="center" wrapText="1"/>
    </xf>
    <xf numFmtId="0" fontId="23" fillId="29" borderId="40" xfId="0" applyFont="1" applyFill="1" applyBorder="1" applyAlignment="1">
      <alignment vertical="center"/>
    </xf>
    <xf numFmtId="0" fontId="23" fillId="29" borderId="47" xfId="0" applyFont="1" applyFill="1" applyBorder="1" applyAlignment="1">
      <alignment vertical="center"/>
    </xf>
    <xf numFmtId="0" fontId="20" fillId="25" borderId="48" xfId="0" applyFont="1" applyFill="1" applyBorder="1" applyAlignment="1">
      <alignment vertical="center" wrapText="1"/>
    </xf>
    <xf numFmtId="0" fontId="23" fillId="30" borderId="40" xfId="0" applyFont="1" applyFill="1" applyBorder="1" applyAlignment="1">
      <alignment vertical="center"/>
    </xf>
    <xf numFmtId="0" fontId="22" fillId="30" borderId="42" xfId="0" applyFont="1" applyFill="1" applyBorder="1" applyAlignment="1">
      <alignment vertical="center"/>
    </xf>
    <xf numFmtId="0" fontId="27" fillId="19" borderId="6" xfId="0" applyFont="1" applyFill="1" applyBorder="1" applyAlignment="1">
      <alignment horizontal="center" vertical="center" wrapText="1" readingOrder="1"/>
    </xf>
    <xf numFmtId="2" fontId="28" fillId="20" borderId="52" xfId="3" applyNumberFormat="1" applyFont="1" applyBorder="1" applyAlignment="1">
      <alignment horizontal="center" vertical="center"/>
    </xf>
    <xf numFmtId="0" fontId="27" fillId="19" borderId="10" xfId="0" applyFont="1" applyFill="1" applyBorder="1" applyAlignment="1">
      <alignment horizontal="center" vertical="center" wrapText="1" readingOrder="1"/>
    </xf>
    <xf numFmtId="0" fontId="15" fillId="0" borderId="0" xfId="0" applyFont="1" applyAlignment="1">
      <alignment vertical="center"/>
    </xf>
    <xf numFmtId="0" fontId="27" fillId="19" borderId="12" xfId="0" applyFont="1" applyFill="1" applyBorder="1" applyAlignment="1">
      <alignment horizontal="center" vertical="center" wrapText="1" readingOrder="1"/>
    </xf>
    <xf numFmtId="2" fontId="28" fillId="20" borderId="67" xfId="3" applyNumberFormat="1" applyFont="1" applyBorder="1" applyAlignment="1">
      <alignment horizontal="center" vertical="center"/>
    </xf>
    <xf numFmtId="0" fontId="24" fillId="21" borderId="68" xfId="0" applyFont="1" applyFill="1" applyBorder="1" applyAlignment="1">
      <alignment horizontal="left" vertical="top" readingOrder="1"/>
    </xf>
    <xf numFmtId="0" fontId="29" fillId="21" borderId="69" xfId="0" applyFont="1" applyFill="1" applyBorder="1" applyAlignment="1">
      <alignment horizontal="left" vertical="center" readingOrder="1"/>
    </xf>
    <xf numFmtId="0" fontId="27" fillId="27" borderId="15" xfId="0" applyFont="1" applyFill="1" applyBorder="1" applyAlignment="1">
      <alignment horizontal="center" vertical="center" wrapText="1" readingOrder="1"/>
    </xf>
    <xf numFmtId="0" fontId="27" fillId="27" borderId="9" xfId="0" applyFont="1" applyFill="1" applyBorder="1" applyAlignment="1">
      <alignment horizontal="center" vertical="center" wrapText="1" readingOrder="1"/>
    </xf>
    <xf numFmtId="0" fontId="27" fillId="27" borderId="19" xfId="0" applyFont="1" applyFill="1" applyBorder="1" applyAlignment="1">
      <alignment horizontal="center" vertical="center" wrapText="1" readingOrder="1"/>
    </xf>
    <xf numFmtId="0" fontId="27" fillId="27" borderId="12" xfId="0" applyFont="1" applyFill="1" applyBorder="1" applyAlignment="1">
      <alignment horizontal="center" vertical="center" wrapText="1" readingOrder="1"/>
    </xf>
    <xf numFmtId="0" fontId="27" fillId="27" borderId="6" xfId="0" applyFont="1" applyFill="1" applyBorder="1" applyAlignment="1">
      <alignment horizontal="center" vertical="center" wrapText="1" readingOrder="1"/>
    </xf>
    <xf numFmtId="0" fontId="27" fillId="27" borderId="10" xfId="0" applyFont="1" applyFill="1" applyBorder="1" applyAlignment="1">
      <alignment horizontal="center" vertical="center" wrapText="1" readingOrder="1"/>
    </xf>
    <xf numFmtId="0" fontId="27" fillId="27" borderId="13" xfId="0" applyFont="1" applyFill="1" applyBorder="1" applyAlignment="1">
      <alignment horizontal="center" vertical="center" wrapText="1" readingOrder="1"/>
    </xf>
    <xf numFmtId="0" fontId="27" fillId="27" borderId="7" xfId="0" applyFont="1" applyFill="1" applyBorder="1" applyAlignment="1">
      <alignment horizontal="center" vertical="center" wrapText="1" readingOrder="1"/>
    </xf>
    <xf numFmtId="0" fontId="27" fillId="27" borderId="16" xfId="0" applyFont="1" applyFill="1" applyBorder="1" applyAlignment="1">
      <alignment horizontal="center" vertical="center" wrapText="1" readingOrder="1"/>
    </xf>
    <xf numFmtId="0" fontId="17" fillId="0" borderId="64" xfId="0" applyFont="1" applyBorder="1" applyAlignment="1">
      <alignment horizontal="right" vertical="center"/>
    </xf>
    <xf numFmtId="0" fontId="14" fillId="0" borderId="0" xfId="0" applyFont="1" applyAlignment="1">
      <alignment vertical="center"/>
    </xf>
    <xf numFmtId="2" fontId="17" fillId="27" borderId="58" xfId="0" applyNumberFormat="1" applyFont="1" applyFill="1" applyBorder="1" applyAlignment="1">
      <alignment vertical="center"/>
    </xf>
    <xf numFmtId="2" fontId="17" fillId="27" borderId="59" xfId="0" applyNumberFormat="1" applyFont="1" applyFill="1" applyBorder="1" applyAlignment="1">
      <alignment vertical="center"/>
    </xf>
    <xf numFmtId="2" fontId="17" fillId="27" borderId="56" xfId="0" applyNumberFormat="1" applyFont="1" applyFill="1" applyBorder="1" applyAlignment="1">
      <alignment vertical="center"/>
    </xf>
    <xf numFmtId="2" fontId="17" fillId="0" borderId="59" xfId="0" applyNumberFormat="1" applyFont="1" applyBorder="1" applyAlignment="1">
      <alignment vertical="center"/>
    </xf>
    <xf numFmtId="0" fontId="30" fillId="0" borderId="64" xfId="0" applyFont="1" applyBorder="1" applyAlignment="1">
      <alignment horizontal="right" vertical="center"/>
    </xf>
    <xf numFmtId="2" fontId="30" fillId="0" borderId="67" xfId="3" applyNumberFormat="1" applyFont="1" applyFill="1" applyBorder="1" applyAlignment="1">
      <alignment horizontal="center" vertical="center"/>
    </xf>
    <xf numFmtId="2" fontId="30" fillId="0" borderId="52" xfId="3" applyNumberFormat="1" applyFont="1" applyFill="1" applyBorder="1" applyAlignment="1">
      <alignment horizontal="center" vertical="center"/>
    </xf>
    <xf numFmtId="2" fontId="30" fillId="0" borderId="55" xfId="3" applyNumberFormat="1" applyFont="1" applyFill="1" applyBorder="1" applyAlignment="1">
      <alignment horizontal="center" vertical="center"/>
    </xf>
    <xf numFmtId="0" fontId="30" fillId="0" borderId="60" xfId="0" applyFont="1" applyBorder="1" applyAlignment="1">
      <alignment vertical="center"/>
    </xf>
    <xf numFmtId="0" fontId="27" fillId="27" borderId="70" xfId="0" applyFont="1" applyFill="1" applyBorder="1" applyAlignment="1">
      <alignment horizontal="left" vertical="center" wrapText="1" readingOrder="1"/>
    </xf>
    <xf numFmtId="0" fontId="27" fillId="0" borderId="71" xfId="0" applyFont="1" applyBorder="1" applyAlignment="1">
      <alignment horizontal="left" vertical="center" wrapText="1" readingOrder="1"/>
    </xf>
    <xf numFmtId="0" fontId="27" fillId="27" borderId="71" xfId="0" applyFont="1" applyFill="1" applyBorder="1" applyAlignment="1">
      <alignment horizontal="left" vertical="center" wrapText="1" readingOrder="1"/>
    </xf>
    <xf numFmtId="0" fontId="27" fillId="27" borderId="72" xfId="0" applyFont="1" applyFill="1" applyBorder="1" applyAlignment="1">
      <alignment horizontal="left" vertical="center" wrapText="1" readingOrder="1"/>
    </xf>
    <xf numFmtId="0" fontId="22" fillId="0" borderId="0" xfId="0" applyFont="1"/>
    <xf numFmtId="0" fontId="22" fillId="0" borderId="0" xfId="0" applyFont="1" applyAlignment="1">
      <alignment vertical="center"/>
    </xf>
    <xf numFmtId="2" fontId="17" fillId="27" borderId="58" xfId="0" applyNumberFormat="1" applyFont="1" applyFill="1" applyBorder="1"/>
    <xf numFmtId="2" fontId="17" fillId="27" borderId="59" xfId="0" applyNumberFormat="1" applyFont="1" applyFill="1" applyBorder="1"/>
    <xf numFmtId="0" fontId="27" fillId="0" borderId="12" xfId="0" applyFont="1" applyBorder="1" applyAlignment="1">
      <alignment horizontal="center" vertical="center" wrapText="1" readingOrder="1"/>
    </xf>
    <xf numFmtId="0" fontId="27" fillId="0" borderId="6" xfId="0" applyFont="1" applyBorder="1" applyAlignment="1">
      <alignment horizontal="center" vertical="center" wrapText="1" readingOrder="1"/>
    </xf>
    <xf numFmtId="0" fontId="27" fillId="0" borderId="10" xfId="0" applyFont="1" applyBorder="1" applyAlignment="1">
      <alignment horizontal="center" vertical="center" wrapText="1" readingOrder="1"/>
    </xf>
    <xf numFmtId="2" fontId="17" fillId="0" borderId="59" xfId="0" applyNumberFormat="1" applyFont="1" applyBorder="1"/>
    <xf numFmtId="0" fontId="26" fillId="27" borderId="6" xfId="0" applyFont="1" applyFill="1" applyBorder="1" applyAlignment="1">
      <alignment horizontal="center" vertical="center" wrapText="1" readingOrder="1"/>
    </xf>
    <xf numFmtId="0" fontId="26" fillId="0" borderId="6" xfId="0" applyFont="1" applyBorder="1" applyAlignment="1">
      <alignment horizontal="center" vertical="center" wrapText="1" readingOrder="1"/>
    </xf>
    <xf numFmtId="0" fontId="26" fillId="27" borderId="12" xfId="0" applyFont="1" applyFill="1" applyBorder="1" applyAlignment="1">
      <alignment horizontal="center" vertical="center" wrapText="1" readingOrder="1"/>
    </xf>
    <xf numFmtId="0" fontId="26" fillId="0" borderId="12" xfId="0" applyFont="1" applyBorder="1" applyAlignment="1">
      <alignment horizontal="center" vertical="center" wrapText="1" readingOrder="1"/>
    </xf>
    <xf numFmtId="0" fontId="29" fillId="21" borderId="71" xfId="0" applyFont="1" applyFill="1" applyBorder="1" applyAlignment="1">
      <alignment horizontal="left" vertical="top" readingOrder="1"/>
    </xf>
    <xf numFmtId="2" fontId="17" fillId="27" borderId="41" xfId="0" applyNumberFormat="1" applyFont="1" applyFill="1" applyBorder="1" applyAlignment="1">
      <alignment vertical="center"/>
    </xf>
    <xf numFmtId="2" fontId="17" fillId="0" borderId="41" xfId="0" applyNumberFormat="1" applyFont="1" applyBorder="1" applyAlignment="1">
      <alignment vertical="center"/>
    </xf>
    <xf numFmtId="0" fontId="17" fillId="0" borderId="53" xfId="0" applyFont="1" applyBorder="1" applyAlignment="1">
      <alignment vertical="center"/>
    </xf>
    <xf numFmtId="0" fontId="31" fillId="31" borderId="0" xfId="0" applyFont="1" applyFill="1" applyAlignment="1">
      <alignment vertical="center"/>
    </xf>
    <xf numFmtId="0" fontId="32" fillId="31" borderId="0" xfId="0" applyFont="1" applyFill="1" applyAlignment="1">
      <alignment vertical="center"/>
    </xf>
    <xf numFmtId="0" fontId="16" fillId="0" borderId="32" xfId="0" applyFont="1" applyBorder="1"/>
    <xf numFmtId="0" fontId="33" fillId="0" borderId="0" xfId="0" applyFont="1" applyAlignment="1">
      <alignment vertical="center"/>
    </xf>
    <xf numFmtId="0" fontId="21" fillId="0" borderId="26" xfId="0" applyFont="1" applyBorder="1"/>
    <xf numFmtId="0" fontId="21" fillId="0" borderId="0" xfId="0" applyFont="1"/>
    <xf numFmtId="0" fontId="20" fillId="0" borderId="0" xfId="0" applyFont="1" applyAlignment="1">
      <alignment vertical="center"/>
    </xf>
    <xf numFmtId="0" fontId="7" fillId="2" borderId="0" xfId="0" applyFont="1" applyFill="1" applyAlignment="1">
      <alignment horizontal="center" vertical="center" wrapText="1"/>
    </xf>
    <xf numFmtId="0" fontId="7" fillId="2" borderId="78" xfId="0" applyFont="1" applyFill="1" applyBorder="1" applyAlignment="1">
      <alignment horizontal="center" vertical="center" wrapText="1"/>
    </xf>
    <xf numFmtId="0" fontId="0" fillId="0" borderId="0" xfId="0" applyAlignment="1">
      <alignment vertical="center"/>
    </xf>
    <xf numFmtId="0" fontId="8" fillId="0" borderId="0" xfId="0" applyFont="1" applyAlignment="1">
      <alignment vertical="center"/>
    </xf>
    <xf numFmtId="0" fontId="3" fillId="0" borderId="0" xfId="0" applyFont="1" applyAlignment="1">
      <alignment vertical="center"/>
    </xf>
    <xf numFmtId="0" fontId="1" fillId="0" borderId="0" xfId="0" applyFont="1" applyAlignment="1">
      <alignmen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wrapText="1"/>
    </xf>
    <xf numFmtId="0" fontId="38" fillId="0" borderId="0" xfId="0" applyFont="1"/>
    <xf numFmtId="0" fontId="14" fillId="0" borderId="0" xfId="0" applyFont="1" applyAlignment="1">
      <alignment wrapText="1"/>
    </xf>
    <xf numFmtId="0" fontId="13" fillId="0" borderId="0" xfId="0" applyFont="1"/>
    <xf numFmtId="0" fontId="40" fillId="0" borderId="0" xfId="0" applyFont="1" applyAlignment="1">
      <alignment horizontal="left" vertical="top"/>
    </xf>
    <xf numFmtId="0" fontId="14" fillId="0" borderId="0" xfId="0" applyFont="1" applyAlignment="1">
      <alignment horizontal="left" vertical="top"/>
    </xf>
    <xf numFmtId="0" fontId="41" fillId="0" borderId="0" xfId="0" applyFont="1" applyAlignment="1">
      <alignment horizontal="left" vertical="top" wrapText="1"/>
    </xf>
    <xf numFmtId="0" fontId="41" fillId="0" borderId="0" xfId="0" applyFont="1" applyAlignment="1">
      <alignment horizontal="left" vertical="top"/>
    </xf>
    <xf numFmtId="0" fontId="14" fillId="0" borderId="0" xfId="0" applyFont="1" applyAlignment="1">
      <alignment horizontal="center" vertical="center" wrapText="1"/>
    </xf>
    <xf numFmtId="0" fontId="39" fillId="0" borderId="0" xfId="2" applyFont="1" applyAlignment="1">
      <alignment horizontal="center" vertical="center" wrapText="1"/>
    </xf>
    <xf numFmtId="0" fontId="38" fillId="0" borderId="0" xfId="0" applyFont="1" applyAlignment="1">
      <alignment vertical="center"/>
    </xf>
    <xf numFmtId="0" fontId="39" fillId="19" borderId="0" xfId="2" applyFont="1" applyFill="1" applyBorder="1" applyAlignment="1">
      <alignment vertical="center"/>
    </xf>
    <xf numFmtId="0" fontId="13" fillId="0" borderId="0" xfId="0" applyFont="1" applyAlignment="1">
      <alignment vertical="center"/>
    </xf>
    <xf numFmtId="0" fontId="40" fillId="0" borderId="0" xfId="0" applyFont="1" applyAlignment="1">
      <alignment horizontal="left" vertical="center"/>
    </xf>
    <xf numFmtId="0" fontId="14" fillId="0" borderId="0" xfId="0" applyFont="1" applyAlignment="1">
      <alignment horizontal="left" vertical="center"/>
    </xf>
    <xf numFmtId="0" fontId="41" fillId="0" borderId="0" xfId="0" applyFont="1" applyAlignment="1">
      <alignment horizontal="left" vertical="center" wrapText="1"/>
    </xf>
    <xf numFmtId="0" fontId="41" fillId="0" borderId="0" xfId="0" applyFont="1" applyAlignment="1">
      <alignment horizontal="left" vertical="center"/>
    </xf>
    <xf numFmtId="0" fontId="14" fillId="0" borderId="0" xfId="0" applyFont="1" applyAlignment="1">
      <alignment vertical="center" wrapText="1"/>
    </xf>
    <xf numFmtId="0" fontId="0" fillId="27" borderId="81" xfId="0" applyFill="1" applyBorder="1" applyAlignment="1">
      <alignment vertical="center"/>
    </xf>
    <xf numFmtId="0" fontId="0" fillId="27" borderId="50" xfId="0" applyFill="1" applyBorder="1" applyAlignment="1">
      <alignment vertical="center"/>
    </xf>
    <xf numFmtId="0" fontId="0" fillId="27" borderId="82" xfId="0" applyFill="1" applyBorder="1" applyAlignment="1">
      <alignment vertical="center"/>
    </xf>
    <xf numFmtId="0" fontId="0" fillId="0" borderId="83" xfId="0" applyBorder="1" applyAlignment="1">
      <alignment vertical="center"/>
    </xf>
    <xf numFmtId="0" fontId="0" fillId="0" borderId="6" xfId="0" applyBorder="1" applyAlignment="1">
      <alignment vertical="center"/>
    </xf>
    <xf numFmtId="0" fontId="0" fillId="0" borderId="84" xfId="0" applyBorder="1" applyAlignment="1">
      <alignment vertical="center"/>
    </xf>
    <xf numFmtId="0" fontId="0" fillId="27" borderId="85" xfId="0" applyFill="1" applyBorder="1" applyAlignment="1">
      <alignment vertical="center"/>
    </xf>
    <xf numFmtId="0" fontId="0" fillId="27" borderId="43" xfId="0" applyFill="1" applyBorder="1" applyAlignment="1">
      <alignment vertical="center"/>
    </xf>
    <xf numFmtId="0" fontId="0" fillId="27" borderId="86" xfId="0" applyFill="1" applyBorder="1" applyAlignment="1">
      <alignment vertical="center"/>
    </xf>
    <xf numFmtId="0" fontId="0" fillId="27" borderId="83" xfId="0" applyFill="1" applyBorder="1" applyAlignment="1">
      <alignment vertical="center"/>
    </xf>
    <xf numFmtId="0" fontId="0" fillId="27" borderId="6" xfId="0" applyFill="1" applyBorder="1" applyAlignment="1">
      <alignment vertical="center"/>
    </xf>
    <xf numFmtId="0" fontId="0" fillId="27" borderId="84" xfId="0" applyFill="1" applyBorder="1" applyAlignment="1">
      <alignment vertical="center"/>
    </xf>
    <xf numFmtId="0" fontId="0" fillId="0" borderId="85" xfId="0" applyBorder="1" applyAlignment="1">
      <alignment vertical="center"/>
    </xf>
    <xf numFmtId="0" fontId="0" fillId="0" borderId="43" xfId="0" applyBorder="1" applyAlignment="1">
      <alignment vertical="center"/>
    </xf>
    <xf numFmtId="0" fontId="0" fillId="0" borderId="86" xfId="0" applyBorder="1" applyAlignment="1">
      <alignment vertical="center"/>
    </xf>
    <xf numFmtId="0" fontId="22" fillId="27" borderId="50" xfId="0" applyFont="1" applyFill="1" applyBorder="1" applyAlignment="1">
      <alignment vertical="center"/>
    </xf>
    <xf numFmtId="0" fontId="22" fillId="27" borderId="82" xfId="0" applyFont="1" applyFill="1" applyBorder="1" applyAlignment="1">
      <alignment vertical="center"/>
    </xf>
    <xf numFmtId="0" fontId="22" fillId="0" borderId="83" xfId="0" applyFont="1" applyBorder="1" applyAlignment="1">
      <alignment vertical="center"/>
    </xf>
    <xf numFmtId="0" fontId="22" fillId="0" borderId="6" xfId="0" applyFont="1" applyBorder="1" applyAlignment="1">
      <alignment vertical="center"/>
    </xf>
    <xf numFmtId="0" fontId="22" fillId="0" borderId="84" xfId="0" applyFont="1" applyBorder="1" applyAlignment="1">
      <alignment vertical="center"/>
    </xf>
    <xf numFmtId="0" fontId="22" fillId="27" borderId="83" xfId="0" applyFont="1" applyFill="1" applyBorder="1" applyAlignment="1">
      <alignment vertical="center"/>
    </xf>
    <xf numFmtId="0" fontId="22" fillId="27" borderId="6" xfId="0" applyFont="1" applyFill="1" applyBorder="1" applyAlignment="1">
      <alignment vertical="center"/>
    </xf>
    <xf numFmtId="0" fontId="22" fillId="27" borderId="84" xfId="0" applyFont="1" applyFill="1" applyBorder="1" applyAlignment="1">
      <alignment vertical="center"/>
    </xf>
    <xf numFmtId="0" fontId="22" fillId="0" borderId="88" xfId="0" applyFont="1" applyBorder="1" applyAlignment="1">
      <alignment vertical="center"/>
    </xf>
    <xf numFmtId="0" fontId="22" fillId="0" borderId="35" xfId="0" applyFont="1" applyBorder="1" applyAlignment="1">
      <alignment vertical="center"/>
    </xf>
    <xf numFmtId="0" fontId="22" fillId="0" borderId="89" xfId="0" applyFont="1" applyBorder="1" applyAlignment="1">
      <alignment vertical="center"/>
    </xf>
    <xf numFmtId="0" fontId="22" fillId="27" borderId="35" xfId="0" applyFont="1" applyFill="1" applyBorder="1" applyAlignment="1">
      <alignment vertical="center"/>
    </xf>
    <xf numFmtId="0" fontId="22" fillId="27" borderId="89" xfId="0" applyFont="1" applyFill="1" applyBorder="1" applyAlignment="1">
      <alignment vertical="center"/>
    </xf>
    <xf numFmtId="0" fontId="22" fillId="27" borderId="81" xfId="0" applyFont="1" applyFill="1" applyBorder="1"/>
    <xf numFmtId="0" fontId="22" fillId="27" borderId="50" xfId="0" applyFont="1" applyFill="1" applyBorder="1"/>
    <xf numFmtId="0" fontId="22" fillId="27" borderId="82" xfId="0" applyFont="1" applyFill="1" applyBorder="1"/>
    <xf numFmtId="0" fontId="22" fillId="0" borderId="83" xfId="0" applyFont="1" applyBorder="1"/>
    <xf numFmtId="0" fontId="22" fillId="0" borderId="6" xfId="0" applyFont="1" applyBorder="1"/>
    <xf numFmtId="0" fontId="22" fillId="0" borderId="84" xfId="0" applyFont="1" applyBorder="1"/>
    <xf numFmtId="0" fontId="22" fillId="27" borderId="88" xfId="0" applyFont="1" applyFill="1" applyBorder="1"/>
    <xf numFmtId="0" fontId="22" fillId="27" borderId="35" xfId="0" applyFont="1" applyFill="1" applyBorder="1"/>
    <xf numFmtId="0" fontId="22" fillId="27" borderId="89" xfId="0" applyFont="1" applyFill="1" applyBorder="1"/>
    <xf numFmtId="0" fontId="22" fillId="27" borderId="83" xfId="0" applyFont="1" applyFill="1" applyBorder="1"/>
    <xf numFmtId="0" fontId="22" fillId="27" borderId="6" xfId="0" applyFont="1" applyFill="1" applyBorder="1"/>
    <xf numFmtId="0" fontId="22" fillId="27" borderId="84" xfId="0" applyFont="1" applyFill="1" applyBorder="1"/>
    <xf numFmtId="0" fontId="22" fillId="0" borderId="88" xfId="0" applyFont="1" applyBorder="1"/>
    <xf numFmtId="0" fontId="22" fillId="0" borderId="35" xfId="0" applyFont="1" applyBorder="1"/>
    <xf numFmtId="0" fontId="22" fillId="0" borderId="89" xfId="0" applyFont="1" applyBorder="1"/>
    <xf numFmtId="0" fontId="6" fillId="0" borderId="0" xfId="2" applyBorder="1" applyAlignment="1">
      <alignment horizontal="center" vertical="center" wrapText="1"/>
    </xf>
    <xf numFmtId="0" fontId="14" fillId="0" borderId="25" xfId="0" applyFont="1" applyBorder="1" applyAlignment="1">
      <alignment horizontal="center" vertical="center" wrapText="1"/>
    </xf>
    <xf numFmtId="0" fontId="22" fillId="0" borderId="12" xfId="0" applyFont="1" applyBorder="1" applyAlignment="1">
      <alignment vertical="center"/>
    </xf>
    <xf numFmtId="0" fontId="22" fillId="0" borderId="66" xfId="0" applyFont="1" applyBorder="1" applyAlignment="1">
      <alignment vertical="center"/>
    </xf>
    <xf numFmtId="0" fontId="22" fillId="27" borderId="65" xfId="0" applyFont="1" applyFill="1" applyBorder="1" applyAlignment="1">
      <alignment vertical="center"/>
    </xf>
    <xf numFmtId="0" fontId="22" fillId="27" borderId="12" xfId="0" applyFont="1" applyFill="1" applyBorder="1" applyAlignment="1">
      <alignment vertical="center"/>
    </xf>
    <xf numFmtId="0" fontId="22" fillId="27" borderId="66" xfId="0" applyFont="1" applyFill="1" applyBorder="1" applyAlignment="1">
      <alignment vertical="center"/>
    </xf>
    <xf numFmtId="0" fontId="17" fillId="36" borderId="34" xfId="0" applyFont="1" applyFill="1" applyBorder="1" applyAlignment="1">
      <alignment horizontal="center" vertical="center" wrapText="1"/>
    </xf>
    <xf numFmtId="0" fontId="17" fillId="36" borderId="31" xfId="0" applyFont="1" applyFill="1" applyBorder="1" applyAlignment="1">
      <alignment horizontal="center" vertical="center" wrapText="1"/>
    </xf>
    <xf numFmtId="0" fontId="37" fillId="2" borderId="73" xfId="0" applyFont="1" applyFill="1" applyBorder="1" applyAlignment="1">
      <alignment horizontal="center" vertical="center" wrapText="1"/>
    </xf>
    <xf numFmtId="0" fontId="14" fillId="0" borderId="46" xfId="0" applyFont="1" applyBorder="1" applyAlignment="1">
      <alignment vertical="center"/>
    </xf>
    <xf numFmtId="0" fontId="14" fillId="0" borderId="61" xfId="0" applyFont="1" applyBorder="1" applyAlignment="1">
      <alignment vertical="center"/>
    </xf>
    <xf numFmtId="0" fontId="15" fillId="2" borderId="94" xfId="0" applyFont="1" applyFill="1" applyBorder="1" applyAlignment="1">
      <alignment horizontal="center" vertical="center" wrapText="1"/>
    </xf>
    <xf numFmtId="0" fontId="15" fillId="2" borderId="95" xfId="0" applyFont="1" applyFill="1" applyBorder="1" applyAlignment="1">
      <alignment horizontal="center" vertical="center" wrapText="1"/>
    </xf>
    <xf numFmtId="0" fontId="22" fillId="27" borderId="99" xfId="0" applyFont="1" applyFill="1" applyBorder="1" applyAlignment="1">
      <alignment vertical="center"/>
    </xf>
    <xf numFmtId="0" fontId="22" fillId="27" borderId="100" xfId="0" applyFont="1" applyFill="1" applyBorder="1" applyAlignment="1">
      <alignment vertical="center"/>
    </xf>
    <xf numFmtId="0" fontId="22" fillId="27" borderId="101" xfId="0" applyFont="1" applyFill="1" applyBorder="1" applyAlignment="1">
      <alignment vertical="center"/>
    </xf>
    <xf numFmtId="0" fontId="39" fillId="19" borderId="61" xfId="2" applyFont="1" applyFill="1" applyBorder="1" applyAlignment="1">
      <alignment vertical="center"/>
    </xf>
    <xf numFmtId="0" fontId="39" fillId="19" borderId="73" xfId="2" applyFont="1" applyFill="1" applyBorder="1" applyAlignment="1">
      <alignment vertical="center"/>
    </xf>
    <xf numFmtId="0" fontId="22" fillId="0" borderId="85" xfId="0" applyFont="1" applyBorder="1" applyAlignment="1">
      <alignment vertical="center"/>
    </xf>
    <xf numFmtId="0" fontId="22" fillId="0" borderId="43" xfId="0" applyFont="1" applyBorder="1" applyAlignment="1">
      <alignment vertical="center"/>
    </xf>
    <xf numFmtId="0" fontId="22" fillId="0" borderId="86" xfId="0" applyFont="1" applyBorder="1" applyAlignment="1">
      <alignment vertical="center"/>
    </xf>
    <xf numFmtId="0" fontId="14" fillId="0" borderId="97" xfId="0" applyFont="1" applyBorder="1" applyAlignment="1">
      <alignment vertical="center"/>
    </xf>
    <xf numFmtId="0" fontId="14" fillId="0" borderId="46" xfId="0" applyFont="1" applyBorder="1" applyAlignment="1">
      <alignment horizontal="center" vertical="center" wrapText="1"/>
    </xf>
    <xf numFmtId="0" fontId="14" fillId="0" borderId="95" xfId="0" applyFont="1" applyBorder="1" applyAlignment="1">
      <alignment horizontal="center" vertical="center" wrapText="1"/>
    </xf>
    <xf numFmtId="0" fontId="22" fillId="27" borderId="85" xfId="0" applyFont="1" applyFill="1" applyBorder="1" applyAlignment="1">
      <alignment vertical="center"/>
    </xf>
    <xf numFmtId="0" fontId="22" fillId="27" borderId="43" xfId="0" applyFont="1" applyFill="1" applyBorder="1" applyAlignment="1">
      <alignment vertical="center"/>
    </xf>
    <xf numFmtId="0" fontId="22" fillId="27" borderId="86" xfId="0" applyFont="1" applyFill="1" applyBorder="1" applyAlignment="1">
      <alignment vertical="center"/>
    </xf>
    <xf numFmtId="0" fontId="22" fillId="0" borderId="107" xfId="0" applyFont="1" applyBorder="1" applyAlignment="1">
      <alignment vertical="center"/>
    </xf>
    <xf numFmtId="0" fontId="22" fillId="0" borderId="108" xfId="0" applyFont="1" applyBorder="1" applyAlignment="1">
      <alignment vertical="center"/>
    </xf>
    <xf numFmtId="0" fontId="22" fillId="0" borderId="109" xfId="0" applyFont="1" applyBorder="1" applyAlignment="1">
      <alignment vertical="center"/>
    </xf>
    <xf numFmtId="0" fontId="14" fillId="0" borderId="112" xfId="0" applyFont="1" applyBorder="1" applyAlignment="1">
      <alignment vertical="center"/>
    </xf>
    <xf numFmtId="0" fontId="14" fillId="0" borderId="73" xfId="0" applyFont="1" applyBorder="1" applyAlignment="1">
      <alignment vertical="center"/>
    </xf>
    <xf numFmtId="0" fontId="22" fillId="27" borderId="107" xfId="0" applyFont="1" applyFill="1" applyBorder="1" applyAlignment="1">
      <alignment vertical="center"/>
    </xf>
    <xf numFmtId="0" fontId="22" fillId="27" borderId="108" xfId="0" applyFont="1" applyFill="1" applyBorder="1" applyAlignment="1">
      <alignment vertical="center"/>
    </xf>
    <xf numFmtId="0" fontId="22" fillId="27" borderId="109" xfId="0" applyFont="1" applyFill="1" applyBorder="1" applyAlignment="1">
      <alignment vertical="center"/>
    </xf>
    <xf numFmtId="0" fontId="39" fillId="19" borderId="112" xfId="2" applyFont="1" applyFill="1" applyBorder="1" applyAlignment="1">
      <alignment vertical="center"/>
    </xf>
    <xf numFmtId="0" fontId="22" fillId="0" borderId="99" xfId="0" applyFont="1" applyBorder="1" applyAlignment="1">
      <alignment vertical="center"/>
    </xf>
    <xf numFmtId="0" fontId="22" fillId="0" borderId="100" xfId="0" applyFont="1" applyBorder="1" applyAlignment="1">
      <alignment vertical="center"/>
    </xf>
    <xf numFmtId="0" fontId="22" fillId="0" borderId="101" xfId="0" applyFont="1" applyBorder="1" applyAlignment="1">
      <alignment vertical="center"/>
    </xf>
    <xf numFmtId="0" fontId="39" fillId="19" borderId="97" xfId="2" applyFont="1" applyFill="1" applyBorder="1" applyAlignment="1">
      <alignment vertical="center"/>
    </xf>
    <xf numFmtId="0" fontId="8" fillId="0" borderId="0" xfId="0" applyFont="1" applyAlignment="1">
      <alignment horizontal="center" vertical="center" wrapText="1"/>
    </xf>
    <xf numFmtId="0" fontId="8" fillId="0" borderId="73" xfId="0" applyFont="1" applyBorder="1" applyAlignment="1">
      <alignment vertical="center"/>
    </xf>
    <xf numFmtId="0" fontId="0" fillId="27" borderId="99" xfId="0" applyFill="1" applyBorder="1" applyAlignment="1">
      <alignment vertical="center"/>
    </xf>
    <xf numFmtId="0" fontId="0" fillId="27" borderId="100" xfId="0" applyFill="1" applyBorder="1" applyAlignment="1">
      <alignment vertical="center"/>
    </xf>
    <xf numFmtId="0" fontId="0" fillId="27" borderId="101" xfId="0" applyFill="1" applyBorder="1" applyAlignment="1">
      <alignment vertical="center"/>
    </xf>
    <xf numFmtId="0" fontId="0" fillId="0" borderId="61" xfId="0" applyBorder="1" applyAlignment="1">
      <alignment vertical="center"/>
    </xf>
    <xf numFmtId="0" fontId="0" fillId="0" borderId="73" xfId="0" applyBorder="1" applyAlignment="1">
      <alignment vertical="center"/>
    </xf>
    <xf numFmtId="0" fontId="6" fillId="19" borderId="97" xfId="2" applyFill="1" applyBorder="1" applyAlignment="1">
      <alignment vertical="center"/>
    </xf>
    <xf numFmtId="0" fontId="3" fillId="0" borderId="61" xfId="0" applyFont="1" applyBorder="1" applyAlignment="1">
      <alignment vertical="center"/>
    </xf>
    <xf numFmtId="0" fontId="3" fillId="0" borderId="73" xfId="0" applyFont="1" applyBorder="1" applyAlignment="1">
      <alignment vertical="center"/>
    </xf>
    <xf numFmtId="0" fontId="0" fillId="0" borderId="97" xfId="0" applyBorder="1" applyAlignment="1">
      <alignment vertical="center"/>
    </xf>
    <xf numFmtId="0" fontId="0" fillId="27" borderId="107" xfId="0" applyFill="1" applyBorder="1" applyAlignment="1">
      <alignment vertical="center"/>
    </xf>
    <xf numFmtId="0" fontId="0" fillId="27" borderId="108" xfId="0" applyFill="1" applyBorder="1" applyAlignment="1">
      <alignment vertical="center"/>
    </xf>
    <xf numFmtId="0" fontId="0" fillId="27" borderId="109" xfId="0" applyFill="1" applyBorder="1" applyAlignment="1">
      <alignment vertical="center"/>
    </xf>
    <xf numFmtId="0" fontId="0" fillId="0" borderId="112" xfId="0" applyBorder="1" applyAlignment="1">
      <alignment vertical="center"/>
    </xf>
    <xf numFmtId="0" fontId="0" fillId="0" borderId="99" xfId="0" applyBorder="1" applyAlignment="1">
      <alignment vertical="center"/>
    </xf>
    <xf numFmtId="0" fontId="0" fillId="0" borderId="100" xfId="0" applyBorder="1" applyAlignment="1">
      <alignment vertical="center"/>
    </xf>
    <xf numFmtId="0" fontId="0" fillId="0" borderId="101" xfId="0" applyBorder="1" applyAlignment="1">
      <alignment vertical="center"/>
    </xf>
    <xf numFmtId="0" fontId="0" fillId="0" borderId="107" xfId="0" applyBorder="1" applyAlignment="1">
      <alignment vertical="center"/>
    </xf>
    <xf numFmtId="0" fontId="0" fillId="0" borderId="108" xfId="0" applyBorder="1" applyAlignment="1">
      <alignment vertical="center"/>
    </xf>
    <xf numFmtId="0" fontId="0" fillId="0" borderId="109" xfId="0" applyBorder="1" applyAlignment="1">
      <alignment vertical="center"/>
    </xf>
    <xf numFmtId="0" fontId="6" fillId="19" borderId="112" xfId="2" applyFill="1" applyBorder="1" applyAlignment="1">
      <alignment vertical="center"/>
    </xf>
    <xf numFmtId="0" fontId="6" fillId="19" borderId="73" xfId="2" applyFill="1" applyBorder="1" applyAlignment="1">
      <alignment vertical="center"/>
    </xf>
    <xf numFmtId="0" fontId="6" fillId="19" borderId="61" xfId="2" applyFill="1" applyBorder="1" applyAlignment="1">
      <alignment vertical="center"/>
    </xf>
    <xf numFmtId="0" fontId="6" fillId="19" borderId="61" xfId="2" applyFill="1" applyBorder="1" applyAlignment="1">
      <alignment horizontal="center" vertical="center" wrapText="1"/>
    </xf>
    <xf numFmtId="0" fontId="37" fillId="2" borderId="77" xfId="0" applyFont="1" applyFill="1" applyBorder="1" applyAlignment="1">
      <alignment horizontal="center" vertical="center" wrapText="1"/>
    </xf>
    <xf numFmtId="0" fontId="37" fillId="2" borderId="95" xfId="0" applyFont="1" applyFill="1" applyBorder="1" applyAlignment="1">
      <alignment horizontal="center" vertical="center" wrapText="1"/>
    </xf>
    <xf numFmtId="0" fontId="13" fillId="0" borderId="61" xfId="0" applyFont="1" applyBorder="1" applyAlignment="1">
      <alignment horizontal="center" vertical="center" wrapText="1"/>
    </xf>
    <xf numFmtId="0" fontId="13" fillId="0" borderId="73" xfId="0" applyFont="1" applyBorder="1" applyAlignment="1">
      <alignment horizontal="center" vertical="center" wrapText="1"/>
    </xf>
    <xf numFmtId="0" fontId="13" fillId="0" borderId="97" xfId="0" applyFont="1" applyBorder="1" applyAlignment="1">
      <alignment horizontal="center" vertical="center" wrapText="1"/>
    </xf>
    <xf numFmtId="0" fontId="17" fillId="36" borderId="102" xfId="0" applyFont="1" applyFill="1" applyBorder="1" applyAlignment="1">
      <alignment horizontal="center" vertical="center" wrapText="1"/>
    </xf>
    <xf numFmtId="0" fontId="13" fillId="0" borderId="46" xfId="0" applyFont="1" applyBorder="1" applyAlignment="1">
      <alignment horizontal="center" vertical="center" wrapText="1"/>
    </xf>
    <xf numFmtId="0" fontId="17" fillId="36" borderId="104" xfId="0" applyFont="1" applyFill="1" applyBorder="1" applyAlignment="1">
      <alignment horizontal="center" vertical="center" wrapText="1"/>
    </xf>
    <xf numFmtId="0" fontId="13" fillId="0" borderId="73" xfId="0" applyFont="1" applyBorder="1" applyAlignment="1">
      <alignment vertical="center" wrapText="1"/>
    </xf>
    <xf numFmtId="0" fontId="22" fillId="0" borderId="119" xfId="0" applyFont="1" applyBorder="1" applyAlignment="1">
      <alignment vertical="center"/>
    </xf>
    <xf numFmtId="0" fontId="22" fillId="0" borderId="120" xfId="0" applyFont="1" applyBorder="1" applyAlignment="1">
      <alignment vertical="center"/>
    </xf>
    <xf numFmtId="0" fontId="14" fillId="0" borderId="46" xfId="0" applyFont="1" applyBorder="1"/>
    <xf numFmtId="0" fontId="14" fillId="0" borderId="61" xfId="0" applyFont="1" applyBorder="1"/>
    <xf numFmtId="0" fontId="37" fillId="2" borderId="121" xfId="0" applyFont="1" applyFill="1" applyBorder="1" applyAlignment="1">
      <alignment horizontal="center" vertical="center" wrapText="1"/>
    </xf>
    <xf numFmtId="0" fontId="37" fillId="2" borderId="0" xfId="0" applyFont="1" applyFill="1" applyAlignment="1">
      <alignment horizontal="center" vertical="center" wrapText="1"/>
    </xf>
    <xf numFmtId="0" fontId="38" fillId="0" borderId="73" xfId="0" applyFont="1" applyBorder="1"/>
    <xf numFmtId="0" fontId="14" fillId="0" borderId="73" xfId="0" applyFont="1" applyBorder="1"/>
    <xf numFmtId="0" fontId="22" fillId="27" borderId="85" xfId="0" applyFont="1" applyFill="1" applyBorder="1"/>
    <xf numFmtId="0" fontId="22" fillId="27" borderId="43" xfId="0" applyFont="1" applyFill="1" applyBorder="1"/>
    <xf numFmtId="0" fontId="22" fillId="27" borderId="86" xfId="0" applyFont="1" applyFill="1" applyBorder="1"/>
    <xf numFmtId="0" fontId="14" fillId="0" borderId="97" xfId="0" applyFont="1" applyBorder="1"/>
    <xf numFmtId="0" fontId="22" fillId="27" borderId="99" xfId="0" applyFont="1" applyFill="1" applyBorder="1"/>
    <xf numFmtId="0" fontId="22" fillId="27" borderId="100" xfId="0" applyFont="1" applyFill="1" applyBorder="1"/>
    <xf numFmtId="0" fontId="22" fillId="27" borderId="101" xfId="0" applyFont="1" applyFill="1" applyBorder="1"/>
    <xf numFmtId="0" fontId="14" fillId="0" borderId="73" xfId="0" applyFont="1" applyBorder="1" applyAlignment="1">
      <alignment wrapText="1"/>
    </xf>
    <xf numFmtId="0" fontId="22" fillId="0" borderId="85" xfId="0" applyFont="1" applyBorder="1"/>
    <xf numFmtId="0" fontId="22" fillId="0" borderId="43" xfId="0" applyFont="1" applyBorder="1"/>
    <xf numFmtId="0" fontId="22" fillId="0" borderId="86" xfId="0" applyFont="1" applyBorder="1"/>
    <xf numFmtId="0" fontId="22" fillId="27" borderId="107" xfId="0" applyFont="1" applyFill="1" applyBorder="1"/>
    <xf numFmtId="0" fontId="22" fillId="27" borderId="108" xfId="0" applyFont="1" applyFill="1" applyBorder="1"/>
    <xf numFmtId="0" fontId="22" fillId="27" borderId="109" xfId="0" applyFont="1" applyFill="1" applyBorder="1"/>
    <xf numFmtId="0" fontId="14" fillId="0" borderId="112" xfId="0" applyFont="1" applyBorder="1"/>
    <xf numFmtId="0" fontId="22" fillId="0" borderId="99" xfId="0" applyFont="1" applyBorder="1"/>
    <xf numFmtId="0" fontId="22" fillId="0" borderId="100" xfId="0" applyFont="1" applyBorder="1"/>
    <xf numFmtId="0" fontId="22" fillId="0" borderId="101" xfId="0" applyFont="1" applyBorder="1"/>
    <xf numFmtId="0" fontId="14" fillId="0" borderId="123" xfId="0" applyFont="1" applyBorder="1" applyAlignment="1">
      <alignment horizontal="center" vertical="center" wrapText="1"/>
    </xf>
    <xf numFmtId="0" fontId="14" fillId="0" borderId="120" xfId="0" applyFont="1" applyBorder="1" applyAlignment="1">
      <alignment horizontal="center" vertical="center" wrapText="1"/>
    </xf>
    <xf numFmtId="0" fontId="37" fillId="2" borderId="94" xfId="0" applyFont="1" applyFill="1" applyBorder="1" applyAlignment="1">
      <alignment horizontal="center" vertical="center" wrapText="1"/>
    </xf>
    <xf numFmtId="0" fontId="22" fillId="27" borderId="126" xfId="0" applyFont="1" applyFill="1" applyBorder="1" applyAlignment="1">
      <alignment vertical="center"/>
    </xf>
    <xf numFmtId="0" fontId="39" fillId="0" borderId="0" xfId="2" applyFont="1" applyBorder="1" applyAlignment="1">
      <alignment horizontal="center" vertical="center" wrapText="1"/>
    </xf>
    <xf numFmtId="0" fontId="22" fillId="0" borderId="127" xfId="0" applyFont="1" applyBorder="1" applyAlignment="1">
      <alignment vertical="center"/>
    </xf>
    <xf numFmtId="0" fontId="22" fillId="27" borderId="127" xfId="0" applyFont="1" applyFill="1" applyBorder="1" applyAlignment="1">
      <alignment vertical="center"/>
    </xf>
    <xf numFmtId="0" fontId="22" fillId="0" borderId="126" xfId="0" applyFont="1" applyBorder="1" applyAlignment="1">
      <alignment vertical="center"/>
    </xf>
    <xf numFmtId="0" fontId="22" fillId="27" borderId="128" xfId="0" applyFont="1" applyFill="1" applyBorder="1" applyAlignment="1">
      <alignment vertical="center"/>
    </xf>
    <xf numFmtId="0" fontId="14" fillId="0" borderId="111" xfId="0" applyFont="1" applyBorder="1" applyAlignment="1">
      <alignment horizontal="center" vertical="center" wrapText="1"/>
    </xf>
    <xf numFmtId="0" fontId="39" fillId="0" borderId="95" xfId="2" applyFont="1" applyBorder="1" applyAlignment="1">
      <alignment horizontal="center" vertical="center" wrapText="1"/>
    </xf>
    <xf numFmtId="0" fontId="22" fillId="0" borderId="131" xfId="0" applyFont="1" applyBorder="1" applyAlignment="1">
      <alignment vertical="center"/>
    </xf>
    <xf numFmtId="0" fontId="22" fillId="0" borderId="132" xfId="0" applyFont="1" applyBorder="1" applyAlignment="1">
      <alignment vertical="center"/>
    </xf>
    <xf numFmtId="0" fontId="22" fillId="0" borderId="133" xfId="0" applyFont="1" applyBorder="1" applyAlignment="1">
      <alignment vertical="center"/>
    </xf>
    <xf numFmtId="0" fontId="39" fillId="0" borderId="46" xfId="2" applyFont="1" applyBorder="1" applyAlignment="1">
      <alignment horizontal="center" vertical="center" wrapText="1"/>
    </xf>
    <xf numFmtId="0" fontId="31" fillId="21" borderId="64" xfId="0" applyFont="1" applyFill="1" applyBorder="1" applyAlignment="1">
      <alignment horizontal="center" vertical="center" wrapText="1"/>
    </xf>
    <xf numFmtId="0" fontId="22" fillId="0" borderId="67" xfId="0" applyFont="1" applyBorder="1" applyAlignment="1">
      <alignment vertical="center"/>
    </xf>
    <xf numFmtId="0" fontId="22" fillId="0" borderId="52" xfId="0" applyFont="1" applyBorder="1" applyAlignment="1">
      <alignment vertical="center"/>
    </xf>
    <xf numFmtId="0" fontId="22" fillId="0" borderId="87" xfId="0" applyFont="1" applyBorder="1" applyAlignment="1">
      <alignment vertical="center"/>
    </xf>
    <xf numFmtId="0" fontId="14" fillId="19" borderId="0" xfId="0" applyFont="1" applyFill="1" applyAlignment="1">
      <alignment horizontal="center" vertical="center"/>
    </xf>
    <xf numFmtId="0" fontId="26" fillId="19" borderId="0" xfId="0" applyFont="1" applyFill="1" applyAlignment="1">
      <alignment horizontal="center" vertical="center" wrapText="1" readingOrder="1"/>
    </xf>
    <xf numFmtId="0" fontId="51" fillId="4" borderId="17" xfId="0" applyFont="1" applyFill="1" applyBorder="1" applyAlignment="1">
      <alignment horizontal="left" vertical="center" wrapText="1"/>
    </xf>
    <xf numFmtId="0" fontId="38" fillId="0" borderId="0" xfId="0" applyFont="1" applyAlignment="1">
      <alignment horizontal="center" vertical="center" wrapText="1"/>
    </xf>
    <xf numFmtId="0" fontId="40" fillId="5" borderId="17" xfId="0" applyFont="1" applyFill="1" applyBorder="1" applyAlignment="1">
      <alignment vertical="center"/>
    </xf>
    <xf numFmtId="0" fontId="39" fillId="0" borderId="0" xfId="2" applyFont="1" applyAlignment="1">
      <alignment vertical="center" wrapText="1"/>
    </xf>
    <xf numFmtId="0" fontId="40" fillId="5" borderId="0" xfId="0" applyFont="1" applyFill="1" applyAlignment="1">
      <alignment vertical="center"/>
    </xf>
    <xf numFmtId="0" fontId="40" fillId="5" borderId="0" xfId="0" applyFont="1" applyFill="1" applyAlignment="1">
      <alignment vertical="center" wrapText="1"/>
    </xf>
    <xf numFmtId="0" fontId="39" fillId="19" borderId="0" xfId="2" applyFont="1" applyFill="1" applyBorder="1" applyAlignment="1">
      <alignment horizontal="center" vertical="center" wrapText="1"/>
    </xf>
    <xf numFmtId="0" fontId="40" fillId="5" borderId="0" xfId="0" applyFont="1" applyFill="1" applyAlignment="1">
      <alignment horizontal="left" vertical="center"/>
    </xf>
    <xf numFmtId="0" fontId="24" fillId="21" borderId="135" xfId="0" applyFont="1" applyFill="1" applyBorder="1" applyAlignment="1">
      <alignment horizontal="left" vertical="top" readingOrder="1"/>
    </xf>
    <xf numFmtId="0" fontId="14" fillId="0" borderId="136" xfId="0" applyFont="1" applyBorder="1"/>
    <xf numFmtId="0" fontId="46" fillId="21" borderId="125" xfId="0" applyFont="1" applyFill="1" applyBorder="1" applyAlignment="1">
      <alignment horizontal="left" vertical="top" readingOrder="1"/>
    </xf>
    <xf numFmtId="0" fontId="14" fillId="0" borderId="137" xfId="0" applyFont="1" applyBorder="1"/>
    <xf numFmtId="0" fontId="24" fillId="21" borderId="138" xfId="0" applyFont="1" applyFill="1" applyBorder="1" applyAlignment="1">
      <alignment horizontal="left" vertical="top" readingOrder="1"/>
    </xf>
    <xf numFmtId="0" fontId="46" fillId="21" borderId="69" xfId="0" applyFont="1" applyFill="1" applyBorder="1" applyAlignment="1">
      <alignment horizontal="left" vertical="top" readingOrder="1"/>
    </xf>
    <xf numFmtId="0" fontId="13" fillId="0" borderId="141" xfId="0" applyFont="1" applyBorder="1"/>
    <xf numFmtId="0" fontId="13" fillId="0" borderId="142" xfId="0" applyFont="1" applyBorder="1"/>
    <xf numFmtId="1" fontId="13" fillId="0" borderId="141" xfId="0" applyNumberFormat="1" applyFont="1" applyBorder="1"/>
    <xf numFmtId="1" fontId="13" fillId="0" borderId="142" xfId="0" applyNumberFormat="1" applyFont="1" applyBorder="1"/>
    <xf numFmtId="1" fontId="30" fillId="0" borderId="67" xfId="3" applyNumberFormat="1" applyFont="1" applyFill="1" applyBorder="1" applyAlignment="1">
      <alignment horizontal="center" vertical="center"/>
    </xf>
    <xf numFmtId="1" fontId="30" fillId="0" borderId="52" xfId="3" applyNumberFormat="1" applyFont="1" applyFill="1" applyBorder="1" applyAlignment="1">
      <alignment horizontal="center" vertical="center"/>
    </xf>
    <xf numFmtId="1" fontId="30" fillId="0" borderId="55" xfId="3" applyNumberFormat="1" applyFont="1" applyFill="1" applyBorder="1" applyAlignment="1">
      <alignment horizontal="center" vertical="center"/>
    </xf>
    <xf numFmtId="1" fontId="17" fillId="27" borderId="58" xfId="0" applyNumberFormat="1" applyFont="1" applyFill="1" applyBorder="1" applyAlignment="1">
      <alignment vertical="center"/>
    </xf>
    <xf numFmtId="1" fontId="17" fillId="0" borderId="59" xfId="0" applyNumberFormat="1" applyFont="1" applyBorder="1" applyAlignment="1">
      <alignment vertical="center"/>
    </xf>
    <xf numFmtId="1" fontId="17" fillId="27" borderId="59" xfId="0" applyNumberFormat="1" applyFont="1" applyFill="1" applyBorder="1" applyAlignment="1">
      <alignment vertical="center"/>
    </xf>
    <xf numFmtId="1" fontId="17" fillId="27" borderId="56" xfId="0" applyNumberFormat="1" applyFont="1" applyFill="1" applyBorder="1" applyAlignment="1">
      <alignment vertical="center"/>
    </xf>
    <xf numFmtId="0" fontId="52" fillId="21" borderId="138" xfId="0" applyFont="1" applyFill="1" applyBorder="1" applyAlignment="1">
      <alignment horizontal="left" vertical="top" readingOrder="1"/>
    </xf>
    <xf numFmtId="0" fontId="53" fillId="21" borderId="69" xfId="0" applyFont="1" applyFill="1" applyBorder="1" applyAlignment="1">
      <alignment horizontal="left" vertical="top" readingOrder="1"/>
    </xf>
    <xf numFmtId="0" fontId="21" fillId="34" borderId="71" xfId="0" applyFont="1" applyFill="1" applyBorder="1" applyAlignment="1">
      <alignment horizontal="left" vertical="center" wrapText="1" readingOrder="1"/>
    </xf>
    <xf numFmtId="0" fontId="21" fillId="33" borderId="71" xfId="0" applyFont="1" applyFill="1" applyBorder="1" applyAlignment="1">
      <alignment horizontal="left" vertical="center" wrapText="1" readingOrder="1"/>
    </xf>
    <xf numFmtId="0" fontId="21" fillId="33" borderId="139" xfId="0" applyFont="1" applyFill="1" applyBorder="1" applyAlignment="1">
      <alignment horizontal="left" vertical="center" wrapText="1" readingOrder="1"/>
    </xf>
    <xf numFmtId="0" fontId="21" fillId="34" borderId="68" xfId="0" applyFont="1" applyFill="1" applyBorder="1" applyAlignment="1">
      <alignment horizontal="left" vertical="center" wrapText="1" readingOrder="1"/>
    </xf>
    <xf numFmtId="0" fontId="26" fillId="27" borderId="81" xfId="0" applyFont="1" applyFill="1" applyBorder="1" applyAlignment="1">
      <alignment horizontal="center" vertical="center" wrapText="1" readingOrder="1"/>
    </xf>
    <xf numFmtId="0" fontId="26" fillId="0" borderId="83" xfId="0" applyFont="1" applyBorder="1" applyAlignment="1">
      <alignment horizontal="center" vertical="center" wrapText="1" readingOrder="1"/>
    </xf>
    <xf numFmtId="0" fontId="26" fillId="27" borderId="83" xfId="0" applyFont="1" applyFill="1" applyBorder="1" applyAlignment="1">
      <alignment horizontal="center" vertical="center" wrapText="1" readingOrder="1"/>
    </xf>
    <xf numFmtId="0" fontId="47" fillId="0" borderId="83" xfId="3" applyFont="1" applyFill="1" applyBorder="1" applyAlignment="1">
      <alignment horizontal="center" vertical="center"/>
    </xf>
    <xf numFmtId="0" fontId="14" fillId="0" borderId="85" xfId="0" applyFont="1" applyBorder="1"/>
    <xf numFmtId="0" fontId="17" fillId="5" borderId="0" xfId="0" applyFont="1" applyFill="1" applyAlignment="1">
      <alignment horizontal="left" vertical="center"/>
    </xf>
    <xf numFmtId="0" fontId="22" fillId="6" borderId="0" xfId="0" applyFont="1" applyFill="1" applyAlignment="1">
      <alignment horizontal="center" vertical="center"/>
    </xf>
    <xf numFmtId="0" fontId="17" fillId="5" borderId="12" xfId="0" applyFont="1" applyFill="1" applyBorder="1" applyAlignment="1">
      <alignment horizontal="left" vertical="center"/>
    </xf>
    <xf numFmtId="0" fontId="17" fillId="5" borderId="11" xfId="0" applyFont="1" applyFill="1" applyBorder="1" applyAlignment="1">
      <alignment horizontal="left" vertical="center"/>
    </xf>
    <xf numFmtId="0" fontId="45" fillId="4" borderId="11" xfId="0" applyFont="1" applyFill="1" applyBorder="1" applyAlignment="1">
      <alignment horizontal="left" vertical="center" wrapText="1"/>
    </xf>
    <xf numFmtId="0" fontId="45" fillId="4" borderId="11" xfId="0" applyFont="1" applyFill="1" applyBorder="1" applyAlignment="1">
      <alignment vertical="center" wrapText="1"/>
    </xf>
    <xf numFmtId="0" fontId="45" fillId="4" borderId="6" xfId="0" applyFont="1" applyFill="1" applyBorder="1" applyAlignment="1">
      <alignment vertical="center" wrapText="1"/>
    </xf>
    <xf numFmtId="0" fontId="17" fillId="5" borderId="11" xfId="0" applyFont="1" applyFill="1" applyBorder="1" applyAlignment="1">
      <alignment vertical="center"/>
    </xf>
    <xf numFmtId="0" fontId="17" fillId="5" borderId="6" xfId="0" applyFont="1" applyFill="1" applyBorder="1" applyAlignment="1">
      <alignment vertical="center" wrapText="1"/>
    </xf>
    <xf numFmtId="0" fontId="22" fillId="0" borderId="6" xfId="0" applyFont="1" applyBorder="1" applyAlignment="1">
      <alignment vertical="center" wrapText="1"/>
    </xf>
    <xf numFmtId="0" fontId="54" fillId="0" borderId="6" xfId="0" applyFont="1" applyBorder="1" applyAlignment="1">
      <alignment vertical="center" wrapText="1"/>
    </xf>
    <xf numFmtId="0" fontId="17" fillId="5" borderId="6" xfId="0" applyFont="1" applyFill="1" applyBorder="1" applyAlignment="1">
      <alignment horizontal="left" vertical="center"/>
    </xf>
    <xf numFmtId="0" fontId="17" fillId="5" borderId="17" xfId="0" applyFont="1" applyFill="1" applyBorder="1" applyAlignment="1">
      <alignment horizontal="left" vertical="center"/>
    </xf>
    <xf numFmtId="0" fontId="17" fillId="5" borderId="6" xfId="0" applyFont="1" applyFill="1" applyBorder="1" applyAlignment="1">
      <alignment horizontal="left" vertical="center" wrapText="1"/>
    </xf>
    <xf numFmtId="0" fontId="22" fillId="0" borderId="6" xfId="0" applyFont="1" applyBorder="1" applyAlignment="1">
      <alignment horizontal="center" vertical="center" wrapText="1"/>
    </xf>
    <xf numFmtId="0" fontId="23" fillId="0" borderId="6" xfId="0" applyFont="1" applyBorder="1" applyAlignment="1">
      <alignment horizontal="left" vertical="center" wrapText="1"/>
    </xf>
    <xf numFmtId="0" fontId="23" fillId="19" borderId="6" xfId="0" applyFont="1" applyFill="1" applyBorder="1" applyAlignment="1">
      <alignment horizontal="left" vertical="center" wrapText="1"/>
    </xf>
    <xf numFmtId="0" fontId="31" fillId="34" borderId="0" xfId="0" applyFont="1" applyFill="1" applyAlignment="1">
      <alignment horizontal="left" vertical="center"/>
    </xf>
    <xf numFmtId="0" fontId="31" fillId="34" borderId="12" xfId="0" applyFont="1" applyFill="1" applyBorder="1" applyAlignment="1">
      <alignment horizontal="left" vertical="center"/>
    </xf>
    <xf numFmtId="0" fontId="31" fillId="34" borderId="11" xfId="0" applyFont="1" applyFill="1" applyBorder="1" applyAlignment="1">
      <alignment horizontal="left" vertical="center"/>
    </xf>
    <xf numFmtId="0" fontId="31" fillId="38" borderId="11" xfId="0" applyFont="1" applyFill="1" applyBorder="1" applyAlignment="1">
      <alignment horizontal="left" vertical="center" wrapText="1"/>
    </xf>
    <xf numFmtId="0" fontId="31" fillId="33" borderId="0" xfId="0" applyFont="1" applyFill="1" applyAlignment="1">
      <alignment horizontal="left" vertical="center"/>
    </xf>
    <xf numFmtId="0" fontId="31" fillId="33" borderId="11" xfId="0" applyFont="1" applyFill="1" applyBorder="1" applyAlignment="1">
      <alignment horizontal="left" vertical="center"/>
    </xf>
    <xf numFmtId="0" fontId="31" fillId="33" borderId="6" xfId="0" applyFont="1" applyFill="1" applyBorder="1" applyAlignment="1">
      <alignment horizontal="left" vertical="center"/>
    </xf>
    <xf numFmtId="0" fontId="31" fillId="33" borderId="12" xfId="0" applyFont="1" applyFill="1" applyBorder="1" applyAlignment="1">
      <alignment horizontal="left" vertical="center"/>
    </xf>
    <xf numFmtId="0" fontId="31" fillId="33" borderId="17" xfId="0" applyFont="1" applyFill="1" applyBorder="1" applyAlignment="1">
      <alignment horizontal="left" vertical="center"/>
    </xf>
    <xf numFmtId="0" fontId="31" fillId="21" borderId="11" xfId="0" applyFont="1" applyFill="1" applyBorder="1" applyAlignment="1">
      <alignment horizontal="left" vertical="center"/>
    </xf>
    <xf numFmtId="0" fontId="31" fillId="35" borderId="0" xfId="0" applyFont="1" applyFill="1" applyAlignment="1">
      <alignment horizontal="left" vertical="center" wrapText="1"/>
    </xf>
    <xf numFmtId="0" fontId="31" fillId="34" borderId="6" xfId="0" applyFont="1" applyFill="1" applyBorder="1" applyAlignment="1">
      <alignment horizontal="left" vertical="center"/>
    </xf>
    <xf numFmtId="0" fontId="54" fillId="0" borderId="6" xfId="0" applyFont="1" applyBorder="1" applyAlignment="1">
      <alignment horizontal="left" vertical="center"/>
    </xf>
    <xf numFmtId="0" fontId="22" fillId="0" borderId="12" xfId="0" applyFont="1" applyBorder="1" applyAlignment="1">
      <alignment horizontal="left" vertical="center" wrapText="1"/>
    </xf>
    <xf numFmtId="0" fontId="54" fillId="0" borderId="6" xfId="0" applyFont="1" applyBorder="1" applyAlignment="1">
      <alignment horizontal="left" vertical="center" wrapText="1"/>
    </xf>
    <xf numFmtId="0" fontId="22" fillId="0" borderId="12" xfId="0" applyFont="1" applyBorder="1" applyAlignment="1">
      <alignment horizontal="left" vertical="center"/>
    </xf>
    <xf numFmtId="0" fontId="17" fillId="5" borderId="10" xfId="0" applyFont="1" applyFill="1" applyBorder="1" applyAlignment="1">
      <alignment vertical="center"/>
    </xf>
    <xf numFmtId="0" fontId="54" fillId="0" borderId="7" xfId="0" applyFont="1" applyBorder="1" applyAlignment="1">
      <alignment horizontal="left" vertical="center" wrapText="1"/>
    </xf>
    <xf numFmtId="0" fontId="22" fillId="0" borderId="6" xfId="0" applyFont="1" applyBorder="1" applyAlignment="1">
      <alignment horizontal="left" vertical="center" wrapText="1"/>
    </xf>
    <xf numFmtId="0" fontId="54" fillId="0" borderId="9" xfId="0" applyFont="1" applyBorder="1" applyAlignment="1">
      <alignment horizontal="left" vertical="center" wrapText="1"/>
    </xf>
    <xf numFmtId="0" fontId="23" fillId="0" borderId="0" xfId="0" applyFont="1" applyAlignment="1">
      <alignment vertical="center"/>
    </xf>
    <xf numFmtId="0" fontId="40" fillId="5" borderId="19" xfId="0" applyFont="1" applyFill="1" applyBorder="1" applyAlignment="1">
      <alignment vertical="center"/>
    </xf>
    <xf numFmtId="0" fontId="40" fillId="5" borderId="16" xfId="0" applyFont="1" applyFill="1" applyBorder="1" applyAlignment="1">
      <alignment vertical="center"/>
    </xf>
    <xf numFmtId="0" fontId="40" fillId="5" borderId="18" xfId="0" applyFont="1" applyFill="1" applyBorder="1" applyAlignment="1">
      <alignment vertical="center"/>
    </xf>
    <xf numFmtId="0" fontId="22" fillId="9" borderId="0" xfId="0" applyFont="1" applyFill="1" applyAlignment="1">
      <alignment vertical="center"/>
    </xf>
    <xf numFmtId="0" fontId="54" fillId="0" borderId="0" xfId="0" applyFont="1" applyAlignment="1">
      <alignment horizontal="left" vertical="center" wrapText="1"/>
    </xf>
    <xf numFmtId="0" fontId="17" fillId="0" borderId="10" xfId="0" applyFont="1" applyBorder="1" applyAlignment="1">
      <alignment vertical="center"/>
    </xf>
    <xf numFmtId="0" fontId="40" fillId="5" borderId="5" xfId="0" applyFont="1" applyFill="1" applyBorder="1" applyAlignment="1">
      <alignment vertical="center" wrapText="1"/>
    </xf>
    <xf numFmtId="0" fontId="31" fillId="21" borderId="6" xfId="0" applyFont="1" applyFill="1" applyBorder="1" applyAlignment="1">
      <alignment horizontal="left" vertical="center"/>
    </xf>
    <xf numFmtId="0" fontId="55" fillId="5" borderId="11" xfId="0" applyFont="1" applyFill="1" applyBorder="1" applyAlignment="1">
      <alignment horizontal="left" vertical="center"/>
    </xf>
    <xf numFmtId="0" fontId="55" fillId="5" borderId="6" xfId="0" applyFont="1" applyFill="1" applyBorder="1" applyAlignment="1">
      <alignment vertical="center" wrapText="1"/>
    </xf>
    <xf numFmtId="0" fontId="54" fillId="0" borderId="1" xfId="0" applyFont="1" applyBorder="1" applyAlignment="1">
      <alignment horizontal="left" vertical="center" wrapText="1"/>
    </xf>
    <xf numFmtId="0" fontId="54" fillId="8" borderId="0" xfId="0" applyFont="1" applyFill="1" applyAlignment="1">
      <alignment horizontal="left" vertical="center"/>
    </xf>
    <xf numFmtId="0" fontId="17" fillId="5" borderId="0" xfId="0" applyFont="1" applyFill="1" applyAlignment="1">
      <alignment vertical="center"/>
    </xf>
    <xf numFmtId="0" fontId="54" fillId="0" borderId="8" xfId="0" applyFont="1" applyBorder="1" applyAlignment="1">
      <alignment horizontal="left" vertical="center" wrapText="1"/>
    </xf>
    <xf numFmtId="0" fontId="22" fillId="3" borderId="14" xfId="0" applyFont="1" applyFill="1" applyBorder="1" applyAlignment="1">
      <alignment horizontal="left" vertical="center"/>
    </xf>
    <xf numFmtId="0" fontId="54" fillId="3" borderId="9" xfId="0" applyFont="1" applyFill="1" applyBorder="1" applyAlignment="1">
      <alignment horizontal="left" vertical="center" wrapText="1"/>
    </xf>
    <xf numFmtId="0" fontId="22" fillId="0" borderId="14" xfId="0" applyFont="1" applyBorder="1" applyAlignment="1">
      <alignment horizontal="left" vertical="center"/>
    </xf>
    <xf numFmtId="0" fontId="54" fillId="0" borderId="7" xfId="0" applyFont="1" applyBorder="1" applyAlignment="1">
      <alignment horizontal="left" vertical="center"/>
    </xf>
    <xf numFmtId="0" fontId="54" fillId="0" borderId="5" xfId="0" applyFont="1" applyBorder="1" applyAlignment="1">
      <alignment horizontal="left" vertical="center"/>
    </xf>
    <xf numFmtId="0" fontId="17" fillId="5" borderId="6" xfId="0" applyFont="1" applyFill="1" applyBorder="1" applyAlignment="1">
      <alignment vertical="center"/>
    </xf>
    <xf numFmtId="0" fontId="54" fillId="3" borderId="6" xfId="0" applyFont="1" applyFill="1" applyBorder="1" applyAlignment="1">
      <alignment horizontal="left" vertical="center" wrapText="1"/>
    </xf>
    <xf numFmtId="0" fontId="31" fillId="35" borderId="7" xfId="0" applyFont="1" applyFill="1" applyBorder="1" applyAlignment="1">
      <alignment horizontal="left" vertical="center" wrapText="1"/>
    </xf>
    <xf numFmtId="0" fontId="31" fillId="35" borderId="17" xfId="0" applyFont="1" applyFill="1" applyBorder="1" applyAlignment="1">
      <alignment horizontal="left" vertical="center"/>
    </xf>
    <xf numFmtId="0" fontId="22" fillId="8" borderId="2" xfId="0" applyFont="1" applyFill="1" applyBorder="1" applyAlignment="1">
      <alignment horizontal="left" vertical="center" wrapText="1"/>
    </xf>
    <xf numFmtId="0" fontId="22" fillId="8" borderId="3" xfId="0" applyFont="1" applyFill="1" applyBorder="1" applyAlignment="1">
      <alignment horizontal="left" vertical="center" wrapText="1"/>
    </xf>
    <xf numFmtId="0" fontId="54" fillId="8" borderId="20" xfId="0" applyFont="1" applyFill="1" applyBorder="1" applyAlignment="1">
      <alignment horizontal="left" vertical="center" wrapText="1"/>
    </xf>
    <xf numFmtId="0" fontId="22" fillId="8" borderId="4" xfId="0" applyFont="1" applyFill="1" applyBorder="1" applyAlignment="1">
      <alignment horizontal="left" vertical="center" wrapText="1"/>
    </xf>
    <xf numFmtId="0" fontId="54" fillId="8" borderId="21" xfId="0" applyFont="1" applyFill="1" applyBorder="1" applyAlignment="1">
      <alignment horizontal="left" vertical="center" wrapText="1"/>
    </xf>
    <xf numFmtId="0" fontId="22" fillId="8" borderId="14" xfId="0" applyFont="1" applyFill="1" applyBorder="1" applyAlignment="1">
      <alignment horizontal="left" vertical="center" wrapText="1"/>
    </xf>
    <xf numFmtId="0" fontId="54" fillId="8" borderId="9" xfId="0" applyFont="1" applyFill="1" applyBorder="1" applyAlignment="1">
      <alignment horizontal="left" vertical="center" wrapText="1"/>
    </xf>
    <xf numFmtId="0" fontId="54" fillId="8" borderId="6" xfId="0" applyFont="1" applyFill="1" applyBorder="1" applyAlignment="1">
      <alignment horizontal="left" vertical="center" wrapText="1"/>
    </xf>
    <xf numFmtId="0" fontId="54" fillId="8" borderId="0" xfId="0" applyFont="1" applyFill="1" applyAlignment="1">
      <alignment horizontal="left" vertical="center" wrapText="1"/>
    </xf>
    <xf numFmtId="0" fontId="54" fillId="8" borderId="7" xfId="0" applyFont="1" applyFill="1" applyBorder="1" applyAlignment="1">
      <alignment horizontal="left" vertical="center" wrapText="1"/>
    </xf>
    <xf numFmtId="0" fontId="22" fillId="8" borderId="13" xfId="0" applyFont="1" applyFill="1" applyBorder="1" applyAlignment="1">
      <alignment vertical="center" wrapText="1"/>
    </xf>
    <xf numFmtId="0" fontId="22" fillId="8" borderId="14" xfId="0" applyFont="1" applyFill="1" applyBorder="1" applyAlignment="1">
      <alignment vertical="center" wrapText="1"/>
    </xf>
    <xf numFmtId="0" fontId="54" fillId="8" borderId="8" xfId="0" applyFont="1" applyFill="1" applyBorder="1" applyAlignment="1">
      <alignment horizontal="left" vertical="center" wrapText="1"/>
    </xf>
    <xf numFmtId="0" fontId="17" fillId="0" borderId="6" xfId="0" applyFont="1" applyBorder="1" applyAlignment="1">
      <alignment horizontal="left" vertical="center" wrapText="1"/>
    </xf>
    <xf numFmtId="0" fontId="22" fillId="8" borderId="15" xfId="0" applyFont="1" applyFill="1" applyBorder="1" applyAlignment="1">
      <alignment vertical="center" wrapText="1"/>
    </xf>
    <xf numFmtId="0" fontId="54" fillId="8" borderId="5" xfId="0" applyFont="1" applyFill="1" applyBorder="1" applyAlignment="1">
      <alignment horizontal="left" vertical="center" wrapText="1"/>
    </xf>
    <xf numFmtId="0" fontId="31" fillId="35" borderId="11" xfId="0" applyFont="1" applyFill="1" applyBorder="1" applyAlignment="1">
      <alignment horizontal="left" vertical="center"/>
    </xf>
    <xf numFmtId="0" fontId="54" fillId="0" borderId="8" xfId="0" applyFont="1" applyBorder="1" applyAlignment="1">
      <alignment horizontal="left" vertical="center"/>
    </xf>
    <xf numFmtId="0" fontId="54" fillId="0" borderId="9" xfId="0" applyFont="1" applyBorder="1" applyAlignment="1">
      <alignment horizontal="left" vertical="center"/>
    </xf>
    <xf numFmtId="0" fontId="22" fillId="7" borderId="14" xfId="0" applyFont="1" applyFill="1" applyBorder="1" applyAlignment="1">
      <alignment horizontal="left" vertical="center" wrapText="1"/>
    </xf>
    <xf numFmtId="0" fontId="22" fillId="0" borderId="14" xfId="0" applyFont="1" applyBorder="1" applyAlignment="1">
      <alignment horizontal="left" vertical="center" wrapText="1"/>
    </xf>
    <xf numFmtId="0" fontId="22" fillId="7" borderId="15" xfId="0" applyFont="1" applyFill="1" applyBorder="1" applyAlignment="1">
      <alignment horizontal="left" vertical="center" wrapText="1"/>
    </xf>
    <xf numFmtId="0" fontId="22" fillId="8" borderId="13" xfId="0" applyFont="1" applyFill="1" applyBorder="1" applyAlignment="1">
      <alignment horizontal="left" vertical="center" wrapText="1"/>
    </xf>
    <xf numFmtId="0" fontId="22" fillId="8" borderId="15" xfId="0" applyFont="1" applyFill="1" applyBorder="1" applyAlignment="1">
      <alignment horizontal="left" vertical="center" wrapText="1"/>
    </xf>
    <xf numFmtId="0" fontId="54" fillId="8" borderId="9" xfId="0" applyFont="1" applyFill="1" applyBorder="1" applyAlignment="1">
      <alignment vertical="center" wrapText="1"/>
    </xf>
    <xf numFmtId="0" fontId="17" fillId="0" borderId="7" xfId="0" applyFont="1" applyBorder="1" applyAlignment="1">
      <alignment horizontal="left" vertical="center" wrapText="1"/>
    </xf>
    <xf numFmtId="0" fontId="56" fillId="0" borderId="16" xfId="2" applyFont="1" applyBorder="1" applyAlignment="1">
      <alignment horizontal="left" vertical="center" wrapText="1"/>
    </xf>
    <xf numFmtId="0" fontId="22" fillId="0" borderId="10" xfId="0" applyFont="1" applyBorder="1" applyAlignment="1">
      <alignment vertical="center" wrapText="1"/>
    </xf>
    <xf numFmtId="0" fontId="22" fillId="0" borderId="6" xfId="0" applyFont="1" applyBorder="1" applyAlignment="1">
      <alignment horizontal="left" vertical="center"/>
    </xf>
    <xf numFmtId="0" fontId="22" fillId="0" borderId="7" xfId="0" applyFont="1" applyBorder="1" applyAlignment="1">
      <alignment horizontal="left" vertical="center"/>
    </xf>
    <xf numFmtId="0" fontId="22" fillId="0" borderId="0" xfId="0" applyFont="1" applyAlignment="1">
      <alignment horizontal="left" vertical="center"/>
    </xf>
    <xf numFmtId="0" fontId="22" fillId="0" borderId="10" xfId="0" applyFont="1" applyBorder="1" applyAlignment="1">
      <alignment horizontal="left" vertical="center"/>
    </xf>
    <xf numFmtId="0" fontId="22" fillId="0" borderId="10" xfId="0" applyFont="1" applyBorder="1" applyAlignment="1">
      <alignment horizontal="left" vertical="center" wrapText="1"/>
    </xf>
    <xf numFmtId="0" fontId="22" fillId="0" borderId="10" xfId="0" applyFont="1" applyBorder="1" applyAlignment="1">
      <alignment vertical="center"/>
    </xf>
    <xf numFmtId="0" fontId="22" fillId="0" borderId="16" xfId="0" applyFont="1" applyBorder="1" applyAlignment="1">
      <alignment vertical="center" wrapText="1"/>
    </xf>
    <xf numFmtId="0" fontId="22" fillId="0" borderId="19" xfId="0" applyFont="1" applyBorder="1" applyAlignment="1">
      <alignment vertical="center" wrapText="1"/>
    </xf>
    <xf numFmtId="0" fontId="57" fillId="0" borderId="0" xfId="0" applyFont="1" applyAlignment="1">
      <alignment vertical="center" wrapText="1"/>
    </xf>
    <xf numFmtId="0" fontId="22" fillId="0" borderId="11" xfId="0" applyFont="1" applyBorder="1" applyAlignment="1">
      <alignment horizontal="left" vertical="center"/>
    </xf>
    <xf numFmtId="0" fontId="22" fillId="8" borderId="0" xfId="0" applyFont="1" applyFill="1" applyAlignment="1">
      <alignment horizontal="left" vertical="center"/>
    </xf>
    <xf numFmtId="0" fontId="22" fillId="3" borderId="10" xfId="0" applyFont="1" applyFill="1" applyBorder="1" applyAlignment="1">
      <alignment horizontal="left" vertical="center"/>
    </xf>
    <xf numFmtId="0" fontId="22" fillId="0" borderId="16" xfId="0" applyFont="1" applyBorder="1" applyAlignment="1">
      <alignment horizontal="left" vertical="center"/>
    </xf>
    <xf numFmtId="0" fontId="22" fillId="0" borderId="11" xfId="0" applyFont="1" applyBorder="1" applyAlignment="1">
      <alignment vertical="center"/>
    </xf>
    <xf numFmtId="0" fontId="22" fillId="3" borderId="6" xfId="0" applyFont="1" applyFill="1" applyBorder="1" applyAlignment="1">
      <alignment horizontal="left" vertical="center"/>
    </xf>
    <xf numFmtId="0" fontId="22" fillId="8" borderId="10" xfId="0" applyFont="1" applyFill="1" applyBorder="1" applyAlignment="1">
      <alignment horizontal="left" vertical="center" wrapText="1"/>
    </xf>
    <xf numFmtId="0" fontId="22" fillId="8" borderId="11" xfId="0" applyFont="1" applyFill="1" applyBorder="1" applyAlignment="1">
      <alignment horizontal="left" vertical="center" wrapText="1"/>
    </xf>
    <xf numFmtId="0" fontId="22" fillId="8" borderId="10" xfId="0" applyFont="1" applyFill="1" applyBorder="1" applyAlignment="1">
      <alignment vertical="center"/>
    </xf>
    <xf numFmtId="0" fontId="22" fillId="8" borderId="10" xfId="0" applyFont="1" applyFill="1" applyBorder="1" applyAlignment="1">
      <alignment horizontal="left" vertical="center"/>
    </xf>
    <xf numFmtId="0" fontId="22" fillId="8" borderId="10" xfId="0" applyFont="1" applyFill="1" applyBorder="1" applyAlignment="1">
      <alignment vertical="center" wrapText="1"/>
    </xf>
    <xf numFmtId="0" fontId="22" fillId="8" borderId="11" xfId="0" applyFont="1" applyFill="1" applyBorder="1" applyAlignment="1">
      <alignment horizontal="left" vertical="center"/>
    </xf>
    <xf numFmtId="0" fontId="58" fillId="39" borderId="6" xfId="0" applyFont="1" applyFill="1" applyBorder="1" applyAlignment="1">
      <alignment horizontal="center" vertical="center" wrapText="1" readingOrder="1"/>
    </xf>
    <xf numFmtId="0" fontId="59" fillId="39" borderId="6" xfId="0" applyFont="1" applyFill="1" applyBorder="1" applyAlignment="1">
      <alignment horizontal="center" vertical="center" wrapText="1" readingOrder="1"/>
    </xf>
    <xf numFmtId="0" fontId="59" fillId="40" borderId="6" xfId="0" applyFont="1" applyFill="1" applyBorder="1" applyAlignment="1">
      <alignment horizontal="center" vertical="center" wrapText="1" readingOrder="1"/>
    </xf>
    <xf numFmtId="0" fontId="59" fillId="3" borderId="6" xfId="0" applyFont="1" applyFill="1" applyBorder="1" applyAlignment="1">
      <alignment horizontal="center" vertical="center" wrapText="1" readingOrder="1"/>
    </xf>
    <xf numFmtId="0" fontId="58" fillId="10" borderId="6" xfId="0" applyFont="1" applyFill="1" applyBorder="1" applyAlignment="1">
      <alignment horizontal="center" vertical="center" wrapText="1" readingOrder="1"/>
    </xf>
    <xf numFmtId="0" fontId="59" fillId="41" borderId="9" xfId="0" applyFont="1" applyFill="1" applyBorder="1" applyAlignment="1">
      <alignment horizontal="center" vertical="center" wrapText="1" readingOrder="1"/>
    </xf>
    <xf numFmtId="0" fontId="59" fillId="41" borderId="6" xfId="0" applyFont="1" applyFill="1" applyBorder="1" applyAlignment="1">
      <alignment horizontal="center" vertical="center" wrapText="1" readingOrder="1"/>
    </xf>
    <xf numFmtId="0" fontId="58" fillId="41" borderId="6" xfId="0" applyFont="1" applyFill="1" applyBorder="1" applyAlignment="1">
      <alignment horizontal="center" vertical="center" wrapText="1" readingOrder="1"/>
    </xf>
    <xf numFmtId="0" fontId="59" fillId="41" borderId="8" xfId="0" applyFont="1" applyFill="1" applyBorder="1" applyAlignment="1">
      <alignment horizontal="center" vertical="center" wrapText="1" readingOrder="1"/>
    </xf>
    <xf numFmtId="0" fontId="58" fillId="3" borderId="6" xfId="0" applyFont="1" applyFill="1" applyBorder="1" applyAlignment="1">
      <alignment horizontal="center" vertical="center" wrapText="1" readingOrder="1"/>
    </xf>
    <xf numFmtId="0" fontId="58" fillId="42" borderId="6" xfId="0" applyFont="1" applyFill="1" applyBorder="1" applyAlignment="1">
      <alignment horizontal="left" vertical="center" wrapText="1" readingOrder="1"/>
    </xf>
    <xf numFmtId="0" fontId="59" fillId="42" borderId="6" xfId="0" applyFont="1" applyFill="1" applyBorder="1" applyAlignment="1">
      <alignment horizontal="left" vertical="center" wrapText="1" readingOrder="1"/>
    </xf>
    <xf numFmtId="0" fontId="60" fillId="42" borderId="6" xfId="0" applyFont="1" applyFill="1" applyBorder="1" applyAlignment="1">
      <alignment horizontal="left" vertical="center" wrapText="1"/>
    </xf>
    <xf numFmtId="0" fontId="3" fillId="18" borderId="6" xfId="0" applyFont="1" applyFill="1" applyBorder="1"/>
    <xf numFmtId="0" fontId="3" fillId="43" borderId="6" xfId="0" applyFont="1" applyFill="1" applyBorder="1"/>
    <xf numFmtId="0" fontId="3" fillId="44" borderId="6" xfId="0" applyFont="1" applyFill="1" applyBorder="1" applyAlignment="1">
      <alignment wrapText="1"/>
    </xf>
    <xf numFmtId="0" fontId="3" fillId="40" borderId="6" xfId="0" applyFont="1" applyFill="1" applyBorder="1"/>
    <xf numFmtId="0" fontId="3" fillId="40" borderId="6" xfId="0" applyFont="1" applyFill="1" applyBorder="1" applyAlignment="1">
      <alignment wrapText="1"/>
    </xf>
    <xf numFmtId="0" fontId="0" fillId="0" borderId="26" xfId="0" applyBorder="1" applyAlignment="1">
      <alignment vertical="center" wrapText="1"/>
    </xf>
    <xf numFmtId="0" fontId="0" fillId="0" borderId="28" xfId="0" applyBorder="1" applyAlignment="1">
      <alignment vertical="center" wrapText="1"/>
    </xf>
    <xf numFmtId="0" fontId="19" fillId="0" borderId="45" xfId="0" applyFont="1" applyBorder="1" applyAlignment="1">
      <alignment horizontal="center" vertical="center" wrapText="1"/>
    </xf>
    <xf numFmtId="0" fontId="19" fillId="0" borderId="37" xfId="0" applyFont="1" applyBorder="1" applyAlignment="1">
      <alignment horizontal="center" vertical="center" wrapText="1"/>
    </xf>
    <xf numFmtId="0" fontId="19" fillId="0" borderId="38"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50" xfId="0" applyFont="1" applyBorder="1" applyAlignment="1">
      <alignment horizontal="center" vertical="center" wrapText="1"/>
    </xf>
    <xf numFmtId="0" fontId="17" fillId="0" borderId="43" xfId="0" applyFont="1" applyBorder="1" applyAlignment="1">
      <alignment horizontal="center" vertical="center" wrapText="1"/>
    </xf>
    <xf numFmtId="0" fontId="22" fillId="0" borderId="39" xfId="0" applyFont="1" applyBorder="1" applyAlignment="1">
      <alignment horizontal="center" vertical="center" wrapText="1"/>
    </xf>
    <xf numFmtId="0" fontId="22" fillId="0" borderId="41" xfId="0" applyFont="1" applyBorder="1" applyAlignment="1">
      <alignment horizontal="center" vertical="center" wrapText="1"/>
    </xf>
    <xf numFmtId="0" fontId="22" fillId="0" borderId="49" xfId="0" applyFont="1" applyBorder="1" applyAlignment="1">
      <alignment horizontal="center" vertical="center" wrapText="1"/>
    </xf>
    <xf numFmtId="0" fontId="22" fillId="0" borderId="51" xfId="0" applyFont="1" applyBorder="1" applyAlignment="1">
      <alignment horizontal="center" vertical="center" wrapText="1"/>
    </xf>
    <xf numFmtId="0" fontId="22" fillId="0" borderId="44" xfId="0" applyFont="1" applyBorder="1" applyAlignment="1">
      <alignment horizontal="center" vertical="center" wrapText="1"/>
    </xf>
    <xf numFmtId="0" fontId="39" fillId="0" borderId="0" xfId="2" applyFont="1" applyAlignment="1">
      <alignment horizontal="center" vertical="center" wrapText="1"/>
    </xf>
    <xf numFmtId="0" fontId="39" fillId="0" borderId="0" xfId="2" applyFont="1" applyAlignment="1">
      <alignment horizontal="center" vertical="center"/>
    </xf>
    <xf numFmtId="0" fontId="39" fillId="0" borderId="26" xfId="2" applyFont="1" applyBorder="1" applyAlignment="1">
      <alignment horizontal="center" vertical="center" wrapText="1"/>
    </xf>
    <xf numFmtId="0" fontId="22" fillId="0" borderId="7" xfId="0" applyFont="1" applyBorder="1" applyAlignment="1">
      <alignment horizontal="left" vertical="center" wrapText="1"/>
    </xf>
    <xf numFmtId="0" fontId="22" fillId="0" borderId="8" xfId="0" applyFont="1" applyBorder="1" applyAlignment="1">
      <alignment horizontal="left" vertical="center" wrapText="1"/>
    </xf>
    <xf numFmtId="0" fontId="54" fillId="0" borderId="7" xfId="0" applyFont="1" applyBorder="1" applyAlignment="1">
      <alignment vertical="center" wrapText="1"/>
    </xf>
    <xf numFmtId="0" fontId="54" fillId="0" borderId="8" xfId="0" applyFont="1" applyBorder="1" applyAlignment="1">
      <alignment vertical="center" wrapText="1"/>
    </xf>
    <xf numFmtId="0" fontId="54" fillId="0" borderId="9" xfId="0" applyFont="1" applyBorder="1" applyAlignment="1">
      <alignment vertical="center" wrapText="1"/>
    </xf>
    <xf numFmtId="0" fontId="54" fillId="0" borderId="7" xfId="0" applyFont="1" applyBorder="1" applyAlignment="1">
      <alignment horizontal="left" vertical="center" wrapText="1"/>
    </xf>
    <xf numFmtId="0" fontId="54" fillId="0" borderId="9" xfId="0" applyFont="1" applyBorder="1" applyAlignment="1">
      <alignment horizontal="left" vertical="center" wrapText="1"/>
    </xf>
    <xf numFmtId="0" fontId="54" fillId="0" borderId="7" xfId="0" applyFont="1" applyBorder="1" applyAlignment="1">
      <alignment horizontal="left" vertical="center"/>
    </xf>
    <xf numFmtId="0" fontId="54" fillId="0" borderId="8" xfId="0" applyFont="1" applyBorder="1" applyAlignment="1">
      <alignment horizontal="left" vertical="center"/>
    </xf>
    <xf numFmtId="0" fontId="54" fillId="0" borderId="9" xfId="0" applyFont="1" applyBorder="1" applyAlignment="1">
      <alignment horizontal="left" vertical="center"/>
    </xf>
    <xf numFmtId="0" fontId="22" fillId="0" borderId="6" xfId="0" applyFont="1" applyBorder="1" applyAlignment="1">
      <alignment horizontal="left" vertical="center"/>
    </xf>
    <xf numFmtId="0" fontId="54" fillId="0" borderId="6" xfId="0" applyFont="1" applyBorder="1" applyAlignment="1">
      <alignment horizontal="left" vertical="center" wrapText="1"/>
    </xf>
    <xf numFmtId="0" fontId="22" fillId="0" borderId="7" xfId="0" applyFont="1" applyBorder="1" applyAlignment="1">
      <alignment horizontal="left" vertical="center"/>
    </xf>
    <xf numFmtId="0" fontId="22" fillId="0" borderId="8" xfId="0" applyFont="1" applyBorder="1" applyAlignment="1">
      <alignment horizontal="left" vertical="center"/>
    </xf>
    <xf numFmtId="0" fontId="22" fillId="0" borderId="9" xfId="0" applyFont="1" applyBorder="1" applyAlignment="1">
      <alignment horizontal="left" vertical="center"/>
    </xf>
    <xf numFmtId="0" fontId="22" fillId="0" borderId="13" xfId="0" applyFont="1" applyBorder="1" applyAlignment="1">
      <alignment horizontal="left" vertical="center" wrapText="1"/>
    </xf>
    <xf numFmtId="0" fontId="22" fillId="0" borderId="14" xfId="0" applyFont="1" applyBorder="1" applyAlignment="1">
      <alignment horizontal="left" vertical="center" wrapText="1"/>
    </xf>
    <xf numFmtId="0" fontId="22" fillId="0" borderId="15" xfId="0" applyFont="1" applyBorder="1" applyAlignment="1">
      <alignment horizontal="left" vertical="center" wrapText="1"/>
    </xf>
    <xf numFmtId="0" fontId="22" fillId="0" borderId="13" xfId="0" applyFont="1" applyBorder="1" applyAlignment="1">
      <alignment horizontal="left" vertical="center"/>
    </xf>
    <xf numFmtId="0" fontId="22" fillId="0" borderId="14" xfId="0" applyFont="1" applyBorder="1" applyAlignment="1">
      <alignment horizontal="left" vertical="center"/>
    </xf>
    <xf numFmtId="0" fontId="22" fillId="0" borderId="15" xfId="0" applyFont="1" applyBorder="1" applyAlignment="1">
      <alignment horizontal="left" vertical="center"/>
    </xf>
    <xf numFmtId="0" fontId="36" fillId="3" borderId="0" xfId="0" applyFont="1" applyFill="1" applyAlignment="1">
      <alignment horizontal="center" vertical="center"/>
    </xf>
    <xf numFmtId="0" fontId="17" fillId="3" borderId="18" xfId="0" applyFont="1" applyFill="1" applyBorder="1" applyAlignment="1">
      <alignment horizontal="center" vertical="center"/>
    </xf>
    <xf numFmtId="0" fontId="17" fillId="3" borderId="0" xfId="0" applyFont="1" applyFill="1" applyAlignment="1">
      <alignment horizontal="center" vertical="center"/>
    </xf>
    <xf numFmtId="0" fontId="39" fillId="19" borderId="0" xfId="2" applyFont="1" applyFill="1" applyBorder="1" applyAlignment="1">
      <alignment horizontal="center" vertical="center" wrapText="1"/>
    </xf>
    <xf numFmtId="0" fontId="39" fillId="19" borderId="0" xfId="2" applyFont="1" applyFill="1" applyBorder="1" applyAlignment="1">
      <alignment horizontal="center" vertical="center"/>
    </xf>
    <xf numFmtId="0" fontId="14" fillId="0" borderId="0" xfId="0" applyFont="1" applyAlignment="1">
      <alignment horizontal="center" vertical="center" wrapText="1"/>
    </xf>
    <xf numFmtId="0" fontId="14" fillId="0" borderId="0" xfId="0" applyFont="1" applyAlignment="1">
      <alignment horizontal="center" vertical="center"/>
    </xf>
    <xf numFmtId="0" fontId="14" fillId="0" borderId="26" xfId="0" applyFont="1" applyBorder="1" applyAlignment="1">
      <alignment horizontal="center" vertical="center" wrapText="1"/>
    </xf>
    <xf numFmtId="0" fontId="22" fillId="0" borderId="9" xfId="0" applyFont="1" applyBorder="1" applyAlignment="1">
      <alignment horizontal="left" vertical="center" wrapText="1"/>
    </xf>
    <xf numFmtId="0" fontId="22" fillId="0" borderId="6" xfId="0" applyFont="1" applyBorder="1" applyAlignment="1">
      <alignment horizontal="left" vertical="center" wrapText="1"/>
    </xf>
    <xf numFmtId="0" fontId="54" fillId="0" borderId="6" xfId="0" applyFont="1" applyBorder="1" applyAlignment="1">
      <alignment vertical="center" wrapText="1"/>
    </xf>
    <xf numFmtId="0" fontId="17" fillId="5" borderId="6" xfId="0" applyFont="1" applyFill="1" applyBorder="1" applyAlignment="1">
      <alignment horizontal="left" vertical="center"/>
    </xf>
    <xf numFmtId="0" fontId="17" fillId="9" borderId="7" xfId="0" applyFont="1" applyFill="1" applyBorder="1" applyAlignment="1">
      <alignment horizontal="center" vertical="center" wrapText="1"/>
    </xf>
    <xf numFmtId="0" fontId="17" fillId="9" borderId="8" xfId="0" applyFont="1" applyFill="1" applyBorder="1" applyAlignment="1">
      <alignment horizontal="center" vertical="center" wrapText="1"/>
    </xf>
    <xf numFmtId="0" fontId="17" fillId="9" borderId="9" xfId="0" applyFont="1" applyFill="1" applyBorder="1" applyAlignment="1">
      <alignment horizontal="center" vertical="center" wrapText="1"/>
    </xf>
    <xf numFmtId="0" fontId="22" fillId="0" borderId="7" xfId="0" applyFont="1" applyBorder="1" applyAlignment="1">
      <alignment horizontal="center" vertical="center"/>
    </xf>
    <xf numFmtId="0" fontId="22" fillId="0" borderId="9" xfId="0" applyFont="1" applyBorder="1" applyAlignment="1">
      <alignment horizontal="center" vertical="center"/>
    </xf>
    <xf numFmtId="0" fontId="22" fillId="0" borderId="17" xfId="0" applyFont="1" applyBorder="1" applyAlignment="1">
      <alignment horizontal="left" vertical="center"/>
    </xf>
    <xf numFmtId="0" fontId="22" fillId="0" borderId="0" xfId="0" applyFont="1" applyAlignment="1">
      <alignment horizontal="left" vertical="center"/>
    </xf>
    <xf numFmtId="43" fontId="22" fillId="0" borderId="13" xfId="1" applyFont="1" applyBorder="1" applyAlignment="1">
      <alignment horizontal="left" vertical="center" wrapText="1"/>
    </xf>
    <xf numFmtId="43" fontId="22" fillId="0" borderId="14" xfId="1" applyFont="1" applyBorder="1" applyAlignment="1">
      <alignment horizontal="left" vertical="center" wrapText="1"/>
    </xf>
    <xf numFmtId="43" fontId="22" fillId="0" borderId="15" xfId="1" applyFont="1" applyBorder="1" applyAlignment="1">
      <alignment horizontal="left" vertical="center" wrapText="1"/>
    </xf>
    <xf numFmtId="0" fontId="22" fillId="0" borderId="17" xfId="0" applyFont="1" applyBorder="1" applyAlignment="1">
      <alignment horizontal="left" vertical="center" wrapText="1"/>
    </xf>
    <xf numFmtId="0" fontId="22" fillId="0" borderId="0" xfId="0" applyFont="1" applyAlignment="1">
      <alignment horizontal="left" vertical="center" wrapText="1"/>
    </xf>
    <xf numFmtId="0" fontId="22" fillId="0" borderId="5" xfId="0" applyFont="1" applyBorder="1" applyAlignment="1">
      <alignment horizontal="left" vertical="center" wrapText="1"/>
    </xf>
    <xf numFmtId="0" fontId="48" fillId="0" borderId="0" xfId="0" applyFont="1" applyAlignment="1">
      <alignment horizontal="center" vertical="center"/>
    </xf>
    <xf numFmtId="0" fontId="49" fillId="2" borderId="6" xfId="0" applyFont="1" applyFill="1" applyBorder="1" applyAlignment="1">
      <alignment horizontal="center" vertical="center" wrapText="1"/>
    </xf>
    <xf numFmtId="0" fontId="54" fillId="0" borderId="8" xfId="0" applyFont="1" applyBorder="1" applyAlignment="1">
      <alignment horizontal="left" vertical="center" wrapText="1"/>
    </xf>
    <xf numFmtId="0" fontId="54" fillId="0" borderId="22" xfId="0" applyFont="1" applyBorder="1" applyAlignment="1">
      <alignment horizontal="left" vertical="center" wrapText="1"/>
    </xf>
    <xf numFmtId="0" fontId="40" fillId="5" borderId="0" xfId="0" applyFont="1" applyFill="1" applyAlignment="1">
      <alignment horizontal="center" vertical="center"/>
    </xf>
    <xf numFmtId="0" fontId="50" fillId="6" borderId="6" xfId="0" applyFont="1" applyFill="1" applyBorder="1" applyAlignment="1">
      <alignment horizontal="center" vertical="center"/>
    </xf>
    <xf numFmtId="0" fontId="22" fillId="0" borderId="12" xfId="0" applyFont="1" applyBorder="1" applyAlignment="1">
      <alignment horizontal="left" vertical="center" wrapText="1"/>
    </xf>
    <xf numFmtId="0" fontId="17" fillId="5" borderId="0" xfId="0" applyFont="1" applyFill="1" applyAlignment="1">
      <alignment horizontal="left" vertical="center"/>
    </xf>
    <xf numFmtId="0" fontId="22" fillId="6" borderId="6" xfId="0" applyFont="1" applyFill="1" applyBorder="1" applyAlignment="1">
      <alignment horizontal="center" vertical="center"/>
    </xf>
    <xf numFmtId="0" fontId="22" fillId="0" borderId="6" xfId="0" applyFont="1" applyBorder="1" applyAlignment="1">
      <alignment horizontal="center" vertical="center"/>
    </xf>
    <xf numFmtId="0" fontId="22" fillId="0" borderId="7" xfId="0" applyFont="1" applyBorder="1" applyAlignment="1">
      <alignment horizontal="center" vertical="center" wrapText="1"/>
    </xf>
    <xf numFmtId="0" fontId="22" fillId="0" borderId="8" xfId="0" applyFont="1" applyBorder="1" applyAlignment="1">
      <alignment horizontal="center" vertical="center" wrapText="1"/>
    </xf>
    <xf numFmtId="0" fontId="22" fillId="0" borderId="9" xfId="0" applyFont="1" applyBorder="1" applyAlignment="1">
      <alignment horizontal="center" vertical="center" wrapText="1"/>
    </xf>
    <xf numFmtId="0" fontId="17" fillId="0" borderId="8" xfId="0" applyFont="1" applyBorder="1" applyAlignment="1">
      <alignment horizontal="center" vertical="center" wrapText="1"/>
    </xf>
    <xf numFmtId="0" fontId="17" fillId="5" borderId="0" xfId="0" applyFont="1" applyFill="1" applyAlignment="1">
      <alignment horizontal="left" vertical="center" wrapText="1"/>
    </xf>
    <xf numFmtId="0" fontId="17" fillId="5" borderId="14" xfId="0" applyFont="1" applyFill="1" applyBorder="1" applyAlignment="1">
      <alignment horizontal="left" vertical="center" wrapText="1"/>
    </xf>
    <xf numFmtId="0" fontId="15" fillId="0" borderId="36" xfId="0" applyFont="1" applyBorder="1" applyAlignment="1">
      <alignment horizontal="center" vertical="center"/>
    </xf>
    <xf numFmtId="0" fontId="15" fillId="0" borderId="37" xfId="0" applyFont="1" applyBorder="1" applyAlignment="1">
      <alignment horizontal="center" vertical="center"/>
    </xf>
    <xf numFmtId="0" fontId="15" fillId="0" borderId="38" xfId="0" applyFont="1" applyBorder="1" applyAlignment="1">
      <alignment horizontal="center" vertical="center"/>
    </xf>
    <xf numFmtId="0" fontId="25" fillId="21" borderId="15" xfId="0" applyFont="1" applyFill="1" applyBorder="1" applyAlignment="1">
      <alignment horizontal="center" vertical="center" readingOrder="1"/>
    </xf>
    <xf numFmtId="0" fontId="25" fillId="21" borderId="12" xfId="0" applyFont="1" applyFill="1" applyBorder="1" applyAlignment="1">
      <alignment horizontal="center" vertical="center" readingOrder="1"/>
    </xf>
    <xf numFmtId="0" fontId="25" fillId="21" borderId="9" xfId="0" applyFont="1" applyFill="1" applyBorder="1" applyAlignment="1">
      <alignment horizontal="center" vertical="center" readingOrder="1"/>
    </xf>
    <xf numFmtId="0" fontId="25" fillId="21" borderId="6" xfId="0" applyFont="1" applyFill="1" applyBorder="1" applyAlignment="1">
      <alignment horizontal="center" vertical="center" readingOrder="1"/>
    </xf>
    <xf numFmtId="0" fontId="17" fillId="0" borderId="75" xfId="0" applyFont="1" applyBorder="1" applyAlignment="1">
      <alignment horizontal="center" vertical="center"/>
    </xf>
    <xf numFmtId="0" fontId="17" fillId="0" borderId="39" xfId="0" applyFont="1" applyBorder="1" applyAlignment="1">
      <alignment horizontal="center" vertical="center"/>
    </xf>
    <xf numFmtId="0" fontId="25" fillId="21" borderId="62" xfId="0" applyFont="1" applyFill="1" applyBorder="1" applyAlignment="1">
      <alignment horizontal="center" vertical="center" readingOrder="1"/>
    </xf>
    <xf numFmtId="0" fontId="25" fillId="21" borderId="54" xfId="0" applyFont="1" applyFill="1" applyBorder="1" applyAlignment="1">
      <alignment horizontal="center" vertical="center" readingOrder="1"/>
    </xf>
    <xf numFmtId="0" fontId="15" fillId="0" borderId="45" xfId="0" applyFont="1" applyBorder="1" applyAlignment="1">
      <alignment horizontal="center" vertical="center"/>
    </xf>
    <xf numFmtId="0" fontId="15" fillId="0" borderId="46" xfId="0" applyFont="1" applyBorder="1" applyAlignment="1">
      <alignment horizontal="center" vertical="center"/>
    </xf>
    <xf numFmtId="0" fontId="15" fillId="0" borderId="61" xfId="0" applyFont="1" applyBorder="1" applyAlignment="1">
      <alignment horizontal="center" vertical="center"/>
    </xf>
    <xf numFmtId="0" fontId="17" fillId="0" borderId="63" xfId="0" applyFont="1" applyBorder="1" applyAlignment="1">
      <alignment horizontal="center" vertical="center"/>
    </xf>
    <xf numFmtId="0" fontId="17" fillId="0" borderId="57" xfId="0" applyFont="1" applyBorder="1" applyAlignment="1">
      <alignment horizontal="center" vertical="center"/>
    </xf>
    <xf numFmtId="0" fontId="25" fillId="21" borderId="65" xfId="0" applyFont="1" applyFill="1" applyBorder="1" applyAlignment="1">
      <alignment horizontal="center" vertical="center" readingOrder="1"/>
    </xf>
    <xf numFmtId="0" fontId="25" fillId="21" borderId="66" xfId="0" applyFont="1" applyFill="1" applyBorder="1" applyAlignment="1">
      <alignment horizontal="center" vertical="center" readingOrder="1"/>
    </xf>
    <xf numFmtId="0" fontId="25" fillId="21" borderId="50" xfId="0" applyFont="1" applyFill="1" applyBorder="1" applyAlignment="1">
      <alignment horizontal="center" vertical="center" readingOrder="1"/>
    </xf>
    <xf numFmtId="0" fontId="25" fillId="21" borderId="35" xfId="0" applyFont="1" applyFill="1" applyBorder="1" applyAlignment="1">
      <alignment horizontal="center" vertical="center" readingOrder="1"/>
    </xf>
    <xf numFmtId="0" fontId="25" fillId="21" borderId="140" xfId="0" applyFont="1" applyFill="1" applyBorder="1" applyAlignment="1">
      <alignment horizontal="left" vertical="top" readingOrder="1"/>
    </xf>
    <xf numFmtId="0" fontId="25" fillId="21" borderId="54" xfId="0" applyFont="1" applyFill="1" applyBorder="1" applyAlignment="1">
      <alignment horizontal="left" vertical="top" readingOrder="1"/>
    </xf>
    <xf numFmtId="0" fontId="25" fillId="21" borderId="126" xfId="0" applyFont="1" applyFill="1" applyBorder="1" applyAlignment="1">
      <alignment horizontal="left" vertical="top" readingOrder="1"/>
    </xf>
    <xf numFmtId="0" fontId="25" fillId="21" borderId="66" xfId="0" applyFont="1" applyFill="1" applyBorder="1" applyAlignment="1">
      <alignment horizontal="left" vertical="top" readingOrder="1"/>
    </xf>
    <xf numFmtId="0" fontId="25" fillId="21" borderId="100" xfId="0" applyFont="1" applyFill="1" applyBorder="1" applyAlignment="1">
      <alignment horizontal="left" vertical="top" readingOrder="1"/>
    </xf>
    <xf numFmtId="0" fontId="25" fillId="21" borderId="35" xfId="0" applyFont="1" applyFill="1" applyBorder="1" applyAlignment="1">
      <alignment horizontal="left" vertical="top" readingOrder="1"/>
    </xf>
    <xf numFmtId="0" fontId="22" fillId="0" borderId="0" xfId="0" applyFont="1" applyAlignment="1">
      <alignment horizontal="left" vertical="top" wrapText="1"/>
    </xf>
    <xf numFmtId="0" fontId="25" fillId="21" borderId="145" xfId="0" applyFont="1" applyFill="1" applyBorder="1" applyAlignment="1">
      <alignment horizontal="left" vertical="top" readingOrder="1"/>
    </xf>
    <xf numFmtId="0" fontId="25" fillId="21" borderId="146" xfId="0" applyFont="1" applyFill="1" applyBorder="1" applyAlignment="1">
      <alignment horizontal="left" vertical="top" readingOrder="1"/>
    </xf>
    <xf numFmtId="0" fontId="25" fillId="21" borderId="144" xfId="0" applyFont="1" applyFill="1" applyBorder="1" applyAlignment="1">
      <alignment horizontal="left" vertical="top" readingOrder="1"/>
    </xf>
    <xf numFmtId="0" fontId="25" fillId="21" borderId="117" xfId="0" applyFont="1" applyFill="1" applyBorder="1" applyAlignment="1">
      <alignment horizontal="left" vertical="top" readingOrder="1"/>
    </xf>
    <xf numFmtId="0" fontId="25" fillId="21" borderId="143" xfId="0" applyFont="1" applyFill="1" applyBorder="1" applyAlignment="1">
      <alignment horizontal="left" vertical="top" readingOrder="1"/>
    </xf>
    <xf numFmtId="0" fontId="25" fillId="21" borderId="92" xfId="0" applyFont="1" applyFill="1" applyBorder="1" applyAlignment="1">
      <alignment horizontal="left" vertical="top" readingOrder="1"/>
    </xf>
    <xf numFmtId="0" fontId="14" fillId="37" borderId="147" xfId="0" applyFont="1" applyFill="1" applyBorder="1" applyAlignment="1">
      <alignment horizontal="center"/>
    </xf>
    <xf numFmtId="0" fontId="14" fillId="37" borderId="24" xfId="0" applyFont="1" applyFill="1" applyBorder="1" applyAlignment="1">
      <alignment horizontal="center"/>
    </xf>
    <xf numFmtId="0" fontId="14" fillId="37" borderId="18" xfId="0" applyFont="1" applyFill="1" applyBorder="1" applyAlignment="1">
      <alignment horizontal="center"/>
    </xf>
    <xf numFmtId="0" fontId="14" fillId="37" borderId="0" xfId="0" applyFont="1" applyFill="1" applyAlignment="1">
      <alignment horizontal="center"/>
    </xf>
    <xf numFmtId="0" fontId="14" fillId="37" borderId="96" xfId="0" applyFont="1" applyFill="1" applyBorder="1" applyAlignment="1">
      <alignment horizontal="center"/>
    </xf>
    <xf numFmtId="0" fontId="14" fillId="37" borderId="95" xfId="0" applyFont="1" applyFill="1" applyBorder="1" applyAlignment="1">
      <alignment horizontal="center"/>
    </xf>
    <xf numFmtId="0" fontId="20" fillId="21" borderId="100" xfId="0" applyFont="1" applyFill="1" applyBorder="1" applyAlignment="1">
      <alignment horizontal="left" vertical="top" readingOrder="1"/>
    </xf>
    <xf numFmtId="0" fontId="20" fillId="21" borderId="35" xfId="0" applyFont="1" applyFill="1" applyBorder="1" applyAlignment="1">
      <alignment horizontal="left" vertical="top" readingOrder="1"/>
    </xf>
    <xf numFmtId="0" fontId="20" fillId="21" borderId="126" xfId="0" applyFont="1" applyFill="1" applyBorder="1" applyAlignment="1">
      <alignment horizontal="left" vertical="top" readingOrder="1"/>
    </xf>
    <xf numFmtId="0" fontId="20" fillId="21" borderId="66" xfId="0" applyFont="1" applyFill="1" applyBorder="1" applyAlignment="1">
      <alignment horizontal="left" vertical="top" readingOrder="1"/>
    </xf>
    <xf numFmtId="0" fontId="14" fillId="0" borderId="0" xfId="0" applyFont="1" applyAlignment="1">
      <alignment horizontal="left" vertical="top" wrapText="1"/>
    </xf>
    <xf numFmtId="0" fontId="6" fillId="0" borderId="46" xfId="2" applyBorder="1" applyAlignment="1">
      <alignment horizontal="center" vertical="center" wrapText="1"/>
    </xf>
    <xf numFmtId="0" fontId="6" fillId="0" borderId="0" xfId="2" applyBorder="1" applyAlignment="1">
      <alignment horizontal="center" vertical="center" wrapText="1"/>
    </xf>
    <xf numFmtId="0" fontId="6" fillId="0" borderId="95" xfId="2" applyBorder="1" applyAlignment="1">
      <alignment horizontal="center" vertical="center" wrapText="1"/>
    </xf>
    <xf numFmtId="0" fontId="6" fillId="0" borderId="0" xfId="2" applyAlignment="1">
      <alignment horizontal="center"/>
    </xf>
    <xf numFmtId="0" fontId="6" fillId="19" borderId="61" xfId="2" applyFill="1" applyBorder="1" applyAlignment="1">
      <alignment horizontal="center" vertical="center" wrapText="1"/>
    </xf>
    <xf numFmtId="0" fontId="6" fillId="19" borderId="73" xfId="2" applyFill="1" applyBorder="1" applyAlignment="1">
      <alignment horizontal="center" vertical="center" wrapText="1"/>
    </xf>
    <xf numFmtId="0" fontId="6" fillId="19" borderId="97" xfId="2" applyFill="1" applyBorder="1" applyAlignment="1">
      <alignment horizontal="center" vertical="center" wrapText="1"/>
    </xf>
    <xf numFmtId="0" fontId="9" fillId="3" borderId="0" xfId="0" applyFont="1" applyFill="1" applyAlignment="1">
      <alignment horizontal="center" vertical="center"/>
    </xf>
    <xf numFmtId="0" fontId="9" fillId="3" borderId="73" xfId="0" applyFont="1" applyFill="1" applyBorder="1" applyAlignment="1">
      <alignment horizontal="center" vertical="center"/>
    </xf>
    <xf numFmtId="0" fontId="11" fillId="3" borderId="46" xfId="0" applyFont="1" applyFill="1" applyBorder="1" applyAlignment="1">
      <alignment horizontal="center" vertical="center"/>
    </xf>
    <xf numFmtId="0" fontId="11" fillId="3" borderId="61" xfId="0" applyFont="1" applyFill="1" applyBorder="1" applyAlignment="1">
      <alignment horizontal="center" vertical="center"/>
    </xf>
    <xf numFmtId="0" fontId="6" fillId="19" borderId="0" xfId="2" applyFill="1" applyBorder="1" applyAlignment="1">
      <alignment horizontal="center" vertical="top"/>
    </xf>
    <xf numFmtId="0" fontId="17" fillId="36" borderId="114" xfId="0" applyFont="1" applyFill="1" applyBorder="1" applyAlignment="1">
      <alignment horizontal="center" vertical="center" wrapText="1"/>
    </xf>
    <xf numFmtId="0" fontId="17" fillId="36" borderId="74" xfId="0" applyFont="1" applyFill="1" applyBorder="1" applyAlignment="1">
      <alignment horizontal="center" vertical="center" wrapText="1"/>
    </xf>
    <xf numFmtId="0" fontId="17" fillId="36" borderId="76" xfId="0" applyFont="1" applyFill="1" applyBorder="1" applyAlignment="1">
      <alignment horizontal="center" vertical="center" wrapText="1"/>
    </xf>
    <xf numFmtId="0" fontId="0" fillId="0" borderId="0" xfId="0"/>
    <xf numFmtId="0" fontId="17" fillId="36" borderId="115" xfId="0" applyFont="1" applyFill="1" applyBorder="1" applyAlignment="1">
      <alignment horizontal="center" vertical="center" wrapText="1"/>
    </xf>
    <xf numFmtId="0" fontId="35" fillId="0" borderId="36" xfId="0" applyFont="1" applyBorder="1" applyAlignment="1">
      <alignment horizontal="center" vertical="center"/>
    </xf>
    <xf numFmtId="0" fontId="35" fillId="0" borderId="37" xfId="0" applyFont="1" applyBorder="1" applyAlignment="1">
      <alignment horizontal="center" vertical="center"/>
    </xf>
    <xf numFmtId="0" fontId="44" fillId="0" borderId="38" xfId="0" applyFont="1" applyBorder="1" applyAlignment="1">
      <alignment horizontal="center" vertical="center"/>
    </xf>
    <xf numFmtId="0" fontId="0" fillId="0" borderId="0" xfId="0" applyAlignment="1">
      <alignment horizontal="center"/>
    </xf>
    <xf numFmtId="0" fontId="0" fillId="0" borderId="0" xfId="0" applyAlignment="1">
      <alignment horizontal="center" vertical="center" wrapText="1"/>
    </xf>
    <xf numFmtId="0" fontId="0" fillId="0" borderId="95" xfId="0" applyBorder="1" applyAlignment="1">
      <alignment horizontal="center" vertical="center" wrapText="1"/>
    </xf>
    <xf numFmtId="0" fontId="0" fillId="0" borderId="46" xfId="0" applyBorder="1" applyAlignment="1">
      <alignment horizontal="center" vertical="center" wrapText="1"/>
    </xf>
    <xf numFmtId="0" fontId="6" fillId="0" borderId="111" xfId="2" applyBorder="1" applyAlignment="1">
      <alignment horizontal="center" vertical="center" wrapText="1"/>
    </xf>
    <xf numFmtId="0" fontId="1" fillId="0" borderId="0" xfId="0" applyFont="1" applyAlignment="1">
      <alignment horizontal="center" vertical="center" wrapText="1"/>
    </xf>
    <xf numFmtId="0" fontId="34" fillId="32" borderId="116" xfId="0" applyFont="1" applyFill="1" applyBorder="1" applyAlignment="1">
      <alignment horizontal="center" vertical="center" wrapText="1"/>
    </xf>
    <xf numFmtId="0" fontId="34" fillId="32" borderId="117" xfId="0" applyFont="1" applyFill="1" applyBorder="1" applyAlignment="1">
      <alignment horizontal="center" vertical="center" wrapText="1"/>
    </xf>
    <xf numFmtId="0" fontId="43" fillId="32" borderId="118" xfId="0" applyFont="1" applyFill="1" applyBorder="1" applyAlignment="1">
      <alignment horizontal="center" vertical="center" wrapText="1"/>
    </xf>
    <xf numFmtId="0" fontId="31" fillId="34" borderId="79" xfId="0" applyFont="1" applyFill="1" applyBorder="1" applyAlignment="1">
      <alignment horizontal="center" vertical="center" wrapText="1"/>
    </xf>
    <xf numFmtId="0" fontId="31" fillId="34" borderId="78" xfId="0" applyFont="1" applyFill="1" applyBorder="1" applyAlignment="1">
      <alignment horizontal="center" vertical="center" wrapText="1"/>
    </xf>
    <xf numFmtId="0" fontId="31" fillId="34" borderId="77" xfId="0" applyFont="1" applyFill="1" applyBorder="1" applyAlignment="1">
      <alignment horizontal="center" vertical="center" wrapText="1"/>
    </xf>
    <xf numFmtId="0" fontId="31" fillId="34" borderId="98" xfId="0" applyFont="1" applyFill="1" applyBorder="1" applyAlignment="1">
      <alignment horizontal="center" vertical="center" wrapText="1"/>
    </xf>
    <xf numFmtId="0" fontId="17" fillId="36" borderId="63" xfId="0" applyFont="1" applyFill="1" applyBorder="1" applyAlignment="1">
      <alignment horizontal="center" vertical="center" wrapText="1"/>
    </xf>
    <xf numFmtId="0" fontId="0" fillId="0" borderId="28" xfId="0" applyBorder="1" applyAlignment="1">
      <alignment horizontal="center" vertical="center" wrapText="1"/>
    </xf>
    <xf numFmtId="0" fontId="0" fillId="0" borderId="23" xfId="0" applyBorder="1" applyAlignment="1">
      <alignment horizontal="center" vertical="center"/>
    </xf>
    <xf numFmtId="0" fontId="0" fillId="0" borderId="26" xfId="0" applyBorder="1" applyAlignment="1">
      <alignment horizontal="center" vertical="center"/>
    </xf>
    <xf numFmtId="0" fontId="0" fillId="0" borderId="28" xfId="0" applyBorder="1" applyAlignment="1">
      <alignment horizontal="center" vertical="center"/>
    </xf>
    <xf numFmtId="0" fontId="31" fillId="34" borderId="106" xfId="0" applyFont="1" applyFill="1" applyBorder="1" applyAlignment="1">
      <alignment horizontal="center" vertical="center" wrapText="1"/>
    </xf>
    <xf numFmtId="0" fontId="1" fillId="13" borderId="23" xfId="0" applyFont="1" applyFill="1" applyBorder="1" applyAlignment="1">
      <alignment horizontal="center" vertical="center" wrapText="1"/>
    </xf>
    <xf numFmtId="0" fontId="1" fillId="13" borderId="26" xfId="0" applyFont="1" applyFill="1" applyBorder="1" applyAlignment="1">
      <alignment horizontal="center" vertical="center" wrapText="1"/>
    </xf>
    <xf numFmtId="0" fontId="1" fillId="13" borderId="28" xfId="0" applyFont="1" applyFill="1" applyBorder="1" applyAlignment="1">
      <alignment horizontal="center" vertical="center" wrapText="1"/>
    </xf>
    <xf numFmtId="0" fontId="31" fillId="33" borderId="98" xfId="0" applyFont="1" applyFill="1" applyBorder="1" applyAlignment="1">
      <alignment horizontal="center" vertical="center" wrapText="1"/>
    </xf>
    <xf numFmtId="0" fontId="31" fillId="33" borderId="78" xfId="0" applyFont="1" applyFill="1" applyBorder="1" applyAlignment="1">
      <alignment horizontal="center" vertical="center" wrapText="1"/>
    </xf>
    <xf numFmtId="0" fontId="31" fillId="33" borderId="79" xfId="0" applyFont="1" applyFill="1" applyBorder="1" applyAlignment="1">
      <alignment horizontal="center" vertical="center" wrapText="1"/>
    </xf>
    <xf numFmtId="0" fontId="31" fillId="33" borderId="80" xfId="0" applyFont="1" applyFill="1" applyBorder="1" applyAlignment="1">
      <alignment horizontal="center" vertical="center" wrapText="1"/>
    </xf>
    <xf numFmtId="0" fontId="31" fillId="33" borderId="77" xfId="0" applyFont="1" applyFill="1" applyBorder="1" applyAlignment="1">
      <alignment horizontal="center" vertical="center" wrapText="1"/>
    </xf>
    <xf numFmtId="0" fontId="31" fillId="35" borderId="98" xfId="0" applyFont="1" applyFill="1" applyBorder="1" applyAlignment="1">
      <alignment horizontal="center" vertical="center" wrapText="1"/>
    </xf>
    <xf numFmtId="0" fontId="31" fillId="35" borderId="78" xfId="0" applyFont="1" applyFill="1" applyBorder="1" applyAlignment="1">
      <alignment horizontal="center" vertical="center" wrapText="1"/>
    </xf>
    <xf numFmtId="0" fontId="31" fillId="35" borderId="77" xfId="0" applyFont="1" applyFill="1" applyBorder="1" applyAlignment="1">
      <alignment horizontal="center" vertical="center" wrapText="1"/>
    </xf>
    <xf numFmtId="0" fontId="0" fillId="0" borderId="26" xfId="0" applyBorder="1" applyAlignment="1">
      <alignment horizontal="center" vertical="center" wrapText="1"/>
    </xf>
    <xf numFmtId="0" fontId="1" fillId="17" borderId="26" xfId="0" applyFont="1" applyFill="1" applyBorder="1" applyAlignment="1">
      <alignment horizontal="center" vertical="center" wrapText="1"/>
    </xf>
    <xf numFmtId="0" fontId="31" fillId="21" borderId="98" xfId="0" applyFont="1" applyFill="1" applyBorder="1" applyAlignment="1">
      <alignment horizontal="center" vertical="center" wrapText="1"/>
    </xf>
    <xf numFmtId="0" fontId="31" fillId="21" borderId="78" xfId="0" applyFont="1" applyFill="1" applyBorder="1" applyAlignment="1">
      <alignment horizontal="center" vertical="center" wrapText="1"/>
    </xf>
    <xf numFmtId="0" fontId="31" fillId="21" borderId="77" xfId="0" applyFont="1" applyFill="1" applyBorder="1" applyAlignment="1">
      <alignment horizontal="center" vertical="center" wrapText="1"/>
    </xf>
    <xf numFmtId="0" fontId="31" fillId="21" borderId="80" xfId="0" applyFont="1" applyFill="1" applyBorder="1" applyAlignment="1">
      <alignment horizontal="center" vertical="center" wrapText="1"/>
    </xf>
    <xf numFmtId="0" fontId="0" fillId="0" borderId="23" xfId="0" applyBorder="1" applyAlignment="1">
      <alignment horizontal="center" vertical="center" wrapText="1"/>
    </xf>
    <xf numFmtId="0" fontId="6" fillId="0" borderId="103" xfId="2" applyBorder="1" applyAlignment="1">
      <alignment horizontal="center" vertical="center" wrapText="1"/>
    </xf>
    <xf numFmtId="0" fontId="0" fillId="0" borderId="105" xfId="0" applyBorder="1" applyAlignment="1">
      <alignment horizontal="center" vertical="center" wrapText="1"/>
    </xf>
    <xf numFmtId="0" fontId="6" fillId="19" borderId="0" xfId="2" applyFill="1" applyBorder="1" applyAlignment="1">
      <alignment horizontal="center" vertical="center" wrapText="1"/>
    </xf>
    <xf numFmtId="0" fontId="6" fillId="0" borderId="105" xfId="2" applyBorder="1" applyAlignment="1">
      <alignment horizontal="center" vertical="center" wrapText="1"/>
    </xf>
    <xf numFmtId="0" fontId="6" fillId="0" borderId="26" xfId="2" applyBorder="1" applyAlignment="1">
      <alignment horizontal="center" vertical="center" wrapText="1"/>
    </xf>
    <xf numFmtId="0" fontId="39" fillId="0" borderId="103" xfId="2" applyFont="1" applyBorder="1" applyAlignment="1">
      <alignment horizontal="center" vertical="center" wrapText="1"/>
    </xf>
    <xf numFmtId="0" fontId="39" fillId="0" borderId="105" xfId="2" applyFont="1" applyBorder="1" applyAlignment="1">
      <alignment horizontal="center" vertical="center" wrapText="1"/>
    </xf>
    <xf numFmtId="0" fontId="6" fillId="0" borderId="0" xfId="2" applyAlignment="1">
      <alignment horizontal="center" vertical="center" wrapText="1"/>
    </xf>
    <xf numFmtId="0" fontId="17" fillId="36" borderId="103" xfId="0" applyFont="1" applyFill="1" applyBorder="1" applyAlignment="1">
      <alignment horizontal="center" vertical="center" wrapText="1"/>
    </xf>
    <xf numFmtId="0" fontId="17" fillId="36" borderId="26" xfId="0" applyFont="1" applyFill="1" applyBorder="1" applyAlignment="1">
      <alignment horizontal="center" vertical="center" wrapText="1"/>
    </xf>
    <xf numFmtId="0" fontId="17" fillId="36" borderId="105" xfId="0" applyFont="1" applyFill="1" applyBorder="1" applyAlignment="1">
      <alignment horizontal="center" vertical="center" wrapText="1"/>
    </xf>
    <xf numFmtId="0" fontId="3" fillId="18" borderId="26" xfId="0" applyFont="1" applyFill="1" applyBorder="1" applyAlignment="1">
      <alignment horizontal="center" vertical="center" wrapText="1"/>
    </xf>
    <xf numFmtId="0" fontId="17" fillId="36" borderId="110" xfId="0" applyFont="1" applyFill="1" applyBorder="1" applyAlignment="1">
      <alignment horizontal="center" vertical="center" wrapText="1"/>
    </xf>
    <xf numFmtId="0" fontId="0" fillId="0" borderId="26" xfId="0" applyBorder="1"/>
    <xf numFmtId="0" fontId="17" fillId="36" borderId="102" xfId="0" applyFont="1" applyFill="1" applyBorder="1" applyAlignment="1">
      <alignment horizontal="center" vertical="center" wrapText="1"/>
    </xf>
    <xf numFmtId="0" fontId="17" fillId="36" borderId="34" xfId="0" applyFont="1" applyFill="1" applyBorder="1" applyAlignment="1">
      <alignment horizontal="center" vertical="center" wrapText="1"/>
    </xf>
    <xf numFmtId="0" fontId="17" fillId="36" borderId="104" xfId="0" applyFont="1" applyFill="1" applyBorder="1" applyAlignment="1">
      <alignment horizontal="center" vertical="center" wrapText="1"/>
    </xf>
    <xf numFmtId="0" fontId="1" fillId="18" borderId="34" xfId="0" applyFont="1" applyFill="1" applyBorder="1" applyAlignment="1">
      <alignment horizontal="center" vertical="center" wrapText="1"/>
    </xf>
    <xf numFmtId="0" fontId="36" fillId="3" borderId="73" xfId="0" applyFont="1" applyFill="1" applyBorder="1" applyAlignment="1">
      <alignment horizontal="center" vertical="center"/>
    </xf>
    <xf numFmtId="0" fontId="9" fillId="3" borderId="96" xfId="0" applyFont="1" applyFill="1" applyBorder="1" applyAlignment="1">
      <alignment horizontal="center" vertical="center"/>
    </xf>
    <xf numFmtId="0" fontId="9" fillId="3" borderId="97" xfId="0" applyFont="1" applyFill="1" applyBorder="1" applyAlignment="1">
      <alignment horizontal="center" vertical="center"/>
    </xf>
    <xf numFmtId="0" fontId="9" fillId="3" borderId="18" xfId="0" applyFont="1" applyFill="1" applyBorder="1" applyAlignment="1">
      <alignment horizontal="center" vertical="center"/>
    </xf>
    <xf numFmtId="0" fontId="44" fillId="0" borderId="36" xfId="0" applyFont="1" applyBorder="1" applyAlignment="1">
      <alignment horizontal="center" vertical="center"/>
    </xf>
    <xf numFmtId="0" fontId="44" fillId="0" borderId="37" xfId="0" applyFont="1" applyBorder="1" applyAlignment="1">
      <alignment horizontal="center" vertical="center"/>
    </xf>
    <xf numFmtId="0" fontId="43" fillId="32" borderId="113" xfId="0" applyFont="1" applyFill="1" applyBorder="1" applyAlignment="1">
      <alignment horizontal="center" vertical="center" wrapText="1"/>
    </xf>
    <xf numFmtId="0" fontId="43" fillId="32" borderId="91" xfId="0" applyFont="1" applyFill="1" applyBorder="1" applyAlignment="1">
      <alignment horizontal="center" vertical="center" wrapText="1"/>
    </xf>
    <xf numFmtId="0" fontId="31" fillId="34" borderId="0" xfId="0" applyFont="1" applyFill="1" applyAlignment="1">
      <alignment horizontal="center" vertical="center" wrapText="1"/>
    </xf>
    <xf numFmtId="0" fontId="31" fillId="34" borderId="95" xfId="0" applyFont="1" applyFill="1" applyBorder="1" applyAlignment="1">
      <alignment horizontal="center" vertical="center" wrapText="1"/>
    </xf>
    <xf numFmtId="0" fontId="31" fillId="35" borderId="80" xfId="0" applyFont="1" applyFill="1" applyBorder="1" applyAlignment="1">
      <alignment horizontal="center" vertical="center" wrapText="1"/>
    </xf>
    <xf numFmtId="0" fontId="31" fillId="35" borderId="79" xfId="0" applyFont="1" applyFill="1" applyBorder="1" applyAlignment="1">
      <alignment horizontal="center" vertical="center" wrapText="1"/>
    </xf>
    <xf numFmtId="0" fontId="0" fillId="0" borderId="0" xfId="0" applyAlignment="1">
      <alignment horizontal="center" wrapText="1"/>
    </xf>
    <xf numFmtId="0" fontId="31" fillId="34" borderId="98" xfId="0" applyFont="1" applyFill="1" applyBorder="1" applyAlignment="1">
      <alignment vertical="center" wrapText="1"/>
    </xf>
    <xf numFmtId="0" fontId="31" fillId="34" borderId="78" xfId="0" applyFont="1" applyFill="1" applyBorder="1" applyAlignment="1">
      <alignment vertical="center" wrapText="1"/>
    </xf>
    <xf numFmtId="0" fontId="31" fillId="34" borderId="78" xfId="0" applyFont="1" applyFill="1" applyBorder="1" applyAlignment="1">
      <alignment horizontal="right" vertical="center" wrapText="1"/>
    </xf>
    <xf numFmtId="0" fontId="31" fillId="34" borderId="78" xfId="0" applyFont="1" applyFill="1" applyBorder="1" applyAlignment="1">
      <alignment horizontal="center" vertical="center"/>
    </xf>
    <xf numFmtId="0" fontId="31" fillId="34" borderId="77" xfId="0" applyFont="1" applyFill="1" applyBorder="1" applyAlignment="1">
      <alignment horizontal="center" vertical="center"/>
    </xf>
    <xf numFmtId="0" fontId="31" fillId="33" borderId="106" xfId="0" applyFont="1" applyFill="1" applyBorder="1" applyAlignment="1">
      <alignment horizontal="center" vertical="center" wrapText="1"/>
    </xf>
    <xf numFmtId="0" fontId="17" fillId="3" borderId="96" xfId="0" applyFont="1" applyFill="1" applyBorder="1" applyAlignment="1">
      <alignment horizontal="center" vertical="center"/>
    </xf>
    <xf numFmtId="0" fontId="17" fillId="3" borderId="97" xfId="0" applyFont="1" applyFill="1" applyBorder="1" applyAlignment="1">
      <alignment horizontal="center" vertical="center"/>
    </xf>
    <xf numFmtId="0" fontId="42" fillId="0" borderId="103" xfId="2" applyFont="1" applyBorder="1" applyAlignment="1">
      <alignment horizontal="center" vertical="center" wrapText="1"/>
    </xf>
    <xf numFmtId="0" fontId="42" fillId="0" borderId="26" xfId="2" applyFont="1" applyBorder="1" applyAlignment="1">
      <alignment horizontal="center" vertical="center" wrapText="1"/>
    </xf>
    <xf numFmtId="0" fontId="42" fillId="0" borderId="105" xfId="2" applyFont="1" applyBorder="1" applyAlignment="1">
      <alignment horizontal="center" vertical="center" wrapText="1"/>
    </xf>
    <xf numFmtId="0" fontId="1" fillId="0" borderId="46" xfId="0" applyFont="1" applyBorder="1" applyAlignment="1">
      <alignment horizontal="center" vertical="center" wrapText="1"/>
    </xf>
    <xf numFmtId="0" fontId="1" fillId="0" borderId="95"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105" xfId="0" applyFont="1" applyBorder="1" applyAlignment="1">
      <alignment horizontal="center" vertical="center" wrapText="1"/>
    </xf>
    <xf numFmtId="0" fontId="13" fillId="0" borderId="103"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105" xfId="0" applyFont="1" applyBorder="1" applyAlignment="1">
      <alignment horizontal="center" vertical="center" wrapText="1"/>
    </xf>
    <xf numFmtId="0" fontId="0" fillId="0" borderId="26" xfId="0" applyBorder="1" applyAlignment="1">
      <alignment horizontal="center"/>
    </xf>
    <xf numFmtId="0" fontId="1" fillId="0" borderId="103" xfId="0" applyFont="1" applyBorder="1" applyAlignment="1">
      <alignment horizontal="center" vertical="center" wrapText="1"/>
    </xf>
    <xf numFmtId="0" fontId="43" fillId="32" borderId="116" xfId="0" applyFont="1" applyFill="1" applyBorder="1" applyAlignment="1">
      <alignment horizontal="center" vertical="center" wrapText="1"/>
    </xf>
    <xf numFmtId="0" fontId="43" fillId="32" borderId="117" xfId="0" applyFont="1" applyFill="1" applyBorder="1" applyAlignment="1">
      <alignment horizontal="center" vertical="center" wrapText="1"/>
    </xf>
    <xf numFmtId="0" fontId="31" fillId="34" borderId="27" xfId="0" applyFont="1" applyFill="1" applyBorder="1" applyAlignment="1">
      <alignment vertical="center" wrapText="1"/>
    </xf>
    <xf numFmtId="0" fontId="31" fillId="34" borderId="98" xfId="0" applyFont="1" applyFill="1" applyBorder="1" applyAlignment="1">
      <alignment wrapText="1"/>
    </xf>
    <xf numFmtId="0" fontId="31" fillId="34" borderId="78" xfId="0" applyFont="1" applyFill="1" applyBorder="1" applyAlignment="1">
      <alignment wrapText="1"/>
    </xf>
    <xf numFmtId="0" fontId="31" fillId="34" borderId="77" xfId="0" applyFont="1" applyFill="1" applyBorder="1" applyAlignment="1">
      <alignment wrapText="1"/>
    </xf>
    <xf numFmtId="0" fontId="1" fillId="11" borderId="0" xfId="0" applyFont="1" applyFill="1" applyAlignment="1">
      <alignment horizontal="center" vertical="center" wrapText="1"/>
    </xf>
    <xf numFmtId="0" fontId="31" fillId="33" borderId="98" xfId="0" applyFont="1" applyFill="1" applyBorder="1" applyAlignment="1">
      <alignment horizontal="center" vertical="center"/>
    </xf>
    <xf numFmtId="0" fontId="31" fillId="33" borderId="78" xfId="0" applyFont="1" applyFill="1" applyBorder="1" applyAlignment="1">
      <alignment horizontal="center" vertical="center"/>
    </xf>
    <xf numFmtId="0" fontId="31" fillId="33" borderId="77" xfId="0" applyFont="1" applyFill="1" applyBorder="1" applyAlignment="1">
      <alignment horizontal="center" vertical="center"/>
    </xf>
    <xf numFmtId="0" fontId="3" fillId="16" borderId="23" xfId="0" applyFont="1" applyFill="1" applyBorder="1" applyAlignment="1">
      <alignment horizontal="center" vertical="center" wrapText="1"/>
    </xf>
    <xf numFmtId="0" fontId="0" fillId="16" borderId="26" xfId="0" applyFill="1" applyBorder="1" applyAlignment="1">
      <alignment horizontal="center" vertical="center" wrapText="1"/>
    </xf>
    <xf numFmtId="0" fontId="0" fillId="16" borderId="28" xfId="0" applyFill="1" applyBorder="1" applyAlignment="1">
      <alignment horizontal="center" vertical="center" wrapText="1"/>
    </xf>
    <xf numFmtId="0" fontId="0" fillId="14" borderId="0" xfId="0" applyFill="1" applyAlignment="1">
      <alignment horizontal="center" vertical="center" wrapText="1"/>
    </xf>
    <xf numFmtId="0" fontId="1" fillId="14" borderId="0" xfId="0" applyFont="1" applyFill="1" applyAlignment="1">
      <alignment horizontal="center" vertical="center" wrapText="1"/>
    </xf>
    <xf numFmtId="0" fontId="44" fillId="0" borderId="45" xfId="0" applyFont="1" applyBorder="1" applyAlignment="1">
      <alignment horizontal="center" vertical="center"/>
    </xf>
    <xf numFmtId="0" fontId="44" fillId="0" borderId="46" xfId="0" applyFont="1" applyBorder="1" applyAlignment="1">
      <alignment horizontal="center" vertical="center"/>
    </xf>
    <xf numFmtId="0" fontId="43" fillId="32" borderId="125" xfId="0" applyFont="1" applyFill="1" applyBorder="1" applyAlignment="1">
      <alignment horizontal="center" vertical="center" wrapText="1"/>
    </xf>
    <xf numFmtId="0" fontId="43" fillId="32" borderId="35" xfId="0" applyFont="1" applyFill="1" applyBorder="1" applyAlignment="1">
      <alignment horizontal="center" vertical="center" wrapText="1"/>
    </xf>
    <xf numFmtId="0" fontId="6" fillId="0" borderId="124" xfId="2" applyBorder="1" applyAlignment="1">
      <alignment horizontal="center" vertical="center" wrapText="1"/>
    </xf>
    <xf numFmtId="0" fontId="0" fillId="0" borderId="27" xfId="0" applyBorder="1" applyAlignment="1">
      <alignment horizontal="center"/>
    </xf>
    <xf numFmtId="0" fontId="0" fillId="0" borderId="123" xfId="0" applyBorder="1" applyAlignment="1">
      <alignment horizontal="center" vertical="center" wrapText="1"/>
    </xf>
    <xf numFmtId="0" fontId="0" fillId="0" borderId="122" xfId="0" applyBorder="1" applyAlignment="1">
      <alignment horizontal="center" vertical="center" wrapText="1"/>
    </xf>
    <xf numFmtId="0" fontId="0" fillId="0" borderId="27" xfId="0" applyBorder="1" applyAlignment="1">
      <alignment horizontal="center" vertical="center" wrapText="1"/>
    </xf>
    <xf numFmtId="0" fontId="3" fillId="0" borderId="124" xfId="0" applyFont="1" applyBorder="1" applyAlignment="1">
      <alignment horizontal="center" vertical="center" wrapText="1"/>
    </xf>
    <xf numFmtId="0" fontId="14" fillId="0" borderId="25" xfId="0" applyFont="1" applyBorder="1" applyAlignment="1">
      <alignment horizontal="center" vertical="center" wrapText="1"/>
    </xf>
    <xf numFmtId="0" fontId="14" fillId="0" borderId="27" xfId="0" applyFont="1" applyBorder="1" applyAlignment="1">
      <alignment horizontal="center" vertical="center" wrapText="1"/>
    </xf>
    <xf numFmtId="0" fontId="14" fillId="0" borderId="122" xfId="0" applyFont="1" applyBorder="1" applyAlignment="1">
      <alignment horizontal="center" vertical="center" wrapText="1"/>
    </xf>
    <xf numFmtId="0" fontId="14" fillId="0" borderId="123" xfId="0" applyFont="1" applyBorder="1" applyAlignment="1">
      <alignment horizontal="center" vertical="center" wrapText="1"/>
    </xf>
    <xf numFmtId="0" fontId="14" fillId="0" borderId="30" xfId="0" applyFont="1" applyBorder="1" applyAlignment="1">
      <alignment horizontal="center" vertical="center" wrapText="1"/>
    </xf>
    <xf numFmtId="0" fontId="0" fillId="0" borderId="25" xfId="0" applyBorder="1" applyAlignment="1">
      <alignment horizontal="center" vertical="center" wrapText="1"/>
    </xf>
    <xf numFmtId="0" fontId="0" fillId="0" borderId="30" xfId="0" applyBorder="1" applyAlignment="1">
      <alignment horizontal="center" vertical="center" wrapText="1"/>
    </xf>
    <xf numFmtId="0" fontId="6" fillId="0" borderId="25" xfId="2" applyBorder="1" applyAlignment="1">
      <alignment horizontal="center" vertical="center" wrapText="1"/>
    </xf>
    <xf numFmtId="0" fontId="1" fillId="6" borderId="0" xfId="0" applyFont="1" applyFill="1" applyAlignment="1">
      <alignment horizontal="center" vertical="center" wrapText="1"/>
    </xf>
    <xf numFmtId="0" fontId="31" fillId="34" borderId="80" xfId="0" applyFont="1" applyFill="1" applyBorder="1" applyAlignment="1">
      <alignment horizontal="center" vertical="center" wrapText="1"/>
    </xf>
    <xf numFmtId="0" fontId="6" fillId="0" borderId="123" xfId="2" applyBorder="1" applyAlignment="1">
      <alignment horizontal="center" vertical="center" wrapText="1"/>
    </xf>
    <xf numFmtId="0" fontId="45" fillId="36" borderId="23" xfId="0" applyFont="1" applyFill="1" applyBorder="1" applyAlignment="1">
      <alignment horizontal="center" vertical="center" wrapText="1"/>
    </xf>
    <xf numFmtId="0" fontId="45" fillId="36" borderId="26" xfId="0" applyFont="1" applyFill="1" applyBorder="1" applyAlignment="1">
      <alignment horizontal="center" vertical="center" wrapText="1"/>
    </xf>
    <xf numFmtId="0" fontId="45" fillId="36" borderId="105" xfId="0" applyFont="1" applyFill="1" applyBorder="1" applyAlignment="1">
      <alignment horizontal="center" vertical="center" wrapText="1"/>
    </xf>
    <xf numFmtId="0" fontId="45" fillId="36" borderId="103" xfId="0" applyFont="1" applyFill="1" applyBorder="1" applyAlignment="1">
      <alignment horizontal="center" vertical="center" wrapText="1"/>
    </xf>
    <xf numFmtId="0" fontId="45" fillId="36" borderId="110" xfId="0" applyFont="1" applyFill="1" applyBorder="1" applyAlignment="1">
      <alignment horizontal="center" vertical="center" wrapText="1"/>
    </xf>
    <xf numFmtId="0" fontId="1" fillId="15" borderId="26" xfId="0" applyFont="1" applyFill="1" applyBorder="1" applyAlignment="1">
      <alignment horizontal="center" vertical="center" wrapText="1"/>
    </xf>
    <xf numFmtId="0" fontId="1" fillId="15" borderId="28" xfId="0" applyFont="1" applyFill="1" applyBorder="1" applyAlignment="1">
      <alignment horizontal="center" vertical="center" wrapText="1"/>
    </xf>
    <xf numFmtId="0" fontId="31" fillId="21" borderId="106" xfId="0" applyFont="1" applyFill="1" applyBorder="1" applyAlignment="1">
      <alignment horizontal="center" vertical="center" wrapText="1"/>
    </xf>
    <xf numFmtId="0" fontId="1" fillId="15" borderId="0" xfId="0" applyFont="1" applyFill="1" applyAlignment="1">
      <alignment horizontal="center" vertical="center" wrapText="1"/>
    </xf>
    <xf numFmtId="0" fontId="31" fillId="33" borderId="24" xfId="0" applyFont="1" applyFill="1" applyBorder="1" applyAlignment="1">
      <alignment horizontal="center" vertical="center" wrapText="1"/>
    </xf>
    <xf numFmtId="0" fontId="31" fillId="33" borderId="0" xfId="0" applyFont="1" applyFill="1" applyAlignment="1">
      <alignment horizontal="center" vertical="center" wrapText="1"/>
    </xf>
    <xf numFmtId="0" fontId="31" fillId="33" borderId="95" xfId="0" applyFont="1" applyFill="1" applyBorder="1" applyAlignment="1">
      <alignment horizontal="center" vertical="center" wrapText="1"/>
    </xf>
    <xf numFmtId="0" fontId="31" fillId="35" borderId="46" xfId="0" applyFont="1" applyFill="1" applyBorder="1" applyAlignment="1">
      <alignment horizontal="center" vertical="center" wrapText="1"/>
    </xf>
    <xf numFmtId="0" fontId="31" fillId="35" borderId="0" xfId="0" applyFont="1" applyFill="1" applyAlignment="1">
      <alignment horizontal="center" vertical="center" wrapText="1"/>
    </xf>
    <xf numFmtId="0" fontId="31" fillId="35" borderId="95" xfId="0" applyFont="1" applyFill="1" applyBorder="1" applyAlignment="1">
      <alignment horizontal="center" vertical="center" wrapText="1"/>
    </xf>
    <xf numFmtId="0" fontId="31" fillId="21" borderId="46" xfId="0" applyFont="1" applyFill="1" applyBorder="1" applyAlignment="1">
      <alignment horizontal="center" vertical="center" wrapText="1"/>
    </xf>
    <xf numFmtId="0" fontId="31" fillId="21" borderId="0" xfId="0" applyFont="1" applyFill="1" applyAlignment="1">
      <alignment horizontal="center" vertical="center" wrapText="1"/>
    </xf>
    <xf numFmtId="0" fontId="31" fillId="21" borderId="95" xfId="0" applyFont="1" applyFill="1" applyBorder="1" applyAlignment="1">
      <alignment horizontal="center" vertical="center" wrapText="1"/>
    </xf>
    <xf numFmtId="0" fontId="31" fillId="35" borderId="29" xfId="0" applyFont="1" applyFill="1" applyBorder="1" applyAlignment="1">
      <alignment horizontal="center" vertical="center" wrapText="1"/>
    </xf>
    <xf numFmtId="0" fontId="17" fillId="36" borderId="33" xfId="0" applyFont="1" applyFill="1" applyBorder="1" applyAlignment="1">
      <alignment horizontal="center" vertical="center" wrapText="1"/>
    </xf>
    <xf numFmtId="0" fontId="17" fillId="36" borderId="31" xfId="0" applyFont="1" applyFill="1" applyBorder="1" applyAlignment="1">
      <alignment horizontal="center" vertical="center" wrapText="1"/>
    </xf>
    <xf numFmtId="0" fontId="31" fillId="33" borderId="93" xfId="0" applyFont="1" applyFill="1" applyBorder="1" applyAlignment="1">
      <alignment vertical="center" wrapText="1"/>
    </xf>
    <xf numFmtId="0" fontId="31" fillId="33" borderId="90" xfId="0" applyFont="1" applyFill="1" applyBorder="1" applyAlignment="1">
      <alignment vertical="center" wrapText="1"/>
    </xf>
    <xf numFmtId="0" fontId="31" fillId="33" borderId="92" xfId="0" applyFont="1" applyFill="1" applyBorder="1" applyAlignment="1">
      <alignment vertical="center" wrapText="1"/>
    </xf>
    <xf numFmtId="0" fontId="31" fillId="33" borderId="33" xfId="0" applyFont="1" applyFill="1" applyBorder="1" applyAlignment="1">
      <alignment vertical="center" wrapText="1"/>
    </xf>
    <xf numFmtId="0" fontId="31" fillId="33" borderId="34" xfId="0" applyFont="1" applyFill="1" applyBorder="1" applyAlignment="1">
      <alignment vertical="center" wrapText="1"/>
    </xf>
    <xf numFmtId="0" fontId="31" fillId="33" borderId="130" xfId="0" applyFont="1" applyFill="1" applyBorder="1" applyAlignment="1">
      <alignment horizontal="center" vertical="center" wrapText="1"/>
    </xf>
    <xf numFmtId="0" fontId="17" fillId="36" borderId="129" xfId="0" applyFont="1" applyFill="1" applyBorder="1" applyAlignment="1">
      <alignment horizontal="center" vertical="center" wrapText="1"/>
    </xf>
    <xf numFmtId="0" fontId="17" fillId="36" borderId="134" xfId="0" applyFont="1" applyFill="1" applyBorder="1" applyAlignment="1">
      <alignment horizontal="center" vertical="center" wrapText="1"/>
    </xf>
    <xf numFmtId="0" fontId="31" fillId="34" borderId="34" xfId="0" applyFont="1" applyFill="1" applyBorder="1" applyAlignment="1">
      <alignment vertical="center" wrapText="1"/>
    </xf>
    <xf numFmtId="0" fontId="31" fillId="34" borderId="77" xfId="0" applyFont="1" applyFill="1" applyBorder="1" applyAlignment="1">
      <alignment vertical="center" wrapText="1"/>
    </xf>
    <xf numFmtId="0" fontId="31" fillId="34" borderId="106" xfId="0" applyFont="1" applyFill="1" applyBorder="1" applyAlignment="1">
      <alignment vertical="center" wrapText="1"/>
    </xf>
    <xf numFmtId="0" fontId="1" fillId="6" borderId="2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1" fillId="6" borderId="28" xfId="0" applyFont="1" applyFill="1" applyBorder="1" applyAlignment="1">
      <alignment horizontal="center" vertical="center" wrapText="1"/>
    </xf>
    <xf numFmtId="0" fontId="31" fillId="21" borderId="33" xfId="0" applyFont="1" applyFill="1" applyBorder="1" applyAlignment="1">
      <alignment horizontal="center" vertical="center" wrapText="1"/>
    </xf>
    <xf numFmtId="0" fontId="31" fillId="21" borderId="34" xfId="0" applyFont="1" applyFill="1" applyBorder="1" applyAlignment="1">
      <alignment horizontal="center" vertical="center" wrapText="1"/>
    </xf>
    <xf numFmtId="0" fontId="31" fillId="21" borderId="79" xfId="0" applyFont="1" applyFill="1" applyBorder="1" applyAlignment="1">
      <alignment horizontal="center" vertical="center" wrapText="1"/>
    </xf>
    <xf numFmtId="0" fontId="14" fillId="0" borderId="105" xfId="0" applyFont="1" applyBorder="1" applyAlignment="1">
      <alignment horizontal="center" vertical="center" wrapText="1"/>
    </xf>
    <xf numFmtId="0" fontId="12" fillId="0" borderId="103" xfId="2" applyFont="1" applyBorder="1" applyAlignment="1">
      <alignment horizontal="center" vertical="center" wrapText="1"/>
    </xf>
    <xf numFmtId="0" fontId="12" fillId="0" borderId="26" xfId="2" applyFont="1" applyBorder="1" applyAlignment="1">
      <alignment horizontal="center" vertical="center" wrapText="1"/>
    </xf>
    <xf numFmtId="0" fontId="12" fillId="0" borderId="105" xfId="2" applyFont="1" applyBorder="1" applyAlignment="1">
      <alignment horizontal="center" vertical="center" wrapText="1"/>
    </xf>
    <xf numFmtId="0" fontId="17" fillId="10" borderId="79" xfId="0" applyFont="1" applyFill="1" applyBorder="1" applyAlignment="1">
      <alignment horizontal="center" vertical="center" wrapText="1"/>
    </xf>
    <xf numFmtId="0" fontId="17" fillId="10" borderId="78" xfId="0" applyFont="1" applyFill="1" applyBorder="1" applyAlignment="1">
      <alignment horizontal="center" vertical="center" wrapText="1"/>
    </xf>
    <xf numFmtId="0" fontId="17" fillId="10" borderId="77" xfId="0" applyFont="1" applyFill="1" applyBorder="1" applyAlignment="1">
      <alignment horizontal="center" vertical="center" wrapText="1"/>
    </xf>
  </cellXfs>
  <cellStyles count="4">
    <cellStyle name="Lien hypertexte" xfId="2" builtinId="8"/>
    <cellStyle name="Milliers" xfId="1" builtinId="3"/>
    <cellStyle name="Normal" xfId="0" builtinId="0"/>
    <cellStyle name="Satisfaisant" xfId="3" builtinId="26"/>
  </cellStyles>
  <dxfs count="0"/>
  <tableStyles count="0" defaultTableStyle="TableStyleMedium2" defaultPivotStyle="PivotStyleLight16"/>
  <colors>
    <mruColors>
      <color rgb="FF69B3E7"/>
      <color rgb="FF5C88DA"/>
      <color rgb="FF326295"/>
      <color rgb="FF1B365D"/>
      <color rgb="FFDEE7F7"/>
      <color rgb="FFD2005E"/>
      <color rgb="FFB1B3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Réussite sur les chapitres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radarChart>
        <c:radarStyle val="marker"/>
        <c:varyColors val="0"/>
        <c:ser>
          <c:idx val="0"/>
          <c:order val="0"/>
          <c:tx>
            <c:strRef>
              <c:f>Remédiation!$H$13</c:f>
              <c:strCache>
                <c:ptCount val="1"/>
                <c:pt idx="0">
                  <c:v>% Réussite</c:v>
                </c:pt>
              </c:strCache>
            </c:strRef>
          </c:tx>
          <c:spPr>
            <a:ln w="28575" cap="rnd">
              <a:solidFill>
                <a:schemeClr val="accent1"/>
              </a:solidFill>
              <a:round/>
            </a:ln>
            <a:effectLst/>
          </c:spPr>
          <c:marker>
            <c:symbol val="none"/>
          </c:marker>
          <c:cat>
            <c:strRef>
              <c:f>Remédiation!$A$15:$A$25</c:f>
              <c:strCache>
                <c:ptCount val="11"/>
                <c:pt idx="0">
                  <c:v>Analyse : Suites</c:v>
                </c:pt>
                <c:pt idx="1">
                  <c:v>Analyse : Équations différentielles</c:v>
                </c:pt>
                <c:pt idx="2">
                  <c:v>Analyse : Intégration 1D</c:v>
                </c:pt>
                <c:pt idx="3">
                  <c:v>Analyse : Fonctions  1D</c:v>
                </c:pt>
                <c:pt idx="4">
                  <c:v>Probabilités</c:v>
                </c:pt>
                <c:pt idx="5">
                  <c:v>Statistiques </c:v>
                </c:pt>
                <c:pt idx="6">
                  <c:v>Algèbre : Nombres complexes</c:v>
                </c:pt>
                <c:pt idx="7">
                  <c:v>Algèbre : Arithmétique</c:v>
                </c:pt>
                <c:pt idx="8">
                  <c:v>Algèbre : Graphes et matrice</c:v>
                </c:pt>
                <c:pt idx="9">
                  <c:v>Géomètrie analytique et plane</c:v>
                </c:pt>
                <c:pt idx="10">
                  <c:v>Algèbre : Polynômes</c:v>
                </c:pt>
              </c:strCache>
            </c:strRef>
          </c:cat>
          <c:val>
            <c:numRef>
              <c:f>Remédiation!$H$15:$H$25</c:f>
              <c:numCache>
                <c:formatCode>0.00</c:formatCode>
                <c:ptCount val="11"/>
                <c:pt idx="0">
                  <c:v>100</c:v>
                </c:pt>
                <c:pt idx="1">
                  <c:v>30</c:v>
                </c:pt>
                <c:pt idx="2">
                  <c:v>100</c:v>
                </c:pt>
                <c:pt idx="3">
                  <c:v>40</c:v>
                </c:pt>
                <c:pt idx="4">
                  <c:v>80</c:v>
                </c:pt>
                <c:pt idx="5">
                  <c:v>40</c:v>
                </c:pt>
                <c:pt idx="6">
                  <c:v>0</c:v>
                </c:pt>
                <c:pt idx="7">
                  <c:v>60</c:v>
                </c:pt>
                <c:pt idx="8">
                  <c:v>100</c:v>
                </c:pt>
                <c:pt idx="9">
                  <c:v>70</c:v>
                </c:pt>
                <c:pt idx="10">
                  <c:v>60</c:v>
                </c:pt>
              </c:numCache>
            </c:numRef>
          </c:val>
          <c:extLst>
            <c:ext xmlns:c16="http://schemas.microsoft.com/office/drawing/2014/chart" uri="{C3380CC4-5D6E-409C-BE32-E72D297353CC}">
              <c16:uniqueId val="{00000000-044F-42D0-A619-AB25BDCE31A1}"/>
            </c:ext>
          </c:extLst>
        </c:ser>
        <c:dLbls>
          <c:showLegendKey val="0"/>
          <c:showVal val="0"/>
          <c:showCatName val="0"/>
          <c:showSerName val="0"/>
          <c:showPercent val="0"/>
          <c:showBubbleSize val="0"/>
        </c:dLbls>
        <c:axId val="1320888640"/>
        <c:axId val="1320878240"/>
      </c:radarChart>
      <c:catAx>
        <c:axId val="132088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20878240"/>
        <c:crosses val="autoZero"/>
        <c:auto val="1"/>
        <c:lblAlgn val="ctr"/>
        <c:lblOffset val="100"/>
        <c:noMultiLvlLbl val="0"/>
      </c:catAx>
      <c:valAx>
        <c:axId val="1320878240"/>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20888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 Réussite</a:t>
            </a:r>
            <a:r>
              <a:rPr lang="fr-FR" baseline="0"/>
              <a:t> sur les compétences</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radarChart>
        <c:radarStyle val="marker"/>
        <c:varyColors val="0"/>
        <c:ser>
          <c:idx val="0"/>
          <c:order val="0"/>
          <c:spPr>
            <a:ln w="28575" cap="rnd">
              <a:solidFill>
                <a:schemeClr val="accent1"/>
              </a:solidFill>
              <a:round/>
            </a:ln>
            <a:effectLst/>
          </c:spPr>
          <c:marker>
            <c:symbol val="none"/>
          </c:marker>
          <c:cat>
            <c:strRef>
              <c:f>Remédiation!$B$13:$G$13</c:f>
              <c:strCache>
                <c:ptCount val="6"/>
                <c:pt idx="0">
                  <c:v>Calculer</c:v>
                </c:pt>
                <c:pt idx="1">
                  <c:v>Raisonner</c:v>
                </c:pt>
                <c:pt idx="2">
                  <c:v>Représenter</c:v>
                </c:pt>
                <c:pt idx="3">
                  <c:v>Communiquer</c:v>
                </c:pt>
                <c:pt idx="4">
                  <c:v>Chercher</c:v>
                </c:pt>
                <c:pt idx="5">
                  <c:v>Modéliser</c:v>
                </c:pt>
              </c:strCache>
            </c:strRef>
          </c:cat>
          <c:val>
            <c:numRef>
              <c:f>Remédiation!$B$14:$G$14</c:f>
              <c:numCache>
                <c:formatCode>General</c:formatCode>
                <c:ptCount val="6"/>
              </c:numCache>
            </c:numRef>
          </c:val>
          <c:extLst>
            <c:ext xmlns:c16="http://schemas.microsoft.com/office/drawing/2014/chart" uri="{C3380CC4-5D6E-409C-BE32-E72D297353CC}">
              <c16:uniqueId val="{00000000-39B7-4F5C-9C87-676608F08B7B}"/>
            </c:ext>
          </c:extLst>
        </c:ser>
        <c:ser>
          <c:idx val="1"/>
          <c:order val="1"/>
          <c:spPr>
            <a:ln w="28575" cap="rnd">
              <a:solidFill>
                <a:schemeClr val="accent2"/>
              </a:solidFill>
              <a:round/>
            </a:ln>
            <a:effectLst/>
          </c:spPr>
          <c:marker>
            <c:symbol val="none"/>
          </c:marker>
          <c:cat>
            <c:strRef>
              <c:f>Remédiation!$B$13:$G$13</c:f>
              <c:strCache>
                <c:ptCount val="6"/>
                <c:pt idx="0">
                  <c:v>Calculer</c:v>
                </c:pt>
                <c:pt idx="1">
                  <c:v>Raisonner</c:v>
                </c:pt>
                <c:pt idx="2">
                  <c:v>Représenter</c:v>
                </c:pt>
                <c:pt idx="3">
                  <c:v>Communiquer</c:v>
                </c:pt>
                <c:pt idx="4">
                  <c:v>Chercher</c:v>
                </c:pt>
                <c:pt idx="5">
                  <c:v>Modéliser</c:v>
                </c:pt>
              </c:strCache>
            </c:strRef>
          </c:cat>
          <c:val>
            <c:numRef>
              <c:f>Remédiation!$B$26:$G$26</c:f>
              <c:numCache>
                <c:formatCode>0.00</c:formatCode>
                <c:ptCount val="6"/>
                <c:pt idx="0">
                  <c:v>55.882352941176471</c:v>
                </c:pt>
                <c:pt idx="1">
                  <c:v>50</c:v>
                </c:pt>
                <c:pt idx="2">
                  <c:v>87.5</c:v>
                </c:pt>
                <c:pt idx="3">
                  <c:v>68.75</c:v>
                </c:pt>
                <c:pt idx="4">
                  <c:v>50</c:v>
                </c:pt>
                <c:pt idx="5">
                  <c:v>62.5</c:v>
                </c:pt>
              </c:numCache>
            </c:numRef>
          </c:val>
          <c:extLst>
            <c:ext xmlns:c16="http://schemas.microsoft.com/office/drawing/2014/chart" uri="{C3380CC4-5D6E-409C-BE32-E72D297353CC}">
              <c16:uniqueId val="{00000001-39B7-4F5C-9C87-676608F08B7B}"/>
            </c:ext>
          </c:extLst>
        </c:ser>
        <c:dLbls>
          <c:showLegendKey val="0"/>
          <c:showVal val="0"/>
          <c:showCatName val="0"/>
          <c:showSerName val="0"/>
          <c:showPercent val="0"/>
          <c:showBubbleSize val="0"/>
        </c:dLbls>
        <c:axId val="1075899216"/>
        <c:axId val="1075881744"/>
      </c:radarChart>
      <c:catAx>
        <c:axId val="107589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75881744"/>
        <c:crosses val="autoZero"/>
        <c:auto val="1"/>
        <c:lblAlgn val="ctr"/>
        <c:lblOffset val="100"/>
        <c:noMultiLvlLbl val="0"/>
      </c:catAx>
      <c:valAx>
        <c:axId val="1075881744"/>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758992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611981</xdr:colOff>
      <xdr:row>10</xdr:row>
      <xdr:rowOff>88309</xdr:rowOff>
    </xdr:from>
    <xdr:to>
      <xdr:col>24</xdr:col>
      <xdr:colOff>302419</xdr:colOff>
      <xdr:row>25</xdr:row>
      <xdr:rowOff>38785</xdr:rowOff>
    </xdr:to>
    <xdr:graphicFrame macro="">
      <xdr:nvGraphicFramePr>
        <xdr:cNvPr id="4" name="Graphique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368887</xdr:colOff>
      <xdr:row>10</xdr:row>
      <xdr:rowOff>69465</xdr:rowOff>
    </xdr:from>
    <xdr:to>
      <xdr:col>15</xdr:col>
      <xdr:colOff>527601</xdr:colOff>
      <xdr:row>25</xdr:row>
      <xdr:rowOff>19941</xdr:rowOff>
    </xdr:to>
    <xdr:graphicFrame macro="">
      <xdr:nvGraphicFramePr>
        <xdr:cNvPr id="5" name="Graphique 4">
          <a:extLst>
            <a:ext uri="{FF2B5EF4-FFF2-40B4-BE49-F238E27FC236}">
              <a16:creationId xmlns:a16="http://schemas.microsoft.com/office/drawing/2014/main" id="{00000000-0008-0000-09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lelivrescolaire.fr/page/10486827" TargetMode="External"/><Relationship Id="rId13" Type="http://schemas.openxmlformats.org/officeDocument/2006/relationships/hyperlink" Target="https://uel.unisciel.fr/mathematiques/analyse1/analyse1_ch03/co/analyse1_ch03.html" TargetMode="External"/><Relationship Id="rId18" Type="http://schemas.openxmlformats.org/officeDocument/2006/relationships/hyperlink" Target="https://www.lelivrescolaire.fr/page/7115296" TargetMode="External"/><Relationship Id="rId26" Type="http://schemas.openxmlformats.org/officeDocument/2006/relationships/hyperlink" Target="https://www.lelivrescolaire.fr/page/14235287" TargetMode="External"/><Relationship Id="rId3" Type="http://schemas.openxmlformats.org/officeDocument/2006/relationships/hyperlink" Target="https://uel.unisciel.fr/mathematiques/logique1/logique1/co/logique1.html" TargetMode="External"/><Relationship Id="rId21" Type="http://schemas.openxmlformats.org/officeDocument/2006/relationships/hyperlink" Target="https://www.lelivrescolaire.fr/page/15962427" TargetMode="External"/><Relationship Id="rId7" Type="http://schemas.openxmlformats.org/officeDocument/2006/relationships/hyperlink" Target="https://www.lelivrescolaire.fr/page/14235244" TargetMode="External"/><Relationship Id="rId12" Type="http://schemas.openxmlformats.org/officeDocument/2006/relationships/hyperlink" Target="https://uel.unisciel.fr/physique/outils_nancy/outils_nancy_ch03/co/sexercer_02.html?msclkid=7986dd11c18711ecb89a99ba63c4e67c" TargetMode="External"/><Relationship Id="rId17" Type="http://schemas.openxmlformats.org/officeDocument/2006/relationships/hyperlink" Target="https://uel.unisciel.fr/mathematiques/analyse1/analyse1_ch02/co/analyse1_ch02.html" TargetMode="External"/><Relationship Id="rId25" Type="http://schemas.openxmlformats.org/officeDocument/2006/relationships/hyperlink" Target="https://www.lelivrescolaire.fr/page/14235287" TargetMode="External"/><Relationship Id="rId2" Type="http://schemas.openxmlformats.org/officeDocument/2006/relationships/hyperlink" Target="https://uel.unisciel.fr/mathematiques/arithmetique/arithmetique/co/arithmetique.html" TargetMode="External"/><Relationship Id="rId16" Type="http://schemas.openxmlformats.org/officeDocument/2006/relationships/hyperlink" Target="https://uel.unisciel.fr/mathematiques/eq_diff/eq_diff/co/eq_diff.html" TargetMode="External"/><Relationship Id="rId20" Type="http://schemas.openxmlformats.org/officeDocument/2006/relationships/hyperlink" Target="https://www.lelivrescolaire.fr/page/7115355" TargetMode="External"/><Relationship Id="rId29" Type="http://schemas.openxmlformats.org/officeDocument/2006/relationships/hyperlink" Target="https://www.lelivrescolaire.fr/page/16080325" TargetMode="External"/><Relationship Id="rId1" Type="http://schemas.openxmlformats.org/officeDocument/2006/relationships/hyperlink" Target="https://www.lelivrescolaire.fr/page/6754721" TargetMode="External"/><Relationship Id="rId6" Type="http://schemas.openxmlformats.org/officeDocument/2006/relationships/hyperlink" Target="https://uel.unisciel.fr/physique/outils_nancy/outils_nancy_ch11/co/outils_nancy_ch11.html" TargetMode="External"/><Relationship Id="rId11" Type="http://schemas.openxmlformats.org/officeDocument/2006/relationships/hyperlink" Target="https://uel.unisciel.fr/physique/outils_nancy/outils_nancy_ch03/co/sexercer_02.html?msclkid=7986dd11c18711ecb89a99ba63c4e67c" TargetMode="External"/><Relationship Id="rId24" Type="http://schemas.openxmlformats.org/officeDocument/2006/relationships/hyperlink" Target="https://moodle-ingenieurs.cesi.fr/course/view.php?id=1760" TargetMode="External"/><Relationship Id="rId5" Type="http://schemas.openxmlformats.org/officeDocument/2006/relationships/hyperlink" Target="https://uel.unisciel.fr/mathematiques/dev_limites/dev_limites/co/dev_limites.html" TargetMode="External"/><Relationship Id="rId15" Type="http://schemas.openxmlformats.org/officeDocument/2006/relationships/hyperlink" Target="https://uel.unisciel.fr/physique/outils_nancy/outils_nancy_ch08/co/outils_nancy_ch08.html" TargetMode="External"/><Relationship Id="rId23" Type="http://schemas.openxmlformats.org/officeDocument/2006/relationships/hyperlink" Target="https://www.lelivrescolaire.fr/page/12243655" TargetMode="External"/><Relationship Id="rId28" Type="http://schemas.openxmlformats.org/officeDocument/2006/relationships/hyperlink" Target="https://www.lelivrescolaire.fr/page/6365245" TargetMode="External"/><Relationship Id="rId10" Type="http://schemas.openxmlformats.org/officeDocument/2006/relationships/hyperlink" Target="https://www.lelivrescolaire.fr/page/10486827" TargetMode="External"/><Relationship Id="rId19" Type="http://schemas.openxmlformats.org/officeDocument/2006/relationships/hyperlink" Target="https://www.lelivrescolaire.fr/page/7115207" TargetMode="External"/><Relationship Id="rId31" Type="http://schemas.openxmlformats.org/officeDocument/2006/relationships/printerSettings" Target="../printerSettings/printerSettings2.bin"/><Relationship Id="rId4" Type="http://schemas.openxmlformats.org/officeDocument/2006/relationships/hyperlink" Target="https://uel.unisciel.fr/physique/outils_nancy/outils_nancy_ch04/co/apprendre_ch04.html" TargetMode="External"/><Relationship Id="rId9" Type="http://schemas.openxmlformats.org/officeDocument/2006/relationships/hyperlink" Target="https://www.lelivrescolaire.fr/page/10486827" TargetMode="External"/><Relationship Id="rId14" Type="http://schemas.openxmlformats.org/officeDocument/2006/relationships/hyperlink" Target="https://uel.unisciel.fr/mathematiques/analyse1/analyse1_ch04/co/analyse1_ch04.html" TargetMode="External"/><Relationship Id="rId22" Type="http://schemas.openxmlformats.org/officeDocument/2006/relationships/hyperlink" Target="https://www.lelivrescolaire.fr/page/13110512" TargetMode="External"/><Relationship Id="rId27" Type="http://schemas.openxmlformats.org/officeDocument/2006/relationships/hyperlink" Target="https://www.lelivrescolaire.fr/page/14244851" TargetMode="External"/><Relationship Id="rId30" Type="http://schemas.openxmlformats.org/officeDocument/2006/relationships/hyperlink" Target="https://ressources.unisciel.fr/ramses/519-21_probabilites/co/fa901_5.htm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8" Type="http://schemas.openxmlformats.org/officeDocument/2006/relationships/hyperlink" Target="https://www.lelivrescolaire.fr/page/10486827" TargetMode="External"/><Relationship Id="rId13" Type="http://schemas.openxmlformats.org/officeDocument/2006/relationships/hyperlink" Target="https://uel.unisciel.fr/mathematiques/analyse1/analyse1_ch03/co/analyse1_ch03.html" TargetMode="External"/><Relationship Id="rId18" Type="http://schemas.openxmlformats.org/officeDocument/2006/relationships/hyperlink" Target="https://www.lelivrescolaire.fr/page/7115296" TargetMode="External"/><Relationship Id="rId26" Type="http://schemas.openxmlformats.org/officeDocument/2006/relationships/hyperlink" Target="https://www.lelivrescolaire.fr/page/14235287" TargetMode="External"/><Relationship Id="rId3" Type="http://schemas.openxmlformats.org/officeDocument/2006/relationships/hyperlink" Target="https://uel.unisciel.fr/mathematiques/logique1/logique1/co/logique1.html" TargetMode="External"/><Relationship Id="rId21" Type="http://schemas.openxmlformats.org/officeDocument/2006/relationships/hyperlink" Target="https://www.lelivrescolaire.fr/page/15962427" TargetMode="External"/><Relationship Id="rId7" Type="http://schemas.openxmlformats.org/officeDocument/2006/relationships/hyperlink" Target="https://www.lelivrescolaire.fr/page/14235244" TargetMode="External"/><Relationship Id="rId12" Type="http://schemas.openxmlformats.org/officeDocument/2006/relationships/hyperlink" Target="https://uel.unisciel.fr/physique/outils_nancy/outils_nancy_ch03/co/sexercer_02.html?msclkid=7986dd11c18711ecb89a99ba63c4e67c" TargetMode="External"/><Relationship Id="rId17" Type="http://schemas.openxmlformats.org/officeDocument/2006/relationships/hyperlink" Target="https://uel.unisciel.fr/mathematiques/analyse1/analyse1_ch02/co/analyse1_ch02.html" TargetMode="External"/><Relationship Id="rId25" Type="http://schemas.openxmlformats.org/officeDocument/2006/relationships/hyperlink" Target="https://www.lelivrescolaire.fr/page/14235287" TargetMode="External"/><Relationship Id="rId2" Type="http://schemas.openxmlformats.org/officeDocument/2006/relationships/hyperlink" Target="https://uel.unisciel.fr/mathematiques/arithmetique/arithmetique/co/arithmetique.html" TargetMode="External"/><Relationship Id="rId16" Type="http://schemas.openxmlformats.org/officeDocument/2006/relationships/hyperlink" Target="https://uel.unisciel.fr/mathematiques/eq_diff/eq_diff/co/eq_diff.html" TargetMode="External"/><Relationship Id="rId20" Type="http://schemas.openxmlformats.org/officeDocument/2006/relationships/hyperlink" Target="https://www.lelivrescolaire.fr/page/7115355" TargetMode="External"/><Relationship Id="rId29" Type="http://schemas.openxmlformats.org/officeDocument/2006/relationships/hyperlink" Target="https://www.lelivrescolaire.fr/page/16080325" TargetMode="External"/><Relationship Id="rId1" Type="http://schemas.openxmlformats.org/officeDocument/2006/relationships/hyperlink" Target="https://www.lelivrescolaire.fr/page/6754721" TargetMode="External"/><Relationship Id="rId6" Type="http://schemas.openxmlformats.org/officeDocument/2006/relationships/hyperlink" Target="https://uel.unisciel.fr/physique/outils_nancy/outils_nancy_ch11/co/outils_nancy_ch11.html" TargetMode="External"/><Relationship Id="rId11" Type="http://schemas.openxmlformats.org/officeDocument/2006/relationships/hyperlink" Target="https://uel.unisciel.fr/physique/outils_nancy/outils_nancy_ch03/co/sexercer_02.html?msclkid=7986dd11c18711ecb89a99ba63c4e67c" TargetMode="External"/><Relationship Id="rId24" Type="http://schemas.openxmlformats.org/officeDocument/2006/relationships/hyperlink" Target="https://moodle-ingenieurs.cesi.fr/course/view.php?id=1760" TargetMode="External"/><Relationship Id="rId5" Type="http://schemas.openxmlformats.org/officeDocument/2006/relationships/hyperlink" Target="https://uel.unisciel.fr/mathematiques/dev_limites/dev_limites/co/dev_limites.html" TargetMode="External"/><Relationship Id="rId15" Type="http://schemas.openxmlformats.org/officeDocument/2006/relationships/hyperlink" Target="https://uel.unisciel.fr/physique/outils_nancy/outils_nancy_ch08/co/outils_nancy_ch08.html" TargetMode="External"/><Relationship Id="rId23" Type="http://schemas.openxmlformats.org/officeDocument/2006/relationships/hyperlink" Target="https://www.lelivrescolaire.fr/page/12243655" TargetMode="External"/><Relationship Id="rId28" Type="http://schemas.openxmlformats.org/officeDocument/2006/relationships/hyperlink" Target="https://www.lelivrescolaire.fr/page/6365245" TargetMode="External"/><Relationship Id="rId10" Type="http://schemas.openxmlformats.org/officeDocument/2006/relationships/hyperlink" Target="https://www.lelivrescolaire.fr/page/10486827" TargetMode="External"/><Relationship Id="rId19" Type="http://schemas.openxmlformats.org/officeDocument/2006/relationships/hyperlink" Target="https://www.lelivrescolaire.fr/page/7115207" TargetMode="External"/><Relationship Id="rId31" Type="http://schemas.openxmlformats.org/officeDocument/2006/relationships/printerSettings" Target="../printerSettings/printerSettings4.bin"/><Relationship Id="rId4" Type="http://schemas.openxmlformats.org/officeDocument/2006/relationships/hyperlink" Target="https://uel.unisciel.fr/physique/outils_nancy/outils_nancy_ch04/co/apprendre_ch04.html" TargetMode="External"/><Relationship Id="rId9" Type="http://schemas.openxmlformats.org/officeDocument/2006/relationships/hyperlink" Target="https://www.lelivrescolaire.fr/page/10486827" TargetMode="External"/><Relationship Id="rId14" Type="http://schemas.openxmlformats.org/officeDocument/2006/relationships/hyperlink" Target="https://uel.unisciel.fr/mathematiques/analyse1/analyse1_ch04/co/analyse1_ch04.html" TargetMode="External"/><Relationship Id="rId22" Type="http://schemas.openxmlformats.org/officeDocument/2006/relationships/hyperlink" Target="https://www.lelivrescolaire.fr/page/13110512" TargetMode="External"/><Relationship Id="rId27" Type="http://schemas.openxmlformats.org/officeDocument/2006/relationships/hyperlink" Target="https://www.lelivrescolaire.fr/page/14244851" TargetMode="External"/><Relationship Id="rId30" Type="http://schemas.openxmlformats.org/officeDocument/2006/relationships/hyperlink" Target="https://ressources.unisciel.fr/ramses/519-21_probabilites/co/fa901_5.html"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el.unisciel.fr/physique/outils_nancy/outils_nancy_ch08/co/outils_nancy_ch08.html" TargetMode="External"/><Relationship Id="rId13" Type="http://schemas.openxmlformats.org/officeDocument/2006/relationships/hyperlink" Target="https://www.lelivrescolaire.fr/page/11552111" TargetMode="External"/><Relationship Id="rId18" Type="http://schemas.openxmlformats.org/officeDocument/2006/relationships/hyperlink" Target="https://www.lelivrescolaire.fr/page/13399851" TargetMode="External"/><Relationship Id="rId26" Type="http://schemas.openxmlformats.org/officeDocument/2006/relationships/hyperlink" Target="https://www.lelivrescolaire.fr/page/6974255" TargetMode="External"/><Relationship Id="rId3" Type="http://schemas.openxmlformats.org/officeDocument/2006/relationships/hyperlink" Target="https://www.lelivrescolaire.fr/page/13110512" TargetMode="External"/><Relationship Id="rId21" Type="http://schemas.openxmlformats.org/officeDocument/2006/relationships/hyperlink" Target="https://uel.unisciel.fr/physique/outils_nancy/outils_nancy_ch03/co/sexercer_ch03.html" TargetMode="External"/><Relationship Id="rId7" Type="http://schemas.openxmlformats.org/officeDocument/2006/relationships/hyperlink" Target="https://uel.unisciel.fr/mathematiques/dev_limites/dev_limites/co/dev_limites.html" TargetMode="External"/><Relationship Id="rId12" Type="http://schemas.openxmlformats.org/officeDocument/2006/relationships/hyperlink" Target="https://www.lelivrescolaire.fr/page/12243655" TargetMode="External"/><Relationship Id="rId17" Type="http://schemas.openxmlformats.org/officeDocument/2006/relationships/hyperlink" Target="https://www.lelivrescolaire.fr/page/14244851" TargetMode="External"/><Relationship Id="rId25" Type="http://schemas.openxmlformats.org/officeDocument/2006/relationships/hyperlink" Target="https://www.lelivrescolaire.fr/page/6965122" TargetMode="External"/><Relationship Id="rId2" Type="http://schemas.openxmlformats.org/officeDocument/2006/relationships/hyperlink" Target="https://uel.unisciel.fr/physique/outils_nancy/outils_nancy_ch04/co/apprendre_ch04.html" TargetMode="External"/><Relationship Id="rId16" Type="http://schemas.openxmlformats.org/officeDocument/2006/relationships/hyperlink" Target="https://www.lelivrescolaire.fr/page/14235287" TargetMode="External"/><Relationship Id="rId20" Type="http://schemas.openxmlformats.org/officeDocument/2006/relationships/hyperlink" Target="https://www.lelivrescolaire.fr/page/12331729" TargetMode="External"/><Relationship Id="rId29" Type="http://schemas.openxmlformats.org/officeDocument/2006/relationships/hyperlink" Target="https://www.lelivrescolaire.fr/page/7115355" TargetMode="External"/><Relationship Id="rId1" Type="http://schemas.openxmlformats.org/officeDocument/2006/relationships/hyperlink" Target="https://uel.unisciel.fr/mathematiques/arithmetique/arithmetique/co/arithmetique.html" TargetMode="External"/><Relationship Id="rId6" Type="http://schemas.openxmlformats.org/officeDocument/2006/relationships/hyperlink" Target="http://pac.unisciel.fr/fonctions-de-variables/" TargetMode="External"/><Relationship Id="rId11" Type="http://schemas.openxmlformats.org/officeDocument/2006/relationships/hyperlink" Target="https://ressources.unisciel.fr/ramses/519-21_probabilites/co/fa901_5.html" TargetMode="External"/><Relationship Id="rId24" Type="http://schemas.openxmlformats.org/officeDocument/2006/relationships/hyperlink" Target="https://www.lelivrescolaire.fr/page/33736882" TargetMode="External"/><Relationship Id="rId5" Type="http://schemas.openxmlformats.org/officeDocument/2006/relationships/hyperlink" Target="https://uel.unisciel.fr/physique/outils_nancy/outils_nancy_ch11/co/apprendre_ch11.html" TargetMode="External"/><Relationship Id="rId15" Type="http://schemas.openxmlformats.org/officeDocument/2006/relationships/hyperlink" Target="https://www.lelivrescolaire.fr/page/14235287" TargetMode="External"/><Relationship Id="rId23" Type="http://schemas.openxmlformats.org/officeDocument/2006/relationships/hyperlink" Target="https://www.lelivrescolaire.fr/page/16080325" TargetMode="External"/><Relationship Id="rId28" Type="http://schemas.openxmlformats.org/officeDocument/2006/relationships/hyperlink" Target="https://www.lelivrescolaire.fr/page/7115207" TargetMode="External"/><Relationship Id="rId10" Type="http://schemas.openxmlformats.org/officeDocument/2006/relationships/hyperlink" Target="https://uel.unisciel.fr/mathematiques/sys_diff/sys_diff/co/sys_diff.html" TargetMode="External"/><Relationship Id="rId19" Type="http://schemas.openxmlformats.org/officeDocument/2006/relationships/hyperlink" Target="https://www.lelivrescolaire.fr/page/12030375" TargetMode="External"/><Relationship Id="rId4" Type="http://schemas.openxmlformats.org/officeDocument/2006/relationships/hyperlink" Target="https://uel.unisciel.fr/mathematiques/geometrie_analytique/geometrie_analytique/co/geometrie_analytique.html" TargetMode="External"/><Relationship Id="rId9" Type="http://schemas.openxmlformats.org/officeDocument/2006/relationships/hyperlink" Target="https://uel.unisciel.fr/mathematiques/eq_diff/eq_diff/co/eq_diff.html" TargetMode="External"/><Relationship Id="rId14" Type="http://schemas.openxmlformats.org/officeDocument/2006/relationships/hyperlink" Target="https://www.lelivrescolaire.fr/page/12244738" TargetMode="External"/><Relationship Id="rId22" Type="http://schemas.openxmlformats.org/officeDocument/2006/relationships/hyperlink" Target="https://www.lelivrescolaire.fr/page/15826765" TargetMode="External"/><Relationship Id="rId27" Type="http://schemas.openxmlformats.org/officeDocument/2006/relationships/hyperlink" Target="https://www.lelivrescolaire.fr/page/7115296" TargetMode="External"/><Relationship Id="rId30"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hyperlink" Target="https://ressources.unisciel.fr/pfci/cours/Int_Doubles/co/cours_02.html?msclkid=2b32afa7c21411ecb42b0a00f80e6608" TargetMode="External"/><Relationship Id="rId2" Type="http://schemas.openxmlformats.org/officeDocument/2006/relationships/hyperlink" Target="https://uel.unisciel.fr/mathematiques/analyse1/analyse1_ch03/co/analyse1_ch03.html" TargetMode="External"/><Relationship Id="rId1" Type="http://schemas.openxmlformats.org/officeDocument/2006/relationships/hyperlink" Target="https://uel.unisciel.fr/mathematiques/dev_limites/dev_limites/co/dev_limites.html" TargetMode="External"/><Relationship Id="rId5" Type="http://schemas.openxmlformats.org/officeDocument/2006/relationships/printerSettings" Target="../printerSettings/printerSettings6.bin"/><Relationship Id="rId4" Type="http://schemas.openxmlformats.org/officeDocument/2006/relationships/hyperlink" Target="https://ressources.unisciel.fr/ramses/519-21_probabilites/co/fa901_5.html" TargetMode="External"/></Relationships>
</file>

<file path=xl/worksheets/_rels/sheet10.xml.rels><?xml version="1.0" encoding="UTF-8" standalone="yes"?>
<Relationships xmlns="http://schemas.openxmlformats.org/package/2006/relationships"><Relationship Id="rId8" Type="http://schemas.openxmlformats.org/officeDocument/2006/relationships/printerSettings" Target="../printerSettings/printerSettings7.bin"/><Relationship Id="rId3" Type="http://schemas.openxmlformats.org/officeDocument/2006/relationships/hyperlink" Target="https://uel.unisciel.fr/mathematiques/eq_diff/eq_diff/co/eq_diff.html" TargetMode="External"/><Relationship Id="rId7" Type="http://schemas.openxmlformats.org/officeDocument/2006/relationships/hyperlink" Target="https://uel.unisciel.fr/mathematiques/arithmetique/arithmetique/co/arithmetique.html" TargetMode="External"/><Relationship Id="rId2" Type="http://schemas.openxmlformats.org/officeDocument/2006/relationships/hyperlink" Target="https://ressources.unisciel.fr/ramses/519-21_probabilites/co/fa901_5.html" TargetMode="External"/><Relationship Id="rId1" Type="http://schemas.openxmlformats.org/officeDocument/2006/relationships/hyperlink" Target="https://uel.unisciel.fr/mathematiques/analyse1/analyse1_ch02/co/analyse1_ch02.html" TargetMode="External"/><Relationship Id="rId6" Type="http://schemas.openxmlformats.org/officeDocument/2006/relationships/hyperlink" Target="https://uel.unisciel.fr/physique/outils_nancy/outils_nancy_ch11/co/outils_nancy_ch11.html" TargetMode="External"/><Relationship Id="rId5" Type="http://schemas.openxmlformats.org/officeDocument/2006/relationships/hyperlink" Target="https://uel.unisciel.fr/mathematiques/dev_limites/dev_limites/co/dev_limites.html" TargetMode="External"/><Relationship Id="rId4" Type="http://schemas.openxmlformats.org/officeDocument/2006/relationships/hyperlink" Target="https://uel.unisciel.fr/physique/outils_nancy/outils_nancy_ch08/co/outils_nancy_ch08.html"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ressources.unisciel.fr/ramses/519-21_probabilites/co/fa901_5.html" TargetMode="External"/><Relationship Id="rId3" Type="http://schemas.openxmlformats.org/officeDocument/2006/relationships/hyperlink" Target="https://uel.unisciel.fr/physique/outils_nancy/outils_nancy_ch11/co/outils_nancy_ch11.html" TargetMode="External"/><Relationship Id="rId7" Type="http://schemas.openxmlformats.org/officeDocument/2006/relationships/hyperlink" Target="https://uel.unisciel.fr/mathematiques/serie/serie/co/serie.html" TargetMode="External"/><Relationship Id="rId2" Type="http://schemas.openxmlformats.org/officeDocument/2006/relationships/hyperlink" Target="https://uel.unisciel.fr/physique/outils_nancy/outils_nancy_ch04/co/apprendre_ch04.html" TargetMode="External"/><Relationship Id="rId1" Type="http://schemas.openxmlformats.org/officeDocument/2006/relationships/hyperlink" Target="https://uel.unisciel.fr/mathematiques/arithmetique/arithmetique/co/arithmetique.html" TargetMode="External"/><Relationship Id="rId6" Type="http://schemas.openxmlformats.org/officeDocument/2006/relationships/hyperlink" Target="https://hal.archives-ouvertes.fr/hal-02442442/document" TargetMode="External"/><Relationship Id="rId5" Type="http://schemas.openxmlformats.org/officeDocument/2006/relationships/hyperlink" Target="https://univ.scholarvox.com/catalog/book/docid/88919449?searchterm=transform%C3%A9e%20de%20laplace" TargetMode="External"/><Relationship Id="rId4" Type="http://schemas.openxmlformats.org/officeDocument/2006/relationships/hyperlink" Target="https://uel.unisciel.fr/mathematiques/dev_limites/dev_limites/co/dev_limite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outlinePr summaryBelow="0" summaryRight="0"/>
    <pageSetUpPr fitToPage="1"/>
  </sheetPr>
  <dimension ref="B1:D23"/>
  <sheetViews>
    <sheetView zoomScaleNormal="100" workbookViewId="0">
      <selection activeCell="B10" sqref="B10"/>
    </sheetView>
  </sheetViews>
  <sheetFormatPr baseColWidth="10" defaultColWidth="14.44140625" defaultRowHeight="15.75" customHeight="1" x14ac:dyDescent="0.3"/>
  <cols>
    <col min="1" max="1" width="4.6640625" style="28" customWidth="1"/>
    <col min="2" max="2" width="160.6640625" style="28" customWidth="1"/>
    <col min="3" max="3" width="10.6640625" style="27" customWidth="1"/>
    <col min="4" max="4" width="14.6640625" style="28" customWidth="1"/>
    <col min="5" max="16384" width="14.44140625" style="28"/>
  </cols>
  <sheetData>
    <row r="1" spans="2:4" ht="7.95" customHeight="1" thickBot="1" x14ac:dyDescent="0.35"/>
    <row r="2" spans="2:4" ht="60" customHeight="1" thickTop="1" thickBot="1" x14ac:dyDescent="0.35">
      <c r="B2" s="455" t="s">
        <v>499</v>
      </c>
      <c r="C2" s="456"/>
      <c r="D2" s="457"/>
    </row>
    <row r="3" spans="2:4" ht="25.2" customHeight="1" x14ac:dyDescent="0.3">
      <c r="B3" s="31" t="s">
        <v>0</v>
      </c>
      <c r="C3" s="458">
        <v>1</v>
      </c>
      <c r="D3" s="463" t="s">
        <v>1</v>
      </c>
    </row>
    <row r="4" spans="2:4" ht="19.95" customHeight="1" x14ac:dyDescent="0.3">
      <c r="B4" s="32" t="s">
        <v>503</v>
      </c>
      <c r="C4" s="459"/>
      <c r="D4" s="464"/>
    </row>
    <row r="5" spans="2:4" ht="19.95" customHeight="1" thickBot="1" x14ac:dyDescent="0.35">
      <c r="B5" s="33" t="s">
        <v>501</v>
      </c>
      <c r="C5" s="459"/>
      <c r="D5" s="464"/>
    </row>
    <row r="6" spans="2:4" ht="25.2" customHeight="1" x14ac:dyDescent="0.3">
      <c r="B6" s="34" t="s">
        <v>502</v>
      </c>
      <c r="C6" s="459"/>
      <c r="D6" s="464"/>
    </row>
    <row r="7" spans="2:4" ht="19.95" customHeight="1" x14ac:dyDescent="0.3">
      <c r="B7" s="35" t="s">
        <v>500</v>
      </c>
      <c r="C7" s="459"/>
      <c r="D7" s="464"/>
    </row>
    <row r="8" spans="2:4" ht="19.95" customHeight="1" x14ac:dyDescent="0.3">
      <c r="B8" s="36" t="s">
        <v>2</v>
      </c>
      <c r="C8" s="459"/>
      <c r="D8" s="464"/>
    </row>
    <row r="9" spans="2:4" ht="19.95" customHeight="1" x14ac:dyDescent="0.3">
      <c r="B9" s="35" t="s">
        <v>3</v>
      </c>
      <c r="C9" s="459"/>
      <c r="D9" s="464"/>
    </row>
    <row r="10" spans="2:4" ht="19.95" customHeight="1" thickBot="1" x14ac:dyDescent="0.35">
      <c r="B10" s="33" t="s">
        <v>4</v>
      </c>
      <c r="C10" s="460"/>
      <c r="D10" s="465"/>
    </row>
    <row r="11" spans="2:4" ht="25.2" customHeight="1" x14ac:dyDescent="0.3">
      <c r="B11" s="37" t="s">
        <v>5</v>
      </c>
      <c r="C11" s="461">
        <v>2</v>
      </c>
      <c r="D11" s="466" t="s">
        <v>6</v>
      </c>
    </row>
    <row r="12" spans="2:4" ht="19.95" customHeight="1" x14ac:dyDescent="0.3">
      <c r="B12" s="38" t="s">
        <v>506</v>
      </c>
      <c r="C12" s="459"/>
      <c r="D12" s="464"/>
    </row>
    <row r="13" spans="2:4" ht="19.95" customHeight="1" x14ac:dyDescent="0.3">
      <c r="B13" s="36" t="s">
        <v>7</v>
      </c>
      <c r="C13" s="459"/>
      <c r="D13" s="464"/>
    </row>
    <row r="14" spans="2:4" ht="19.95" customHeight="1" thickBot="1" x14ac:dyDescent="0.35">
      <c r="B14" s="39" t="s">
        <v>504</v>
      </c>
      <c r="C14" s="459"/>
      <c r="D14" s="464"/>
    </row>
    <row r="15" spans="2:4" ht="25.2" customHeight="1" x14ac:dyDescent="0.3">
      <c r="B15" s="40" t="s">
        <v>8</v>
      </c>
      <c r="C15" s="459"/>
      <c r="D15" s="464"/>
    </row>
    <row r="16" spans="2:4" ht="19.95" customHeight="1" x14ac:dyDescent="0.3">
      <c r="B16" s="41" t="s">
        <v>9</v>
      </c>
      <c r="C16" s="459"/>
      <c r="D16" s="464"/>
    </row>
    <row r="17" spans="2:4" ht="19.95" customHeight="1" x14ac:dyDescent="0.3">
      <c r="B17" s="36" t="s">
        <v>10</v>
      </c>
      <c r="C17" s="459"/>
      <c r="D17" s="464"/>
    </row>
    <row r="18" spans="2:4" ht="19.95" customHeight="1" thickBot="1" x14ac:dyDescent="0.35">
      <c r="B18" s="42" t="s">
        <v>505</v>
      </c>
      <c r="C18" s="462"/>
      <c r="D18" s="467"/>
    </row>
    <row r="19" spans="2:4" ht="15.75" customHeight="1" thickTop="1" x14ac:dyDescent="0.3">
      <c r="C19" s="29"/>
    </row>
    <row r="20" spans="2:4" ht="15.75" customHeight="1" x14ac:dyDescent="0.3">
      <c r="C20" s="29"/>
    </row>
    <row r="21" spans="2:4" ht="15.75" customHeight="1" x14ac:dyDescent="0.3">
      <c r="C21" s="29"/>
    </row>
    <row r="22" spans="2:4" ht="15.75" customHeight="1" x14ac:dyDescent="0.3">
      <c r="C22" s="29"/>
    </row>
    <row r="23" spans="2:4" ht="15.75" customHeight="1" x14ac:dyDescent="0.3">
      <c r="C23" s="29"/>
    </row>
  </sheetData>
  <mergeCells count="5">
    <mergeCell ref="B2:D2"/>
    <mergeCell ref="C3:C10"/>
    <mergeCell ref="C11:C18"/>
    <mergeCell ref="D3:D10"/>
    <mergeCell ref="D11:D18"/>
  </mergeCells>
  <printOptions horizontalCentered="1" gridLines="1"/>
  <pageMargins left="0.39370078740157477" right="0.39370078740157477" top="0.31496062992125984" bottom="0.31496062992125984" header="0" footer="0"/>
  <pageSetup paperSize="9" fitToHeight="0" pageOrder="overThenDown" orientation="portrait" cellComments="atEnd"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499984740745262"/>
  </sheetPr>
  <dimension ref="A1:M497"/>
  <sheetViews>
    <sheetView topLeftCell="E346" zoomScale="55" zoomScaleNormal="55" workbookViewId="0">
      <selection activeCell="H346" sqref="H346"/>
    </sheetView>
  </sheetViews>
  <sheetFormatPr baseColWidth="10" defaultColWidth="11.44140625" defaultRowHeight="18" x14ac:dyDescent="0.25"/>
  <cols>
    <col min="1" max="1" width="27.88671875" style="119" hidden="1" customWidth="1"/>
    <col min="2" max="2" width="32.6640625" style="119" customWidth="1"/>
    <col min="3" max="3" width="42.6640625" style="119" customWidth="1"/>
    <col min="4" max="4" width="68.6640625" style="120" customWidth="1"/>
    <col min="5" max="5" width="91" style="121" bestFit="1" customWidth="1"/>
    <col min="6" max="6" width="255.6640625" style="120" bestFit="1" customWidth="1"/>
    <col min="7" max="7" width="37.109375" style="123" customWidth="1"/>
    <col min="8" max="11" width="11.44140625" style="61"/>
    <col min="12" max="12" width="37.109375" style="123" customWidth="1"/>
    <col min="13" max="16384" width="11.44140625" style="61"/>
  </cols>
  <sheetData>
    <row r="1" spans="1:13" ht="46.2" customHeight="1" x14ac:dyDescent="0.25">
      <c r="A1" s="517" t="s">
        <v>441</v>
      </c>
      <c r="B1" s="517"/>
      <c r="C1" s="517"/>
      <c r="D1" s="517"/>
      <c r="E1" s="517"/>
      <c r="F1" s="517"/>
      <c r="G1" s="517"/>
      <c r="L1" s="492" t="s">
        <v>11</v>
      </c>
      <c r="M1" s="492"/>
    </row>
    <row r="2" spans="1:13" ht="42" customHeight="1" x14ac:dyDescent="0.25">
      <c r="A2" s="518" t="s">
        <v>12</v>
      </c>
      <c r="B2" s="518"/>
      <c r="C2" s="518"/>
      <c r="D2" s="518"/>
      <c r="E2" s="518"/>
      <c r="F2" s="518"/>
      <c r="G2" s="518"/>
      <c r="H2" s="522" t="s">
        <v>13</v>
      </c>
      <c r="I2" s="525" t="s">
        <v>14</v>
      </c>
      <c r="J2" s="525" t="s">
        <v>15</v>
      </c>
      <c r="K2" s="525" t="s">
        <v>16</v>
      </c>
      <c r="L2" s="493" t="s">
        <v>17</v>
      </c>
      <c r="M2" s="494"/>
    </row>
    <row r="3" spans="1:13" ht="12.75" customHeight="1" x14ac:dyDescent="0.25">
      <c r="A3" s="518"/>
      <c r="B3" s="518"/>
      <c r="C3" s="518"/>
      <c r="D3" s="518"/>
      <c r="E3" s="518"/>
      <c r="F3" s="518"/>
      <c r="G3" s="518"/>
      <c r="H3" s="522"/>
      <c r="I3" s="525"/>
      <c r="J3" s="525"/>
      <c r="K3" s="525"/>
      <c r="L3" s="493"/>
      <c r="M3" s="494"/>
    </row>
    <row r="4" spans="1:13" ht="12.75" customHeight="1" x14ac:dyDescent="0.25">
      <c r="A4" s="518"/>
      <c r="B4" s="518"/>
      <c r="C4" s="518"/>
      <c r="D4" s="518"/>
      <c r="E4" s="518"/>
      <c r="F4" s="518"/>
      <c r="G4" s="518"/>
      <c r="H4" s="522"/>
      <c r="I4" s="525"/>
      <c r="J4" s="525"/>
      <c r="K4" s="525"/>
      <c r="L4" s="493"/>
      <c r="M4" s="494"/>
    </row>
    <row r="5" spans="1:13" ht="17.399999999999999" customHeight="1" x14ac:dyDescent="0.25">
      <c r="A5" s="518"/>
      <c r="B5" s="518"/>
      <c r="C5" s="518"/>
      <c r="D5" s="518"/>
      <c r="E5" s="518"/>
      <c r="F5" s="518"/>
      <c r="G5" s="518"/>
      <c r="H5" s="522"/>
      <c r="I5" s="525"/>
      <c r="J5" s="525"/>
      <c r="K5" s="525"/>
      <c r="L5" s="493"/>
      <c r="M5" s="494"/>
    </row>
    <row r="6" spans="1:13" ht="17.399999999999999" customHeight="1" x14ac:dyDescent="0.25">
      <c r="A6" s="518"/>
      <c r="B6" s="518"/>
      <c r="C6" s="518"/>
      <c r="D6" s="518"/>
      <c r="E6" s="518"/>
      <c r="F6" s="518"/>
      <c r="G6" s="518"/>
      <c r="H6" s="522"/>
      <c r="I6" s="525"/>
      <c r="J6" s="525"/>
      <c r="K6" s="525"/>
      <c r="L6" s="493"/>
      <c r="M6" s="494"/>
    </row>
    <row r="7" spans="1:13" ht="19.95" customHeight="1" x14ac:dyDescent="0.25">
      <c r="A7" s="289"/>
      <c r="B7" s="353" t="s">
        <v>532</v>
      </c>
      <c r="C7" s="342"/>
      <c r="D7" s="524" t="s">
        <v>18</v>
      </c>
      <c r="E7" s="524"/>
      <c r="F7" s="524"/>
      <c r="G7" s="524"/>
      <c r="H7" s="326"/>
      <c r="I7" s="326"/>
      <c r="J7" s="326"/>
      <c r="K7" s="76"/>
      <c r="L7" s="290"/>
      <c r="M7" s="116"/>
    </row>
    <row r="8" spans="1:13" ht="19.95" customHeight="1" x14ac:dyDescent="0.25">
      <c r="A8" s="291"/>
      <c r="B8" s="353" t="s">
        <v>532</v>
      </c>
      <c r="C8" s="343" t="s">
        <v>18</v>
      </c>
      <c r="D8" s="523" t="s">
        <v>19</v>
      </c>
      <c r="E8" s="354" t="s">
        <v>20</v>
      </c>
      <c r="F8" s="414"/>
      <c r="G8" s="334"/>
      <c r="H8" s="76">
        <v>1</v>
      </c>
      <c r="I8" s="76">
        <v>7</v>
      </c>
      <c r="J8" s="76"/>
      <c r="K8" s="76">
        <v>5</v>
      </c>
      <c r="L8" s="292" t="s">
        <v>21</v>
      </c>
      <c r="M8" s="495" t="s">
        <v>22</v>
      </c>
    </row>
    <row r="9" spans="1:13" ht="19.95" customHeight="1" x14ac:dyDescent="0.25">
      <c r="A9" s="293"/>
      <c r="B9" s="353" t="s">
        <v>532</v>
      </c>
      <c r="C9" s="343" t="s">
        <v>18</v>
      </c>
      <c r="D9" s="523"/>
      <c r="E9" s="354" t="s">
        <v>23</v>
      </c>
      <c r="F9" s="414" t="s">
        <v>24</v>
      </c>
      <c r="G9" s="334"/>
      <c r="H9" s="76">
        <v>1</v>
      </c>
      <c r="I9" s="76">
        <v>7</v>
      </c>
      <c r="J9" s="76"/>
      <c r="K9" s="76">
        <v>5</v>
      </c>
      <c r="M9" s="495"/>
    </row>
    <row r="10" spans="1:13" ht="19.95" customHeight="1" x14ac:dyDescent="0.25">
      <c r="A10" s="293"/>
      <c r="B10" s="353" t="s">
        <v>532</v>
      </c>
      <c r="C10" s="343" t="s">
        <v>18</v>
      </c>
      <c r="D10" s="523"/>
      <c r="E10" s="354" t="s">
        <v>25</v>
      </c>
      <c r="F10" s="414"/>
      <c r="G10" s="334"/>
      <c r="H10" s="76">
        <v>1</v>
      </c>
      <c r="I10" s="76">
        <v>7</v>
      </c>
      <c r="J10" s="76"/>
      <c r="K10" s="76">
        <v>5</v>
      </c>
      <c r="L10" s="123">
        <v>22</v>
      </c>
      <c r="M10" s="495"/>
    </row>
    <row r="11" spans="1:13" ht="19.95" customHeight="1" x14ac:dyDescent="0.25">
      <c r="A11" s="293"/>
      <c r="B11" s="353" t="s">
        <v>532</v>
      </c>
      <c r="C11" s="343" t="s">
        <v>18</v>
      </c>
      <c r="D11" s="523" t="s">
        <v>26</v>
      </c>
      <c r="E11" s="354" t="s">
        <v>27</v>
      </c>
      <c r="F11" s="414"/>
      <c r="G11" s="334"/>
      <c r="H11" s="76">
        <v>1</v>
      </c>
      <c r="I11" s="76">
        <v>7</v>
      </c>
      <c r="J11" s="76"/>
      <c r="K11" s="76">
        <v>5</v>
      </c>
      <c r="L11" s="61"/>
      <c r="M11" s="496"/>
    </row>
    <row r="12" spans="1:13" ht="19.95" customHeight="1" x14ac:dyDescent="0.25">
      <c r="A12" s="293"/>
      <c r="B12" s="353" t="s">
        <v>532</v>
      </c>
      <c r="C12" s="343" t="s">
        <v>18</v>
      </c>
      <c r="D12" s="523"/>
      <c r="E12" s="354" t="s">
        <v>28</v>
      </c>
      <c r="F12" s="414"/>
      <c r="G12" s="334"/>
      <c r="H12" s="76">
        <v>1</v>
      </c>
      <c r="I12" s="76">
        <v>7</v>
      </c>
      <c r="J12" s="76"/>
      <c r="K12" s="76">
        <v>5</v>
      </c>
      <c r="L12" s="61"/>
      <c r="M12" s="496"/>
    </row>
    <row r="13" spans="1:13" ht="19.95" customHeight="1" x14ac:dyDescent="0.25">
      <c r="A13" s="293"/>
      <c r="B13" s="353" t="s">
        <v>532</v>
      </c>
      <c r="C13" s="343" t="s">
        <v>18</v>
      </c>
      <c r="D13" s="523"/>
      <c r="E13" s="354" t="s">
        <v>29</v>
      </c>
      <c r="F13" s="414"/>
      <c r="G13" s="334"/>
      <c r="H13" s="76">
        <v>1</v>
      </c>
      <c r="I13" s="76">
        <v>7</v>
      </c>
      <c r="J13" s="76"/>
      <c r="K13" s="76">
        <v>5</v>
      </c>
      <c r="L13" s="61"/>
      <c r="M13" s="496"/>
    </row>
    <row r="14" spans="1:13" ht="19.95" customHeight="1" x14ac:dyDescent="0.25">
      <c r="A14" s="293"/>
      <c r="B14" s="353" t="s">
        <v>532</v>
      </c>
      <c r="C14" s="343" t="s">
        <v>18</v>
      </c>
      <c r="D14" s="523"/>
      <c r="E14" s="354" t="s">
        <v>30</v>
      </c>
      <c r="F14" s="414"/>
      <c r="G14" s="334"/>
      <c r="H14" s="76">
        <v>1</v>
      </c>
      <c r="I14" s="76">
        <v>7</v>
      </c>
      <c r="J14" s="76"/>
      <c r="K14" s="76">
        <v>5</v>
      </c>
      <c r="L14" s="61"/>
      <c r="M14" s="496"/>
    </row>
    <row r="15" spans="1:13" ht="19.95" customHeight="1" x14ac:dyDescent="0.25">
      <c r="A15" s="293"/>
      <c r="B15" s="353" t="s">
        <v>532</v>
      </c>
      <c r="C15" s="343" t="s">
        <v>18</v>
      </c>
      <c r="D15" s="523" t="s">
        <v>31</v>
      </c>
      <c r="E15" s="354" t="s">
        <v>32</v>
      </c>
      <c r="F15" s="414"/>
      <c r="G15" s="334"/>
      <c r="H15" s="76">
        <v>1</v>
      </c>
      <c r="I15" s="76">
        <v>7</v>
      </c>
      <c r="J15" s="76"/>
      <c r="K15" s="76">
        <v>5</v>
      </c>
      <c r="M15" s="495"/>
    </row>
    <row r="16" spans="1:13" ht="19.95" customHeight="1" x14ac:dyDescent="0.25">
      <c r="A16" s="293"/>
      <c r="B16" s="353" t="s">
        <v>532</v>
      </c>
      <c r="C16" s="343" t="s">
        <v>18</v>
      </c>
      <c r="D16" s="523"/>
      <c r="E16" s="354" t="s">
        <v>33</v>
      </c>
      <c r="F16" s="414"/>
      <c r="G16" s="334"/>
      <c r="H16" s="76">
        <v>1</v>
      </c>
      <c r="I16" s="76">
        <v>7</v>
      </c>
      <c r="J16" s="76"/>
      <c r="K16" s="76">
        <v>5</v>
      </c>
      <c r="M16" s="495"/>
    </row>
    <row r="17" spans="1:13" ht="19.95" customHeight="1" x14ac:dyDescent="0.25">
      <c r="A17" s="293"/>
      <c r="B17" s="353" t="s">
        <v>532</v>
      </c>
      <c r="C17" s="343" t="s">
        <v>18</v>
      </c>
      <c r="D17" s="523"/>
      <c r="E17" s="354" t="s">
        <v>34</v>
      </c>
      <c r="F17" s="414"/>
      <c r="G17" s="334"/>
      <c r="H17" s="76">
        <v>1</v>
      </c>
      <c r="I17" s="76">
        <v>7</v>
      </c>
      <c r="J17" s="76"/>
      <c r="K17" s="76">
        <v>5</v>
      </c>
      <c r="M17" s="495"/>
    </row>
    <row r="18" spans="1:13" ht="19.95" customHeight="1" x14ac:dyDescent="0.25">
      <c r="A18" s="293"/>
      <c r="B18" s="353" t="s">
        <v>532</v>
      </c>
      <c r="C18" s="343" t="s">
        <v>18</v>
      </c>
      <c r="D18" s="523"/>
      <c r="E18" s="354" t="s">
        <v>35</v>
      </c>
      <c r="F18" s="414"/>
      <c r="G18" s="334"/>
      <c r="H18" s="76">
        <v>1</v>
      </c>
      <c r="I18" s="76">
        <v>7</v>
      </c>
      <c r="J18" s="76"/>
      <c r="K18" s="76">
        <v>5</v>
      </c>
      <c r="M18" s="495"/>
    </row>
    <row r="19" spans="1:13" ht="19.95" customHeight="1" x14ac:dyDescent="0.25">
      <c r="A19" s="293"/>
      <c r="B19" s="353" t="s">
        <v>532</v>
      </c>
      <c r="C19" s="343" t="s">
        <v>18</v>
      </c>
      <c r="D19" s="355" t="s">
        <v>546</v>
      </c>
      <c r="E19" s="354"/>
      <c r="F19" s="414"/>
      <c r="G19" s="334"/>
      <c r="H19" s="76">
        <v>1</v>
      </c>
      <c r="I19" s="76">
        <v>7</v>
      </c>
      <c r="J19" s="76"/>
      <c r="K19" s="76">
        <v>5</v>
      </c>
      <c r="M19" s="495"/>
    </row>
    <row r="20" spans="1:13" ht="19.95" customHeight="1" x14ac:dyDescent="0.25">
      <c r="A20" s="293"/>
      <c r="B20" s="353" t="s">
        <v>532</v>
      </c>
      <c r="C20" s="343" t="s">
        <v>18</v>
      </c>
      <c r="D20" s="523" t="s">
        <v>36</v>
      </c>
      <c r="E20" s="354" t="s">
        <v>37</v>
      </c>
      <c r="F20" s="142" t="s">
        <v>38</v>
      </c>
      <c r="G20" s="334"/>
      <c r="H20" s="76">
        <v>1</v>
      </c>
      <c r="I20" s="76">
        <v>7</v>
      </c>
      <c r="J20" s="76"/>
      <c r="K20" s="76">
        <v>5</v>
      </c>
      <c r="M20" s="495"/>
    </row>
    <row r="21" spans="1:13" ht="19.95" customHeight="1" x14ac:dyDescent="0.25">
      <c r="A21" s="293"/>
      <c r="B21" s="353" t="s">
        <v>532</v>
      </c>
      <c r="C21" s="343" t="s">
        <v>18</v>
      </c>
      <c r="D21" s="523"/>
      <c r="E21" s="356" t="s">
        <v>39</v>
      </c>
      <c r="F21" s="414" t="s">
        <v>40</v>
      </c>
      <c r="G21" s="334"/>
      <c r="H21" s="76">
        <v>1</v>
      </c>
      <c r="I21" s="76">
        <v>7</v>
      </c>
      <c r="J21" s="76"/>
      <c r="K21" s="76">
        <v>5</v>
      </c>
      <c r="M21" s="495"/>
    </row>
    <row r="22" spans="1:13" ht="19.95" customHeight="1" x14ac:dyDescent="0.25">
      <c r="A22" s="293"/>
      <c r="B22" s="353" t="s">
        <v>532</v>
      </c>
      <c r="C22" s="343" t="s">
        <v>18</v>
      </c>
      <c r="D22" s="523"/>
      <c r="E22" s="356" t="s">
        <v>41</v>
      </c>
      <c r="F22" s="414" t="s">
        <v>549</v>
      </c>
      <c r="G22" s="334"/>
      <c r="H22" s="76">
        <v>1</v>
      </c>
      <c r="I22" s="76">
        <v>7</v>
      </c>
      <c r="J22" s="76"/>
      <c r="K22" s="76">
        <v>5</v>
      </c>
      <c r="M22" s="495"/>
    </row>
    <row r="23" spans="1:13" ht="19.95" customHeight="1" x14ac:dyDescent="0.25">
      <c r="A23" s="293"/>
      <c r="B23" s="353" t="s">
        <v>532</v>
      </c>
      <c r="C23" s="343" t="s">
        <v>18</v>
      </c>
      <c r="D23" s="523"/>
      <c r="E23" s="356" t="s">
        <v>42</v>
      </c>
      <c r="F23" s="414" t="s">
        <v>551</v>
      </c>
      <c r="G23" s="334"/>
      <c r="H23" s="76">
        <v>1</v>
      </c>
      <c r="I23" s="76">
        <v>7</v>
      </c>
      <c r="J23" s="76"/>
      <c r="K23" s="76">
        <v>5</v>
      </c>
      <c r="M23" s="495"/>
    </row>
    <row r="24" spans="1:13" ht="19.95" customHeight="1" x14ac:dyDescent="0.25">
      <c r="A24" s="293"/>
      <c r="B24" s="353" t="s">
        <v>532</v>
      </c>
      <c r="C24" s="343" t="s">
        <v>18</v>
      </c>
      <c r="D24" s="357"/>
      <c r="E24" s="356"/>
      <c r="F24" s="414"/>
      <c r="G24" s="334"/>
      <c r="H24" s="76"/>
      <c r="I24" s="76"/>
      <c r="J24" s="76"/>
      <c r="K24" s="76"/>
      <c r="L24" s="61"/>
    </row>
    <row r="25" spans="1:13" ht="19.95" customHeight="1" x14ac:dyDescent="0.25">
      <c r="A25" s="293"/>
      <c r="B25" s="353" t="s">
        <v>532</v>
      </c>
      <c r="C25" s="344"/>
      <c r="D25" s="328" t="s">
        <v>43</v>
      </c>
      <c r="E25" s="328"/>
      <c r="F25" s="332"/>
      <c r="G25" s="333"/>
      <c r="H25" s="76"/>
      <c r="I25" s="76"/>
      <c r="J25" s="76"/>
      <c r="K25" s="76"/>
      <c r="L25" s="61"/>
    </row>
    <row r="26" spans="1:13" ht="19.95" customHeight="1" x14ac:dyDescent="0.25">
      <c r="A26" s="293"/>
      <c r="B26" s="353" t="s">
        <v>532</v>
      </c>
      <c r="C26" s="344" t="s">
        <v>43</v>
      </c>
      <c r="D26" s="471" t="s">
        <v>44</v>
      </c>
      <c r="E26" s="476" t="s">
        <v>45</v>
      </c>
      <c r="F26" s="413" t="s">
        <v>550</v>
      </c>
      <c r="G26" s="334"/>
      <c r="H26" s="76">
        <v>1</v>
      </c>
      <c r="I26" s="76"/>
      <c r="J26" s="76"/>
      <c r="K26" s="76">
        <v>5</v>
      </c>
      <c r="L26" s="468" t="s">
        <v>46</v>
      </c>
    </row>
    <row r="27" spans="1:13" ht="19.95" customHeight="1" x14ac:dyDescent="0.25">
      <c r="A27" s="293"/>
      <c r="B27" s="353" t="s">
        <v>532</v>
      </c>
      <c r="C27" s="344" t="s">
        <v>43</v>
      </c>
      <c r="D27" s="472"/>
      <c r="E27" s="519"/>
      <c r="F27" s="413" t="s">
        <v>47</v>
      </c>
      <c r="G27" s="334"/>
      <c r="H27" s="76">
        <v>1</v>
      </c>
      <c r="I27" s="76"/>
      <c r="J27" s="76"/>
      <c r="K27" s="76">
        <v>5</v>
      </c>
      <c r="L27" s="497"/>
    </row>
    <row r="28" spans="1:13" ht="19.95" customHeight="1" x14ac:dyDescent="0.25">
      <c r="A28" s="293"/>
      <c r="B28" s="353" t="s">
        <v>532</v>
      </c>
      <c r="C28" s="344" t="s">
        <v>43</v>
      </c>
      <c r="D28" s="472"/>
      <c r="E28" s="519"/>
      <c r="F28" s="413" t="s">
        <v>48</v>
      </c>
      <c r="G28" s="334"/>
      <c r="H28" s="76">
        <v>1</v>
      </c>
      <c r="I28" s="76"/>
      <c r="J28" s="76"/>
      <c r="K28" s="76">
        <v>5</v>
      </c>
      <c r="L28" s="497"/>
    </row>
    <row r="29" spans="1:13" ht="19.95" customHeight="1" x14ac:dyDescent="0.25">
      <c r="A29" s="293"/>
      <c r="B29" s="353" t="s">
        <v>532</v>
      </c>
      <c r="C29" s="344" t="s">
        <v>43</v>
      </c>
      <c r="D29" s="472"/>
      <c r="E29" s="477"/>
      <c r="F29" s="413" t="s">
        <v>49</v>
      </c>
      <c r="G29" s="334"/>
      <c r="H29" s="76">
        <v>1</v>
      </c>
      <c r="I29" s="76"/>
      <c r="J29" s="76"/>
      <c r="K29" s="76">
        <v>5</v>
      </c>
      <c r="L29" s="497"/>
      <c r="M29" s="117" t="s">
        <v>50</v>
      </c>
    </row>
    <row r="30" spans="1:13" ht="19.95" customHeight="1" x14ac:dyDescent="0.25">
      <c r="A30" s="293"/>
      <c r="B30" s="353" t="s">
        <v>532</v>
      </c>
      <c r="C30" s="344" t="s">
        <v>43</v>
      </c>
      <c r="D30" s="472"/>
      <c r="E30" s="476" t="s">
        <v>51</v>
      </c>
      <c r="F30" s="413" t="s">
        <v>52</v>
      </c>
      <c r="G30" s="334"/>
      <c r="H30" s="76">
        <v>1</v>
      </c>
      <c r="I30" s="76"/>
      <c r="J30" s="76"/>
      <c r="K30" s="76">
        <v>5</v>
      </c>
      <c r="L30" s="498"/>
    </row>
    <row r="31" spans="1:13" ht="19.95" customHeight="1" x14ac:dyDescent="0.25">
      <c r="A31" s="293"/>
      <c r="B31" s="353" t="s">
        <v>532</v>
      </c>
      <c r="C31" s="344" t="s">
        <v>43</v>
      </c>
      <c r="D31" s="472"/>
      <c r="E31" s="477"/>
      <c r="F31" s="413" t="s">
        <v>53</v>
      </c>
      <c r="G31" s="334"/>
      <c r="H31" s="76">
        <v>1</v>
      </c>
      <c r="I31" s="76"/>
      <c r="J31" s="76"/>
      <c r="K31" s="76">
        <v>5</v>
      </c>
      <c r="L31" s="498"/>
    </row>
    <row r="32" spans="1:13" ht="19.95" customHeight="1" x14ac:dyDescent="0.25">
      <c r="A32" s="293"/>
      <c r="B32" s="353" t="s">
        <v>532</v>
      </c>
      <c r="C32" s="344" t="s">
        <v>43</v>
      </c>
      <c r="D32" s="472"/>
      <c r="E32" s="476" t="s">
        <v>54</v>
      </c>
      <c r="F32" s="413" t="s">
        <v>55</v>
      </c>
      <c r="G32" s="334"/>
      <c r="H32" s="76">
        <v>1</v>
      </c>
      <c r="I32" s="76"/>
      <c r="J32" s="76"/>
      <c r="K32" s="76">
        <v>5</v>
      </c>
      <c r="L32" s="497"/>
    </row>
    <row r="33" spans="1:13" ht="19.95" customHeight="1" x14ac:dyDescent="0.25">
      <c r="A33" s="293"/>
      <c r="B33" s="353" t="s">
        <v>532</v>
      </c>
      <c r="C33" s="344" t="s">
        <v>43</v>
      </c>
      <c r="D33" s="472"/>
      <c r="E33" s="519"/>
      <c r="F33" s="413" t="s">
        <v>56</v>
      </c>
      <c r="G33" s="334"/>
      <c r="H33" s="76">
        <v>1</v>
      </c>
      <c r="I33" s="76"/>
      <c r="J33" s="76"/>
      <c r="K33" s="76">
        <v>5</v>
      </c>
      <c r="L33" s="497"/>
    </row>
    <row r="34" spans="1:13" ht="19.95" customHeight="1" x14ac:dyDescent="0.25">
      <c r="A34" s="293"/>
      <c r="B34" s="353" t="s">
        <v>532</v>
      </c>
      <c r="C34" s="344" t="s">
        <v>43</v>
      </c>
      <c r="D34" s="500"/>
      <c r="E34" s="477"/>
      <c r="F34" s="413" t="s">
        <v>57</v>
      </c>
      <c r="G34" s="334"/>
      <c r="H34" s="76">
        <v>1</v>
      </c>
      <c r="I34" s="76"/>
      <c r="J34" s="76"/>
      <c r="K34" s="76">
        <v>5</v>
      </c>
      <c r="L34" s="497"/>
    </row>
    <row r="35" spans="1:13" ht="19.95" customHeight="1" x14ac:dyDescent="0.25">
      <c r="A35" s="293"/>
      <c r="B35" s="353" t="s">
        <v>532</v>
      </c>
      <c r="C35" s="344" t="s">
        <v>43</v>
      </c>
      <c r="D35" s="471" t="s">
        <v>58</v>
      </c>
      <c r="E35" s="476" t="s">
        <v>553</v>
      </c>
      <c r="F35" s="413" t="s">
        <v>552</v>
      </c>
      <c r="G35" s="334"/>
      <c r="H35" s="76">
        <v>1</v>
      </c>
      <c r="I35" s="76">
        <v>7</v>
      </c>
      <c r="J35" s="76"/>
      <c r="K35" s="76">
        <v>5</v>
      </c>
      <c r="L35" s="497"/>
    </row>
    <row r="36" spans="1:13" ht="19.95" customHeight="1" x14ac:dyDescent="0.25">
      <c r="A36" s="293"/>
      <c r="B36" s="353" t="s">
        <v>532</v>
      </c>
      <c r="C36" s="344" t="s">
        <v>43</v>
      </c>
      <c r="D36" s="472"/>
      <c r="E36" s="477"/>
      <c r="F36" s="417" t="s">
        <v>59</v>
      </c>
      <c r="G36" s="334"/>
      <c r="H36" s="76">
        <v>1</v>
      </c>
      <c r="I36" s="76">
        <v>7</v>
      </c>
      <c r="J36" s="76"/>
      <c r="K36" s="76">
        <v>5</v>
      </c>
      <c r="L36" s="497"/>
    </row>
    <row r="37" spans="1:13" ht="19.95" customHeight="1" x14ac:dyDescent="0.25">
      <c r="A37" s="293"/>
      <c r="B37" s="353" t="s">
        <v>532</v>
      </c>
      <c r="C37" s="344" t="s">
        <v>43</v>
      </c>
      <c r="D37" s="472"/>
      <c r="E37" s="476" t="s">
        <v>60</v>
      </c>
      <c r="F37" s="417" t="s">
        <v>61</v>
      </c>
      <c r="G37" s="334"/>
      <c r="H37" s="76">
        <v>1</v>
      </c>
      <c r="I37" s="76">
        <v>7</v>
      </c>
      <c r="J37" s="76"/>
      <c r="K37" s="76">
        <v>5</v>
      </c>
      <c r="L37" s="497"/>
    </row>
    <row r="38" spans="1:13" ht="19.95" customHeight="1" x14ac:dyDescent="0.25">
      <c r="A38" s="293"/>
      <c r="B38" s="353" t="s">
        <v>532</v>
      </c>
      <c r="C38" s="344" t="s">
        <v>43</v>
      </c>
      <c r="D38" s="500"/>
      <c r="E38" s="477"/>
      <c r="F38" s="413" t="s">
        <v>554</v>
      </c>
      <c r="G38" s="334"/>
      <c r="H38" s="76">
        <v>1</v>
      </c>
      <c r="I38" s="76">
        <v>7</v>
      </c>
      <c r="J38" s="76"/>
      <c r="K38" s="76">
        <v>5</v>
      </c>
      <c r="L38" s="497"/>
    </row>
    <row r="39" spans="1:13" ht="19.95" customHeight="1" x14ac:dyDescent="0.25">
      <c r="A39" s="293"/>
      <c r="B39" s="353" t="s">
        <v>532</v>
      </c>
      <c r="C39" s="344"/>
      <c r="D39" s="329" t="s">
        <v>62</v>
      </c>
      <c r="E39" s="329"/>
      <c r="F39" s="330"/>
      <c r="G39" s="331"/>
      <c r="H39" s="76"/>
      <c r="I39" s="76"/>
      <c r="J39" s="76"/>
      <c r="K39" s="76"/>
      <c r="L39" s="61"/>
    </row>
    <row r="40" spans="1:13" ht="19.95" customHeight="1" x14ac:dyDescent="0.25">
      <c r="A40" s="293"/>
      <c r="B40" s="353" t="s">
        <v>532</v>
      </c>
      <c r="C40" s="345" t="s">
        <v>62</v>
      </c>
      <c r="D40" s="471" t="s">
        <v>547</v>
      </c>
      <c r="E40" s="476" t="s">
        <v>153</v>
      </c>
      <c r="F40" s="418" t="s">
        <v>555</v>
      </c>
      <c r="G40" s="334"/>
      <c r="H40" s="76">
        <v>2</v>
      </c>
      <c r="I40" s="76">
        <v>7</v>
      </c>
      <c r="J40" s="76">
        <v>3</v>
      </c>
      <c r="K40" s="76">
        <v>5</v>
      </c>
      <c r="L40" s="470" t="s">
        <v>63</v>
      </c>
      <c r="M40" s="495" t="s">
        <v>22</v>
      </c>
    </row>
    <row r="41" spans="1:13" ht="19.95" customHeight="1" x14ac:dyDescent="0.25">
      <c r="A41" s="293"/>
      <c r="B41" s="353" t="s">
        <v>532</v>
      </c>
      <c r="C41" s="345" t="s">
        <v>62</v>
      </c>
      <c r="D41" s="472"/>
      <c r="E41" s="519"/>
      <c r="F41" s="418" t="s">
        <v>64</v>
      </c>
      <c r="G41" s="334"/>
      <c r="H41" s="76">
        <v>2</v>
      </c>
      <c r="I41" s="76">
        <v>7</v>
      </c>
      <c r="J41" s="76">
        <v>3</v>
      </c>
      <c r="K41" s="76">
        <v>5</v>
      </c>
      <c r="L41" s="499"/>
      <c r="M41" s="495"/>
    </row>
    <row r="42" spans="1:13" ht="19.95" customHeight="1" x14ac:dyDescent="0.25">
      <c r="A42" s="293"/>
      <c r="B42" s="353" t="s">
        <v>532</v>
      </c>
      <c r="C42" s="345" t="s">
        <v>62</v>
      </c>
      <c r="D42" s="472"/>
      <c r="E42" s="519"/>
      <c r="F42" s="418" t="s">
        <v>556</v>
      </c>
      <c r="G42" s="334"/>
      <c r="H42" s="76">
        <v>2</v>
      </c>
      <c r="I42" s="76">
        <v>7</v>
      </c>
      <c r="J42" s="76">
        <v>3</v>
      </c>
      <c r="K42" s="76">
        <v>5</v>
      </c>
      <c r="L42" s="499"/>
      <c r="M42" s="495"/>
    </row>
    <row r="43" spans="1:13" ht="19.95" customHeight="1" x14ac:dyDescent="0.25">
      <c r="A43" s="293"/>
      <c r="B43" s="353" t="s">
        <v>532</v>
      </c>
      <c r="C43" s="345" t="s">
        <v>62</v>
      </c>
      <c r="D43" s="472"/>
      <c r="E43" s="477"/>
      <c r="F43" s="418" t="s">
        <v>557</v>
      </c>
      <c r="G43" s="334"/>
      <c r="H43" s="76">
        <v>2</v>
      </c>
      <c r="I43" s="76">
        <v>7</v>
      </c>
      <c r="J43" s="76">
        <v>3</v>
      </c>
      <c r="K43" s="76">
        <v>5</v>
      </c>
      <c r="L43" s="499"/>
      <c r="M43" s="495"/>
    </row>
    <row r="44" spans="1:13" ht="19.95" customHeight="1" x14ac:dyDescent="0.25">
      <c r="A44" s="293"/>
      <c r="B44" s="353" t="s">
        <v>532</v>
      </c>
      <c r="C44" s="345" t="s">
        <v>62</v>
      </c>
      <c r="D44" s="472"/>
      <c r="E44" s="476" t="s">
        <v>65</v>
      </c>
      <c r="F44" s="419" t="s">
        <v>66</v>
      </c>
      <c r="G44" s="334"/>
      <c r="H44" s="76">
        <v>2</v>
      </c>
      <c r="I44" s="76">
        <v>7</v>
      </c>
      <c r="J44" s="76">
        <v>3</v>
      </c>
      <c r="K44" s="76">
        <v>5</v>
      </c>
      <c r="L44" s="499"/>
      <c r="M44" s="495"/>
    </row>
    <row r="45" spans="1:13" ht="19.95" customHeight="1" x14ac:dyDescent="0.25">
      <c r="A45" s="293"/>
      <c r="B45" s="353" t="s">
        <v>532</v>
      </c>
      <c r="C45" s="345" t="s">
        <v>62</v>
      </c>
      <c r="D45" s="472"/>
      <c r="E45" s="519"/>
      <c r="F45" s="416" t="s">
        <v>558</v>
      </c>
      <c r="G45" s="334"/>
      <c r="H45" s="76">
        <v>2</v>
      </c>
      <c r="I45" s="76">
        <v>7</v>
      </c>
      <c r="J45" s="76">
        <v>3</v>
      </c>
      <c r="K45" s="76">
        <v>5</v>
      </c>
      <c r="L45" s="499"/>
      <c r="M45" s="495"/>
    </row>
    <row r="46" spans="1:13" ht="19.95" customHeight="1" x14ac:dyDescent="0.25">
      <c r="A46" s="293"/>
      <c r="B46" s="353" t="s">
        <v>532</v>
      </c>
      <c r="C46" s="345" t="s">
        <v>62</v>
      </c>
      <c r="D46" s="472"/>
      <c r="E46" s="519"/>
      <c r="F46" s="417" t="s">
        <v>67</v>
      </c>
      <c r="G46" s="334"/>
      <c r="H46" s="76">
        <v>2</v>
      </c>
      <c r="I46" s="76">
        <v>7</v>
      </c>
      <c r="J46" s="76">
        <v>3</v>
      </c>
      <c r="K46" s="76">
        <v>5</v>
      </c>
      <c r="L46" s="499"/>
      <c r="M46" s="495"/>
    </row>
    <row r="47" spans="1:13" ht="19.95" customHeight="1" x14ac:dyDescent="0.25">
      <c r="A47" s="293"/>
      <c r="B47" s="353" t="s">
        <v>532</v>
      </c>
      <c r="C47" s="345" t="s">
        <v>62</v>
      </c>
      <c r="D47" s="500"/>
      <c r="E47" s="477"/>
      <c r="F47" s="417" t="s">
        <v>68</v>
      </c>
      <c r="G47" s="334"/>
      <c r="H47" s="76">
        <v>2</v>
      </c>
      <c r="I47" s="76">
        <v>7</v>
      </c>
      <c r="J47" s="76">
        <v>3</v>
      </c>
      <c r="K47" s="76">
        <v>5</v>
      </c>
      <c r="L47" s="499"/>
      <c r="M47" s="495"/>
    </row>
    <row r="48" spans="1:13" ht="19.95" customHeight="1" x14ac:dyDescent="0.25">
      <c r="A48" s="293"/>
      <c r="B48" s="353" t="s">
        <v>532</v>
      </c>
      <c r="C48" s="345" t="s">
        <v>62</v>
      </c>
      <c r="D48" s="471" t="s">
        <v>548</v>
      </c>
      <c r="E48" s="476" t="s">
        <v>69</v>
      </c>
      <c r="F48" s="413" t="s">
        <v>559</v>
      </c>
      <c r="G48" s="334"/>
      <c r="H48" s="76">
        <v>2</v>
      </c>
      <c r="I48" s="76">
        <v>7</v>
      </c>
      <c r="J48" s="76">
        <v>3</v>
      </c>
      <c r="K48" s="76">
        <v>5</v>
      </c>
      <c r="L48" s="499"/>
      <c r="M48" s="495"/>
    </row>
    <row r="49" spans="1:13" ht="19.95" customHeight="1" x14ac:dyDescent="0.25">
      <c r="A49" s="293"/>
      <c r="B49" s="353" t="s">
        <v>532</v>
      </c>
      <c r="C49" s="345" t="s">
        <v>62</v>
      </c>
      <c r="D49" s="472"/>
      <c r="E49" s="519"/>
      <c r="F49" s="413" t="s">
        <v>560</v>
      </c>
      <c r="G49" s="334"/>
      <c r="H49" s="76">
        <v>2</v>
      </c>
      <c r="I49" s="76">
        <v>7</v>
      </c>
      <c r="J49" s="76">
        <v>3</v>
      </c>
      <c r="K49" s="76">
        <v>5</v>
      </c>
      <c r="L49" s="499"/>
      <c r="M49" s="495"/>
    </row>
    <row r="50" spans="1:13" ht="19.95" customHeight="1" x14ac:dyDescent="0.25">
      <c r="A50" s="293"/>
      <c r="B50" s="353" t="s">
        <v>532</v>
      </c>
      <c r="C50" s="345" t="s">
        <v>62</v>
      </c>
      <c r="D50" s="472"/>
      <c r="E50" s="519"/>
      <c r="F50" s="417" t="s">
        <v>70</v>
      </c>
      <c r="G50" s="334"/>
      <c r="H50" s="76">
        <v>2</v>
      </c>
      <c r="I50" s="76">
        <v>7</v>
      </c>
      <c r="J50" s="76">
        <v>3</v>
      </c>
      <c r="K50" s="76">
        <v>5</v>
      </c>
      <c r="L50" s="499"/>
      <c r="M50" s="495"/>
    </row>
    <row r="51" spans="1:13" ht="19.95" customHeight="1" x14ac:dyDescent="0.25">
      <c r="A51" s="293"/>
      <c r="B51" s="353" t="s">
        <v>532</v>
      </c>
      <c r="C51" s="345" t="s">
        <v>62</v>
      </c>
      <c r="D51" s="472"/>
      <c r="E51" s="477"/>
      <c r="F51" s="417" t="s">
        <v>561</v>
      </c>
      <c r="G51" s="334"/>
      <c r="H51" s="76">
        <v>2</v>
      </c>
      <c r="I51" s="76">
        <v>7</v>
      </c>
      <c r="J51" s="76">
        <v>3</v>
      </c>
      <c r="K51" s="76">
        <v>5</v>
      </c>
      <c r="L51" s="499"/>
      <c r="M51" s="495"/>
    </row>
    <row r="52" spans="1:13" ht="19.95" customHeight="1" x14ac:dyDescent="0.25">
      <c r="A52" s="293"/>
      <c r="B52" s="353" t="s">
        <v>532</v>
      </c>
      <c r="C52" s="345" t="s">
        <v>62</v>
      </c>
      <c r="D52" s="472"/>
      <c r="E52" s="476" t="s">
        <v>71</v>
      </c>
      <c r="F52" s="419" t="s">
        <v>562</v>
      </c>
      <c r="G52" s="334"/>
      <c r="H52" s="76">
        <v>2</v>
      </c>
      <c r="I52" s="76">
        <v>7</v>
      </c>
      <c r="J52" s="76">
        <v>3</v>
      </c>
      <c r="K52" s="76">
        <v>5</v>
      </c>
      <c r="L52" s="499"/>
      <c r="M52" s="495"/>
    </row>
    <row r="53" spans="1:13" s="123" customFormat="1" ht="19.95" customHeight="1" x14ac:dyDescent="0.25">
      <c r="A53" s="294"/>
      <c r="B53" s="353" t="s">
        <v>532</v>
      </c>
      <c r="C53" s="345" t="s">
        <v>62</v>
      </c>
      <c r="D53" s="472"/>
      <c r="E53" s="519"/>
      <c r="F53" s="419" t="s">
        <v>563</v>
      </c>
      <c r="G53" s="334"/>
      <c r="H53" s="76">
        <v>2</v>
      </c>
      <c r="I53" s="76">
        <v>7</v>
      </c>
      <c r="J53" s="76">
        <v>3</v>
      </c>
      <c r="K53" s="76">
        <v>5</v>
      </c>
      <c r="L53" s="499"/>
      <c r="M53" s="495"/>
    </row>
    <row r="54" spans="1:13" ht="19.95" customHeight="1" x14ac:dyDescent="0.25">
      <c r="A54" s="293"/>
      <c r="B54" s="353" t="s">
        <v>532</v>
      </c>
      <c r="C54" s="345" t="s">
        <v>62</v>
      </c>
      <c r="D54" s="472"/>
      <c r="E54" s="519"/>
      <c r="F54" s="417" t="s">
        <v>564</v>
      </c>
      <c r="G54" s="334"/>
      <c r="H54" s="76">
        <v>2</v>
      </c>
      <c r="I54" s="76">
        <v>7</v>
      </c>
      <c r="J54" s="76">
        <v>3</v>
      </c>
      <c r="K54" s="76">
        <v>5</v>
      </c>
      <c r="L54" s="499"/>
      <c r="M54" s="495"/>
    </row>
    <row r="55" spans="1:13" ht="19.95" customHeight="1" x14ac:dyDescent="0.25">
      <c r="A55" s="293"/>
      <c r="B55" s="353" t="s">
        <v>532</v>
      </c>
      <c r="C55" s="345" t="s">
        <v>62</v>
      </c>
      <c r="D55" s="500"/>
      <c r="E55" s="477"/>
      <c r="F55" s="417" t="s">
        <v>565</v>
      </c>
      <c r="G55" s="334" t="s">
        <v>72</v>
      </c>
      <c r="H55" s="76">
        <v>2</v>
      </c>
      <c r="I55" s="76">
        <v>7</v>
      </c>
      <c r="J55" s="76">
        <v>3</v>
      </c>
      <c r="K55" s="76">
        <v>5</v>
      </c>
      <c r="L55" s="499"/>
      <c r="M55" s="495"/>
    </row>
    <row r="56" spans="1:13" ht="19.95" customHeight="1" x14ac:dyDescent="0.25">
      <c r="A56" s="293"/>
      <c r="B56" s="353" t="s">
        <v>532</v>
      </c>
      <c r="C56" s="345" t="s">
        <v>62</v>
      </c>
      <c r="D56" s="483" t="s">
        <v>73</v>
      </c>
      <c r="E56" s="476" t="s">
        <v>74</v>
      </c>
      <c r="F56" s="418" t="s">
        <v>566</v>
      </c>
      <c r="G56" s="334"/>
      <c r="H56" s="76">
        <v>2</v>
      </c>
      <c r="I56" s="76">
        <v>7</v>
      </c>
      <c r="J56" s="76">
        <v>3</v>
      </c>
      <c r="K56" s="76">
        <v>5</v>
      </c>
      <c r="L56" s="499"/>
      <c r="M56" s="495"/>
    </row>
    <row r="57" spans="1:13" ht="19.95" customHeight="1" x14ac:dyDescent="0.25">
      <c r="A57" s="293"/>
      <c r="B57" s="353" t="s">
        <v>532</v>
      </c>
      <c r="C57" s="345" t="s">
        <v>62</v>
      </c>
      <c r="D57" s="484"/>
      <c r="E57" s="477"/>
      <c r="F57" s="417" t="s">
        <v>75</v>
      </c>
      <c r="G57" s="334"/>
      <c r="H57" s="76">
        <v>2</v>
      </c>
      <c r="I57" s="76">
        <v>7</v>
      </c>
      <c r="J57" s="76">
        <v>3</v>
      </c>
      <c r="K57" s="76">
        <v>6</v>
      </c>
      <c r="L57" s="61"/>
    </row>
    <row r="58" spans="1:13" ht="19.95" customHeight="1" x14ac:dyDescent="0.25">
      <c r="A58" s="293"/>
      <c r="B58" s="353" t="s">
        <v>532</v>
      </c>
      <c r="C58" s="345" t="s">
        <v>62</v>
      </c>
      <c r="D58" s="484"/>
      <c r="E58" s="476" t="s">
        <v>76</v>
      </c>
      <c r="F58" s="419" t="s">
        <v>567</v>
      </c>
      <c r="G58" s="334"/>
      <c r="H58" s="76">
        <v>2</v>
      </c>
      <c r="I58" s="76">
        <v>7</v>
      </c>
      <c r="J58" s="76">
        <v>3</v>
      </c>
      <c r="K58" s="76">
        <v>6</v>
      </c>
      <c r="L58" s="61"/>
    </row>
    <row r="59" spans="1:13" ht="19.95" customHeight="1" x14ac:dyDescent="0.25">
      <c r="A59" s="293"/>
      <c r="B59" s="353" t="s">
        <v>532</v>
      </c>
      <c r="C59" s="345" t="s">
        <v>62</v>
      </c>
      <c r="D59" s="485"/>
      <c r="E59" s="477"/>
      <c r="F59" s="417" t="s">
        <v>77</v>
      </c>
      <c r="G59" s="334"/>
      <c r="H59" s="76">
        <v>2</v>
      </c>
      <c r="I59" s="76">
        <v>7</v>
      </c>
      <c r="J59" s="76">
        <v>3</v>
      </c>
      <c r="K59" s="76">
        <v>6</v>
      </c>
      <c r="L59" s="61"/>
    </row>
    <row r="60" spans="1:13" ht="19.95" customHeight="1" x14ac:dyDescent="0.25">
      <c r="A60" s="293"/>
      <c r="B60" s="353" t="s">
        <v>532</v>
      </c>
      <c r="C60" s="345" t="s">
        <v>62</v>
      </c>
      <c r="D60" s="471" t="s">
        <v>78</v>
      </c>
      <c r="E60" s="356" t="s">
        <v>79</v>
      </c>
      <c r="F60" s="417" t="s">
        <v>568</v>
      </c>
      <c r="G60" s="334"/>
      <c r="H60" s="76">
        <v>2</v>
      </c>
      <c r="I60" s="76">
        <v>7</v>
      </c>
      <c r="J60" s="76">
        <v>3</v>
      </c>
      <c r="K60" s="76">
        <v>6</v>
      </c>
      <c r="L60" s="61"/>
    </row>
    <row r="61" spans="1:13" ht="19.95" customHeight="1" x14ac:dyDescent="0.25">
      <c r="A61" s="293"/>
      <c r="B61" s="353" t="s">
        <v>532</v>
      </c>
      <c r="C61" s="345" t="s">
        <v>62</v>
      </c>
      <c r="D61" s="500"/>
      <c r="E61" s="356" t="s">
        <v>80</v>
      </c>
      <c r="F61" s="417" t="s">
        <v>77</v>
      </c>
      <c r="G61" s="334"/>
      <c r="H61" s="76">
        <v>2</v>
      </c>
      <c r="I61" s="76">
        <v>7</v>
      </c>
      <c r="J61" s="76">
        <v>3</v>
      </c>
      <c r="K61" s="76">
        <v>6</v>
      </c>
      <c r="L61" s="61"/>
    </row>
    <row r="62" spans="1:13" ht="19.95" customHeight="1" x14ac:dyDescent="0.25">
      <c r="A62" s="293"/>
      <c r="B62" s="353" t="s">
        <v>532</v>
      </c>
      <c r="C62" s="343"/>
      <c r="D62" s="327" t="s">
        <v>81</v>
      </c>
      <c r="E62" s="336"/>
      <c r="F62" s="358"/>
      <c r="G62" s="333"/>
      <c r="H62" s="76"/>
      <c r="I62" s="76"/>
      <c r="J62" s="76"/>
      <c r="K62" s="76"/>
      <c r="L62" s="61"/>
    </row>
    <row r="63" spans="1:13" ht="19.95" customHeight="1" x14ac:dyDescent="0.25">
      <c r="A63" s="293"/>
      <c r="B63" s="353" t="s">
        <v>532</v>
      </c>
      <c r="C63" s="343" t="s">
        <v>81</v>
      </c>
      <c r="D63" s="483" t="s">
        <v>82</v>
      </c>
      <c r="E63" s="359" t="s">
        <v>83</v>
      </c>
      <c r="F63" s="417" t="s">
        <v>569</v>
      </c>
      <c r="G63" s="360"/>
      <c r="H63" s="76">
        <v>1</v>
      </c>
      <c r="I63" s="76">
        <v>7</v>
      </c>
      <c r="J63" s="76">
        <v>3</v>
      </c>
      <c r="K63" s="76">
        <v>5</v>
      </c>
      <c r="L63" s="470" t="s">
        <v>84</v>
      </c>
    </row>
    <row r="64" spans="1:13" ht="19.95" customHeight="1" x14ac:dyDescent="0.25">
      <c r="A64" s="293"/>
      <c r="B64" s="353" t="s">
        <v>532</v>
      </c>
      <c r="C64" s="343" t="s">
        <v>81</v>
      </c>
      <c r="D64" s="484"/>
      <c r="E64" s="361"/>
      <c r="F64" s="417" t="s">
        <v>85</v>
      </c>
      <c r="G64" s="334"/>
      <c r="H64" s="76">
        <v>1</v>
      </c>
      <c r="I64" s="76">
        <v>7</v>
      </c>
      <c r="J64" s="76">
        <v>3</v>
      </c>
      <c r="K64" s="76">
        <v>5</v>
      </c>
      <c r="L64" s="470"/>
    </row>
    <row r="65" spans="1:12" ht="19.95" customHeight="1" x14ac:dyDescent="0.25">
      <c r="A65" s="293"/>
      <c r="B65" s="353" t="s">
        <v>532</v>
      </c>
      <c r="C65" s="343" t="s">
        <v>81</v>
      </c>
      <c r="D65" s="484"/>
      <c r="E65" s="354" t="s">
        <v>819</v>
      </c>
      <c r="F65" s="417" t="s">
        <v>570</v>
      </c>
      <c r="G65" s="334"/>
      <c r="H65" s="76">
        <v>1</v>
      </c>
      <c r="I65" s="76">
        <v>7</v>
      </c>
      <c r="J65" s="76">
        <v>3</v>
      </c>
      <c r="K65" s="76">
        <v>5</v>
      </c>
      <c r="L65" s="470"/>
    </row>
    <row r="66" spans="1:12" ht="19.95" customHeight="1" x14ac:dyDescent="0.25">
      <c r="A66" s="293"/>
      <c r="B66" s="353" t="s">
        <v>532</v>
      </c>
      <c r="C66" s="343" t="s">
        <v>81</v>
      </c>
      <c r="D66" s="485"/>
      <c r="E66" s="354" t="s">
        <v>86</v>
      </c>
      <c r="F66" s="417" t="s">
        <v>87</v>
      </c>
      <c r="G66" s="334"/>
      <c r="H66" s="76">
        <v>1</v>
      </c>
      <c r="I66" s="76">
        <v>7</v>
      </c>
      <c r="J66" s="76">
        <v>3</v>
      </c>
      <c r="K66" s="76">
        <v>5</v>
      </c>
      <c r="L66" s="470"/>
    </row>
    <row r="67" spans="1:12" ht="19.95" customHeight="1" x14ac:dyDescent="0.25">
      <c r="A67" s="293"/>
      <c r="B67" s="353" t="s">
        <v>532</v>
      </c>
      <c r="C67" s="343" t="s">
        <v>81</v>
      </c>
      <c r="D67" s="483" t="s">
        <v>88</v>
      </c>
      <c r="E67" s="476" t="s">
        <v>818</v>
      </c>
      <c r="F67" s="417" t="s">
        <v>571</v>
      </c>
      <c r="G67" s="334"/>
      <c r="H67" s="76">
        <v>1</v>
      </c>
      <c r="I67" s="76">
        <v>7</v>
      </c>
      <c r="J67" s="76">
        <v>3</v>
      </c>
      <c r="K67" s="76">
        <v>5</v>
      </c>
      <c r="L67" s="470"/>
    </row>
    <row r="68" spans="1:12" ht="19.95" customHeight="1" x14ac:dyDescent="0.25">
      <c r="A68" s="293"/>
      <c r="B68" s="353" t="s">
        <v>532</v>
      </c>
      <c r="C68" s="343" t="s">
        <v>81</v>
      </c>
      <c r="D68" s="484"/>
      <c r="E68" s="477"/>
      <c r="F68" s="417" t="s">
        <v>572</v>
      </c>
      <c r="G68" s="334"/>
      <c r="H68" s="76">
        <v>1</v>
      </c>
      <c r="I68" s="76">
        <v>7</v>
      </c>
      <c r="J68" s="76">
        <v>3</v>
      </c>
      <c r="K68" s="76">
        <v>5</v>
      </c>
      <c r="L68" s="470"/>
    </row>
    <row r="69" spans="1:12" ht="19.95" customHeight="1" x14ac:dyDescent="0.25">
      <c r="A69" s="293"/>
      <c r="B69" s="353" t="s">
        <v>532</v>
      </c>
      <c r="C69" s="343" t="s">
        <v>81</v>
      </c>
      <c r="D69" s="485"/>
      <c r="E69" s="356" t="s">
        <v>89</v>
      </c>
      <c r="F69" s="417" t="s">
        <v>573</v>
      </c>
      <c r="G69" s="334"/>
      <c r="H69" s="76">
        <v>1</v>
      </c>
      <c r="I69" s="76">
        <v>7</v>
      </c>
      <c r="J69" s="76">
        <v>3</v>
      </c>
      <c r="K69" s="76">
        <v>5</v>
      </c>
      <c r="L69" s="470"/>
    </row>
    <row r="70" spans="1:12" ht="19.95" customHeight="1" x14ac:dyDescent="0.25">
      <c r="A70" s="293"/>
      <c r="B70" s="353" t="s">
        <v>532</v>
      </c>
      <c r="C70" s="343" t="s">
        <v>81</v>
      </c>
      <c r="D70" s="483" t="s">
        <v>90</v>
      </c>
      <c r="E70" s="354" t="s">
        <v>91</v>
      </c>
      <c r="F70" s="416" t="s">
        <v>574</v>
      </c>
      <c r="G70" s="334"/>
      <c r="H70" s="76">
        <v>1</v>
      </c>
      <c r="I70" s="76">
        <v>7</v>
      </c>
      <c r="J70" s="76">
        <v>3</v>
      </c>
      <c r="K70" s="76">
        <v>5</v>
      </c>
      <c r="L70" s="470"/>
    </row>
    <row r="71" spans="1:12" ht="19.95" customHeight="1" x14ac:dyDescent="0.25">
      <c r="A71" s="293"/>
      <c r="B71" s="353" t="s">
        <v>532</v>
      </c>
      <c r="C71" s="343" t="s">
        <v>81</v>
      </c>
      <c r="D71" s="484"/>
      <c r="E71" s="476" t="s">
        <v>92</v>
      </c>
      <c r="F71" s="417" t="s">
        <v>575</v>
      </c>
      <c r="G71" s="334"/>
      <c r="H71" s="76">
        <v>1</v>
      </c>
      <c r="I71" s="76">
        <v>7</v>
      </c>
      <c r="J71" s="76">
        <v>3</v>
      </c>
      <c r="K71" s="76">
        <v>5</v>
      </c>
      <c r="L71" s="470"/>
    </row>
    <row r="72" spans="1:12" ht="19.95" customHeight="1" x14ac:dyDescent="0.25">
      <c r="A72" s="293"/>
      <c r="B72" s="353" t="s">
        <v>532</v>
      </c>
      <c r="C72" s="343" t="s">
        <v>81</v>
      </c>
      <c r="D72" s="484"/>
      <c r="E72" s="477"/>
      <c r="F72" s="417" t="s">
        <v>93</v>
      </c>
      <c r="G72" s="334"/>
      <c r="H72" s="76">
        <v>1</v>
      </c>
      <c r="I72" s="76">
        <v>7</v>
      </c>
      <c r="J72" s="76">
        <v>3</v>
      </c>
      <c r="K72" s="76">
        <v>5</v>
      </c>
      <c r="L72" s="470"/>
    </row>
    <row r="73" spans="1:12" ht="19.95" customHeight="1" x14ac:dyDescent="0.25">
      <c r="A73" s="293"/>
      <c r="B73" s="353" t="s">
        <v>532</v>
      </c>
      <c r="C73" s="343" t="s">
        <v>81</v>
      </c>
      <c r="D73" s="484"/>
      <c r="E73" s="476" t="s">
        <v>94</v>
      </c>
      <c r="F73" s="417" t="s">
        <v>576</v>
      </c>
      <c r="G73" s="334"/>
      <c r="H73" s="76">
        <v>7</v>
      </c>
      <c r="I73" s="76">
        <v>7</v>
      </c>
      <c r="J73" s="76">
        <v>3</v>
      </c>
      <c r="K73" s="76"/>
      <c r="L73" s="61"/>
    </row>
    <row r="74" spans="1:12" ht="19.95" customHeight="1" x14ac:dyDescent="0.25">
      <c r="A74" s="293"/>
      <c r="B74" s="353" t="s">
        <v>532</v>
      </c>
      <c r="C74" s="343" t="s">
        <v>81</v>
      </c>
      <c r="D74" s="484"/>
      <c r="E74" s="519"/>
      <c r="F74" s="417" t="s">
        <v>577</v>
      </c>
      <c r="G74" s="334"/>
      <c r="H74" s="76">
        <v>7</v>
      </c>
      <c r="I74" s="76">
        <v>7</v>
      </c>
      <c r="J74" s="76">
        <v>3</v>
      </c>
      <c r="K74" s="76"/>
      <c r="L74" s="61"/>
    </row>
    <row r="75" spans="1:12" ht="19.95" customHeight="1" x14ac:dyDescent="0.25">
      <c r="A75" s="293"/>
      <c r="B75" s="353" t="s">
        <v>532</v>
      </c>
      <c r="C75" s="343" t="s">
        <v>81</v>
      </c>
      <c r="D75" s="485"/>
      <c r="E75" s="477"/>
      <c r="F75" s="417" t="s">
        <v>578</v>
      </c>
      <c r="G75" s="334"/>
      <c r="H75" s="76">
        <v>7</v>
      </c>
      <c r="I75" s="76">
        <v>7</v>
      </c>
      <c r="J75" s="76"/>
      <c r="K75" s="76"/>
      <c r="L75" s="61"/>
    </row>
    <row r="76" spans="1:12" ht="19.95" customHeight="1" x14ac:dyDescent="0.25">
      <c r="A76" s="293"/>
      <c r="B76" s="353" t="s">
        <v>532</v>
      </c>
      <c r="C76" s="344"/>
      <c r="D76" s="328" t="s">
        <v>95</v>
      </c>
      <c r="E76" s="328"/>
      <c r="F76" s="332"/>
      <c r="G76" s="333"/>
      <c r="H76" s="76"/>
      <c r="I76" s="76"/>
      <c r="J76" s="76"/>
      <c r="K76" s="76"/>
      <c r="L76" s="61"/>
    </row>
    <row r="77" spans="1:12" ht="19.95" customHeight="1" x14ac:dyDescent="0.25">
      <c r="A77" s="293"/>
      <c r="B77" s="353" t="s">
        <v>532</v>
      </c>
      <c r="C77" s="344" t="s">
        <v>95</v>
      </c>
      <c r="D77" s="501" t="s">
        <v>96</v>
      </c>
      <c r="E77" s="354" t="s">
        <v>97</v>
      </c>
      <c r="F77" s="417" t="s">
        <v>579</v>
      </c>
      <c r="G77" s="360"/>
      <c r="H77" s="362">
        <v>7</v>
      </c>
      <c r="I77" s="362"/>
      <c r="J77" s="362"/>
      <c r="K77" s="76"/>
      <c r="L77" s="61"/>
    </row>
    <row r="78" spans="1:12" ht="19.95" customHeight="1" x14ac:dyDescent="0.25">
      <c r="A78" s="293"/>
      <c r="B78" s="353" t="s">
        <v>532</v>
      </c>
      <c r="C78" s="344" t="s">
        <v>95</v>
      </c>
      <c r="D78" s="501"/>
      <c r="E78" s="356" t="s">
        <v>98</v>
      </c>
      <c r="F78" s="417" t="s">
        <v>580</v>
      </c>
      <c r="G78" s="334"/>
      <c r="H78" s="362">
        <v>7</v>
      </c>
      <c r="I78" s="362"/>
      <c r="J78" s="362"/>
      <c r="K78" s="76"/>
      <c r="L78" s="61"/>
    </row>
    <row r="79" spans="1:12" ht="19.95" customHeight="1" x14ac:dyDescent="0.25">
      <c r="A79" s="293"/>
      <c r="B79" s="353" t="s">
        <v>532</v>
      </c>
      <c r="C79" s="344" t="s">
        <v>95</v>
      </c>
      <c r="D79" s="501"/>
      <c r="E79" s="482" t="s">
        <v>817</v>
      </c>
      <c r="F79" s="417" t="s">
        <v>585</v>
      </c>
      <c r="G79" s="334"/>
      <c r="H79" s="362">
        <v>7</v>
      </c>
      <c r="I79" s="362"/>
      <c r="J79" s="362"/>
      <c r="K79" s="76"/>
      <c r="L79" s="61"/>
    </row>
    <row r="80" spans="1:12" ht="19.95" customHeight="1" x14ac:dyDescent="0.25">
      <c r="A80" s="293"/>
      <c r="B80" s="353" t="s">
        <v>532</v>
      </c>
      <c r="C80" s="344" t="s">
        <v>95</v>
      </c>
      <c r="D80" s="501"/>
      <c r="E80" s="482"/>
      <c r="F80" s="417" t="s">
        <v>581</v>
      </c>
      <c r="G80" s="334"/>
      <c r="H80" s="362">
        <v>7</v>
      </c>
      <c r="I80" s="362"/>
      <c r="J80" s="362"/>
      <c r="K80" s="76"/>
      <c r="L80" s="61"/>
    </row>
    <row r="81" spans="1:12" ht="19.95" customHeight="1" x14ac:dyDescent="0.25">
      <c r="A81" s="293"/>
      <c r="B81" s="353" t="s">
        <v>532</v>
      </c>
      <c r="C81" s="344" t="s">
        <v>95</v>
      </c>
      <c r="D81" s="501"/>
      <c r="E81" s="354" t="s">
        <v>99</v>
      </c>
      <c r="F81" s="418" t="s">
        <v>582</v>
      </c>
      <c r="G81" s="334"/>
      <c r="H81" s="362">
        <v>7</v>
      </c>
      <c r="I81" s="362"/>
      <c r="J81" s="362"/>
      <c r="K81" s="76"/>
      <c r="L81" s="61"/>
    </row>
    <row r="82" spans="1:12" ht="19.95" customHeight="1" x14ac:dyDescent="0.25">
      <c r="A82" s="293"/>
      <c r="B82" s="353" t="s">
        <v>532</v>
      </c>
      <c r="C82" s="344" t="s">
        <v>95</v>
      </c>
      <c r="D82" s="481" t="s">
        <v>100</v>
      </c>
      <c r="E82" s="482" t="s">
        <v>101</v>
      </c>
      <c r="F82" s="417" t="s">
        <v>583</v>
      </c>
      <c r="G82" s="356"/>
      <c r="H82" s="362">
        <v>7</v>
      </c>
      <c r="I82" s="362"/>
      <c r="J82" s="362"/>
      <c r="K82" s="76"/>
      <c r="L82" s="61"/>
    </row>
    <row r="83" spans="1:12" ht="19.95" customHeight="1" x14ac:dyDescent="0.25">
      <c r="A83" s="363"/>
      <c r="B83" s="353" t="s">
        <v>532</v>
      </c>
      <c r="C83" s="344" t="s">
        <v>95</v>
      </c>
      <c r="D83" s="481"/>
      <c r="E83" s="482"/>
      <c r="F83" s="417" t="s">
        <v>584</v>
      </c>
      <c r="G83" s="356"/>
      <c r="H83" s="362">
        <v>7</v>
      </c>
      <c r="I83" s="362"/>
      <c r="J83" s="362"/>
      <c r="K83" s="76"/>
      <c r="L83" s="61"/>
    </row>
    <row r="84" spans="1:12" ht="19.95" customHeight="1" x14ac:dyDescent="0.25">
      <c r="A84" s="364"/>
      <c r="B84" s="353" t="s">
        <v>532</v>
      </c>
      <c r="C84" s="344" t="s">
        <v>95</v>
      </c>
      <c r="D84" s="481"/>
      <c r="E84" s="482" t="s">
        <v>816</v>
      </c>
      <c r="F84" s="417" t="s">
        <v>586</v>
      </c>
      <c r="G84" s="334"/>
      <c r="H84" s="362">
        <v>7</v>
      </c>
      <c r="I84" s="362"/>
      <c r="J84" s="362"/>
      <c r="K84" s="76"/>
      <c r="L84" s="61"/>
    </row>
    <row r="85" spans="1:12" ht="19.95" customHeight="1" x14ac:dyDescent="0.25">
      <c r="A85" s="365"/>
      <c r="B85" s="353" t="s">
        <v>532</v>
      </c>
      <c r="C85" s="344" t="s">
        <v>95</v>
      </c>
      <c r="D85" s="481"/>
      <c r="E85" s="482"/>
      <c r="F85" s="417" t="s">
        <v>587</v>
      </c>
      <c r="G85" s="334"/>
      <c r="H85" s="362">
        <v>7</v>
      </c>
      <c r="I85" s="362"/>
      <c r="J85" s="362"/>
      <c r="K85" s="76"/>
      <c r="L85" s="61"/>
    </row>
    <row r="86" spans="1:12" ht="19.95" customHeight="1" x14ac:dyDescent="0.25">
      <c r="A86" s="363"/>
      <c r="B86" s="353" t="s">
        <v>532</v>
      </c>
      <c r="C86" s="344" t="s">
        <v>95</v>
      </c>
      <c r="D86" s="481"/>
      <c r="E86" s="482"/>
      <c r="F86" s="418" t="s">
        <v>588</v>
      </c>
      <c r="G86" s="339"/>
      <c r="H86" s="362">
        <v>7</v>
      </c>
      <c r="I86" s="362"/>
      <c r="J86" s="362"/>
      <c r="K86" s="76"/>
      <c r="L86" s="61"/>
    </row>
    <row r="87" spans="1:12" ht="19.95" customHeight="1" x14ac:dyDescent="0.25">
      <c r="A87" s="296"/>
      <c r="B87" s="353" t="s">
        <v>532</v>
      </c>
      <c r="C87" s="344"/>
      <c r="D87" s="328" t="s">
        <v>102</v>
      </c>
      <c r="E87" s="328"/>
      <c r="F87" s="332"/>
      <c r="G87" s="333"/>
      <c r="H87" s="76"/>
      <c r="I87" s="76"/>
      <c r="J87" s="76"/>
      <c r="K87" s="76"/>
      <c r="L87" s="61"/>
    </row>
    <row r="88" spans="1:12" ht="19.95" customHeight="1" x14ac:dyDescent="0.25">
      <c r="A88" s="296"/>
      <c r="B88" s="353" t="s">
        <v>532</v>
      </c>
      <c r="C88" s="344" t="s">
        <v>102</v>
      </c>
      <c r="D88" s="483" t="s">
        <v>103</v>
      </c>
      <c r="E88" s="354" t="s">
        <v>104</v>
      </c>
      <c r="F88" s="419"/>
      <c r="G88" s="334"/>
      <c r="H88" s="76"/>
      <c r="I88" s="76"/>
      <c r="J88" s="76">
        <v>3</v>
      </c>
      <c r="K88" s="76"/>
      <c r="L88" s="61"/>
    </row>
    <row r="89" spans="1:12" ht="19.95" customHeight="1" x14ac:dyDescent="0.25">
      <c r="A89" s="296"/>
      <c r="B89" s="353" t="s">
        <v>532</v>
      </c>
      <c r="C89" s="344" t="s">
        <v>102</v>
      </c>
      <c r="D89" s="485"/>
      <c r="E89" s="354" t="s">
        <v>105</v>
      </c>
      <c r="F89" s="418" t="s">
        <v>106</v>
      </c>
      <c r="G89" s="334"/>
      <c r="H89" s="362">
        <v>2</v>
      </c>
      <c r="I89" s="362"/>
      <c r="J89" s="362">
        <v>3</v>
      </c>
      <c r="K89" s="76">
        <v>5</v>
      </c>
      <c r="L89" s="468" t="s">
        <v>107</v>
      </c>
    </row>
    <row r="90" spans="1:12" ht="19.95" customHeight="1" x14ac:dyDescent="0.25">
      <c r="A90" s="296"/>
      <c r="B90" s="353" t="s">
        <v>532</v>
      </c>
      <c r="C90" s="344" t="s">
        <v>102</v>
      </c>
      <c r="D90" s="483" t="s">
        <v>108</v>
      </c>
      <c r="E90" s="356" t="s">
        <v>109</v>
      </c>
      <c r="F90" s="419" t="s">
        <v>589</v>
      </c>
      <c r="G90" s="334"/>
      <c r="H90" s="76">
        <v>3</v>
      </c>
      <c r="I90" s="76"/>
      <c r="J90" s="76">
        <v>3</v>
      </c>
      <c r="K90" s="76">
        <v>6</v>
      </c>
      <c r="L90" s="469"/>
    </row>
    <row r="91" spans="1:12" ht="19.95" customHeight="1" x14ac:dyDescent="0.25">
      <c r="A91" s="296"/>
      <c r="B91" s="353" t="s">
        <v>532</v>
      </c>
      <c r="C91" s="344" t="s">
        <v>102</v>
      </c>
      <c r="D91" s="484"/>
      <c r="E91" s="354" t="s">
        <v>110</v>
      </c>
      <c r="F91" s="419" t="s">
        <v>590</v>
      </c>
      <c r="G91" s="334"/>
      <c r="H91" s="76">
        <v>3</v>
      </c>
      <c r="I91" s="76"/>
      <c r="J91" s="362">
        <v>3</v>
      </c>
      <c r="K91" s="76">
        <v>6</v>
      </c>
      <c r="L91" s="469"/>
    </row>
    <row r="92" spans="1:12" ht="19.95" customHeight="1" x14ac:dyDescent="0.25">
      <c r="A92" s="294"/>
      <c r="B92" s="353" t="s">
        <v>532</v>
      </c>
      <c r="C92" s="344" t="s">
        <v>102</v>
      </c>
      <c r="D92" s="484"/>
      <c r="E92" s="356" t="s">
        <v>111</v>
      </c>
      <c r="F92" s="419" t="s">
        <v>591</v>
      </c>
      <c r="G92" s="335"/>
      <c r="H92" s="76">
        <v>3</v>
      </c>
      <c r="I92" s="76"/>
      <c r="J92" s="76">
        <v>3</v>
      </c>
      <c r="K92" s="76">
        <v>6</v>
      </c>
      <c r="L92" s="469"/>
    </row>
    <row r="93" spans="1:12" ht="19.95" customHeight="1" x14ac:dyDescent="0.25">
      <c r="A93" s="294"/>
      <c r="B93" s="353" t="s">
        <v>532</v>
      </c>
      <c r="C93" s="344" t="s">
        <v>102</v>
      </c>
      <c r="D93" s="484"/>
      <c r="E93" s="354" t="s">
        <v>112</v>
      </c>
      <c r="F93" s="419" t="s">
        <v>592</v>
      </c>
      <c r="G93" s="335"/>
      <c r="H93" s="76">
        <v>3</v>
      </c>
      <c r="I93" s="76"/>
      <c r="J93" s="362">
        <v>3</v>
      </c>
      <c r="K93" s="76">
        <v>6</v>
      </c>
      <c r="L93" s="469"/>
    </row>
    <row r="94" spans="1:12" ht="19.95" customHeight="1" x14ac:dyDescent="0.25">
      <c r="A94" s="294"/>
      <c r="B94" s="353" t="s">
        <v>532</v>
      </c>
      <c r="C94" s="344" t="s">
        <v>102</v>
      </c>
      <c r="D94" s="485"/>
      <c r="E94" s="356" t="s">
        <v>113</v>
      </c>
      <c r="F94" s="419" t="s">
        <v>114</v>
      </c>
      <c r="G94" s="334"/>
      <c r="H94" s="76">
        <v>3</v>
      </c>
      <c r="I94" s="76"/>
      <c r="J94" s="76">
        <v>3</v>
      </c>
      <c r="K94" s="76">
        <v>6</v>
      </c>
      <c r="L94" s="469"/>
    </row>
    <row r="95" spans="1:12" ht="19.95" customHeight="1" x14ac:dyDescent="0.25">
      <c r="A95" s="294"/>
      <c r="B95" s="353" t="s">
        <v>532</v>
      </c>
      <c r="C95" s="344" t="s">
        <v>102</v>
      </c>
      <c r="D95" s="483" t="s">
        <v>115</v>
      </c>
      <c r="E95" s="356" t="s">
        <v>109</v>
      </c>
      <c r="F95" s="419" t="s">
        <v>593</v>
      </c>
      <c r="G95" s="334"/>
      <c r="H95" s="76">
        <v>2</v>
      </c>
      <c r="I95" s="76"/>
      <c r="J95" s="362">
        <v>3</v>
      </c>
      <c r="K95" s="76">
        <v>5</v>
      </c>
      <c r="L95" s="469"/>
    </row>
    <row r="96" spans="1:12" ht="19.95" customHeight="1" x14ac:dyDescent="0.25">
      <c r="A96" s="294"/>
      <c r="B96" s="353" t="s">
        <v>532</v>
      </c>
      <c r="C96" s="344" t="s">
        <v>102</v>
      </c>
      <c r="D96" s="484"/>
      <c r="E96" s="476" t="s">
        <v>116</v>
      </c>
      <c r="F96" s="419" t="s">
        <v>594</v>
      </c>
      <c r="G96" s="334"/>
      <c r="H96" s="76">
        <v>2</v>
      </c>
      <c r="I96" s="76"/>
      <c r="J96" s="76">
        <v>3</v>
      </c>
      <c r="K96" s="76">
        <v>5</v>
      </c>
      <c r="L96" s="469"/>
    </row>
    <row r="97" spans="1:13" ht="19.95" customHeight="1" x14ac:dyDescent="0.25">
      <c r="A97" s="294"/>
      <c r="B97" s="353" t="s">
        <v>532</v>
      </c>
      <c r="C97" s="344" t="s">
        <v>102</v>
      </c>
      <c r="D97" s="485"/>
      <c r="E97" s="477"/>
      <c r="F97" s="419" t="s">
        <v>595</v>
      </c>
      <c r="G97" s="334" t="s">
        <v>117</v>
      </c>
      <c r="H97" s="76">
        <v>2</v>
      </c>
      <c r="I97" s="76"/>
      <c r="J97" s="362">
        <v>3</v>
      </c>
      <c r="K97" s="76">
        <v>6</v>
      </c>
      <c r="L97" s="469"/>
    </row>
    <row r="98" spans="1:13" ht="19.95" customHeight="1" x14ac:dyDescent="0.25">
      <c r="A98" s="294"/>
      <c r="B98" s="353" t="s">
        <v>532</v>
      </c>
      <c r="C98" s="344" t="s">
        <v>102</v>
      </c>
      <c r="D98" s="483" t="s">
        <v>118</v>
      </c>
      <c r="E98" s="354" t="s">
        <v>109</v>
      </c>
      <c r="F98" s="417" t="s">
        <v>596</v>
      </c>
      <c r="G98" s="334"/>
      <c r="H98" s="76">
        <v>2</v>
      </c>
      <c r="I98" s="76"/>
      <c r="J98" s="76">
        <v>3</v>
      </c>
      <c r="K98" s="76">
        <v>5</v>
      </c>
      <c r="L98" s="468"/>
    </row>
    <row r="99" spans="1:13" ht="19.95" customHeight="1" x14ac:dyDescent="0.25">
      <c r="A99" s="294"/>
      <c r="B99" s="353" t="s">
        <v>532</v>
      </c>
      <c r="C99" s="344" t="s">
        <v>102</v>
      </c>
      <c r="D99" s="484"/>
      <c r="E99" s="478" t="s">
        <v>116</v>
      </c>
      <c r="F99" s="417" t="s">
        <v>119</v>
      </c>
      <c r="G99" s="334"/>
      <c r="H99" s="76">
        <v>2</v>
      </c>
      <c r="I99" s="76"/>
      <c r="J99" s="362">
        <v>3</v>
      </c>
      <c r="K99" s="76">
        <v>5</v>
      </c>
      <c r="L99" s="468"/>
    </row>
    <row r="100" spans="1:13" ht="19.95" customHeight="1" x14ac:dyDescent="0.25">
      <c r="A100" s="294"/>
      <c r="B100" s="353" t="s">
        <v>532</v>
      </c>
      <c r="C100" s="344" t="s">
        <v>102</v>
      </c>
      <c r="D100" s="484"/>
      <c r="E100" s="479"/>
      <c r="F100" s="417" t="s">
        <v>597</v>
      </c>
      <c r="G100" s="334"/>
      <c r="H100" s="76">
        <v>2</v>
      </c>
      <c r="I100" s="76"/>
      <c r="J100" s="76">
        <v>3</v>
      </c>
      <c r="K100" s="76">
        <v>5</v>
      </c>
      <c r="L100" s="469"/>
    </row>
    <row r="101" spans="1:13" ht="19.95" customHeight="1" x14ac:dyDescent="0.25">
      <c r="A101" s="294"/>
      <c r="B101" s="353" t="s">
        <v>532</v>
      </c>
      <c r="C101" s="344" t="s">
        <v>102</v>
      </c>
      <c r="D101" s="485"/>
      <c r="E101" s="480"/>
      <c r="F101" s="417" t="s">
        <v>598</v>
      </c>
      <c r="G101" s="334" t="s">
        <v>120</v>
      </c>
      <c r="H101" s="76">
        <v>2</v>
      </c>
      <c r="I101" s="76"/>
      <c r="J101" s="362">
        <v>3</v>
      </c>
      <c r="K101" s="76">
        <v>5</v>
      </c>
      <c r="L101" s="468"/>
      <c r="M101" s="117" t="s">
        <v>22</v>
      </c>
    </row>
    <row r="102" spans="1:13" ht="19.95" customHeight="1" x14ac:dyDescent="0.25">
      <c r="A102" s="294"/>
      <c r="B102" s="353" t="s">
        <v>532</v>
      </c>
      <c r="C102" s="344"/>
      <c r="D102" s="328" t="s">
        <v>121</v>
      </c>
      <c r="E102" s="328"/>
      <c r="F102" s="332"/>
      <c r="G102" s="333"/>
      <c r="H102" s="76"/>
      <c r="I102" s="76"/>
      <c r="J102" s="76"/>
      <c r="K102" s="76"/>
      <c r="L102" s="469"/>
    </row>
    <row r="103" spans="1:13" ht="19.95" customHeight="1" x14ac:dyDescent="0.25">
      <c r="A103" s="294"/>
      <c r="B103" s="353" t="s">
        <v>532</v>
      </c>
      <c r="C103" s="344" t="s">
        <v>121</v>
      </c>
      <c r="D103" s="481" t="s">
        <v>122</v>
      </c>
      <c r="E103" s="356" t="s">
        <v>123</v>
      </c>
      <c r="F103" s="417" t="s">
        <v>124</v>
      </c>
      <c r="G103" s="334"/>
      <c r="H103" s="76">
        <v>2</v>
      </c>
      <c r="I103" s="76"/>
      <c r="J103" s="76"/>
      <c r="K103" s="76">
        <v>5</v>
      </c>
      <c r="L103" s="468"/>
    </row>
    <row r="104" spans="1:13" ht="19.95" customHeight="1" x14ac:dyDescent="0.25">
      <c r="A104" s="294"/>
      <c r="B104" s="353" t="s">
        <v>532</v>
      </c>
      <c r="C104" s="344" t="s">
        <v>121</v>
      </c>
      <c r="D104" s="481"/>
      <c r="E104" s="354" t="s">
        <v>125</v>
      </c>
      <c r="F104" s="419" t="s">
        <v>599</v>
      </c>
      <c r="G104" s="334"/>
      <c r="H104" s="76">
        <v>2</v>
      </c>
      <c r="I104" s="76"/>
      <c r="J104" s="76"/>
      <c r="K104" s="76">
        <v>5</v>
      </c>
      <c r="L104" s="468"/>
      <c r="M104" s="117" t="s">
        <v>126</v>
      </c>
    </row>
    <row r="105" spans="1:13" ht="19.95" customHeight="1" x14ac:dyDescent="0.25">
      <c r="A105" s="294"/>
      <c r="B105" s="353" t="s">
        <v>532</v>
      </c>
      <c r="C105" s="344" t="s">
        <v>121</v>
      </c>
      <c r="D105" s="481"/>
      <c r="E105" s="356" t="s">
        <v>127</v>
      </c>
      <c r="F105" s="419" t="s">
        <v>128</v>
      </c>
      <c r="G105" s="334"/>
      <c r="H105" s="76">
        <v>2</v>
      </c>
      <c r="I105" s="76"/>
      <c r="J105" s="76"/>
      <c r="K105" s="76">
        <v>5</v>
      </c>
      <c r="L105" s="468"/>
    </row>
    <row r="106" spans="1:13" ht="19.95" customHeight="1" x14ac:dyDescent="0.25">
      <c r="A106" s="294"/>
      <c r="B106" s="353" t="s">
        <v>532</v>
      </c>
      <c r="C106" s="344" t="s">
        <v>121</v>
      </c>
      <c r="D106" s="481"/>
      <c r="E106" s="354" t="s">
        <v>129</v>
      </c>
      <c r="F106" s="417" t="s">
        <v>600</v>
      </c>
      <c r="G106" s="334"/>
      <c r="H106" s="76">
        <v>2</v>
      </c>
      <c r="I106" s="76"/>
      <c r="J106" s="76"/>
      <c r="K106" s="76">
        <v>5</v>
      </c>
      <c r="L106" s="468"/>
    </row>
    <row r="107" spans="1:13" ht="19.95" customHeight="1" x14ac:dyDescent="0.25">
      <c r="A107" s="294"/>
      <c r="B107" s="353" t="s">
        <v>532</v>
      </c>
      <c r="C107" s="344" t="s">
        <v>121</v>
      </c>
      <c r="D107" s="481"/>
      <c r="E107" s="354" t="s">
        <v>130</v>
      </c>
      <c r="F107" s="417" t="s">
        <v>131</v>
      </c>
      <c r="G107" s="334"/>
      <c r="H107" s="76">
        <v>2</v>
      </c>
      <c r="I107" s="76"/>
      <c r="J107" s="76"/>
      <c r="K107" s="76">
        <v>5</v>
      </c>
      <c r="L107" s="468"/>
    </row>
    <row r="108" spans="1:13" ht="19.95" customHeight="1" x14ac:dyDescent="0.25">
      <c r="A108" s="294"/>
      <c r="B108" s="353" t="s">
        <v>532</v>
      </c>
      <c r="C108" s="344" t="s">
        <v>121</v>
      </c>
      <c r="D108" s="481" t="s">
        <v>132</v>
      </c>
      <c r="E108" s="356" t="s">
        <v>133</v>
      </c>
      <c r="F108" s="417" t="s">
        <v>601</v>
      </c>
      <c r="G108" s="334"/>
      <c r="H108" s="76">
        <v>2</v>
      </c>
      <c r="I108" s="76"/>
      <c r="J108" s="76"/>
      <c r="K108" s="76">
        <v>5</v>
      </c>
      <c r="L108" s="468"/>
    </row>
    <row r="109" spans="1:13" ht="19.95" customHeight="1" x14ac:dyDescent="0.25">
      <c r="A109" s="294"/>
      <c r="B109" s="353" t="s">
        <v>532</v>
      </c>
      <c r="C109" s="344" t="s">
        <v>121</v>
      </c>
      <c r="D109" s="481"/>
      <c r="E109" s="482" t="s">
        <v>134</v>
      </c>
      <c r="F109" s="417" t="s">
        <v>602</v>
      </c>
      <c r="G109" s="334"/>
      <c r="H109" s="76">
        <v>2</v>
      </c>
      <c r="I109" s="76"/>
      <c r="J109" s="76"/>
      <c r="K109" s="76">
        <v>5</v>
      </c>
      <c r="L109" s="61"/>
    </row>
    <row r="110" spans="1:13" ht="19.95" customHeight="1" x14ac:dyDescent="0.25">
      <c r="A110" s="294"/>
      <c r="B110" s="353" t="s">
        <v>532</v>
      </c>
      <c r="C110" s="344" t="s">
        <v>121</v>
      </c>
      <c r="D110" s="481"/>
      <c r="E110" s="482"/>
      <c r="F110" s="413" t="s">
        <v>603</v>
      </c>
      <c r="G110" s="334"/>
      <c r="H110" s="76">
        <v>2</v>
      </c>
      <c r="I110" s="76"/>
      <c r="J110" s="76"/>
      <c r="K110" s="76">
        <v>5</v>
      </c>
      <c r="L110" s="61"/>
    </row>
    <row r="111" spans="1:13" ht="19.95" customHeight="1" x14ac:dyDescent="0.25">
      <c r="A111" s="294"/>
      <c r="B111" s="353" t="s">
        <v>532</v>
      </c>
      <c r="C111" s="344" t="s">
        <v>121</v>
      </c>
      <c r="D111" s="481"/>
      <c r="E111" s="482"/>
      <c r="F111" s="417" t="s">
        <v>604</v>
      </c>
      <c r="G111" s="334"/>
      <c r="H111" s="76">
        <v>2</v>
      </c>
      <c r="I111" s="76"/>
      <c r="J111" s="76"/>
      <c r="K111" s="76">
        <v>5</v>
      </c>
      <c r="L111" s="61"/>
    </row>
    <row r="112" spans="1:13" ht="19.95" customHeight="1" x14ac:dyDescent="0.25">
      <c r="A112" s="294"/>
      <c r="B112" s="353" t="s">
        <v>532</v>
      </c>
      <c r="C112" s="344"/>
      <c r="D112" s="328" t="s">
        <v>135</v>
      </c>
      <c r="E112" s="328"/>
      <c r="F112" s="332"/>
      <c r="G112" s="333"/>
      <c r="H112" s="76"/>
      <c r="I112" s="76"/>
      <c r="J112" s="76"/>
      <c r="K112" s="76"/>
      <c r="L112" s="61"/>
    </row>
    <row r="113" spans="1:13" ht="19.95" customHeight="1" x14ac:dyDescent="0.25">
      <c r="A113" s="294"/>
      <c r="B113" s="353" t="s">
        <v>532</v>
      </c>
      <c r="C113" s="344" t="s">
        <v>135</v>
      </c>
      <c r="D113" s="471" t="s">
        <v>136</v>
      </c>
      <c r="E113" s="356" t="s">
        <v>137</v>
      </c>
      <c r="F113" s="413" t="s">
        <v>605</v>
      </c>
      <c r="G113" s="334"/>
      <c r="H113" s="76">
        <v>2</v>
      </c>
      <c r="I113" s="76">
        <v>7</v>
      </c>
      <c r="J113" s="76"/>
      <c r="K113" s="76">
        <v>5</v>
      </c>
      <c r="L113" s="470" t="s">
        <v>138</v>
      </c>
    </row>
    <row r="114" spans="1:13" ht="19.95" customHeight="1" x14ac:dyDescent="0.25">
      <c r="A114" s="294"/>
      <c r="B114" s="353" t="s">
        <v>532</v>
      </c>
      <c r="C114" s="344" t="s">
        <v>135</v>
      </c>
      <c r="D114" s="472"/>
      <c r="E114" s="354" t="s">
        <v>139</v>
      </c>
      <c r="F114" s="420" t="s">
        <v>606</v>
      </c>
      <c r="G114" s="334"/>
      <c r="H114" s="76">
        <v>2</v>
      </c>
      <c r="I114" s="76">
        <v>7</v>
      </c>
      <c r="J114" s="76"/>
      <c r="K114" s="76">
        <v>5</v>
      </c>
      <c r="L114" s="470"/>
    </row>
    <row r="115" spans="1:13" ht="19.95" customHeight="1" x14ac:dyDescent="0.25">
      <c r="A115" s="294"/>
      <c r="B115" s="353" t="s">
        <v>532</v>
      </c>
      <c r="C115" s="344" t="s">
        <v>135</v>
      </c>
      <c r="D115" s="472"/>
      <c r="E115" s="356" t="s">
        <v>140</v>
      </c>
      <c r="F115" s="421"/>
      <c r="G115" s="334"/>
      <c r="H115" s="76">
        <v>2</v>
      </c>
      <c r="I115" s="76">
        <v>7</v>
      </c>
      <c r="J115" s="76"/>
      <c r="K115" s="76">
        <v>5</v>
      </c>
      <c r="L115" s="470"/>
      <c r="M115" s="117" t="s">
        <v>141</v>
      </c>
    </row>
    <row r="116" spans="1:13" ht="19.95" customHeight="1" x14ac:dyDescent="0.25">
      <c r="A116" s="294"/>
      <c r="B116" s="353" t="s">
        <v>532</v>
      </c>
      <c r="C116" s="344" t="s">
        <v>135</v>
      </c>
      <c r="D116" s="500"/>
      <c r="E116" s="356" t="s">
        <v>142</v>
      </c>
      <c r="F116" s="419" t="s">
        <v>607</v>
      </c>
      <c r="G116" s="334"/>
      <c r="H116" s="76">
        <v>2</v>
      </c>
      <c r="I116" s="76">
        <v>7</v>
      </c>
      <c r="J116" s="76"/>
      <c r="K116" s="76">
        <v>5</v>
      </c>
      <c r="L116" s="470"/>
    </row>
    <row r="117" spans="1:13" ht="19.95" customHeight="1" x14ac:dyDescent="0.25">
      <c r="A117" s="294"/>
      <c r="B117" s="353" t="s">
        <v>532</v>
      </c>
      <c r="C117" s="344" t="s">
        <v>135</v>
      </c>
      <c r="D117" s="483" t="s">
        <v>143</v>
      </c>
      <c r="E117" s="354" t="s">
        <v>144</v>
      </c>
      <c r="F117" s="417" t="s">
        <v>608</v>
      </c>
      <c r="G117" s="334"/>
      <c r="H117" s="76">
        <v>2</v>
      </c>
      <c r="I117" s="76">
        <v>7</v>
      </c>
      <c r="J117" s="76"/>
      <c r="K117" s="76">
        <v>5</v>
      </c>
      <c r="L117" s="470"/>
    </row>
    <row r="118" spans="1:13" ht="19.95" customHeight="1" x14ac:dyDescent="0.25">
      <c r="A118" s="294"/>
      <c r="B118" s="353" t="s">
        <v>532</v>
      </c>
      <c r="C118" s="344" t="s">
        <v>135</v>
      </c>
      <c r="D118" s="484"/>
      <c r="E118" s="478" t="s">
        <v>815</v>
      </c>
      <c r="F118" s="413" t="s">
        <v>609</v>
      </c>
      <c r="G118" s="335"/>
      <c r="H118" s="76">
        <v>2</v>
      </c>
      <c r="I118" s="76">
        <v>7</v>
      </c>
      <c r="J118" s="76"/>
      <c r="K118" s="76">
        <v>6</v>
      </c>
      <c r="L118" s="470"/>
    </row>
    <row r="119" spans="1:13" ht="19.95" customHeight="1" x14ac:dyDescent="0.25">
      <c r="A119" s="294"/>
      <c r="B119" s="353" t="s">
        <v>532</v>
      </c>
      <c r="C119" s="344" t="s">
        <v>135</v>
      </c>
      <c r="D119" s="484"/>
      <c r="E119" s="480"/>
      <c r="F119" s="422" t="s">
        <v>610</v>
      </c>
      <c r="G119" s="335"/>
      <c r="H119" s="76">
        <v>2</v>
      </c>
      <c r="I119" s="76">
        <v>7</v>
      </c>
      <c r="J119" s="76"/>
      <c r="K119" s="76">
        <v>6</v>
      </c>
      <c r="L119" s="470"/>
    </row>
    <row r="120" spans="1:13" ht="19.95" customHeight="1" x14ac:dyDescent="0.25">
      <c r="A120" s="294"/>
      <c r="B120" s="353" t="s">
        <v>532</v>
      </c>
      <c r="C120" s="344" t="s">
        <v>135</v>
      </c>
      <c r="D120" s="485"/>
      <c r="E120" s="354" t="s">
        <v>145</v>
      </c>
      <c r="F120" s="418" t="s">
        <v>611</v>
      </c>
      <c r="G120" s="334"/>
      <c r="H120" s="76">
        <v>2</v>
      </c>
      <c r="I120" s="76">
        <v>7</v>
      </c>
      <c r="J120" s="76"/>
      <c r="K120" s="76">
        <v>6</v>
      </c>
      <c r="L120" s="470"/>
    </row>
    <row r="121" spans="1:13" ht="19.95" customHeight="1" x14ac:dyDescent="0.25">
      <c r="A121" s="294"/>
      <c r="B121" s="353" t="s">
        <v>532</v>
      </c>
      <c r="C121" s="344" t="s">
        <v>135</v>
      </c>
      <c r="D121" s="471" t="s">
        <v>146</v>
      </c>
      <c r="E121" s="478" t="s">
        <v>147</v>
      </c>
      <c r="F121" s="418" t="s">
        <v>148</v>
      </c>
      <c r="G121" s="334"/>
      <c r="H121" s="76">
        <v>2</v>
      </c>
      <c r="I121" s="76">
        <v>7</v>
      </c>
      <c r="J121" s="76"/>
      <c r="K121" s="76">
        <v>6</v>
      </c>
      <c r="L121" s="470"/>
    </row>
    <row r="122" spans="1:13" ht="19.95" customHeight="1" x14ac:dyDescent="0.25">
      <c r="A122" s="294"/>
      <c r="B122" s="353" t="s">
        <v>532</v>
      </c>
      <c r="C122" s="344" t="s">
        <v>135</v>
      </c>
      <c r="D122" s="472"/>
      <c r="E122" s="480"/>
      <c r="F122" s="417" t="s">
        <v>612</v>
      </c>
      <c r="G122" s="334"/>
      <c r="H122" s="76">
        <v>2</v>
      </c>
      <c r="I122" s="76">
        <v>7</v>
      </c>
      <c r="J122" s="76"/>
      <c r="K122" s="76">
        <v>6</v>
      </c>
      <c r="L122" s="470"/>
    </row>
    <row r="123" spans="1:13" ht="19.95" customHeight="1" x14ac:dyDescent="0.25">
      <c r="A123" s="294"/>
      <c r="B123" s="353" t="s">
        <v>532</v>
      </c>
      <c r="C123" s="344" t="s">
        <v>135</v>
      </c>
      <c r="D123" s="472"/>
      <c r="E123" s="478" t="s">
        <v>149</v>
      </c>
      <c r="F123" s="417" t="s">
        <v>613</v>
      </c>
      <c r="G123" s="334"/>
      <c r="H123" s="76">
        <v>2</v>
      </c>
      <c r="I123" s="76">
        <v>7</v>
      </c>
      <c r="J123" s="76"/>
      <c r="K123" s="76">
        <v>5</v>
      </c>
      <c r="L123" s="470"/>
    </row>
    <row r="124" spans="1:13" ht="19.95" customHeight="1" x14ac:dyDescent="0.25">
      <c r="A124" s="294"/>
      <c r="B124" s="353" t="s">
        <v>532</v>
      </c>
      <c r="C124" s="344" t="s">
        <v>135</v>
      </c>
      <c r="D124" s="472"/>
      <c r="E124" s="480"/>
      <c r="F124" s="419" t="s">
        <v>614</v>
      </c>
      <c r="G124" s="334"/>
      <c r="H124" s="76">
        <v>2</v>
      </c>
      <c r="I124" s="76">
        <v>7</v>
      </c>
      <c r="J124" s="76"/>
      <c r="K124" s="76">
        <v>5</v>
      </c>
      <c r="L124" s="470"/>
    </row>
    <row r="125" spans="1:13" ht="19.95" customHeight="1" x14ac:dyDescent="0.25">
      <c r="A125" s="294"/>
      <c r="B125" s="353" t="s">
        <v>532</v>
      </c>
      <c r="C125" s="344" t="s">
        <v>135</v>
      </c>
      <c r="D125" s="472"/>
      <c r="E125" s="476" t="s">
        <v>150</v>
      </c>
      <c r="F125" s="419" t="s">
        <v>615</v>
      </c>
      <c r="G125" s="334"/>
      <c r="H125" s="76">
        <v>2</v>
      </c>
      <c r="I125" s="76">
        <v>7</v>
      </c>
      <c r="J125" s="76"/>
      <c r="K125" s="76">
        <v>6</v>
      </c>
      <c r="L125" s="470"/>
    </row>
    <row r="126" spans="1:13" ht="19.95" customHeight="1" x14ac:dyDescent="0.25">
      <c r="A126" s="294"/>
      <c r="B126" s="353" t="s">
        <v>532</v>
      </c>
      <c r="C126" s="344" t="s">
        <v>135</v>
      </c>
      <c r="D126" s="472"/>
      <c r="E126" s="477"/>
      <c r="F126" s="417" t="s">
        <v>616</v>
      </c>
      <c r="G126" s="334"/>
      <c r="H126" s="76">
        <v>2</v>
      </c>
      <c r="I126" s="76">
        <v>7</v>
      </c>
      <c r="J126" s="76"/>
      <c r="K126" s="76">
        <v>6</v>
      </c>
      <c r="L126" s="470"/>
    </row>
    <row r="127" spans="1:13" ht="19.95" customHeight="1" x14ac:dyDescent="0.25">
      <c r="A127" s="294"/>
      <c r="B127" s="353" t="s">
        <v>532</v>
      </c>
      <c r="C127" s="344" t="s">
        <v>135</v>
      </c>
      <c r="D127" s="500"/>
      <c r="E127" s="354" t="s">
        <v>814</v>
      </c>
      <c r="F127" s="417" t="s">
        <v>617</v>
      </c>
      <c r="G127" s="334"/>
      <c r="H127" s="76">
        <v>2</v>
      </c>
      <c r="I127" s="76">
        <v>7</v>
      </c>
      <c r="J127" s="76"/>
      <c r="K127" s="76">
        <v>6</v>
      </c>
      <c r="L127" s="470"/>
    </row>
    <row r="128" spans="1:13" ht="19.95" customHeight="1" x14ac:dyDescent="0.25">
      <c r="A128" s="294"/>
      <c r="B128" s="353" t="s">
        <v>532</v>
      </c>
      <c r="C128" s="343"/>
      <c r="D128" s="327" t="s">
        <v>151</v>
      </c>
      <c r="E128" s="336"/>
      <c r="F128" s="358"/>
      <c r="G128" s="333"/>
      <c r="H128" s="76"/>
      <c r="I128" s="76"/>
      <c r="J128" s="76"/>
      <c r="K128" s="76"/>
      <c r="L128" s="61"/>
    </row>
    <row r="129" spans="1:12" ht="19.95" customHeight="1" x14ac:dyDescent="0.25">
      <c r="A129" s="294"/>
      <c r="B129" s="353" t="s">
        <v>532</v>
      </c>
      <c r="C129" s="343" t="s">
        <v>151</v>
      </c>
      <c r="D129" s="483" t="s">
        <v>152</v>
      </c>
      <c r="E129" s="356" t="s">
        <v>153</v>
      </c>
      <c r="F129" s="414"/>
      <c r="G129" s="334"/>
      <c r="H129" s="76">
        <v>2</v>
      </c>
      <c r="I129" s="76">
        <v>7</v>
      </c>
      <c r="J129" s="366"/>
      <c r="K129" s="366"/>
      <c r="L129" s="61"/>
    </row>
    <row r="130" spans="1:12" ht="19.95" customHeight="1" x14ac:dyDescent="0.25">
      <c r="A130" s="294"/>
      <c r="B130" s="353" t="s">
        <v>532</v>
      </c>
      <c r="C130" s="343" t="s">
        <v>151</v>
      </c>
      <c r="D130" s="485"/>
      <c r="E130" s="356" t="s">
        <v>154</v>
      </c>
      <c r="F130" s="414"/>
      <c r="G130" s="334"/>
      <c r="H130" s="76">
        <v>2</v>
      </c>
      <c r="I130" s="76">
        <v>7</v>
      </c>
      <c r="J130" s="366"/>
      <c r="K130" s="366"/>
      <c r="L130" s="61"/>
    </row>
    <row r="131" spans="1:12" ht="19.95" customHeight="1" x14ac:dyDescent="0.25">
      <c r="A131" s="294"/>
      <c r="B131" s="353" t="s">
        <v>532</v>
      </c>
      <c r="C131" s="343" t="s">
        <v>151</v>
      </c>
      <c r="D131" s="489" t="s">
        <v>155</v>
      </c>
      <c r="E131" s="356" t="s">
        <v>156</v>
      </c>
      <c r="F131" s="414"/>
      <c r="G131" s="334"/>
      <c r="H131" s="76">
        <v>2</v>
      </c>
      <c r="I131" s="76">
        <v>7</v>
      </c>
      <c r="J131" s="366"/>
      <c r="K131" s="366"/>
      <c r="L131" s="61"/>
    </row>
    <row r="132" spans="1:12" ht="19.95" customHeight="1" x14ac:dyDescent="0.25">
      <c r="A132" s="294"/>
      <c r="B132" s="353" t="s">
        <v>532</v>
      </c>
      <c r="C132" s="343" t="s">
        <v>151</v>
      </c>
      <c r="D132" s="490"/>
      <c r="E132" s="356" t="s">
        <v>157</v>
      </c>
      <c r="F132" s="414"/>
      <c r="G132" s="334"/>
      <c r="H132" s="76">
        <v>2</v>
      </c>
      <c r="I132" s="76">
        <v>7</v>
      </c>
      <c r="J132" s="366"/>
      <c r="K132" s="366"/>
      <c r="L132" s="61"/>
    </row>
    <row r="133" spans="1:12" ht="19.95" customHeight="1" x14ac:dyDescent="0.25">
      <c r="A133" s="294"/>
      <c r="B133" s="353" t="s">
        <v>532</v>
      </c>
      <c r="C133" s="343" t="s">
        <v>151</v>
      </c>
      <c r="D133" s="491"/>
      <c r="E133" s="356" t="s">
        <v>158</v>
      </c>
      <c r="F133" s="414"/>
      <c r="G133" s="334"/>
      <c r="H133" s="76">
        <v>2</v>
      </c>
      <c r="I133" s="76">
        <v>7</v>
      </c>
      <c r="J133" s="366"/>
      <c r="K133" s="366"/>
      <c r="L133" s="61"/>
    </row>
    <row r="134" spans="1:12" ht="19.95" customHeight="1" x14ac:dyDescent="0.25">
      <c r="A134" s="294"/>
      <c r="B134" s="353" t="s">
        <v>532</v>
      </c>
      <c r="C134" s="343" t="s">
        <v>151</v>
      </c>
      <c r="D134" s="483" t="s">
        <v>151</v>
      </c>
      <c r="E134" s="356" t="s">
        <v>810</v>
      </c>
      <c r="F134" s="414"/>
      <c r="G134" s="334"/>
      <c r="H134" s="76">
        <v>2</v>
      </c>
      <c r="I134" s="76">
        <v>7</v>
      </c>
      <c r="J134" s="366"/>
      <c r="K134" s="366"/>
      <c r="L134" s="61"/>
    </row>
    <row r="135" spans="1:12" ht="19.95" customHeight="1" x14ac:dyDescent="0.25">
      <c r="A135" s="294"/>
      <c r="B135" s="353" t="s">
        <v>532</v>
      </c>
      <c r="C135" s="343" t="s">
        <v>151</v>
      </c>
      <c r="D135" s="484"/>
      <c r="E135" s="356" t="s">
        <v>811</v>
      </c>
      <c r="F135" s="414"/>
      <c r="G135" s="334"/>
      <c r="H135" s="76">
        <v>2</v>
      </c>
      <c r="I135" s="76">
        <v>7</v>
      </c>
      <c r="J135" s="366"/>
      <c r="K135" s="366"/>
      <c r="L135" s="61"/>
    </row>
    <row r="136" spans="1:12" ht="19.95" customHeight="1" x14ac:dyDescent="0.25">
      <c r="A136" s="294"/>
      <c r="B136" s="353" t="s">
        <v>532</v>
      </c>
      <c r="C136" s="343" t="s">
        <v>151</v>
      </c>
      <c r="D136" s="484"/>
      <c r="E136" s="356" t="s">
        <v>812</v>
      </c>
      <c r="F136" s="417"/>
      <c r="G136" s="334"/>
      <c r="H136" s="76">
        <v>2</v>
      </c>
      <c r="I136" s="76">
        <v>7</v>
      </c>
      <c r="J136" s="366"/>
      <c r="K136" s="366"/>
      <c r="L136" s="61"/>
    </row>
    <row r="137" spans="1:12" ht="19.95" customHeight="1" x14ac:dyDescent="0.25">
      <c r="A137" s="294"/>
      <c r="B137" s="353" t="s">
        <v>532</v>
      </c>
      <c r="C137" s="343" t="s">
        <v>151</v>
      </c>
      <c r="D137" s="485"/>
      <c r="E137" s="356" t="s">
        <v>813</v>
      </c>
      <c r="F137" s="417"/>
      <c r="G137" s="334"/>
      <c r="H137" s="76">
        <v>2</v>
      </c>
      <c r="I137" s="76">
        <v>7</v>
      </c>
      <c r="J137" s="366"/>
      <c r="K137" s="366"/>
      <c r="L137" s="61"/>
    </row>
    <row r="138" spans="1:12" ht="19.95" customHeight="1" x14ac:dyDescent="0.25">
      <c r="A138" s="294"/>
      <c r="B138" s="353" t="s">
        <v>532</v>
      </c>
      <c r="C138" s="343"/>
      <c r="D138" s="327" t="s">
        <v>159</v>
      </c>
      <c r="E138" s="336"/>
      <c r="F138" s="358"/>
      <c r="G138" s="333"/>
      <c r="H138" s="76"/>
      <c r="I138" s="76"/>
      <c r="J138" s="76"/>
      <c r="K138" s="76"/>
      <c r="L138" s="61"/>
    </row>
    <row r="139" spans="1:12" ht="19.95" customHeight="1" x14ac:dyDescent="0.25">
      <c r="A139" s="294"/>
      <c r="B139" s="353" t="s">
        <v>532</v>
      </c>
      <c r="C139" s="343" t="s">
        <v>159</v>
      </c>
      <c r="D139" s="357" t="s">
        <v>160</v>
      </c>
      <c r="E139" s="367"/>
      <c r="F139" s="368"/>
      <c r="G139" s="504" t="s">
        <v>161</v>
      </c>
      <c r="H139" s="366">
        <v>99</v>
      </c>
      <c r="I139" s="366"/>
      <c r="J139" s="366"/>
      <c r="K139" s="76"/>
      <c r="L139" s="61"/>
    </row>
    <row r="140" spans="1:12" ht="19.95" customHeight="1" x14ac:dyDescent="0.25">
      <c r="A140" s="294"/>
      <c r="B140" s="353" t="s">
        <v>532</v>
      </c>
      <c r="C140" s="343" t="s">
        <v>159</v>
      </c>
      <c r="D140" s="489" t="s">
        <v>162</v>
      </c>
      <c r="E140" s="354" t="s">
        <v>163</v>
      </c>
      <c r="F140" s="417" t="s">
        <v>618</v>
      </c>
      <c r="G140" s="505"/>
      <c r="H140" s="366">
        <v>99</v>
      </c>
      <c r="I140" s="366"/>
      <c r="J140" s="366"/>
      <c r="K140" s="76"/>
      <c r="L140" s="61"/>
    </row>
    <row r="141" spans="1:12" ht="19.95" customHeight="1" x14ac:dyDescent="0.25">
      <c r="A141" s="294"/>
      <c r="B141" s="353" t="s">
        <v>532</v>
      </c>
      <c r="C141" s="343" t="s">
        <v>159</v>
      </c>
      <c r="D141" s="490"/>
      <c r="E141" s="476" t="s">
        <v>164</v>
      </c>
      <c r="F141" s="417" t="s">
        <v>619</v>
      </c>
      <c r="G141" s="505"/>
      <c r="H141" s="366">
        <v>99</v>
      </c>
      <c r="I141" s="366"/>
      <c r="J141" s="366"/>
      <c r="K141" s="76"/>
      <c r="L141" s="61"/>
    </row>
    <row r="142" spans="1:12" ht="19.95" customHeight="1" x14ac:dyDescent="0.25">
      <c r="A142" s="294"/>
      <c r="B142" s="353" t="s">
        <v>532</v>
      </c>
      <c r="C142" s="343" t="s">
        <v>159</v>
      </c>
      <c r="D142" s="490"/>
      <c r="E142" s="477"/>
      <c r="F142" s="417" t="s">
        <v>620</v>
      </c>
      <c r="G142" s="505"/>
      <c r="H142" s="366">
        <v>99</v>
      </c>
      <c r="I142" s="366"/>
      <c r="J142" s="366"/>
      <c r="K142" s="76"/>
      <c r="L142" s="61"/>
    </row>
    <row r="143" spans="1:12" ht="19.95" customHeight="1" x14ac:dyDescent="0.25">
      <c r="A143" s="294"/>
      <c r="B143" s="353" t="s">
        <v>532</v>
      </c>
      <c r="C143" s="343" t="s">
        <v>159</v>
      </c>
      <c r="D143" s="490"/>
      <c r="E143" s="356" t="s">
        <v>165</v>
      </c>
      <c r="F143" s="417" t="s">
        <v>621</v>
      </c>
      <c r="G143" s="505"/>
      <c r="H143" s="366">
        <v>99</v>
      </c>
      <c r="I143" s="366"/>
      <c r="J143" s="366"/>
      <c r="K143" s="76"/>
      <c r="L143" s="61"/>
    </row>
    <row r="144" spans="1:12" ht="19.95" customHeight="1" x14ac:dyDescent="0.25">
      <c r="A144" s="294"/>
      <c r="B144" s="353" t="s">
        <v>532</v>
      </c>
      <c r="C144" s="343" t="s">
        <v>159</v>
      </c>
      <c r="D144" s="490"/>
      <c r="E144" s="478" t="s">
        <v>166</v>
      </c>
      <c r="F144" s="417" t="s">
        <v>619</v>
      </c>
      <c r="G144" s="505"/>
      <c r="H144" s="366">
        <v>99</v>
      </c>
      <c r="I144" s="366"/>
      <c r="J144" s="366"/>
      <c r="K144" s="76"/>
      <c r="L144" s="61"/>
    </row>
    <row r="145" spans="1:13" ht="19.95" customHeight="1" x14ac:dyDescent="0.25">
      <c r="A145" s="294"/>
      <c r="B145" s="353" t="s">
        <v>532</v>
      </c>
      <c r="C145" s="343" t="s">
        <v>159</v>
      </c>
      <c r="D145" s="490"/>
      <c r="E145" s="479"/>
      <c r="F145" s="417" t="s">
        <v>622</v>
      </c>
      <c r="G145" s="505"/>
      <c r="H145" s="366">
        <v>99</v>
      </c>
      <c r="I145" s="366"/>
      <c r="J145" s="366"/>
      <c r="K145" s="76"/>
      <c r="L145" s="61"/>
    </row>
    <row r="146" spans="1:13" ht="19.95" customHeight="1" x14ac:dyDescent="0.25">
      <c r="A146" s="294"/>
      <c r="B146" s="353" t="s">
        <v>532</v>
      </c>
      <c r="C146" s="343" t="s">
        <v>159</v>
      </c>
      <c r="D146" s="490"/>
      <c r="E146" s="480"/>
      <c r="F146" s="417" t="s">
        <v>623</v>
      </c>
      <c r="G146" s="505"/>
      <c r="H146" s="366">
        <v>99</v>
      </c>
      <c r="I146" s="366"/>
      <c r="J146" s="366"/>
      <c r="K146" s="76"/>
      <c r="L146" s="61"/>
    </row>
    <row r="147" spans="1:13" ht="19.95" customHeight="1" x14ac:dyDescent="0.25">
      <c r="A147" s="294"/>
      <c r="B147" s="353" t="s">
        <v>532</v>
      </c>
      <c r="C147" s="343" t="s">
        <v>159</v>
      </c>
      <c r="D147" s="491"/>
      <c r="E147" s="354" t="s">
        <v>167</v>
      </c>
      <c r="F147" s="417"/>
      <c r="G147" s="505"/>
      <c r="H147" s="366">
        <v>99</v>
      </c>
      <c r="I147" s="366"/>
      <c r="J147" s="366"/>
      <c r="K147" s="76"/>
      <c r="L147" s="61"/>
    </row>
    <row r="148" spans="1:13" ht="19.95" customHeight="1" x14ac:dyDescent="0.25">
      <c r="A148" s="294"/>
      <c r="B148" s="353" t="s">
        <v>532</v>
      </c>
      <c r="C148" s="343" t="s">
        <v>159</v>
      </c>
      <c r="D148" s="489" t="s">
        <v>168</v>
      </c>
      <c r="E148" s="354" t="s">
        <v>169</v>
      </c>
      <c r="F148" s="417"/>
      <c r="G148" s="505"/>
      <c r="H148" s="366">
        <v>99</v>
      </c>
      <c r="I148" s="366"/>
      <c r="J148" s="366"/>
      <c r="K148" s="76"/>
      <c r="L148" s="61"/>
    </row>
    <row r="149" spans="1:13" ht="19.95" customHeight="1" x14ac:dyDescent="0.25">
      <c r="A149" s="294"/>
      <c r="B149" s="353" t="s">
        <v>532</v>
      </c>
      <c r="C149" s="343" t="s">
        <v>159</v>
      </c>
      <c r="D149" s="490"/>
      <c r="E149" s="354" t="s">
        <v>170</v>
      </c>
      <c r="F149" s="417"/>
      <c r="G149" s="505"/>
      <c r="H149" s="366">
        <v>99</v>
      </c>
      <c r="I149" s="366"/>
      <c r="J149" s="366"/>
      <c r="K149" s="76"/>
      <c r="L149" s="61"/>
    </row>
    <row r="150" spans="1:13" ht="19.95" customHeight="1" x14ac:dyDescent="0.25">
      <c r="A150" s="294"/>
      <c r="B150" s="353" t="s">
        <v>532</v>
      </c>
      <c r="C150" s="343" t="s">
        <v>159</v>
      </c>
      <c r="D150" s="490"/>
      <c r="E150" s="478" t="s">
        <v>171</v>
      </c>
      <c r="F150" s="419" t="s">
        <v>624</v>
      </c>
      <c r="G150" s="505"/>
      <c r="H150" s="366">
        <v>99</v>
      </c>
      <c r="I150" s="366"/>
      <c r="J150" s="366"/>
      <c r="K150" s="76"/>
      <c r="L150" s="61"/>
    </row>
    <row r="151" spans="1:13" ht="19.95" customHeight="1" x14ac:dyDescent="0.25">
      <c r="A151" s="294"/>
      <c r="B151" s="353" t="s">
        <v>532</v>
      </c>
      <c r="C151" s="343" t="s">
        <v>159</v>
      </c>
      <c r="D151" s="490"/>
      <c r="E151" s="479"/>
      <c r="F151" s="419" t="s">
        <v>625</v>
      </c>
      <c r="G151" s="505"/>
      <c r="H151" s="366">
        <v>99</v>
      </c>
      <c r="I151" s="366"/>
      <c r="J151" s="366"/>
      <c r="K151" s="76"/>
      <c r="L151" s="61"/>
    </row>
    <row r="152" spans="1:13" ht="19.95" customHeight="1" x14ac:dyDescent="0.25">
      <c r="A152" s="294"/>
      <c r="B152" s="353" t="s">
        <v>532</v>
      </c>
      <c r="C152" s="343" t="s">
        <v>159</v>
      </c>
      <c r="D152" s="490"/>
      <c r="E152" s="479"/>
      <c r="F152" s="419" t="s">
        <v>626</v>
      </c>
      <c r="G152" s="505"/>
      <c r="H152" s="366">
        <v>99</v>
      </c>
      <c r="I152" s="366"/>
      <c r="J152" s="366"/>
      <c r="K152" s="76"/>
      <c r="L152" s="61"/>
    </row>
    <row r="153" spans="1:13" ht="19.95" customHeight="1" x14ac:dyDescent="0.25">
      <c r="A153" s="369"/>
      <c r="B153" s="353" t="s">
        <v>532</v>
      </c>
      <c r="C153" s="343" t="s">
        <v>159</v>
      </c>
      <c r="D153" s="491"/>
      <c r="E153" s="480"/>
      <c r="F153" s="419" t="s">
        <v>627</v>
      </c>
      <c r="G153" s="505"/>
      <c r="H153" s="366">
        <v>99</v>
      </c>
      <c r="I153" s="366"/>
      <c r="J153" s="366"/>
      <c r="K153" s="76"/>
      <c r="L153" s="61"/>
    </row>
    <row r="154" spans="1:13" ht="19.95" customHeight="1" x14ac:dyDescent="0.25">
      <c r="A154" s="369"/>
      <c r="B154" s="353" t="s">
        <v>532</v>
      </c>
      <c r="C154" s="343" t="s">
        <v>159</v>
      </c>
      <c r="D154" s="489" t="s">
        <v>172</v>
      </c>
      <c r="E154" s="354" t="s">
        <v>173</v>
      </c>
      <c r="F154" s="419" t="s">
        <v>628</v>
      </c>
      <c r="G154" s="505"/>
      <c r="H154" s="366">
        <v>99</v>
      </c>
      <c r="I154" s="366"/>
      <c r="J154" s="366"/>
      <c r="K154" s="76"/>
      <c r="L154" s="61"/>
    </row>
    <row r="155" spans="1:13" ht="19.95" customHeight="1" x14ac:dyDescent="0.25">
      <c r="A155" s="369"/>
      <c r="B155" s="353" t="s">
        <v>532</v>
      </c>
      <c r="C155" s="343" t="s">
        <v>159</v>
      </c>
      <c r="D155" s="490"/>
      <c r="E155" s="354" t="s">
        <v>174</v>
      </c>
      <c r="F155" s="417" t="s">
        <v>629</v>
      </c>
      <c r="G155" s="505"/>
      <c r="H155" s="366">
        <v>99</v>
      </c>
      <c r="I155" s="366"/>
      <c r="J155" s="366"/>
      <c r="K155" s="76"/>
      <c r="L155" s="61"/>
    </row>
    <row r="156" spans="1:13" ht="19.95" customHeight="1" x14ac:dyDescent="0.25">
      <c r="A156" s="369"/>
      <c r="B156" s="353" t="s">
        <v>532</v>
      </c>
      <c r="C156" s="343" t="s">
        <v>159</v>
      </c>
      <c r="D156" s="491"/>
      <c r="E156" s="354" t="s">
        <v>175</v>
      </c>
      <c r="F156" s="419" t="s">
        <v>630</v>
      </c>
      <c r="G156" s="506"/>
      <c r="H156" s="366">
        <v>99</v>
      </c>
      <c r="I156" s="366"/>
      <c r="J156" s="366"/>
      <c r="K156" s="76"/>
      <c r="L156" s="61"/>
    </row>
    <row r="157" spans="1:13" ht="19.95" customHeight="1" x14ac:dyDescent="0.25">
      <c r="A157" s="293"/>
      <c r="B157" s="370" t="s">
        <v>418</v>
      </c>
      <c r="C157" s="351"/>
      <c r="D157" s="371" t="s">
        <v>176</v>
      </c>
      <c r="E157" s="371"/>
      <c r="F157" s="332"/>
      <c r="G157" s="372"/>
      <c r="H157" s="76"/>
      <c r="I157" s="76"/>
      <c r="J157" s="76"/>
      <c r="K157" s="76"/>
      <c r="L157" s="61"/>
    </row>
    <row r="158" spans="1:13" ht="19.95" customHeight="1" x14ac:dyDescent="0.25">
      <c r="A158" s="293"/>
      <c r="B158" s="370" t="s">
        <v>418</v>
      </c>
      <c r="C158" s="351" t="s">
        <v>176</v>
      </c>
      <c r="D158" s="486" t="s">
        <v>177</v>
      </c>
      <c r="E158" s="478" t="s">
        <v>178</v>
      </c>
      <c r="F158" s="413" t="s">
        <v>631</v>
      </c>
      <c r="G158" s="334"/>
      <c r="H158" s="76">
        <v>1</v>
      </c>
      <c r="I158" s="76"/>
      <c r="J158" s="76"/>
      <c r="K158" s="76">
        <v>5</v>
      </c>
      <c r="L158" s="470" t="s">
        <v>179</v>
      </c>
      <c r="M158" s="117" t="s">
        <v>22</v>
      </c>
    </row>
    <row r="159" spans="1:13" ht="19.95" customHeight="1" x14ac:dyDescent="0.25">
      <c r="A159" s="293"/>
      <c r="B159" s="370" t="s">
        <v>418</v>
      </c>
      <c r="C159" s="351" t="s">
        <v>176</v>
      </c>
      <c r="D159" s="487"/>
      <c r="E159" s="480"/>
      <c r="F159" s="413" t="s">
        <v>632</v>
      </c>
      <c r="G159" s="334"/>
      <c r="H159" s="76">
        <v>1</v>
      </c>
      <c r="I159" s="76"/>
      <c r="J159" s="76"/>
      <c r="K159" s="76">
        <v>5</v>
      </c>
      <c r="L159" s="470"/>
    </row>
    <row r="160" spans="1:13" ht="19.95" customHeight="1" x14ac:dyDescent="0.25">
      <c r="A160" s="293"/>
      <c r="B160" s="370" t="s">
        <v>418</v>
      </c>
      <c r="C160" s="351" t="s">
        <v>176</v>
      </c>
      <c r="D160" s="487"/>
      <c r="E160" s="476" t="s">
        <v>180</v>
      </c>
      <c r="F160" s="417" t="s">
        <v>633</v>
      </c>
      <c r="G160" s="334"/>
      <c r="H160" s="76">
        <v>1</v>
      </c>
      <c r="I160" s="76"/>
      <c r="J160" s="76"/>
      <c r="K160" s="76">
        <v>5</v>
      </c>
      <c r="L160" s="115" t="s">
        <v>181</v>
      </c>
    </row>
    <row r="161" spans="1:12" ht="19.95" customHeight="1" x14ac:dyDescent="0.25">
      <c r="A161" s="293"/>
      <c r="B161" s="370" t="s">
        <v>418</v>
      </c>
      <c r="C161" s="351" t="s">
        <v>176</v>
      </c>
      <c r="D161" s="487"/>
      <c r="E161" s="477"/>
      <c r="F161" s="417" t="s">
        <v>634</v>
      </c>
      <c r="G161" s="334"/>
      <c r="H161" s="76">
        <v>1</v>
      </c>
      <c r="I161" s="76"/>
      <c r="J161" s="76"/>
      <c r="K161" s="76">
        <v>5</v>
      </c>
      <c r="L161" s="470" t="s">
        <v>179</v>
      </c>
    </row>
    <row r="162" spans="1:12" ht="19.95" customHeight="1" x14ac:dyDescent="0.25">
      <c r="A162" s="293"/>
      <c r="B162" s="370" t="s">
        <v>418</v>
      </c>
      <c r="C162" s="351" t="s">
        <v>176</v>
      </c>
      <c r="D162" s="487"/>
      <c r="E162" s="476" t="s">
        <v>182</v>
      </c>
      <c r="F162" s="417" t="s">
        <v>635</v>
      </c>
      <c r="G162" s="334"/>
      <c r="H162" s="76">
        <v>1</v>
      </c>
      <c r="I162" s="76"/>
      <c r="J162" s="76"/>
      <c r="K162" s="76">
        <v>5</v>
      </c>
      <c r="L162" s="470"/>
    </row>
    <row r="163" spans="1:12" ht="19.95" customHeight="1" x14ac:dyDescent="0.25">
      <c r="A163" s="293"/>
      <c r="B163" s="370" t="s">
        <v>418</v>
      </c>
      <c r="C163" s="351" t="s">
        <v>176</v>
      </c>
      <c r="D163" s="487"/>
      <c r="E163" s="477"/>
      <c r="F163" s="417" t="s">
        <v>636</v>
      </c>
      <c r="G163" s="334"/>
      <c r="H163" s="76">
        <v>1</v>
      </c>
      <c r="I163" s="76"/>
      <c r="J163" s="76"/>
      <c r="K163" s="76">
        <v>5</v>
      </c>
      <c r="L163" s="470"/>
    </row>
    <row r="164" spans="1:12" ht="19.95" customHeight="1" x14ac:dyDescent="0.25">
      <c r="A164" s="293"/>
      <c r="B164" s="370" t="s">
        <v>418</v>
      </c>
      <c r="C164" s="351" t="s">
        <v>176</v>
      </c>
      <c r="D164" s="487"/>
      <c r="E164" s="476" t="s">
        <v>183</v>
      </c>
      <c r="F164" s="417" t="s">
        <v>637</v>
      </c>
      <c r="G164" s="334"/>
      <c r="H164" s="76">
        <v>1</v>
      </c>
      <c r="I164" s="76"/>
      <c r="J164" s="76"/>
      <c r="K164" s="76">
        <v>5</v>
      </c>
      <c r="L164" s="470"/>
    </row>
    <row r="165" spans="1:12" ht="19.95" customHeight="1" x14ac:dyDescent="0.25">
      <c r="A165" s="293"/>
      <c r="B165" s="370" t="s">
        <v>418</v>
      </c>
      <c r="C165" s="351" t="s">
        <v>176</v>
      </c>
      <c r="D165" s="487"/>
      <c r="E165" s="519"/>
      <c r="F165" s="417" t="s">
        <v>638</v>
      </c>
      <c r="G165" s="334"/>
      <c r="H165" s="76">
        <v>1</v>
      </c>
      <c r="I165" s="76"/>
      <c r="J165" s="76"/>
      <c r="K165" s="76">
        <v>5</v>
      </c>
      <c r="L165" s="470"/>
    </row>
    <row r="166" spans="1:12" ht="19.95" customHeight="1" x14ac:dyDescent="0.25">
      <c r="A166" s="293"/>
      <c r="B166" s="370" t="s">
        <v>418</v>
      </c>
      <c r="C166" s="351" t="s">
        <v>176</v>
      </c>
      <c r="D166" s="487"/>
      <c r="E166" s="477"/>
      <c r="F166" s="417" t="s">
        <v>639</v>
      </c>
      <c r="G166" s="334"/>
      <c r="H166" s="76">
        <v>1</v>
      </c>
      <c r="I166" s="76"/>
      <c r="J166" s="76"/>
      <c r="K166" s="76">
        <v>5</v>
      </c>
      <c r="L166" s="470"/>
    </row>
    <row r="167" spans="1:12" ht="19.95" customHeight="1" x14ac:dyDescent="0.25">
      <c r="A167" s="293"/>
      <c r="B167" s="370" t="s">
        <v>418</v>
      </c>
      <c r="C167" s="351" t="s">
        <v>176</v>
      </c>
      <c r="D167" s="487"/>
      <c r="E167" s="476" t="s">
        <v>185</v>
      </c>
      <c r="F167" s="417" t="s">
        <v>619</v>
      </c>
      <c r="G167" s="334"/>
      <c r="H167" s="76">
        <v>1</v>
      </c>
      <c r="I167" s="76"/>
      <c r="J167" s="76"/>
      <c r="K167" s="76">
        <v>5</v>
      </c>
      <c r="L167" s="470"/>
    </row>
    <row r="168" spans="1:12" ht="19.95" customHeight="1" x14ac:dyDescent="0.25">
      <c r="A168" s="293"/>
      <c r="B168" s="370" t="s">
        <v>418</v>
      </c>
      <c r="C168" s="351" t="s">
        <v>176</v>
      </c>
      <c r="D168" s="487"/>
      <c r="E168" s="519"/>
      <c r="F168" s="417" t="s">
        <v>638</v>
      </c>
      <c r="G168" s="334"/>
      <c r="H168" s="76">
        <v>1</v>
      </c>
      <c r="I168" s="76"/>
      <c r="J168" s="76"/>
      <c r="K168" s="76">
        <v>6</v>
      </c>
      <c r="L168" s="470"/>
    </row>
    <row r="169" spans="1:12" ht="19.95" customHeight="1" x14ac:dyDescent="0.25">
      <c r="A169" s="293"/>
      <c r="B169" s="370" t="s">
        <v>418</v>
      </c>
      <c r="C169" s="351" t="s">
        <v>176</v>
      </c>
      <c r="D169" s="488"/>
      <c r="E169" s="477"/>
      <c r="F169" s="417" t="s">
        <v>640</v>
      </c>
      <c r="G169" s="334"/>
      <c r="H169" s="76">
        <v>1</v>
      </c>
      <c r="I169" s="76"/>
      <c r="J169" s="76"/>
      <c r="K169" s="76">
        <v>6</v>
      </c>
      <c r="L169" s="470"/>
    </row>
    <row r="170" spans="1:12" ht="19.95" customHeight="1" x14ac:dyDescent="0.25">
      <c r="A170" s="293"/>
      <c r="B170" s="370" t="s">
        <v>418</v>
      </c>
      <c r="C170" s="351" t="s">
        <v>176</v>
      </c>
      <c r="D170" s="489" t="s">
        <v>187</v>
      </c>
      <c r="E170" s="476" t="s">
        <v>188</v>
      </c>
      <c r="F170" s="417" t="s">
        <v>631</v>
      </c>
      <c r="G170" s="334"/>
      <c r="H170" s="76">
        <v>1</v>
      </c>
      <c r="I170" s="76"/>
      <c r="J170" s="76"/>
      <c r="K170" s="76">
        <v>5</v>
      </c>
      <c r="L170" s="470"/>
    </row>
    <row r="171" spans="1:12" ht="19.95" customHeight="1" x14ac:dyDescent="0.25">
      <c r="A171" s="293"/>
      <c r="B171" s="370" t="s">
        <v>418</v>
      </c>
      <c r="C171" s="351" t="s">
        <v>176</v>
      </c>
      <c r="D171" s="490"/>
      <c r="E171" s="477"/>
      <c r="F171" s="417" t="s">
        <v>641</v>
      </c>
      <c r="G171" s="334"/>
      <c r="H171" s="76">
        <v>1</v>
      </c>
      <c r="I171" s="76"/>
      <c r="J171" s="76"/>
      <c r="K171" s="76">
        <v>5</v>
      </c>
      <c r="L171" s="470"/>
    </row>
    <row r="172" spans="1:12" ht="19.95" customHeight="1" x14ac:dyDescent="0.25">
      <c r="A172" s="293"/>
      <c r="B172" s="370" t="s">
        <v>418</v>
      </c>
      <c r="C172" s="351" t="s">
        <v>176</v>
      </c>
      <c r="D172" s="490"/>
      <c r="E172" s="478" t="s">
        <v>189</v>
      </c>
      <c r="F172" s="417" t="s">
        <v>633</v>
      </c>
      <c r="G172" s="334"/>
      <c r="H172" s="76">
        <v>1</v>
      </c>
      <c r="I172" s="76"/>
      <c r="J172" s="76"/>
      <c r="K172" s="76">
        <v>5</v>
      </c>
      <c r="L172" s="470" t="s">
        <v>181</v>
      </c>
    </row>
    <row r="173" spans="1:12" ht="19.95" customHeight="1" x14ac:dyDescent="0.25">
      <c r="A173" s="293"/>
      <c r="B173" s="370" t="s">
        <v>418</v>
      </c>
      <c r="C173" s="351" t="s">
        <v>176</v>
      </c>
      <c r="D173" s="490"/>
      <c r="E173" s="480"/>
      <c r="F173" s="417" t="s">
        <v>642</v>
      </c>
      <c r="G173" s="334"/>
      <c r="H173" s="76">
        <v>1</v>
      </c>
      <c r="I173" s="76"/>
      <c r="J173" s="76"/>
      <c r="K173" s="76">
        <v>5</v>
      </c>
      <c r="L173" s="470"/>
    </row>
    <row r="174" spans="1:12" ht="19.95" customHeight="1" x14ac:dyDescent="0.25">
      <c r="A174" s="293"/>
      <c r="B174" s="370" t="s">
        <v>418</v>
      </c>
      <c r="C174" s="351" t="s">
        <v>176</v>
      </c>
      <c r="D174" s="490"/>
      <c r="E174" s="478" t="s">
        <v>190</v>
      </c>
      <c r="F174" s="417" t="s">
        <v>633</v>
      </c>
      <c r="G174" s="334"/>
      <c r="H174" s="76">
        <v>1</v>
      </c>
      <c r="I174" s="76"/>
      <c r="J174" s="76"/>
      <c r="K174" s="76">
        <v>5</v>
      </c>
      <c r="L174" s="470"/>
    </row>
    <row r="175" spans="1:12" ht="19.95" customHeight="1" x14ac:dyDescent="0.25">
      <c r="A175" s="293"/>
      <c r="B175" s="370" t="s">
        <v>418</v>
      </c>
      <c r="C175" s="351" t="s">
        <v>176</v>
      </c>
      <c r="D175" s="490"/>
      <c r="E175" s="480"/>
      <c r="F175" s="417" t="s">
        <v>643</v>
      </c>
      <c r="G175" s="334"/>
      <c r="H175" s="76">
        <v>1</v>
      </c>
      <c r="I175" s="76"/>
      <c r="J175" s="76"/>
      <c r="K175" s="76">
        <v>5</v>
      </c>
      <c r="L175" s="470"/>
    </row>
    <row r="176" spans="1:12" ht="19.95" customHeight="1" x14ac:dyDescent="0.25">
      <c r="A176" s="293"/>
      <c r="B176" s="370" t="s">
        <v>418</v>
      </c>
      <c r="C176" s="351" t="s">
        <v>176</v>
      </c>
      <c r="D176" s="490"/>
      <c r="E176" s="476" t="s">
        <v>191</v>
      </c>
      <c r="F176" s="417" t="s">
        <v>633</v>
      </c>
      <c r="G176" s="334"/>
      <c r="H176" s="76">
        <v>1</v>
      </c>
      <c r="I176" s="76"/>
      <c r="J176" s="76"/>
      <c r="K176" s="76">
        <v>6</v>
      </c>
      <c r="L176" s="470"/>
    </row>
    <row r="177" spans="1:12" ht="19.95" customHeight="1" x14ac:dyDescent="0.25">
      <c r="A177" s="293"/>
      <c r="B177" s="370" t="s">
        <v>418</v>
      </c>
      <c r="C177" s="351" t="s">
        <v>176</v>
      </c>
      <c r="D177" s="490"/>
      <c r="E177" s="477"/>
      <c r="F177" s="417" t="s">
        <v>644</v>
      </c>
      <c r="G177" s="334"/>
      <c r="H177" s="76">
        <v>1</v>
      </c>
      <c r="I177" s="76"/>
      <c r="J177" s="76"/>
      <c r="K177" s="76">
        <v>6</v>
      </c>
      <c r="L177" s="470" t="s">
        <v>179</v>
      </c>
    </row>
    <row r="178" spans="1:12" ht="19.95" customHeight="1" x14ac:dyDescent="0.25">
      <c r="A178" s="293"/>
      <c r="B178" s="370" t="s">
        <v>418</v>
      </c>
      <c r="C178" s="351" t="s">
        <v>176</v>
      </c>
      <c r="D178" s="490"/>
      <c r="E178" s="476" t="s">
        <v>192</v>
      </c>
      <c r="F178" s="417" t="s">
        <v>645</v>
      </c>
      <c r="G178" s="334"/>
      <c r="H178" s="76">
        <v>1</v>
      </c>
      <c r="I178" s="76"/>
      <c r="J178" s="76"/>
      <c r="K178" s="76">
        <v>6</v>
      </c>
      <c r="L178" s="470"/>
    </row>
    <row r="179" spans="1:12" ht="19.95" customHeight="1" x14ac:dyDescent="0.25">
      <c r="A179" s="293"/>
      <c r="B179" s="370" t="s">
        <v>418</v>
      </c>
      <c r="C179" s="351" t="s">
        <v>176</v>
      </c>
      <c r="D179" s="490"/>
      <c r="E179" s="519"/>
      <c r="F179" s="417" t="s">
        <v>646</v>
      </c>
      <c r="G179" s="334"/>
      <c r="H179" s="76">
        <v>1</v>
      </c>
      <c r="I179" s="76"/>
      <c r="J179" s="76"/>
      <c r="K179" s="76">
        <v>6</v>
      </c>
      <c r="L179" s="470"/>
    </row>
    <row r="180" spans="1:12" ht="19.95" customHeight="1" x14ac:dyDescent="0.25">
      <c r="A180" s="293"/>
      <c r="B180" s="370" t="s">
        <v>418</v>
      </c>
      <c r="C180" s="351" t="s">
        <v>176</v>
      </c>
      <c r="D180" s="490"/>
      <c r="E180" s="477"/>
      <c r="F180" s="417" t="s">
        <v>647</v>
      </c>
      <c r="G180" s="334"/>
      <c r="H180" s="76">
        <v>1</v>
      </c>
      <c r="I180" s="76"/>
      <c r="J180" s="76"/>
      <c r="K180" s="76">
        <v>5</v>
      </c>
      <c r="L180" s="470"/>
    </row>
    <row r="181" spans="1:12" ht="19.95" customHeight="1" x14ac:dyDescent="0.25">
      <c r="A181" s="293"/>
      <c r="B181" s="370" t="s">
        <v>418</v>
      </c>
      <c r="C181" s="351" t="s">
        <v>176</v>
      </c>
      <c r="D181" s="490"/>
      <c r="E181" s="476" t="s">
        <v>193</v>
      </c>
      <c r="F181" s="417" t="s">
        <v>645</v>
      </c>
      <c r="G181" s="334"/>
      <c r="H181" s="76">
        <v>1</v>
      </c>
      <c r="I181" s="76"/>
      <c r="J181" s="76"/>
      <c r="K181" s="76">
        <v>5</v>
      </c>
      <c r="L181" s="470"/>
    </row>
    <row r="182" spans="1:12" ht="19.95" customHeight="1" x14ac:dyDescent="0.25">
      <c r="A182" s="293"/>
      <c r="B182" s="370" t="s">
        <v>418</v>
      </c>
      <c r="C182" s="351" t="s">
        <v>176</v>
      </c>
      <c r="D182" s="490"/>
      <c r="E182" s="477"/>
      <c r="F182" s="417" t="s">
        <v>648</v>
      </c>
      <c r="G182" s="334"/>
      <c r="H182" s="76">
        <v>1</v>
      </c>
      <c r="I182" s="76"/>
      <c r="J182" s="76"/>
      <c r="K182" s="76">
        <v>5</v>
      </c>
      <c r="L182" s="470"/>
    </row>
    <row r="183" spans="1:12" ht="19.95" customHeight="1" x14ac:dyDescent="0.25">
      <c r="A183" s="293"/>
      <c r="B183" s="370" t="s">
        <v>418</v>
      </c>
      <c r="C183" s="351" t="s">
        <v>176</v>
      </c>
      <c r="D183" s="490"/>
      <c r="E183" s="476" t="s">
        <v>194</v>
      </c>
      <c r="F183" s="417" t="s">
        <v>645</v>
      </c>
      <c r="G183" s="334"/>
      <c r="H183" s="76">
        <v>1</v>
      </c>
      <c r="I183" s="76"/>
      <c r="J183" s="76"/>
      <c r="K183" s="76">
        <v>6</v>
      </c>
      <c r="L183" s="470"/>
    </row>
    <row r="184" spans="1:12" ht="19.95" customHeight="1" x14ac:dyDescent="0.25">
      <c r="A184" s="293"/>
      <c r="B184" s="370" t="s">
        <v>418</v>
      </c>
      <c r="C184" s="351" t="s">
        <v>176</v>
      </c>
      <c r="D184" s="491"/>
      <c r="E184" s="520"/>
      <c r="F184" s="417" t="s">
        <v>649</v>
      </c>
      <c r="G184" s="334"/>
      <c r="H184" s="76">
        <v>1</v>
      </c>
      <c r="I184" s="76"/>
      <c r="J184" s="76"/>
      <c r="K184" s="76">
        <v>6</v>
      </c>
      <c r="L184" s="470"/>
    </row>
    <row r="185" spans="1:12" ht="19.95" customHeight="1" x14ac:dyDescent="0.25">
      <c r="A185" s="293"/>
      <c r="B185" s="370" t="s">
        <v>418</v>
      </c>
      <c r="C185" s="351" t="s">
        <v>176</v>
      </c>
      <c r="D185" s="509" t="s">
        <v>195</v>
      </c>
      <c r="E185" s="373" t="s">
        <v>196</v>
      </c>
      <c r="F185" s="423" t="s">
        <v>650</v>
      </c>
      <c r="G185" s="334"/>
      <c r="H185" s="76">
        <v>1</v>
      </c>
      <c r="I185" s="76"/>
      <c r="J185" s="76"/>
      <c r="K185" s="76">
        <v>5</v>
      </c>
      <c r="L185" s="470"/>
    </row>
    <row r="186" spans="1:12" ht="19.95" customHeight="1" x14ac:dyDescent="0.25">
      <c r="A186" s="293"/>
      <c r="B186" s="370" t="s">
        <v>418</v>
      </c>
      <c r="C186" s="351" t="s">
        <v>176</v>
      </c>
      <c r="D186" s="510"/>
      <c r="E186" s="482" t="s">
        <v>197</v>
      </c>
      <c r="F186" s="423" t="s">
        <v>651</v>
      </c>
      <c r="G186" s="334"/>
      <c r="H186" s="76">
        <v>1</v>
      </c>
      <c r="I186" s="76"/>
      <c r="J186" s="76"/>
      <c r="K186" s="76">
        <v>5</v>
      </c>
      <c r="L186" s="470"/>
    </row>
    <row r="187" spans="1:12" ht="19.95" customHeight="1" x14ac:dyDescent="0.25">
      <c r="A187" s="293"/>
      <c r="B187" s="370" t="s">
        <v>418</v>
      </c>
      <c r="C187" s="351" t="s">
        <v>176</v>
      </c>
      <c r="D187" s="510"/>
      <c r="E187" s="482"/>
      <c r="F187" s="423" t="s">
        <v>652</v>
      </c>
      <c r="G187" s="334"/>
      <c r="H187" s="76">
        <v>1</v>
      </c>
      <c r="I187" s="76"/>
      <c r="J187" s="76"/>
      <c r="K187" s="76">
        <v>5</v>
      </c>
      <c r="L187" s="470"/>
    </row>
    <row r="188" spans="1:12" ht="19.95" customHeight="1" x14ac:dyDescent="0.25">
      <c r="A188" s="293"/>
      <c r="B188" s="370" t="s">
        <v>418</v>
      </c>
      <c r="C188" s="351" t="s">
        <v>176</v>
      </c>
      <c r="D188" s="510"/>
      <c r="E188" s="482"/>
      <c r="F188" s="423" t="s">
        <v>653</v>
      </c>
      <c r="G188" s="334"/>
      <c r="H188" s="76">
        <v>1</v>
      </c>
      <c r="I188" s="76"/>
      <c r="J188" s="76"/>
      <c r="K188" s="76">
        <v>5</v>
      </c>
      <c r="L188" s="470"/>
    </row>
    <row r="189" spans="1:12" ht="19.95" customHeight="1" x14ac:dyDescent="0.25">
      <c r="A189" s="293"/>
      <c r="B189" s="370" t="s">
        <v>418</v>
      </c>
      <c r="C189" s="351" t="s">
        <v>176</v>
      </c>
      <c r="D189" s="510"/>
      <c r="E189" s="482"/>
      <c r="F189" s="424" t="s">
        <v>654</v>
      </c>
      <c r="G189" s="334"/>
      <c r="H189" s="76">
        <v>1</v>
      </c>
      <c r="I189" s="76"/>
      <c r="J189" s="76"/>
      <c r="K189" s="76">
        <v>5</v>
      </c>
      <c r="L189" s="470"/>
    </row>
    <row r="190" spans="1:12" ht="19.95" customHeight="1" x14ac:dyDescent="0.25">
      <c r="A190" s="293"/>
      <c r="B190" s="348" t="s">
        <v>199</v>
      </c>
      <c r="C190" s="346"/>
      <c r="D190" s="325" t="s">
        <v>200</v>
      </c>
      <c r="E190" s="325"/>
      <c r="F190" s="375"/>
      <c r="G190" s="333"/>
      <c r="H190" s="76"/>
      <c r="I190" s="76"/>
      <c r="J190" s="76"/>
      <c r="K190" s="76"/>
      <c r="L190" s="61"/>
    </row>
    <row r="191" spans="1:12" ht="19.95" customHeight="1" x14ac:dyDescent="0.25">
      <c r="A191" s="293"/>
      <c r="B191" s="348" t="s">
        <v>199</v>
      </c>
      <c r="C191" s="346" t="s">
        <v>200</v>
      </c>
      <c r="D191" s="507" t="s">
        <v>201</v>
      </c>
      <c r="E191" s="354" t="s">
        <v>153</v>
      </c>
      <c r="F191" s="417" t="s">
        <v>655</v>
      </c>
      <c r="G191" s="334"/>
      <c r="H191" s="76">
        <v>1</v>
      </c>
      <c r="I191" s="76"/>
      <c r="J191" s="76">
        <v>3</v>
      </c>
      <c r="K191" s="76">
        <v>5</v>
      </c>
      <c r="L191" s="470" t="s">
        <v>202</v>
      </c>
    </row>
    <row r="192" spans="1:12" ht="19.95" customHeight="1" x14ac:dyDescent="0.25">
      <c r="A192" s="293"/>
      <c r="B192" s="348" t="s">
        <v>199</v>
      </c>
      <c r="C192" s="346" t="s">
        <v>200</v>
      </c>
      <c r="D192" s="508"/>
      <c r="E192" s="354" t="s">
        <v>116</v>
      </c>
      <c r="F192" s="417" t="s">
        <v>656</v>
      </c>
      <c r="G192" s="334"/>
      <c r="H192" s="76">
        <v>1</v>
      </c>
      <c r="I192" s="76"/>
      <c r="J192" s="76">
        <v>3</v>
      </c>
      <c r="K192" s="76">
        <v>5</v>
      </c>
      <c r="L192" s="470"/>
    </row>
    <row r="193" spans="1:12" ht="19.95" customHeight="1" x14ac:dyDescent="0.25">
      <c r="A193" s="293"/>
      <c r="B193" s="348" t="s">
        <v>199</v>
      </c>
      <c r="C193" s="346" t="s">
        <v>200</v>
      </c>
      <c r="D193" s="483" t="s">
        <v>203</v>
      </c>
      <c r="E193" s="354" t="s">
        <v>809</v>
      </c>
      <c r="F193" s="417"/>
      <c r="G193" s="334"/>
      <c r="H193" s="76">
        <v>1</v>
      </c>
      <c r="I193" s="76"/>
      <c r="J193" s="76">
        <v>3</v>
      </c>
      <c r="K193" s="76">
        <v>5</v>
      </c>
      <c r="L193" s="470"/>
    </row>
    <row r="194" spans="1:12" ht="19.95" customHeight="1" x14ac:dyDescent="0.25">
      <c r="A194" s="293"/>
      <c r="B194" s="348" t="s">
        <v>199</v>
      </c>
      <c r="C194" s="346" t="s">
        <v>200</v>
      </c>
      <c r="D194" s="484"/>
      <c r="E194" s="354" t="s">
        <v>204</v>
      </c>
      <c r="F194" s="417"/>
      <c r="G194" s="334"/>
      <c r="H194" s="76">
        <v>1</v>
      </c>
      <c r="I194" s="76"/>
      <c r="J194" s="76">
        <v>3</v>
      </c>
      <c r="K194" s="76">
        <v>5</v>
      </c>
      <c r="L194" s="470"/>
    </row>
    <row r="195" spans="1:12" ht="19.95" customHeight="1" x14ac:dyDescent="0.25">
      <c r="A195" s="293"/>
      <c r="B195" s="348" t="s">
        <v>199</v>
      </c>
      <c r="C195" s="346" t="s">
        <v>200</v>
      </c>
      <c r="D195" s="484"/>
      <c r="E195" s="354" t="s">
        <v>205</v>
      </c>
      <c r="F195" s="417"/>
      <c r="G195" s="334"/>
      <c r="H195" s="76">
        <v>1</v>
      </c>
      <c r="I195" s="76"/>
      <c r="J195" s="76">
        <v>3</v>
      </c>
      <c r="K195" s="76">
        <v>5</v>
      </c>
      <c r="L195" s="470"/>
    </row>
    <row r="196" spans="1:12" ht="19.95" customHeight="1" x14ac:dyDescent="0.25">
      <c r="A196" s="293"/>
      <c r="B196" s="348" t="s">
        <v>199</v>
      </c>
      <c r="C196" s="346" t="s">
        <v>200</v>
      </c>
      <c r="D196" s="484"/>
      <c r="E196" s="354" t="s">
        <v>206</v>
      </c>
      <c r="F196" s="417" t="s">
        <v>657</v>
      </c>
      <c r="G196" s="334"/>
      <c r="H196" s="76">
        <v>1</v>
      </c>
      <c r="I196" s="76"/>
      <c r="J196" s="76">
        <v>3</v>
      </c>
      <c r="K196" s="76">
        <v>5</v>
      </c>
      <c r="L196" s="470"/>
    </row>
    <row r="197" spans="1:12" ht="19.95" customHeight="1" x14ac:dyDescent="0.25">
      <c r="A197" s="293"/>
      <c r="B197" s="348" t="s">
        <v>199</v>
      </c>
      <c r="C197" s="346" t="s">
        <v>200</v>
      </c>
      <c r="D197" s="485"/>
      <c r="E197" s="354" t="s">
        <v>207</v>
      </c>
      <c r="F197" s="417"/>
      <c r="G197" s="334"/>
      <c r="H197" s="76">
        <v>1</v>
      </c>
      <c r="I197" s="76"/>
      <c r="J197" s="76">
        <v>3</v>
      </c>
      <c r="K197" s="76">
        <v>5</v>
      </c>
      <c r="L197" s="470"/>
    </row>
    <row r="198" spans="1:12" ht="19.95" customHeight="1" x14ac:dyDescent="0.25">
      <c r="A198" s="293"/>
      <c r="B198" s="348" t="s">
        <v>199</v>
      </c>
      <c r="C198" s="346" t="s">
        <v>200</v>
      </c>
      <c r="D198" s="483" t="s">
        <v>208</v>
      </c>
      <c r="E198" s="356" t="s">
        <v>209</v>
      </c>
      <c r="F198" s="417"/>
      <c r="G198" s="334"/>
      <c r="H198" s="76">
        <v>1</v>
      </c>
      <c r="I198" s="76"/>
      <c r="J198" s="76">
        <v>3</v>
      </c>
      <c r="K198" s="76">
        <v>5</v>
      </c>
      <c r="L198" s="470"/>
    </row>
    <row r="199" spans="1:12" ht="19.95" customHeight="1" x14ac:dyDescent="0.25">
      <c r="A199" s="293"/>
      <c r="B199" s="348" t="s">
        <v>199</v>
      </c>
      <c r="C199" s="346" t="s">
        <v>200</v>
      </c>
      <c r="D199" s="485"/>
      <c r="E199" s="356" t="s">
        <v>210</v>
      </c>
      <c r="F199" s="417"/>
      <c r="G199" s="334"/>
      <c r="H199" s="76">
        <v>1</v>
      </c>
      <c r="I199" s="76"/>
      <c r="J199" s="76">
        <v>3</v>
      </c>
      <c r="K199" s="76">
        <v>5</v>
      </c>
      <c r="L199" s="470"/>
    </row>
    <row r="200" spans="1:12" ht="19.95" customHeight="1" x14ac:dyDescent="0.25">
      <c r="A200" s="293"/>
      <c r="B200" s="348" t="s">
        <v>199</v>
      </c>
      <c r="C200" s="346" t="s">
        <v>200</v>
      </c>
      <c r="D200" s="483" t="s">
        <v>211</v>
      </c>
      <c r="E200" s="476" t="s">
        <v>212</v>
      </c>
      <c r="F200" s="417" t="s">
        <v>213</v>
      </c>
      <c r="G200" s="334"/>
      <c r="H200" s="76">
        <v>1</v>
      </c>
      <c r="I200" s="76"/>
      <c r="J200" s="76">
        <v>3</v>
      </c>
      <c r="K200" s="76">
        <v>5</v>
      </c>
      <c r="L200" s="470" t="s">
        <v>214</v>
      </c>
    </row>
    <row r="201" spans="1:12" ht="19.95" customHeight="1" x14ac:dyDescent="0.25">
      <c r="A201" s="293"/>
      <c r="B201" s="348" t="s">
        <v>199</v>
      </c>
      <c r="C201" s="346" t="s">
        <v>200</v>
      </c>
      <c r="D201" s="484"/>
      <c r="E201" s="477"/>
      <c r="F201" s="417" t="s">
        <v>658</v>
      </c>
      <c r="G201" s="334"/>
      <c r="H201" s="76">
        <v>1</v>
      </c>
      <c r="I201" s="76"/>
      <c r="J201" s="76">
        <v>3</v>
      </c>
      <c r="K201" s="76">
        <v>5</v>
      </c>
      <c r="L201" s="470"/>
    </row>
    <row r="202" spans="1:12" ht="19.95" customHeight="1" x14ac:dyDescent="0.25">
      <c r="A202" s="293"/>
      <c r="B202" s="348" t="s">
        <v>199</v>
      </c>
      <c r="C202" s="346" t="s">
        <v>200</v>
      </c>
      <c r="D202" s="484"/>
      <c r="E202" s="356" t="s">
        <v>215</v>
      </c>
      <c r="F202" s="417" t="s">
        <v>659</v>
      </c>
      <c r="G202" s="334"/>
      <c r="H202" s="76">
        <v>1</v>
      </c>
      <c r="I202" s="76"/>
      <c r="J202" s="76">
        <v>3</v>
      </c>
      <c r="K202" s="76">
        <v>5</v>
      </c>
      <c r="L202" s="470"/>
    </row>
    <row r="203" spans="1:12" ht="19.95" customHeight="1" x14ac:dyDescent="0.25">
      <c r="A203" s="293"/>
      <c r="B203" s="348" t="s">
        <v>199</v>
      </c>
      <c r="C203" s="346" t="s">
        <v>200</v>
      </c>
      <c r="D203" s="484"/>
      <c r="E203" s="476" t="s">
        <v>216</v>
      </c>
      <c r="F203" s="417" t="s">
        <v>660</v>
      </c>
      <c r="G203" s="334"/>
      <c r="H203" s="76">
        <v>1</v>
      </c>
      <c r="I203" s="76"/>
      <c r="J203" s="76">
        <v>3</v>
      </c>
      <c r="K203" s="76">
        <v>5</v>
      </c>
      <c r="L203" s="470"/>
    </row>
    <row r="204" spans="1:12" ht="19.95" customHeight="1" x14ac:dyDescent="0.25">
      <c r="A204" s="293"/>
      <c r="B204" s="348" t="s">
        <v>199</v>
      </c>
      <c r="C204" s="346" t="s">
        <v>200</v>
      </c>
      <c r="D204" s="484"/>
      <c r="E204" s="519"/>
      <c r="F204" s="417" t="s">
        <v>661</v>
      </c>
      <c r="G204" s="334"/>
      <c r="H204" s="76">
        <v>1</v>
      </c>
      <c r="I204" s="76"/>
      <c r="J204" s="76">
        <v>3</v>
      </c>
      <c r="K204" s="76">
        <v>5</v>
      </c>
      <c r="L204" s="470"/>
    </row>
    <row r="205" spans="1:12" ht="19.95" customHeight="1" x14ac:dyDescent="0.25">
      <c r="A205" s="293"/>
      <c r="B205" s="348" t="s">
        <v>199</v>
      </c>
      <c r="C205" s="346" t="s">
        <v>200</v>
      </c>
      <c r="D205" s="484"/>
      <c r="E205" s="519"/>
      <c r="F205" s="417" t="s">
        <v>662</v>
      </c>
      <c r="G205" s="334"/>
      <c r="H205" s="76">
        <v>1</v>
      </c>
      <c r="I205" s="76"/>
      <c r="J205" s="76">
        <v>3</v>
      </c>
      <c r="K205" s="76">
        <v>5</v>
      </c>
      <c r="L205" s="470"/>
    </row>
    <row r="206" spans="1:12" ht="19.95" customHeight="1" x14ac:dyDescent="0.25">
      <c r="A206" s="293"/>
      <c r="B206" s="348" t="s">
        <v>199</v>
      </c>
      <c r="C206" s="346" t="s">
        <v>200</v>
      </c>
      <c r="D206" s="484"/>
      <c r="E206" s="519"/>
      <c r="F206" s="417" t="s">
        <v>663</v>
      </c>
      <c r="G206" s="334"/>
      <c r="H206" s="76">
        <v>1</v>
      </c>
      <c r="I206" s="76"/>
      <c r="J206" s="76">
        <v>3</v>
      </c>
      <c r="K206" s="76">
        <v>5</v>
      </c>
      <c r="L206" s="470"/>
    </row>
    <row r="207" spans="1:12" ht="19.95" customHeight="1" x14ac:dyDescent="0.25">
      <c r="A207" s="293"/>
      <c r="B207" s="348" t="s">
        <v>199</v>
      </c>
      <c r="C207" s="346" t="s">
        <v>200</v>
      </c>
      <c r="D207" s="484"/>
      <c r="E207" s="477"/>
      <c r="F207" s="417" t="s">
        <v>664</v>
      </c>
      <c r="G207" s="334"/>
      <c r="H207" s="76">
        <v>1</v>
      </c>
      <c r="I207" s="76"/>
      <c r="J207" s="76">
        <v>3</v>
      </c>
      <c r="K207" s="76">
        <v>5</v>
      </c>
      <c r="L207" s="470"/>
    </row>
    <row r="208" spans="1:12" ht="19.95" customHeight="1" x14ac:dyDescent="0.25">
      <c r="A208" s="293"/>
      <c r="B208" s="348" t="s">
        <v>199</v>
      </c>
      <c r="C208" s="346" t="s">
        <v>200</v>
      </c>
      <c r="D208" s="484"/>
      <c r="E208" s="359" t="s">
        <v>217</v>
      </c>
      <c r="F208" s="417" t="s">
        <v>665</v>
      </c>
      <c r="G208" s="334"/>
      <c r="H208" s="76">
        <v>1</v>
      </c>
      <c r="I208" s="76"/>
      <c r="J208" s="76">
        <v>3</v>
      </c>
      <c r="K208" s="76">
        <v>5</v>
      </c>
      <c r="L208" s="470"/>
    </row>
    <row r="209" spans="1:12" ht="19.95" customHeight="1" x14ac:dyDescent="0.25">
      <c r="A209" s="293"/>
      <c r="B209" s="348" t="s">
        <v>199</v>
      </c>
      <c r="C209" s="346" t="s">
        <v>200</v>
      </c>
      <c r="D209" s="484"/>
      <c r="E209" s="376"/>
      <c r="F209" s="417" t="s">
        <v>666</v>
      </c>
      <c r="G209" s="334"/>
      <c r="H209" s="76">
        <v>1</v>
      </c>
      <c r="I209" s="76"/>
      <c r="J209" s="76">
        <v>3</v>
      </c>
      <c r="K209" s="76">
        <v>5</v>
      </c>
      <c r="L209" s="470"/>
    </row>
    <row r="210" spans="1:12" ht="19.95" customHeight="1" x14ac:dyDescent="0.25">
      <c r="A210" s="293"/>
      <c r="B210" s="348" t="s">
        <v>199</v>
      </c>
      <c r="C210" s="346" t="s">
        <v>200</v>
      </c>
      <c r="D210" s="485"/>
      <c r="E210" s="361"/>
      <c r="F210" s="417" t="s">
        <v>667</v>
      </c>
      <c r="G210" s="334"/>
      <c r="H210" s="76">
        <v>1</v>
      </c>
      <c r="I210" s="76"/>
      <c r="J210" s="76">
        <v>3</v>
      </c>
      <c r="K210" s="76">
        <v>5</v>
      </c>
      <c r="L210" s="470"/>
    </row>
    <row r="211" spans="1:12" ht="19.95" customHeight="1" x14ac:dyDescent="0.25">
      <c r="A211" s="293"/>
      <c r="B211" s="348" t="s">
        <v>199</v>
      </c>
      <c r="C211" s="346"/>
      <c r="D211" s="325" t="s">
        <v>218</v>
      </c>
      <c r="E211" s="325"/>
      <c r="F211" s="375"/>
      <c r="G211" s="333"/>
      <c r="H211" s="76"/>
      <c r="I211" s="76"/>
      <c r="J211" s="76"/>
      <c r="K211" s="76"/>
      <c r="L211" s="61"/>
    </row>
    <row r="212" spans="1:12" ht="19.95" customHeight="1" x14ac:dyDescent="0.25">
      <c r="A212" s="293"/>
      <c r="B212" s="348" t="s">
        <v>199</v>
      </c>
      <c r="C212" s="346" t="s">
        <v>218</v>
      </c>
      <c r="D212" s="489" t="s">
        <v>219</v>
      </c>
      <c r="E212" s="354" t="s">
        <v>186</v>
      </c>
      <c r="F212" s="417" t="s">
        <v>220</v>
      </c>
      <c r="G212" s="334"/>
      <c r="H212" s="76">
        <v>3</v>
      </c>
      <c r="I212" s="76"/>
      <c r="J212" s="76"/>
      <c r="K212" s="76">
        <v>5</v>
      </c>
      <c r="L212" s="61"/>
    </row>
    <row r="213" spans="1:12" ht="19.95" customHeight="1" x14ac:dyDescent="0.25">
      <c r="A213" s="293"/>
      <c r="B213" s="348" t="s">
        <v>199</v>
      </c>
      <c r="C213" s="346" t="s">
        <v>218</v>
      </c>
      <c r="D213" s="490"/>
      <c r="E213" s="354" t="s">
        <v>203</v>
      </c>
      <c r="F213" s="417" t="s">
        <v>668</v>
      </c>
      <c r="G213" s="334"/>
      <c r="H213" s="76">
        <v>3</v>
      </c>
      <c r="I213" s="76"/>
      <c r="J213" s="76"/>
      <c r="K213" s="76">
        <v>6</v>
      </c>
      <c r="L213" s="61"/>
    </row>
    <row r="214" spans="1:12" ht="19.95" customHeight="1" x14ac:dyDescent="0.25">
      <c r="A214" s="293"/>
      <c r="B214" s="348" t="s">
        <v>199</v>
      </c>
      <c r="C214" s="346" t="s">
        <v>218</v>
      </c>
      <c r="D214" s="491"/>
      <c r="E214" s="354" t="s">
        <v>221</v>
      </c>
      <c r="F214" s="417" t="s">
        <v>677</v>
      </c>
      <c r="G214" s="334"/>
      <c r="H214" s="76">
        <v>3</v>
      </c>
      <c r="I214" s="76"/>
      <c r="J214" s="76"/>
      <c r="K214" s="76">
        <v>6</v>
      </c>
      <c r="L214" s="61"/>
    </row>
    <row r="215" spans="1:12" ht="19.95" customHeight="1" x14ac:dyDescent="0.25">
      <c r="A215" s="293"/>
      <c r="B215" s="348" t="s">
        <v>199</v>
      </c>
      <c r="C215" s="346" t="s">
        <v>218</v>
      </c>
      <c r="D215" s="489" t="s">
        <v>222</v>
      </c>
      <c r="E215" s="476" t="s">
        <v>223</v>
      </c>
      <c r="F215" s="417" t="s">
        <v>669</v>
      </c>
      <c r="G215" s="334"/>
      <c r="H215" s="76">
        <v>2</v>
      </c>
      <c r="I215" s="76"/>
      <c r="J215" s="76"/>
      <c r="K215" s="76">
        <v>6</v>
      </c>
      <c r="L215" s="61"/>
    </row>
    <row r="216" spans="1:12" ht="19.95" customHeight="1" x14ac:dyDescent="0.25">
      <c r="A216" s="293"/>
      <c r="B216" s="348" t="s">
        <v>199</v>
      </c>
      <c r="C216" s="346" t="s">
        <v>218</v>
      </c>
      <c r="D216" s="490"/>
      <c r="E216" s="519"/>
      <c r="F216" s="417" t="s">
        <v>672</v>
      </c>
      <c r="G216" s="334"/>
      <c r="H216" s="76">
        <v>3</v>
      </c>
      <c r="I216" s="76"/>
      <c r="J216" s="76"/>
      <c r="K216" s="76">
        <v>6</v>
      </c>
      <c r="L216" s="61"/>
    </row>
    <row r="217" spans="1:12" ht="19.95" customHeight="1" x14ac:dyDescent="0.25">
      <c r="A217" s="293"/>
      <c r="B217" s="348" t="s">
        <v>199</v>
      </c>
      <c r="C217" s="346" t="s">
        <v>218</v>
      </c>
      <c r="D217" s="490"/>
      <c r="E217" s="519"/>
      <c r="F217" s="417" t="s">
        <v>670</v>
      </c>
      <c r="G217" s="334"/>
      <c r="H217" s="76">
        <v>3</v>
      </c>
      <c r="I217" s="76"/>
      <c r="J217" s="76"/>
      <c r="K217" s="76">
        <v>6</v>
      </c>
      <c r="L217" s="61"/>
    </row>
    <row r="218" spans="1:12" ht="19.95" customHeight="1" x14ac:dyDescent="0.25">
      <c r="A218" s="293"/>
      <c r="B218" s="348" t="s">
        <v>199</v>
      </c>
      <c r="C218" s="346" t="s">
        <v>218</v>
      </c>
      <c r="D218" s="490"/>
      <c r="E218" s="477"/>
      <c r="F218" s="417" t="s">
        <v>671</v>
      </c>
      <c r="G218" s="334"/>
      <c r="H218" s="76">
        <v>3</v>
      </c>
      <c r="I218" s="76"/>
      <c r="J218" s="76"/>
      <c r="K218" s="76">
        <v>6</v>
      </c>
      <c r="L218" s="61"/>
    </row>
    <row r="219" spans="1:12" ht="19.95" customHeight="1" x14ac:dyDescent="0.25">
      <c r="A219" s="293"/>
      <c r="B219" s="348" t="s">
        <v>199</v>
      </c>
      <c r="C219" s="346" t="s">
        <v>218</v>
      </c>
      <c r="D219" s="490"/>
      <c r="E219" s="478" t="s">
        <v>224</v>
      </c>
      <c r="F219" s="417" t="s">
        <v>673</v>
      </c>
      <c r="G219" s="334"/>
      <c r="H219" s="76">
        <v>3</v>
      </c>
      <c r="I219" s="76"/>
      <c r="J219" s="76"/>
      <c r="K219" s="76">
        <v>6</v>
      </c>
      <c r="L219" s="61"/>
    </row>
    <row r="220" spans="1:12" ht="19.95" customHeight="1" x14ac:dyDescent="0.25">
      <c r="A220" s="293"/>
      <c r="B220" s="348" t="s">
        <v>199</v>
      </c>
      <c r="C220" s="346" t="s">
        <v>218</v>
      </c>
      <c r="D220" s="491"/>
      <c r="E220" s="480"/>
      <c r="F220" s="417" t="s">
        <v>674</v>
      </c>
      <c r="G220" s="334"/>
      <c r="H220" s="76">
        <v>3</v>
      </c>
      <c r="I220" s="76"/>
      <c r="J220" s="76"/>
      <c r="K220" s="76">
        <v>6</v>
      </c>
      <c r="L220" s="61"/>
    </row>
    <row r="221" spans="1:12" ht="19.95" customHeight="1" x14ac:dyDescent="0.25">
      <c r="A221" s="293"/>
      <c r="B221" s="348" t="s">
        <v>199</v>
      </c>
      <c r="C221" s="346" t="s">
        <v>218</v>
      </c>
      <c r="D221" s="489" t="s">
        <v>225</v>
      </c>
      <c r="E221" s="478" t="s">
        <v>226</v>
      </c>
      <c r="F221" s="417" t="s">
        <v>675</v>
      </c>
      <c r="G221" s="334"/>
      <c r="H221" s="76">
        <v>3</v>
      </c>
      <c r="I221" s="76"/>
      <c r="J221" s="76"/>
      <c r="K221" s="76">
        <v>6</v>
      </c>
      <c r="L221" s="61"/>
    </row>
    <row r="222" spans="1:12" ht="19.95" customHeight="1" x14ac:dyDescent="0.25">
      <c r="A222" s="293"/>
      <c r="B222" s="348" t="s">
        <v>199</v>
      </c>
      <c r="C222" s="346" t="s">
        <v>218</v>
      </c>
      <c r="D222" s="490"/>
      <c r="E222" s="479"/>
      <c r="F222" s="417" t="s">
        <v>676</v>
      </c>
      <c r="G222" s="334"/>
      <c r="H222" s="76">
        <v>3</v>
      </c>
      <c r="I222" s="76"/>
      <c r="J222" s="76"/>
      <c r="K222" s="76">
        <v>6</v>
      </c>
      <c r="L222" s="61"/>
    </row>
    <row r="223" spans="1:12" ht="19.95" customHeight="1" x14ac:dyDescent="0.25">
      <c r="A223" s="293"/>
      <c r="B223" s="348" t="s">
        <v>199</v>
      </c>
      <c r="C223" s="346" t="s">
        <v>218</v>
      </c>
      <c r="D223" s="490"/>
      <c r="E223" s="480"/>
      <c r="F223" s="417" t="s">
        <v>678</v>
      </c>
      <c r="G223" s="334"/>
      <c r="H223" s="76">
        <v>3</v>
      </c>
      <c r="I223" s="76"/>
      <c r="J223" s="76"/>
      <c r="K223" s="76">
        <v>6</v>
      </c>
      <c r="L223" s="61"/>
    </row>
    <row r="224" spans="1:12" ht="19.95" customHeight="1" x14ac:dyDescent="0.25">
      <c r="A224" s="293"/>
      <c r="B224" s="348" t="s">
        <v>199</v>
      </c>
      <c r="C224" s="346" t="s">
        <v>218</v>
      </c>
      <c r="D224" s="490"/>
      <c r="E224" s="478" t="s">
        <v>227</v>
      </c>
      <c r="F224" s="417" t="s">
        <v>679</v>
      </c>
      <c r="G224" s="334"/>
      <c r="H224" s="76">
        <v>2</v>
      </c>
      <c r="I224" s="76"/>
      <c r="J224" s="76"/>
      <c r="K224" s="76">
        <v>6</v>
      </c>
      <c r="L224" s="61"/>
    </row>
    <row r="225" spans="1:12" ht="19.95" customHeight="1" x14ac:dyDescent="0.25">
      <c r="A225" s="293"/>
      <c r="B225" s="348" t="s">
        <v>199</v>
      </c>
      <c r="C225" s="346" t="s">
        <v>218</v>
      </c>
      <c r="D225" s="490"/>
      <c r="E225" s="480"/>
      <c r="F225" s="417" t="s">
        <v>680</v>
      </c>
      <c r="G225" s="334"/>
      <c r="H225" s="76">
        <v>2</v>
      </c>
      <c r="I225" s="76"/>
      <c r="J225" s="76"/>
      <c r="K225" s="76">
        <v>6</v>
      </c>
      <c r="L225" s="61"/>
    </row>
    <row r="226" spans="1:12" ht="19.95" customHeight="1" x14ac:dyDescent="0.25">
      <c r="A226" s="293"/>
      <c r="B226" s="348" t="s">
        <v>199</v>
      </c>
      <c r="C226" s="346" t="s">
        <v>218</v>
      </c>
      <c r="D226" s="490"/>
      <c r="E226" s="478" t="s">
        <v>228</v>
      </c>
      <c r="F226" s="417" t="s">
        <v>681</v>
      </c>
      <c r="G226" s="334"/>
      <c r="H226" s="76">
        <v>3</v>
      </c>
      <c r="I226" s="76"/>
      <c r="J226" s="76"/>
      <c r="K226" s="76">
        <v>6</v>
      </c>
      <c r="L226" s="61"/>
    </row>
    <row r="227" spans="1:12" ht="19.95" customHeight="1" x14ac:dyDescent="0.25">
      <c r="A227" s="293"/>
      <c r="B227" s="348" t="s">
        <v>199</v>
      </c>
      <c r="C227" s="346" t="s">
        <v>218</v>
      </c>
      <c r="D227" s="490"/>
      <c r="E227" s="480"/>
      <c r="F227" s="417" t="s">
        <v>682</v>
      </c>
      <c r="G227" s="334"/>
      <c r="H227" s="76">
        <v>3</v>
      </c>
      <c r="I227" s="76"/>
      <c r="J227" s="76"/>
      <c r="K227" s="76">
        <v>6</v>
      </c>
      <c r="L227" s="61"/>
    </row>
    <row r="228" spans="1:12" ht="19.95" customHeight="1" x14ac:dyDescent="0.25">
      <c r="A228" s="293"/>
      <c r="B228" s="348" t="s">
        <v>199</v>
      </c>
      <c r="C228" s="346" t="s">
        <v>218</v>
      </c>
      <c r="D228" s="490"/>
      <c r="E228" s="478" t="s">
        <v>229</v>
      </c>
      <c r="F228" s="417" t="s">
        <v>683</v>
      </c>
      <c r="G228" s="334"/>
      <c r="H228" s="76">
        <v>3</v>
      </c>
      <c r="I228" s="76"/>
      <c r="J228" s="76"/>
      <c r="K228" s="76">
        <v>6</v>
      </c>
      <c r="L228" s="61"/>
    </row>
    <row r="229" spans="1:12" ht="19.95" customHeight="1" x14ac:dyDescent="0.25">
      <c r="A229" s="293"/>
      <c r="B229" s="348" t="s">
        <v>199</v>
      </c>
      <c r="C229" s="346" t="s">
        <v>218</v>
      </c>
      <c r="D229" s="490"/>
      <c r="E229" s="479"/>
      <c r="F229" s="419" t="s">
        <v>684</v>
      </c>
      <c r="G229" s="334"/>
      <c r="H229" s="76">
        <v>2</v>
      </c>
      <c r="I229" s="76"/>
      <c r="J229" s="76"/>
      <c r="K229" s="76">
        <v>6</v>
      </c>
      <c r="L229" s="61"/>
    </row>
    <row r="230" spans="1:12" ht="19.95" customHeight="1" x14ac:dyDescent="0.25">
      <c r="A230" s="293"/>
      <c r="B230" s="348" t="s">
        <v>199</v>
      </c>
      <c r="C230" s="346" t="s">
        <v>218</v>
      </c>
      <c r="D230" s="490"/>
      <c r="E230" s="479"/>
      <c r="F230" s="419" t="s">
        <v>685</v>
      </c>
      <c r="G230" s="334"/>
      <c r="H230" s="76">
        <v>3</v>
      </c>
      <c r="I230" s="76"/>
      <c r="J230" s="76"/>
      <c r="K230" s="76">
        <v>6</v>
      </c>
      <c r="L230" s="61"/>
    </row>
    <row r="231" spans="1:12" ht="19.95" customHeight="1" x14ac:dyDescent="0.25">
      <c r="A231" s="293"/>
      <c r="B231" s="348" t="s">
        <v>199</v>
      </c>
      <c r="C231" s="346" t="s">
        <v>218</v>
      </c>
      <c r="D231" s="490"/>
      <c r="E231" s="479"/>
      <c r="F231" s="419" t="s">
        <v>686</v>
      </c>
      <c r="G231" s="334"/>
      <c r="H231" s="76">
        <v>3</v>
      </c>
      <c r="I231" s="76"/>
      <c r="J231" s="76"/>
      <c r="K231" s="76">
        <v>6</v>
      </c>
      <c r="L231" s="61"/>
    </row>
    <row r="232" spans="1:12" ht="19.95" customHeight="1" x14ac:dyDescent="0.25">
      <c r="A232" s="293"/>
      <c r="B232" s="348" t="s">
        <v>199</v>
      </c>
      <c r="C232" s="346" t="s">
        <v>218</v>
      </c>
      <c r="D232" s="491"/>
      <c r="E232" s="480"/>
      <c r="F232" s="419" t="s">
        <v>687</v>
      </c>
      <c r="G232" s="334"/>
      <c r="H232" s="76">
        <v>3</v>
      </c>
      <c r="I232" s="76"/>
      <c r="J232" s="76"/>
      <c r="K232" s="76">
        <v>6</v>
      </c>
      <c r="L232" s="61"/>
    </row>
    <row r="233" spans="1:12" ht="19.95" customHeight="1" x14ac:dyDescent="0.25">
      <c r="A233" s="293"/>
      <c r="B233" s="348" t="s">
        <v>199</v>
      </c>
      <c r="C233" s="346"/>
      <c r="D233" s="325" t="s">
        <v>230</v>
      </c>
      <c r="E233" s="325"/>
      <c r="F233" s="375"/>
      <c r="G233" s="333"/>
      <c r="H233" s="76"/>
      <c r="I233" s="76"/>
      <c r="J233" s="76"/>
      <c r="K233" s="76"/>
      <c r="L233" s="61"/>
    </row>
    <row r="234" spans="1:12" ht="19.95" customHeight="1" x14ac:dyDescent="0.25">
      <c r="A234" s="293"/>
      <c r="B234" s="348" t="s">
        <v>199</v>
      </c>
      <c r="C234" s="346" t="s">
        <v>230</v>
      </c>
      <c r="D234" s="489" t="s">
        <v>231</v>
      </c>
      <c r="E234" s="354" t="s">
        <v>184</v>
      </c>
      <c r="F234" s="417" t="s">
        <v>232</v>
      </c>
      <c r="G234" s="334"/>
      <c r="H234" s="76">
        <v>1</v>
      </c>
      <c r="I234" s="76"/>
      <c r="J234" s="76">
        <v>3</v>
      </c>
      <c r="K234" s="76">
        <v>5</v>
      </c>
      <c r="L234" s="61"/>
    </row>
    <row r="235" spans="1:12" ht="19.95" customHeight="1" x14ac:dyDescent="0.25">
      <c r="A235" s="293"/>
      <c r="B235" s="348" t="s">
        <v>199</v>
      </c>
      <c r="C235" s="346" t="s">
        <v>230</v>
      </c>
      <c r="D235" s="490"/>
      <c r="E235" s="354" t="s">
        <v>165</v>
      </c>
      <c r="F235" s="417" t="s">
        <v>688</v>
      </c>
      <c r="G235" s="334"/>
      <c r="H235" s="76">
        <v>1</v>
      </c>
      <c r="I235" s="76"/>
      <c r="J235" s="76">
        <v>3</v>
      </c>
      <c r="K235" s="76">
        <v>5</v>
      </c>
      <c r="L235" s="61"/>
    </row>
    <row r="236" spans="1:12" ht="19.95" customHeight="1" x14ac:dyDescent="0.25">
      <c r="A236" s="293"/>
      <c r="B236" s="348" t="s">
        <v>199</v>
      </c>
      <c r="C236" s="346" t="s">
        <v>230</v>
      </c>
      <c r="D236" s="491"/>
      <c r="E236" s="354" t="s">
        <v>233</v>
      </c>
      <c r="F236" s="417" t="s">
        <v>689</v>
      </c>
      <c r="G236" s="334"/>
      <c r="H236" s="76">
        <v>1</v>
      </c>
      <c r="I236" s="76"/>
      <c r="J236" s="76">
        <v>3</v>
      </c>
      <c r="K236" s="76">
        <v>5</v>
      </c>
      <c r="L236" s="61"/>
    </row>
    <row r="237" spans="1:12" ht="19.95" customHeight="1" x14ac:dyDescent="0.25">
      <c r="A237" s="293"/>
      <c r="B237" s="348" t="s">
        <v>199</v>
      </c>
      <c r="C237" s="346" t="s">
        <v>230</v>
      </c>
      <c r="D237" s="357" t="s">
        <v>235</v>
      </c>
      <c r="E237" s="356" t="s">
        <v>236</v>
      </c>
      <c r="F237" s="417"/>
      <c r="G237" s="334"/>
      <c r="H237" s="76">
        <v>1</v>
      </c>
      <c r="I237" s="76"/>
      <c r="J237" s="76">
        <v>3</v>
      </c>
      <c r="K237" s="76">
        <v>5</v>
      </c>
      <c r="L237" s="61"/>
    </row>
    <row r="238" spans="1:12" ht="19.95" customHeight="1" x14ac:dyDescent="0.25">
      <c r="A238" s="293"/>
      <c r="B238" s="348" t="s">
        <v>199</v>
      </c>
      <c r="C238" s="346" t="s">
        <v>230</v>
      </c>
      <c r="D238" s="489" t="s">
        <v>237</v>
      </c>
      <c r="E238" s="354" t="s">
        <v>238</v>
      </c>
      <c r="F238" s="417"/>
      <c r="G238" s="334"/>
      <c r="H238" s="76">
        <v>1</v>
      </c>
      <c r="I238" s="76"/>
      <c r="J238" s="76">
        <v>3</v>
      </c>
      <c r="K238" s="76">
        <v>5</v>
      </c>
      <c r="L238" s="61"/>
    </row>
    <row r="239" spans="1:12" ht="19.95" customHeight="1" x14ac:dyDescent="0.25">
      <c r="A239" s="293"/>
      <c r="B239" s="348" t="s">
        <v>199</v>
      </c>
      <c r="C239" s="346" t="s">
        <v>230</v>
      </c>
      <c r="D239" s="490"/>
      <c r="E239" s="356" t="s">
        <v>239</v>
      </c>
      <c r="F239" s="419" t="s">
        <v>690</v>
      </c>
      <c r="G239" s="334"/>
      <c r="H239" s="76">
        <v>1</v>
      </c>
      <c r="I239" s="76"/>
      <c r="J239" s="76">
        <v>3</v>
      </c>
      <c r="K239" s="76">
        <v>5</v>
      </c>
      <c r="L239" s="61"/>
    </row>
    <row r="240" spans="1:12" ht="19.95" customHeight="1" x14ac:dyDescent="0.25">
      <c r="A240" s="293"/>
      <c r="B240" s="348" t="s">
        <v>199</v>
      </c>
      <c r="C240" s="346" t="s">
        <v>230</v>
      </c>
      <c r="D240" s="490"/>
      <c r="E240" s="354" t="s">
        <v>240</v>
      </c>
      <c r="F240" s="419" t="s">
        <v>691</v>
      </c>
      <c r="G240" s="334"/>
      <c r="H240" s="76">
        <v>1</v>
      </c>
      <c r="I240" s="76"/>
      <c r="J240" s="76">
        <v>3</v>
      </c>
      <c r="K240" s="76">
        <v>5</v>
      </c>
      <c r="L240" s="61"/>
    </row>
    <row r="241" spans="1:13" ht="19.95" customHeight="1" x14ac:dyDescent="0.25">
      <c r="A241" s="293"/>
      <c r="B241" s="348" t="s">
        <v>199</v>
      </c>
      <c r="C241" s="346" t="s">
        <v>230</v>
      </c>
      <c r="D241" s="490"/>
      <c r="E241" s="354" t="s">
        <v>241</v>
      </c>
      <c r="F241" s="419" t="s">
        <v>242</v>
      </c>
      <c r="G241" s="334"/>
      <c r="H241" s="76">
        <v>1</v>
      </c>
      <c r="I241" s="76"/>
      <c r="J241" s="76">
        <v>3</v>
      </c>
      <c r="K241" s="76">
        <v>5</v>
      </c>
      <c r="L241" s="61"/>
    </row>
    <row r="242" spans="1:13" ht="19.95" customHeight="1" x14ac:dyDescent="0.25">
      <c r="A242" s="293"/>
      <c r="B242" s="348" t="s">
        <v>199</v>
      </c>
      <c r="C242" s="346" t="s">
        <v>230</v>
      </c>
      <c r="D242" s="491"/>
      <c r="E242" s="354" t="s">
        <v>243</v>
      </c>
      <c r="F242" s="419" t="s">
        <v>244</v>
      </c>
      <c r="G242" s="334"/>
      <c r="H242" s="76">
        <v>1</v>
      </c>
      <c r="I242" s="76"/>
      <c r="J242" s="76">
        <v>3</v>
      </c>
      <c r="K242" s="76">
        <v>5</v>
      </c>
      <c r="L242" s="61"/>
    </row>
    <row r="243" spans="1:13" ht="19.95" customHeight="1" x14ac:dyDescent="0.25">
      <c r="A243" s="296"/>
      <c r="B243" s="348" t="s">
        <v>199</v>
      </c>
      <c r="C243" s="346" t="s">
        <v>230</v>
      </c>
      <c r="D243" s="489" t="s">
        <v>245</v>
      </c>
      <c r="E243" s="354" t="s">
        <v>246</v>
      </c>
      <c r="F243" s="417" t="s">
        <v>692</v>
      </c>
      <c r="G243" s="334"/>
      <c r="H243" s="76">
        <v>1</v>
      </c>
      <c r="I243" s="76"/>
      <c r="J243" s="76">
        <v>3</v>
      </c>
      <c r="K243" s="76">
        <v>5</v>
      </c>
      <c r="L243" s="61"/>
    </row>
    <row r="244" spans="1:13" ht="19.95" customHeight="1" x14ac:dyDescent="0.25">
      <c r="A244" s="296"/>
      <c r="B244" s="348" t="s">
        <v>199</v>
      </c>
      <c r="C244" s="346" t="s">
        <v>230</v>
      </c>
      <c r="D244" s="491"/>
      <c r="E244" s="354" t="s">
        <v>247</v>
      </c>
      <c r="F244" s="419" t="s">
        <v>693</v>
      </c>
      <c r="G244" s="334"/>
      <c r="H244" s="76">
        <v>1</v>
      </c>
      <c r="I244" s="76"/>
      <c r="J244" s="76">
        <v>3</v>
      </c>
      <c r="K244" s="76">
        <v>5</v>
      </c>
      <c r="L244" s="61"/>
    </row>
    <row r="245" spans="1:13" ht="19.95" customHeight="1" x14ac:dyDescent="0.25">
      <c r="A245" s="296"/>
      <c r="B245" s="348" t="s">
        <v>199</v>
      </c>
      <c r="C245" s="346" t="s">
        <v>230</v>
      </c>
      <c r="D245" s="489" t="s">
        <v>225</v>
      </c>
      <c r="E245" s="478" t="s">
        <v>248</v>
      </c>
      <c r="F245" s="419" t="s">
        <v>694</v>
      </c>
      <c r="G245" s="334"/>
      <c r="H245" s="76">
        <v>1</v>
      </c>
      <c r="I245" s="76"/>
      <c r="J245" s="76">
        <v>3</v>
      </c>
      <c r="K245" s="76">
        <v>5</v>
      </c>
      <c r="L245" s="61"/>
    </row>
    <row r="246" spans="1:13" ht="19.95" customHeight="1" x14ac:dyDescent="0.25">
      <c r="A246" s="296"/>
      <c r="B246" s="348" t="s">
        <v>199</v>
      </c>
      <c r="C246" s="346" t="s">
        <v>230</v>
      </c>
      <c r="D246" s="490"/>
      <c r="E246" s="479"/>
      <c r="F246" s="417" t="s">
        <v>695</v>
      </c>
      <c r="G246" s="334"/>
      <c r="H246" s="76">
        <v>1</v>
      </c>
      <c r="I246" s="76"/>
      <c r="J246" s="76">
        <v>3</v>
      </c>
      <c r="K246" s="76">
        <v>5</v>
      </c>
      <c r="L246" s="61"/>
    </row>
    <row r="247" spans="1:13" ht="19.95" customHeight="1" x14ac:dyDescent="0.25">
      <c r="A247" s="296"/>
      <c r="B247" s="348" t="s">
        <v>199</v>
      </c>
      <c r="C247" s="346" t="s">
        <v>230</v>
      </c>
      <c r="D247" s="491"/>
      <c r="E247" s="480"/>
      <c r="F247" s="417" t="s">
        <v>696</v>
      </c>
      <c r="G247" s="334"/>
      <c r="H247" s="76">
        <v>1</v>
      </c>
      <c r="I247" s="76"/>
      <c r="J247" s="76">
        <v>3</v>
      </c>
      <c r="K247" s="76">
        <v>5</v>
      </c>
      <c r="L247" s="61"/>
    </row>
    <row r="248" spans="1:13" ht="19.95" customHeight="1" x14ac:dyDescent="0.25">
      <c r="A248" s="296"/>
      <c r="B248" s="348" t="s">
        <v>199</v>
      </c>
      <c r="C248" s="346"/>
      <c r="D248" s="325" t="s">
        <v>249</v>
      </c>
      <c r="E248" s="325"/>
      <c r="F248" s="375"/>
      <c r="G248" s="333"/>
      <c r="H248" s="76"/>
      <c r="I248" s="76"/>
      <c r="J248" s="76"/>
      <c r="K248" s="76"/>
      <c r="L248" s="61"/>
    </row>
    <row r="249" spans="1:13" ht="19.95" customHeight="1" x14ac:dyDescent="0.25">
      <c r="A249" s="296"/>
      <c r="B249" s="348" t="s">
        <v>199</v>
      </c>
      <c r="C249" s="346" t="s">
        <v>249</v>
      </c>
      <c r="D249" s="489" t="s">
        <v>250</v>
      </c>
      <c r="E249" s="356" t="s">
        <v>198</v>
      </c>
      <c r="F249" s="417" t="s">
        <v>697</v>
      </c>
      <c r="G249" s="334"/>
      <c r="H249" s="76">
        <v>1</v>
      </c>
      <c r="I249" s="76"/>
      <c r="J249" s="76">
        <v>3</v>
      </c>
      <c r="K249" s="76">
        <v>5</v>
      </c>
      <c r="L249" s="468" t="s">
        <v>251</v>
      </c>
    </row>
    <row r="250" spans="1:13" ht="19.95" customHeight="1" x14ac:dyDescent="0.25">
      <c r="A250" s="296"/>
      <c r="B250" s="348" t="s">
        <v>199</v>
      </c>
      <c r="C250" s="346" t="s">
        <v>249</v>
      </c>
      <c r="D250" s="490"/>
      <c r="E250" s="354" t="s">
        <v>252</v>
      </c>
      <c r="F250" s="417" t="s">
        <v>698</v>
      </c>
      <c r="G250" s="334"/>
      <c r="H250" s="76">
        <v>1</v>
      </c>
      <c r="I250" s="76"/>
      <c r="J250" s="76">
        <v>3</v>
      </c>
      <c r="K250" s="76">
        <v>5</v>
      </c>
      <c r="L250" s="468"/>
      <c r="M250" s="117" t="s">
        <v>22</v>
      </c>
    </row>
    <row r="251" spans="1:13" ht="19.95" customHeight="1" x14ac:dyDescent="0.25">
      <c r="A251" s="296"/>
      <c r="B251" s="348" t="s">
        <v>199</v>
      </c>
      <c r="C251" s="346" t="s">
        <v>249</v>
      </c>
      <c r="D251" s="491"/>
      <c r="E251" s="356" t="s">
        <v>253</v>
      </c>
      <c r="F251" s="417" t="s">
        <v>698</v>
      </c>
      <c r="G251" s="334"/>
      <c r="H251" s="76">
        <v>1</v>
      </c>
      <c r="I251" s="76"/>
      <c r="J251" s="76">
        <v>3</v>
      </c>
      <c r="K251" s="76">
        <v>5</v>
      </c>
      <c r="L251" s="468"/>
    </row>
    <row r="252" spans="1:13" ht="19.95" customHeight="1" x14ac:dyDescent="0.25">
      <c r="A252" s="296"/>
      <c r="B252" s="348" t="s">
        <v>199</v>
      </c>
      <c r="C252" s="346" t="s">
        <v>249</v>
      </c>
      <c r="D252" s="489" t="s">
        <v>254</v>
      </c>
      <c r="E252" s="356" t="s">
        <v>198</v>
      </c>
      <c r="F252" s="417"/>
      <c r="G252" s="334"/>
      <c r="H252" s="76">
        <v>1</v>
      </c>
      <c r="I252" s="76"/>
      <c r="J252" s="76">
        <v>3</v>
      </c>
      <c r="K252" s="76">
        <v>5</v>
      </c>
      <c r="L252" s="468"/>
    </row>
    <row r="253" spans="1:13" ht="19.95" customHeight="1" x14ac:dyDescent="0.25">
      <c r="A253" s="296"/>
      <c r="B253" s="348" t="s">
        <v>199</v>
      </c>
      <c r="C253" s="346" t="s">
        <v>249</v>
      </c>
      <c r="D253" s="490"/>
      <c r="E253" s="476" t="s">
        <v>255</v>
      </c>
      <c r="F253" s="417" t="s">
        <v>699</v>
      </c>
      <c r="G253" s="334"/>
      <c r="H253" s="76">
        <v>1</v>
      </c>
      <c r="I253" s="76"/>
      <c r="J253" s="76">
        <v>3</v>
      </c>
      <c r="K253" s="76">
        <v>5</v>
      </c>
      <c r="L253" s="468"/>
    </row>
    <row r="254" spans="1:13" ht="19.95" customHeight="1" x14ac:dyDescent="0.25">
      <c r="A254" s="296"/>
      <c r="B254" s="348" t="s">
        <v>199</v>
      </c>
      <c r="C254" s="346" t="s">
        <v>249</v>
      </c>
      <c r="D254" s="490"/>
      <c r="E254" s="519"/>
      <c r="F254" s="417" t="s">
        <v>700</v>
      </c>
      <c r="G254" s="334"/>
      <c r="H254" s="76">
        <v>1</v>
      </c>
      <c r="I254" s="76"/>
      <c r="J254" s="76">
        <v>3</v>
      </c>
      <c r="K254" s="76">
        <v>5</v>
      </c>
      <c r="L254" s="468"/>
    </row>
    <row r="255" spans="1:13" ht="19.95" customHeight="1" x14ac:dyDescent="0.25">
      <c r="A255" s="296"/>
      <c r="B255" s="348" t="s">
        <v>199</v>
      </c>
      <c r="C255" s="346" t="s">
        <v>249</v>
      </c>
      <c r="D255" s="491"/>
      <c r="E255" s="477"/>
      <c r="F255" s="417" t="s">
        <v>701</v>
      </c>
      <c r="G255" s="334"/>
      <c r="H255" s="76">
        <v>1</v>
      </c>
      <c r="I255" s="76"/>
      <c r="J255" s="76">
        <v>3</v>
      </c>
      <c r="K255" s="76">
        <v>5</v>
      </c>
      <c r="L255" s="468"/>
    </row>
    <row r="256" spans="1:13" ht="19.95" customHeight="1" x14ac:dyDescent="0.25">
      <c r="A256" s="296"/>
      <c r="B256" s="348" t="s">
        <v>199</v>
      </c>
      <c r="C256" s="346" t="s">
        <v>249</v>
      </c>
      <c r="D256" s="377" t="s">
        <v>256</v>
      </c>
      <c r="E256" s="361"/>
      <c r="F256" s="425" t="s">
        <v>257</v>
      </c>
      <c r="G256" s="334"/>
      <c r="H256" s="76">
        <v>2</v>
      </c>
      <c r="I256" s="76"/>
      <c r="J256" s="76">
        <v>3</v>
      </c>
      <c r="K256" s="76">
        <v>5</v>
      </c>
      <c r="L256" s="469"/>
    </row>
    <row r="257" spans="1:12" ht="19.95" customHeight="1" x14ac:dyDescent="0.25">
      <c r="A257" s="296"/>
      <c r="B257" s="348" t="s">
        <v>199</v>
      </c>
      <c r="C257" s="346" t="s">
        <v>249</v>
      </c>
      <c r="D257" s="377" t="s">
        <v>258</v>
      </c>
      <c r="E257" s="378" t="s">
        <v>259</v>
      </c>
      <c r="F257" s="417"/>
      <c r="G257" s="334"/>
      <c r="H257" s="76">
        <v>2</v>
      </c>
      <c r="I257" s="76"/>
      <c r="J257" s="76">
        <v>3</v>
      </c>
      <c r="K257" s="76">
        <v>5</v>
      </c>
      <c r="L257" s="469"/>
    </row>
    <row r="258" spans="1:12" ht="19.95" customHeight="1" x14ac:dyDescent="0.25">
      <c r="A258" s="296"/>
      <c r="B258" s="348" t="s">
        <v>199</v>
      </c>
      <c r="C258" s="346" t="s">
        <v>249</v>
      </c>
      <c r="D258" s="486" t="s">
        <v>260</v>
      </c>
      <c r="E258" s="356" t="s">
        <v>261</v>
      </c>
      <c r="F258" s="417"/>
      <c r="G258" s="334"/>
      <c r="H258" s="76">
        <v>1</v>
      </c>
      <c r="I258" s="76"/>
      <c r="J258" s="76">
        <v>3</v>
      </c>
      <c r="K258" s="76">
        <v>5</v>
      </c>
      <c r="L258" s="468"/>
    </row>
    <row r="259" spans="1:12" ht="19.95" customHeight="1" x14ac:dyDescent="0.25">
      <c r="A259" s="296"/>
      <c r="B259" s="348" t="s">
        <v>199</v>
      </c>
      <c r="C259" s="346" t="s">
        <v>249</v>
      </c>
      <c r="D259" s="488"/>
      <c r="E259" s="356" t="s">
        <v>262</v>
      </c>
      <c r="F259" s="417"/>
      <c r="G259" s="334"/>
      <c r="H259" s="76">
        <v>1</v>
      </c>
      <c r="I259" s="76"/>
      <c r="J259" s="76">
        <v>3</v>
      </c>
      <c r="K259" s="76">
        <v>5</v>
      </c>
      <c r="L259" s="468"/>
    </row>
    <row r="260" spans="1:12" ht="19.95" customHeight="1" x14ac:dyDescent="0.25">
      <c r="A260" s="296"/>
      <c r="B260" s="348" t="s">
        <v>199</v>
      </c>
      <c r="C260" s="346" t="s">
        <v>249</v>
      </c>
      <c r="D260" s="489" t="s">
        <v>263</v>
      </c>
      <c r="E260" s="354" t="s">
        <v>264</v>
      </c>
      <c r="F260" s="417"/>
      <c r="G260" s="334"/>
      <c r="H260" s="76">
        <v>2</v>
      </c>
      <c r="I260" s="76"/>
      <c r="J260" s="76">
        <v>3</v>
      </c>
      <c r="K260" s="76">
        <v>5</v>
      </c>
      <c r="L260" s="61"/>
    </row>
    <row r="261" spans="1:12" ht="19.95" customHeight="1" x14ac:dyDescent="0.25">
      <c r="A261" s="296"/>
      <c r="B261" s="348" t="s">
        <v>199</v>
      </c>
      <c r="C261" s="346" t="s">
        <v>249</v>
      </c>
      <c r="D261" s="490"/>
      <c r="E261" s="354" t="s">
        <v>265</v>
      </c>
      <c r="F261" s="417"/>
      <c r="G261" s="334"/>
      <c r="H261" s="76">
        <v>2</v>
      </c>
      <c r="I261" s="76"/>
      <c r="J261" s="76">
        <v>3</v>
      </c>
      <c r="K261" s="76">
        <v>5</v>
      </c>
      <c r="L261" s="61"/>
    </row>
    <row r="262" spans="1:12" ht="19.95" customHeight="1" x14ac:dyDescent="0.25">
      <c r="A262" s="296"/>
      <c r="B262" s="348" t="s">
        <v>199</v>
      </c>
      <c r="C262" s="346" t="s">
        <v>249</v>
      </c>
      <c r="D262" s="491"/>
      <c r="E262" s="354" t="s">
        <v>266</v>
      </c>
      <c r="F262" s="417"/>
      <c r="G262" s="334"/>
      <c r="H262" s="76">
        <v>2</v>
      </c>
      <c r="I262" s="76"/>
      <c r="J262" s="76">
        <v>3</v>
      </c>
      <c r="K262" s="76">
        <v>5</v>
      </c>
      <c r="L262" s="61"/>
    </row>
    <row r="263" spans="1:12" ht="19.95" customHeight="1" x14ac:dyDescent="0.25">
      <c r="A263" s="296"/>
      <c r="B263" s="348" t="s">
        <v>199</v>
      </c>
      <c r="C263" s="346" t="s">
        <v>249</v>
      </c>
      <c r="D263" s="379"/>
      <c r="E263" s="354" t="s">
        <v>267</v>
      </c>
      <c r="F263" s="417"/>
      <c r="G263" s="334"/>
      <c r="H263" s="76">
        <v>2</v>
      </c>
      <c r="I263" s="76"/>
      <c r="J263" s="76">
        <v>3</v>
      </c>
      <c r="K263" s="76">
        <v>5</v>
      </c>
      <c r="L263" s="61"/>
    </row>
    <row r="264" spans="1:12" ht="19.95" customHeight="1" x14ac:dyDescent="0.25">
      <c r="A264" s="296"/>
      <c r="B264" s="348" t="s">
        <v>199</v>
      </c>
      <c r="C264" s="346" t="s">
        <v>249</v>
      </c>
      <c r="D264" s="486" t="s">
        <v>268</v>
      </c>
      <c r="E264" s="356" t="s">
        <v>269</v>
      </c>
      <c r="F264" s="417"/>
      <c r="G264" s="334"/>
      <c r="H264" s="76">
        <v>2</v>
      </c>
      <c r="I264" s="76"/>
      <c r="J264" s="76">
        <v>3</v>
      </c>
      <c r="K264" s="76">
        <v>5</v>
      </c>
      <c r="L264" s="61"/>
    </row>
    <row r="265" spans="1:12" ht="19.95" customHeight="1" x14ac:dyDescent="0.25">
      <c r="A265" s="296"/>
      <c r="B265" s="348" t="s">
        <v>199</v>
      </c>
      <c r="C265" s="346" t="s">
        <v>249</v>
      </c>
      <c r="D265" s="487"/>
      <c r="E265" s="356" t="s">
        <v>270</v>
      </c>
      <c r="F265" s="417"/>
      <c r="G265" s="334"/>
      <c r="H265" s="76">
        <v>2</v>
      </c>
      <c r="I265" s="76"/>
      <c r="J265" s="76">
        <v>3</v>
      </c>
      <c r="K265" s="76">
        <v>5</v>
      </c>
      <c r="L265" s="61"/>
    </row>
    <row r="266" spans="1:12" ht="19.95" customHeight="1" x14ac:dyDescent="0.25">
      <c r="A266" s="296"/>
      <c r="B266" s="348" t="s">
        <v>199</v>
      </c>
      <c r="C266" s="346" t="s">
        <v>249</v>
      </c>
      <c r="D266" s="488"/>
      <c r="E266" s="356" t="s">
        <v>271</v>
      </c>
      <c r="F266" s="417"/>
      <c r="G266" s="334"/>
      <c r="H266" s="76">
        <v>2</v>
      </c>
      <c r="I266" s="76"/>
      <c r="J266" s="76">
        <v>3</v>
      </c>
      <c r="K266" s="76">
        <v>5</v>
      </c>
      <c r="L266" s="61"/>
    </row>
    <row r="267" spans="1:12" ht="19.95" customHeight="1" x14ac:dyDescent="0.25">
      <c r="A267" s="296"/>
      <c r="B267" s="348" t="s">
        <v>199</v>
      </c>
      <c r="C267" s="346"/>
      <c r="D267" s="325" t="s">
        <v>272</v>
      </c>
      <c r="E267" s="325"/>
      <c r="F267" s="375"/>
      <c r="G267" s="333"/>
      <c r="H267" s="76"/>
      <c r="I267" s="76"/>
      <c r="J267" s="76"/>
      <c r="K267" s="76"/>
      <c r="L267" s="61"/>
    </row>
    <row r="268" spans="1:12" ht="19.95" customHeight="1" x14ac:dyDescent="0.25">
      <c r="A268" s="296"/>
      <c r="B268" s="348" t="s">
        <v>199</v>
      </c>
      <c r="C268" s="346" t="s">
        <v>272</v>
      </c>
      <c r="D268" s="489" t="s">
        <v>273</v>
      </c>
      <c r="E268" s="354" t="s">
        <v>274</v>
      </c>
      <c r="F268" s="417"/>
      <c r="G268" s="334"/>
      <c r="H268" s="76">
        <v>3</v>
      </c>
      <c r="I268" s="76"/>
      <c r="J268" s="76"/>
      <c r="K268" s="76">
        <v>5</v>
      </c>
      <c r="L268" s="61"/>
    </row>
    <row r="269" spans="1:12" ht="19.95" customHeight="1" x14ac:dyDescent="0.25">
      <c r="A269" s="296"/>
      <c r="B269" s="348" t="s">
        <v>199</v>
      </c>
      <c r="C269" s="346" t="s">
        <v>272</v>
      </c>
      <c r="D269" s="490"/>
      <c r="E269" s="354" t="s">
        <v>275</v>
      </c>
      <c r="F269" s="417"/>
      <c r="G269" s="334"/>
      <c r="H269" s="76">
        <v>3</v>
      </c>
      <c r="I269" s="76"/>
      <c r="J269" s="76"/>
      <c r="K269" s="76">
        <v>5</v>
      </c>
      <c r="L269" s="61"/>
    </row>
    <row r="270" spans="1:12" ht="19.95" customHeight="1" x14ac:dyDescent="0.25">
      <c r="A270" s="296"/>
      <c r="B270" s="348" t="s">
        <v>199</v>
      </c>
      <c r="C270" s="346" t="s">
        <v>272</v>
      </c>
      <c r="D270" s="490"/>
      <c r="E270" s="354" t="s">
        <v>276</v>
      </c>
      <c r="F270" s="417"/>
      <c r="G270" s="334"/>
      <c r="H270" s="76">
        <v>3</v>
      </c>
      <c r="I270" s="76"/>
      <c r="J270" s="76"/>
      <c r="K270" s="76">
        <v>5</v>
      </c>
      <c r="L270" s="61"/>
    </row>
    <row r="271" spans="1:12" ht="19.95" customHeight="1" x14ac:dyDescent="0.25">
      <c r="A271" s="296"/>
      <c r="B271" s="348" t="s">
        <v>199</v>
      </c>
      <c r="C271" s="346" t="s">
        <v>272</v>
      </c>
      <c r="D271" s="490"/>
      <c r="E271" s="478" t="s">
        <v>277</v>
      </c>
      <c r="F271" s="417" t="s">
        <v>702</v>
      </c>
      <c r="G271" s="334"/>
      <c r="H271" s="76">
        <v>3</v>
      </c>
      <c r="I271" s="76"/>
      <c r="J271" s="76"/>
      <c r="K271" s="76">
        <v>6</v>
      </c>
      <c r="L271" s="61"/>
    </row>
    <row r="272" spans="1:12" ht="19.95" customHeight="1" x14ac:dyDescent="0.25">
      <c r="A272" s="296"/>
      <c r="B272" s="348" t="s">
        <v>199</v>
      </c>
      <c r="C272" s="346" t="s">
        <v>272</v>
      </c>
      <c r="D272" s="490"/>
      <c r="E272" s="480"/>
      <c r="F272" s="417" t="s">
        <v>703</v>
      </c>
      <c r="G272" s="334"/>
      <c r="H272" s="76">
        <v>3</v>
      </c>
      <c r="I272" s="76"/>
      <c r="J272" s="76"/>
      <c r="K272" s="76">
        <v>6</v>
      </c>
      <c r="L272" s="61"/>
    </row>
    <row r="273" spans="1:12" ht="19.95" customHeight="1" x14ac:dyDescent="0.25">
      <c r="A273" s="296"/>
      <c r="B273" s="348" t="s">
        <v>199</v>
      </c>
      <c r="C273" s="346" t="s">
        <v>272</v>
      </c>
      <c r="D273" s="491"/>
      <c r="E273" s="354" t="s">
        <v>278</v>
      </c>
      <c r="F273" s="417"/>
      <c r="G273" s="334"/>
      <c r="H273" s="76">
        <v>3</v>
      </c>
      <c r="I273" s="76"/>
      <c r="J273" s="76"/>
      <c r="K273" s="76">
        <v>5</v>
      </c>
      <c r="L273" s="61"/>
    </row>
    <row r="274" spans="1:12" ht="19.95" customHeight="1" x14ac:dyDescent="0.25">
      <c r="A274" s="296"/>
      <c r="B274" s="348" t="s">
        <v>199</v>
      </c>
      <c r="C274" s="346" t="s">
        <v>272</v>
      </c>
      <c r="D274" s="489" t="s">
        <v>279</v>
      </c>
      <c r="E274" s="354" t="s">
        <v>280</v>
      </c>
      <c r="F274" s="417"/>
      <c r="G274" s="334"/>
      <c r="H274" s="76">
        <v>3</v>
      </c>
      <c r="I274" s="76"/>
      <c r="J274" s="76"/>
      <c r="K274" s="76">
        <v>5</v>
      </c>
      <c r="L274" s="61"/>
    </row>
    <row r="275" spans="1:12" ht="19.95" customHeight="1" x14ac:dyDescent="0.25">
      <c r="A275" s="296"/>
      <c r="B275" s="348" t="s">
        <v>199</v>
      </c>
      <c r="C275" s="346" t="s">
        <v>272</v>
      </c>
      <c r="D275" s="490"/>
      <c r="E275" s="478" t="s">
        <v>277</v>
      </c>
      <c r="F275" s="417" t="s">
        <v>704</v>
      </c>
      <c r="G275" s="334"/>
      <c r="H275" s="76">
        <v>3</v>
      </c>
      <c r="I275" s="76"/>
      <c r="J275" s="76"/>
      <c r="K275" s="76">
        <v>6</v>
      </c>
      <c r="L275" s="61"/>
    </row>
    <row r="276" spans="1:12" ht="19.95" customHeight="1" x14ac:dyDescent="0.25">
      <c r="A276" s="296"/>
      <c r="B276" s="348" t="s">
        <v>199</v>
      </c>
      <c r="C276" s="346" t="s">
        <v>272</v>
      </c>
      <c r="D276" s="490"/>
      <c r="E276" s="479"/>
      <c r="F276" s="417" t="s">
        <v>702</v>
      </c>
      <c r="G276" s="334"/>
      <c r="H276" s="76">
        <v>3</v>
      </c>
      <c r="I276" s="76"/>
      <c r="J276" s="76"/>
      <c r="K276" s="76">
        <v>6</v>
      </c>
      <c r="L276" s="61"/>
    </row>
    <row r="277" spans="1:12" ht="19.95" customHeight="1" x14ac:dyDescent="0.25">
      <c r="A277" s="296"/>
      <c r="B277" s="348" t="s">
        <v>199</v>
      </c>
      <c r="C277" s="346" t="s">
        <v>272</v>
      </c>
      <c r="D277" s="490"/>
      <c r="E277" s="479"/>
      <c r="F277" s="417" t="s">
        <v>705</v>
      </c>
      <c r="G277" s="471" t="s">
        <v>281</v>
      </c>
      <c r="H277" s="76">
        <v>3</v>
      </c>
      <c r="I277" s="76"/>
      <c r="J277" s="76"/>
      <c r="K277" s="76">
        <v>6</v>
      </c>
      <c r="L277" s="61"/>
    </row>
    <row r="278" spans="1:12" ht="19.95" customHeight="1" x14ac:dyDescent="0.25">
      <c r="A278" s="296"/>
      <c r="B278" s="348" t="s">
        <v>199</v>
      </c>
      <c r="C278" s="346" t="s">
        <v>272</v>
      </c>
      <c r="D278" s="491"/>
      <c r="E278" s="480"/>
      <c r="F278" s="417" t="s">
        <v>706</v>
      </c>
      <c r="G278" s="500"/>
      <c r="H278" s="76">
        <v>3</v>
      </c>
      <c r="I278" s="76"/>
      <c r="J278" s="76"/>
      <c r="K278" s="76">
        <v>6</v>
      </c>
      <c r="L278" s="61"/>
    </row>
    <row r="279" spans="1:12" ht="19.95" customHeight="1" x14ac:dyDescent="0.25">
      <c r="A279" s="296"/>
      <c r="B279" s="348" t="s">
        <v>199</v>
      </c>
      <c r="C279" s="346" t="s">
        <v>272</v>
      </c>
      <c r="D279" s="489" t="s">
        <v>172</v>
      </c>
      <c r="E279" s="354" t="s">
        <v>282</v>
      </c>
      <c r="F279" s="417"/>
      <c r="G279" s="334"/>
      <c r="H279" s="76">
        <v>3</v>
      </c>
      <c r="I279" s="76"/>
      <c r="J279" s="76"/>
      <c r="K279" s="76">
        <v>5</v>
      </c>
      <c r="L279" s="61"/>
    </row>
    <row r="280" spans="1:12" ht="19.95" customHeight="1" x14ac:dyDescent="0.25">
      <c r="A280" s="296"/>
      <c r="B280" s="348" t="s">
        <v>199</v>
      </c>
      <c r="C280" s="346" t="s">
        <v>272</v>
      </c>
      <c r="D280" s="490"/>
      <c r="E280" s="380" t="s">
        <v>283</v>
      </c>
      <c r="F280" s="426"/>
      <c r="G280" s="334"/>
      <c r="H280" s="76">
        <v>3</v>
      </c>
      <c r="I280" s="76"/>
      <c r="J280" s="76"/>
      <c r="K280" s="76">
        <v>5</v>
      </c>
      <c r="L280" s="61"/>
    </row>
    <row r="281" spans="1:12" ht="19.95" customHeight="1" x14ac:dyDescent="0.25">
      <c r="A281" s="296"/>
      <c r="B281" s="348" t="s">
        <v>199</v>
      </c>
      <c r="C281" s="346" t="s">
        <v>272</v>
      </c>
      <c r="D281" s="491"/>
      <c r="E281" s="380" t="s">
        <v>284</v>
      </c>
      <c r="F281" s="426"/>
      <c r="G281" s="334"/>
      <c r="H281" s="76">
        <v>3</v>
      </c>
      <c r="I281" s="76"/>
      <c r="J281" s="76"/>
      <c r="K281" s="76"/>
      <c r="L281" s="61"/>
    </row>
    <row r="282" spans="1:12" ht="19.95" customHeight="1" x14ac:dyDescent="0.25">
      <c r="A282" s="296"/>
      <c r="B282" s="348" t="s">
        <v>199</v>
      </c>
      <c r="C282" s="347"/>
      <c r="D282" s="371" t="s">
        <v>285</v>
      </c>
      <c r="E282" s="371"/>
      <c r="F282" s="332"/>
      <c r="G282" s="372"/>
      <c r="H282" s="76"/>
      <c r="I282" s="76"/>
      <c r="J282" s="76"/>
      <c r="K282" s="76"/>
      <c r="L282" s="61"/>
    </row>
    <row r="283" spans="1:12" ht="19.95" customHeight="1" x14ac:dyDescent="0.25">
      <c r="A283" s="296"/>
      <c r="B283" s="348" t="s">
        <v>199</v>
      </c>
      <c r="C283" s="347" t="s">
        <v>285</v>
      </c>
      <c r="D283" s="511" t="s">
        <v>286</v>
      </c>
      <c r="E283" s="354" t="s">
        <v>287</v>
      </c>
      <c r="F283" s="417"/>
      <c r="G283" s="334"/>
      <c r="H283" s="76">
        <v>1</v>
      </c>
      <c r="I283" s="76"/>
      <c r="J283" s="76">
        <v>3</v>
      </c>
      <c r="K283" s="76">
        <v>5</v>
      </c>
      <c r="L283" s="470" t="s">
        <v>288</v>
      </c>
    </row>
    <row r="284" spans="1:12" ht="19.95" customHeight="1" x14ac:dyDescent="0.25">
      <c r="A284" s="293"/>
      <c r="B284" s="348" t="s">
        <v>199</v>
      </c>
      <c r="C284" s="347" t="s">
        <v>285</v>
      </c>
      <c r="D284" s="512"/>
      <c r="E284" s="354" t="s">
        <v>289</v>
      </c>
      <c r="F284" s="417"/>
      <c r="G284" s="334"/>
      <c r="H284" s="76">
        <v>1</v>
      </c>
      <c r="I284" s="76"/>
      <c r="J284" s="76">
        <v>3</v>
      </c>
      <c r="K284" s="76">
        <v>5</v>
      </c>
      <c r="L284" s="470"/>
    </row>
    <row r="285" spans="1:12" ht="19.95" customHeight="1" x14ac:dyDescent="0.25">
      <c r="A285" s="293"/>
      <c r="B285" s="348" t="s">
        <v>199</v>
      </c>
      <c r="C285" s="347" t="s">
        <v>285</v>
      </c>
      <c r="D285" s="512"/>
      <c r="E285" s="478" t="s">
        <v>290</v>
      </c>
      <c r="F285" s="415" t="s">
        <v>707</v>
      </c>
      <c r="G285" s="334"/>
      <c r="H285" s="76">
        <v>1</v>
      </c>
      <c r="I285" s="76"/>
      <c r="J285" s="76">
        <v>3</v>
      </c>
      <c r="K285" s="76">
        <v>5</v>
      </c>
      <c r="L285" s="470"/>
    </row>
    <row r="286" spans="1:12" ht="19.95" customHeight="1" x14ac:dyDescent="0.25">
      <c r="A286" s="293"/>
      <c r="B286" s="348" t="s">
        <v>199</v>
      </c>
      <c r="C286" s="347" t="s">
        <v>285</v>
      </c>
      <c r="D286" s="512"/>
      <c r="E286" s="479"/>
      <c r="F286" s="419" t="s">
        <v>708</v>
      </c>
      <c r="G286" s="334"/>
      <c r="H286" s="76">
        <v>1</v>
      </c>
      <c r="I286" s="76"/>
      <c r="J286" s="76">
        <v>3</v>
      </c>
      <c r="K286" s="76">
        <v>5</v>
      </c>
      <c r="L286" s="470"/>
    </row>
    <row r="287" spans="1:12" ht="19.95" customHeight="1" x14ac:dyDescent="0.25">
      <c r="A287" s="293"/>
      <c r="B287" s="348" t="s">
        <v>199</v>
      </c>
      <c r="C287" s="347" t="s">
        <v>285</v>
      </c>
      <c r="D287" s="512"/>
      <c r="E287" s="479"/>
      <c r="F287" s="419" t="s">
        <v>291</v>
      </c>
      <c r="G287" s="334"/>
      <c r="H287" s="76">
        <v>1</v>
      </c>
      <c r="I287" s="76"/>
      <c r="J287" s="76">
        <v>3</v>
      </c>
      <c r="K287" s="76">
        <v>5</v>
      </c>
      <c r="L287" s="470"/>
    </row>
    <row r="288" spans="1:12" ht="19.95" customHeight="1" x14ac:dyDescent="0.25">
      <c r="A288" s="293"/>
      <c r="B288" s="348" t="s">
        <v>199</v>
      </c>
      <c r="C288" s="347" t="s">
        <v>285</v>
      </c>
      <c r="D288" s="512"/>
      <c r="E288" s="479"/>
      <c r="F288" s="419" t="s">
        <v>709</v>
      </c>
      <c r="G288" s="334"/>
      <c r="H288" s="76">
        <v>1</v>
      </c>
      <c r="I288" s="76"/>
      <c r="J288" s="76">
        <v>3</v>
      </c>
      <c r="K288" s="76">
        <v>5</v>
      </c>
      <c r="L288" s="470"/>
    </row>
    <row r="289" spans="1:12" ht="19.95" customHeight="1" x14ac:dyDescent="0.25">
      <c r="A289" s="293"/>
      <c r="B289" s="348" t="s">
        <v>199</v>
      </c>
      <c r="C289" s="347" t="s">
        <v>285</v>
      </c>
      <c r="D289" s="512"/>
      <c r="E289" s="479"/>
      <c r="F289" s="419" t="s">
        <v>710</v>
      </c>
      <c r="G289" s="334"/>
      <c r="H289" s="76">
        <v>1</v>
      </c>
      <c r="I289" s="76"/>
      <c r="J289" s="76">
        <v>3</v>
      </c>
      <c r="K289" s="76">
        <v>5</v>
      </c>
      <c r="L289" s="470"/>
    </row>
    <row r="290" spans="1:12" ht="19.95" customHeight="1" x14ac:dyDescent="0.25">
      <c r="A290" s="293"/>
      <c r="B290" s="348" t="s">
        <v>199</v>
      </c>
      <c r="C290" s="347" t="s">
        <v>285</v>
      </c>
      <c r="D290" s="512"/>
      <c r="E290" s="480"/>
      <c r="F290" s="419" t="s">
        <v>711</v>
      </c>
      <c r="G290" s="334"/>
      <c r="H290" s="76">
        <v>1</v>
      </c>
      <c r="I290" s="76"/>
      <c r="J290" s="76">
        <v>3</v>
      </c>
      <c r="K290" s="76">
        <v>5</v>
      </c>
      <c r="L290" s="470"/>
    </row>
    <row r="291" spans="1:12" ht="19.95" customHeight="1" x14ac:dyDescent="0.25">
      <c r="A291" s="293"/>
      <c r="B291" s="348" t="s">
        <v>199</v>
      </c>
      <c r="C291" s="347" t="s">
        <v>285</v>
      </c>
      <c r="D291" s="513"/>
      <c r="E291" s="354" t="s">
        <v>292</v>
      </c>
      <c r="F291" s="417"/>
      <c r="G291" s="334"/>
      <c r="H291" s="76">
        <v>2</v>
      </c>
      <c r="I291" s="76"/>
      <c r="J291" s="76">
        <v>3</v>
      </c>
      <c r="K291" s="76">
        <v>6</v>
      </c>
      <c r="L291" s="61"/>
    </row>
    <row r="292" spans="1:12" ht="19.95" customHeight="1" x14ac:dyDescent="0.25">
      <c r="A292" s="293"/>
      <c r="B292" s="348" t="s">
        <v>199</v>
      </c>
      <c r="C292" s="347" t="s">
        <v>285</v>
      </c>
      <c r="D292" s="514" t="s">
        <v>293</v>
      </c>
      <c r="E292" s="354" t="s">
        <v>287</v>
      </c>
      <c r="F292" s="417"/>
      <c r="G292" s="334"/>
      <c r="H292" s="76">
        <v>2</v>
      </c>
      <c r="I292" s="76"/>
      <c r="J292" s="76">
        <v>3</v>
      </c>
      <c r="K292" s="76">
        <v>5</v>
      </c>
      <c r="L292" s="61"/>
    </row>
    <row r="293" spans="1:12" ht="19.95" customHeight="1" x14ac:dyDescent="0.25">
      <c r="A293" s="293"/>
      <c r="B293" s="348" t="s">
        <v>199</v>
      </c>
      <c r="C293" s="347" t="s">
        <v>285</v>
      </c>
      <c r="D293" s="515"/>
      <c r="E293" s="354" t="s">
        <v>294</v>
      </c>
      <c r="F293" s="417"/>
      <c r="G293" s="334"/>
      <c r="H293" s="76">
        <v>2</v>
      </c>
      <c r="I293" s="76"/>
      <c r="J293" s="76">
        <v>3</v>
      </c>
      <c r="K293" s="76">
        <v>5</v>
      </c>
      <c r="L293" s="61"/>
    </row>
    <row r="294" spans="1:12" ht="19.95" customHeight="1" x14ac:dyDescent="0.25">
      <c r="A294" s="293"/>
      <c r="B294" s="348" t="s">
        <v>199</v>
      </c>
      <c r="C294" s="347" t="s">
        <v>285</v>
      </c>
      <c r="D294" s="515"/>
      <c r="E294" s="478" t="s">
        <v>295</v>
      </c>
      <c r="F294" s="419" t="s">
        <v>708</v>
      </c>
      <c r="G294" s="334"/>
      <c r="H294" s="76">
        <v>2</v>
      </c>
      <c r="I294" s="76"/>
      <c r="J294" s="76">
        <v>3</v>
      </c>
      <c r="K294" s="76">
        <v>5</v>
      </c>
      <c r="L294" s="61"/>
    </row>
    <row r="295" spans="1:12" ht="19.95" customHeight="1" x14ac:dyDescent="0.25">
      <c r="A295" s="293"/>
      <c r="B295" s="348" t="s">
        <v>199</v>
      </c>
      <c r="C295" s="347" t="s">
        <v>285</v>
      </c>
      <c r="D295" s="515"/>
      <c r="E295" s="479"/>
      <c r="F295" s="419" t="s">
        <v>712</v>
      </c>
      <c r="G295" s="334"/>
      <c r="H295" s="76">
        <v>2</v>
      </c>
      <c r="I295" s="76"/>
      <c r="J295" s="76">
        <v>3</v>
      </c>
      <c r="K295" s="76">
        <v>5</v>
      </c>
      <c r="L295" s="61"/>
    </row>
    <row r="296" spans="1:12" ht="19.95" customHeight="1" x14ac:dyDescent="0.25">
      <c r="A296" s="293"/>
      <c r="B296" s="348" t="s">
        <v>199</v>
      </c>
      <c r="C296" s="347" t="s">
        <v>285</v>
      </c>
      <c r="D296" s="515"/>
      <c r="E296" s="479"/>
      <c r="F296" s="419" t="s">
        <v>713</v>
      </c>
      <c r="G296" s="334"/>
      <c r="H296" s="76">
        <v>2</v>
      </c>
      <c r="I296" s="76"/>
      <c r="J296" s="76">
        <v>3</v>
      </c>
      <c r="K296" s="76">
        <v>5</v>
      </c>
      <c r="L296" s="61"/>
    </row>
    <row r="297" spans="1:12" ht="19.95" customHeight="1" x14ac:dyDescent="0.25">
      <c r="A297" s="293"/>
      <c r="B297" s="348" t="s">
        <v>199</v>
      </c>
      <c r="C297" s="347" t="s">
        <v>285</v>
      </c>
      <c r="D297" s="515"/>
      <c r="E297" s="479"/>
      <c r="F297" s="419" t="s">
        <v>714</v>
      </c>
      <c r="G297" s="334"/>
      <c r="H297" s="76">
        <v>2</v>
      </c>
      <c r="I297" s="76"/>
      <c r="J297" s="76">
        <v>3</v>
      </c>
      <c r="K297" s="76">
        <v>5</v>
      </c>
      <c r="L297" s="61"/>
    </row>
    <row r="298" spans="1:12" ht="19.95" customHeight="1" x14ac:dyDescent="0.25">
      <c r="A298" s="293"/>
      <c r="B298" s="348" t="s">
        <v>199</v>
      </c>
      <c r="C298" s="347" t="s">
        <v>285</v>
      </c>
      <c r="D298" s="515"/>
      <c r="E298" s="480"/>
      <c r="F298" s="419" t="s">
        <v>715</v>
      </c>
      <c r="G298" s="334"/>
      <c r="H298" s="76">
        <v>2</v>
      </c>
      <c r="I298" s="76"/>
      <c r="J298" s="76">
        <v>3</v>
      </c>
      <c r="K298" s="76">
        <v>5</v>
      </c>
      <c r="L298" s="61"/>
    </row>
    <row r="299" spans="1:12" ht="19.95" customHeight="1" x14ac:dyDescent="0.25">
      <c r="A299" s="293"/>
      <c r="B299" s="348" t="s">
        <v>199</v>
      </c>
      <c r="C299" s="347" t="s">
        <v>285</v>
      </c>
      <c r="D299" s="516"/>
      <c r="E299" s="381" t="s">
        <v>296</v>
      </c>
      <c r="F299" s="427"/>
      <c r="G299" s="334"/>
      <c r="H299" s="76">
        <v>2</v>
      </c>
      <c r="I299" s="76"/>
      <c r="J299" s="76">
        <v>3</v>
      </c>
      <c r="K299" s="76">
        <v>6</v>
      </c>
      <c r="L299" s="61"/>
    </row>
    <row r="300" spans="1:12" ht="19.95" customHeight="1" x14ac:dyDescent="0.25">
      <c r="A300" s="293"/>
      <c r="B300" s="348" t="s">
        <v>199</v>
      </c>
      <c r="C300" s="346"/>
      <c r="D300" s="531" t="s">
        <v>297</v>
      </c>
      <c r="E300" s="531"/>
      <c r="F300" s="531"/>
      <c r="G300" s="532"/>
      <c r="H300" s="76"/>
      <c r="I300" s="76"/>
      <c r="J300" s="76"/>
      <c r="K300" s="76">
        <v>6</v>
      </c>
      <c r="L300" s="61"/>
    </row>
    <row r="301" spans="1:12" ht="19.95" customHeight="1" x14ac:dyDescent="0.25">
      <c r="A301" s="293"/>
      <c r="B301" s="348" t="s">
        <v>199</v>
      </c>
      <c r="C301" s="348" t="s">
        <v>297</v>
      </c>
      <c r="D301" s="481" t="s">
        <v>298</v>
      </c>
      <c r="E301" s="356" t="s">
        <v>299</v>
      </c>
      <c r="F301" s="414" t="s">
        <v>716</v>
      </c>
      <c r="G301" s="334" t="s">
        <v>300</v>
      </c>
      <c r="H301" s="76">
        <v>7</v>
      </c>
      <c r="I301" s="76"/>
      <c r="J301" s="76"/>
      <c r="K301" s="76">
        <v>6</v>
      </c>
      <c r="L301" s="61"/>
    </row>
    <row r="302" spans="1:12" ht="19.95" customHeight="1" x14ac:dyDescent="0.25">
      <c r="A302" s="293"/>
      <c r="B302" s="348" t="s">
        <v>199</v>
      </c>
      <c r="C302" s="348" t="s">
        <v>297</v>
      </c>
      <c r="D302" s="481"/>
      <c r="E302" s="356" t="s">
        <v>301</v>
      </c>
      <c r="F302" s="414"/>
      <c r="G302" s="334"/>
      <c r="H302" s="76">
        <v>7</v>
      </c>
      <c r="I302" s="76"/>
      <c r="J302" s="76"/>
      <c r="K302" s="76">
        <v>6</v>
      </c>
      <c r="L302" s="61"/>
    </row>
    <row r="303" spans="1:12" ht="19.95" customHeight="1" x14ac:dyDescent="0.25">
      <c r="A303" s="293"/>
      <c r="B303" s="348" t="s">
        <v>199</v>
      </c>
      <c r="C303" s="348" t="s">
        <v>297</v>
      </c>
      <c r="D303" s="481"/>
      <c r="E303" s="356" t="s">
        <v>302</v>
      </c>
      <c r="F303" s="414"/>
      <c r="G303" s="334"/>
      <c r="H303" s="76">
        <v>7</v>
      </c>
      <c r="I303" s="76"/>
      <c r="J303" s="76"/>
      <c r="K303" s="76">
        <v>6</v>
      </c>
      <c r="L303" s="61"/>
    </row>
    <row r="304" spans="1:12" ht="19.95" customHeight="1" x14ac:dyDescent="0.25">
      <c r="A304" s="293"/>
      <c r="B304" s="348" t="s">
        <v>199</v>
      </c>
      <c r="C304" s="348" t="s">
        <v>297</v>
      </c>
      <c r="D304" s="481" t="s">
        <v>303</v>
      </c>
      <c r="E304" s="356" t="s">
        <v>304</v>
      </c>
      <c r="F304" s="414"/>
      <c r="G304" s="334"/>
      <c r="H304" s="76">
        <v>7</v>
      </c>
      <c r="I304" s="76"/>
      <c r="J304" s="76"/>
      <c r="K304" s="76">
        <v>6</v>
      </c>
      <c r="L304" s="61"/>
    </row>
    <row r="305" spans="1:13" ht="19.95" customHeight="1" x14ac:dyDescent="0.25">
      <c r="A305" s="293"/>
      <c r="B305" s="348" t="s">
        <v>199</v>
      </c>
      <c r="C305" s="348" t="s">
        <v>297</v>
      </c>
      <c r="D305" s="481"/>
      <c r="E305" s="356" t="s">
        <v>305</v>
      </c>
      <c r="F305" s="414" t="s">
        <v>717</v>
      </c>
      <c r="G305" s="334"/>
      <c r="H305" s="76">
        <v>7</v>
      </c>
      <c r="I305" s="76"/>
      <c r="J305" s="76"/>
      <c r="K305" s="76">
        <v>6</v>
      </c>
      <c r="L305" s="61"/>
    </row>
    <row r="306" spans="1:13" ht="19.95" customHeight="1" x14ac:dyDescent="0.25">
      <c r="A306" s="293"/>
      <c r="B306" s="348" t="s">
        <v>199</v>
      </c>
      <c r="C306" s="348" t="s">
        <v>297</v>
      </c>
      <c r="D306" s="481"/>
      <c r="E306" s="356" t="s">
        <v>306</v>
      </c>
      <c r="F306" s="414"/>
      <c r="G306" s="334"/>
      <c r="H306" s="76">
        <v>7</v>
      </c>
      <c r="I306" s="76"/>
      <c r="J306" s="76"/>
      <c r="K306" s="76">
        <v>6</v>
      </c>
      <c r="L306" s="61"/>
    </row>
    <row r="307" spans="1:13" ht="19.95" customHeight="1" x14ac:dyDescent="0.25">
      <c r="A307" s="296"/>
      <c r="B307" s="348" t="s">
        <v>199</v>
      </c>
      <c r="C307" s="348"/>
      <c r="D307" s="503" t="s">
        <v>307</v>
      </c>
      <c r="E307" s="503"/>
      <c r="F307" s="503"/>
      <c r="G307" s="503"/>
      <c r="H307" s="76"/>
      <c r="I307" s="76"/>
      <c r="J307" s="76"/>
      <c r="K307" s="76"/>
      <c r="L307" s="61"/>
    </row>
    <row r="308" spans="1:13" ht="19.95" customHeight="1" x14ac:dyDescent="0.25">
      <c r="A308" s="296"/>
      <c r="B308" s="348" t="s">
        <v>199</v>
      </c>
      <c r="C308" s="348" t="s">
        <v>307</v>
      </c>
      <c r="D308" s="481" t="s">
        <v>298</v>
      </c>
      <c r="E308" s="356" t="s">
        <v>349</v>
      </c>
      <c r="F308" s="414"/>
      <c r="G308" s="334" t="s">
        <v>308</v>
      </c>
      <c r="H308" s="76"/>
      <c r="I308" s="76"/>
      <c r="J308" s="76"/>
      <c r="K308" s="76">
        <v>0</v>
      </c>
      <c r="L308" s="61"/>
    </row>
    <row r="309" spans="1:13" ht="19.95" customHeight="1" x14ac:dyDescent="0.25">
      <c r="A309" s="296"/>
      <c r="B309" s="348" t="s">
        <v>199</v>
      </c>
      <c r="C309" s="348" t="s">
        <v>307</v>
      </c>
      <c r="D309" s="481"/>
      <c r="E309" s="356" t="s">
        <v>309</v>
      </c>
      <c r="F309" s="414"/>
      <c r="G309" s="334"/>
      <c r="H309" s="76">
        <v>7</v>
      </c>
      <c r="I309" s="76"/>
      <c r="J309" s="76"/>
      <c r="K309" s="76"/>
      <c r="L309" s="61"/>
    </row>
    <row r="310" spans="1:13" ht="19.95" customHeight="1" x14ac:dyDescent="0.25">
      <c r="A310" s="296"/>
      <c r="B310" s="348" t="s">
        <v>199</v>
      </c>
      <c r="C310" s="348" t="s">
        <v>307</v>
      </c>
      <c r="D310" s="481"/>
      <c r="E310" s="356" t="s">
        <v>310</v>
      </c>
      <c r="F310" s="414"/>
      <c r="G310" s="334"/>
      <c r="H310" s="76">
        <v>7</v>
      </c>
      <c r="I310" s="76"/>
      <c r="J310" s="76"/>
      <c r="K310" s="76"/>
      <c r="L310" s="61"/>
    </row>
    <row r="311" spans="1:13" ht="19.95" customHeight="1" x14ac:dyDescent="0.25">
      <c r="A311" s="296"/>
      <c r="B311" s="348" t="s">
        <v>199</v>
      </c>
      <c r="C311" s="348" t="s">
        <v>307</v>
      </c>
      <c r="D311" s="481"/>
      <c r="E311" s="356" t="s">
        <v>311</v>
      </c>
      <c r="F311" s="414"/>
      <c r="G311" s="334"/>
      <c r="H311" s="76">
        <v>7</v>
      </c>
      <c r="I311" s="76"/>
      <c r="J311" s="76"/>
      <c r="K311" s="76"/>
      <c r="L311" s="470" t="s">
        <v>312</v>
      </c>
      <c r="M311" s="295" t="s">
        <v>22</v>
      </c>
    </row>
    <row r="312" spans="1:13" ht="19.95" customHeight="1" x14ac:dyDescent="0.25">
      <c r="A312" s="296"/>
      <c r="B312" s="348" t="s">
        <v>199</v>
      </c>
      <c r="C312" s="348" t="s">
        <v>307</v>
      </c>
      <c r="D312" s="481"/>
      <c r="E312" s="356" t="s">
        <v>797</v>
      </c>
      <c r="F312" s="414"/>
      <c r="G312" s="334"/>
      <c r="H312" s="76"/>
      <c r="I312" s="76"/>
      <c r="J312" s="76"/>
      <c r="K312" s="76"/>
      <c r="L312" s="470"/>
    </row>
    <row r="313" spans="1:13" ht="19.95" customHeight="1" x14ac:dyDescent="0.25">
      <c r="A313" s="296"/>
      <c r="B313" s="348" t="s">
        <v>199</v>
      </c>
      <c r="C313" s="348"/>
      <c r="D313" s="336" t="s">
        <v>313</v>
      </c>
      <c r="E313" s="336"/>
      <c r="F313" s="382"/>
      <c r="G313" s="333"/>
      <c r="H313" s="76"/>
      <c r="I313" s="76"/>
      <c r="J313" s="76"/>
      <c r="K313" s="76"/>
      <c r="L313" s="470"/>
    </row>
    <row r="314" spans="1:13" ht="19.95" customHeight="1" x14ac:dyDescent="0.25">
      <c r="A314" s="296"/>
      <c r="B314" s="348" t="s">
        <v>199</v>
      </c>
      <c r="C314" s="348" t="s">
        <v>313</v>
      </c>
      <c r="D314" s="481" t="s">
        <v>314</v>
      </c>
      <c r="E314" s="356" t="s">
        <v>808</v>
      </c>
      <c r="F314" s="414"/>
      <c r="G314" s="334"/>
      <c r="H314" s="76">
        <v>1</v>
      </c>
      <c r="I314" s="76"/>
      <c r="J314" s="76">
        <v>3</v>
      </c>
      <c r="K314" s="76">
        <v>5</v>
      </c>
      <c r="L314" s="470"/>
    </row>
    <row r="315" spans="1:13" ht="19.95" customHeight="1" x14ac:dyDescent="0.25">
      <c r="A315" s="296"/>
      <c r="B315" s="348" t="s">
        <v>199</v>
      </c>
      <c r="C315" s="348" t="s">
        <v>313</v>
      </c>
      <c r="D315" s="481"/>
      <c r="E315" s="356" t="s">
        <v>315</v>
      </c>
      <c r="F315" s="414" t="s">
        <v>718</v>
      </c>
      <c r="G315" s="334"/>
      <c r="H315" s="76">
        <v>1</v>
      </c>
      <c r="I315" s="76"/>
      <c r="J315" s="76">
        <v>3</v>
      </c>
      <c r="K315" s="76">
        <v>5</v>
      </c>
      <c r="L315" s="470"/>
    </row>
    <row r="316" spans="1:13" ht="19.95" customHeight="1" x14ac:dyDescent="0.25">
      <c r="A316" s="296"/>
      <c r="B316" s="348" t="s">
        <v>199</v>
      </c>
      <c r="C316" s="348" t="s">
        <v>313</v>
      </c>
      <c r="D316" s="481"/>
      <c r="E316" s="356" t="s">
        <v>316</v>
      </c>
      <c r="F316" s="414"/>
      <c r="G316" s="334"/>
      <c r="H316" s="76">
        <v>1</v>
      </c>
      <c r="I316" s="76"/>
      <c r="J316" s="76">
        <v>3</v>
      </c>
      <c r="K316" s="76">
        <v>5</v>
      </c>
      <c r="L316" s="470"/>
    </row>
    <row r="317" spans="1:13" ht="19.95" customHeight="1" x14ac:dyDescent="0.25">
      <c r="A317" s="296"/>
      <c r="B317" s="348" t="s">
        <v>199</v>
      </c>
      <c r="C317" s="348" t="s">
        <v>313</v>
      </c>
      <c r="D317" s="481"/>
      <c r="E317" s="356" t="s">
        <v>317</v>
      </c>
      <c r="F317" s="428" t="s">
        <v>318</v>
      </c>
      <c r="G317" s="334"/>
      <c r="H317" s="76">
        <v>1</v>
      </c>
      <c r="I317" s="76"/>
      <c r="J317" s="76">
        <v>3</v>
      </c>
      <c r="K317" s="76">
        <v>5</v>
      </c>
      <c r="L317" s="470"/>
    </row>
    <row r="318" spans="1:13" ht="19.95" customHeight="1" x14ac:dyDescent="0.25">
      <c r="A318" s="296"/>
      <c r="B318" s="348" t="s">
        <v>199</v>
      </c>
      <c r="C318" s="348" t="s">
        <v>313</v>
      </c>
      <c r="D318" s="481"/>
      <c r="E318" s="356" t="s">
        <v>319</v>
      </c>
      <c r="F318" s="428" t="s">
        <v>719</v>
      </c>
      <c r="G318" s="334"/>
      <c r="H318" s="76">
        <v>1</v>
      </c>
      <c r="I318" s="76"/>
      <c r="J318" s="76">
        <v>3</v>
      </c>
      <c r="K318" s="76">
        <v>5</v>
      </c>
      <c r="L318" s="470"/>
    </row>
    <row r="319" spans="1:13" ht="19.95" customHeight="1" x14ac:dyDescent="0.25">
      <c r="A319" s="296"/>
      <c r="B319" s="348" t="s">
        <v>199</v>
      </c>
      <c r="C319" s="348" t="s">
        <v>313</v>
      </c>
      <c r="D319" s="142" t="s">
        <v>320</v>
      </c>
      <c r="E319" s="356" t="s">
        <v>321</v>
      </c>
      <c r="F319" s="414" t="s">
        <v>322</v>
      </c>
      <c r="G319" s="334"/>
      <c r="H319" s="76">
        <v>1</v>
      </c>
      <c r="I319" s="76"/>
      <c r="J319" s="76">
        <v>3</v>
      </c>
      <c r="K319" s="76">
        <v>5</v>
      </c>
      <c r="L319" s="470"/>
    </row>
    <row r="320" spans="1:13" ht="19.95" customHeight="1" x14ac:dyDescent="0.25">
      <c r="A320" s="296"/>
      <c r="B320" s="348" t="s">
        <v>199</v>
      </c>
      <c r="C320" s="348" t="s">
        <v>313</v>
      </c>
      <c r="D320" s="142"/>
      <c r="E320" s="356" t="s">
        <v>323</v>
      </c>
      <c r="F320" s="414" t="s">
        <v>322</v>
      </c>
      <c r="G320" s="334"/>
      <c r="H320" s="76">
        <v>1</v>
      </c>
      <c r="I320" s="76"/>
      <c r="J320" s="76">
        <v>3</v>
      </c>
      <c r="K320" s="76">
        <v>5</v>
      </c>
      <c r="L320" s="470"/>
    </row>
    <row r="321" spans="1:12" ht="19.95" customHeight="1" x14ac:dyDescent="0.25">
      <c r="A321" s="296"/>
      <c r="B321" s="348" t="s">
        <v>199</v>
      </c>
      <c r="C321" s="348" t="s">
        <v>313</v>
      </c>
      <c r="D321" s="142"/>
      <c r="E321" s="383" t="s">
        <v>324</v>
      </c>
      <c r="F321" s="414"/>
      <c r="G321" s="334"/>
      <c r="H321" s="76">
        <v>1</v>
      </c>
      <c r="I321" s="76"/>
      <c r="J321" s="76">
        <v>3</v>
      </c>
      <c r="K321" s="76">
        <v>5</v>
      </c>
      <c r="L321" s="470"/>
    </row>
    <row r="322" spans="1:12" ht="19.95" customHeight="1" x14ac:dyDescent="0.25">
      <c r="A322" s="296"/>
      <c r="B322" s="348" t="s">
        <v>199</v>
      </c>
      <c r="C322" s="348" t="s">
        <v>313</v>
      </c>
      <c r="D322" s="481" t="s">
        <v>325</v>
      </c>
      <c r="E322" s="354" t="s">
        <v>798</v>
      </c>
      <c r="F322" s="414"/>
      <c r="G322" s="334"/>
      <c r="H322" s="76">
        <v>1</v>
      </c>
      <c r="I322" s="76"/>
      <c r="J322" s="76">
        <v>3</v>
      </c>
      <c r="K322" s="76">
        <v>5</v>
      </c>
      <c r="L322" s="61"/>
    </row>
    <row r="323" spans="1:12" ht="19.95" customHeight="1" x14ac:dyDescent="0.25">
      <c r="A323" s="296"/>
      <c r="B323" s="348" t="s">
        <v>199</v>
      </c>
      <c r="C323" s="348" t="s">
        <v>313</v>
      </c>
      <c r="D323" s="481"/>
      <c r="E323" s="383" t="s">
        <v>326</v>
      </c>
      <c r="F323" s="428" t="s">
        <v>327</v>
      </c>
      <c r="G323" s="334"/>
      <c r="H323" s="76">
        <v>1</v>
      </c>
      <c r="I323" s="76"/>
      <c r="J323" s="76">
        <v>3</v>
      </c>
      <c r="K323" s="76">
        <v>5</v>
      </c>
      <c r="L323" s="61"/>
    </row>
    <row r="324" spans="1:12" ht="19.95" customHeight="1" x14ac:dyDescent="0.25">
      <c r="A324" s="296"/>
      <c r="B324" s="348" t="s">
        <v>199</v>
      </c>
      <c r="C324" s="348" t="s">
        <v>313</v>
      </c>
      <c r="D324" s="481"/>
      <c r="E324" s="383" t="s">
        <v>799</v>
      </c>
      <c r="F324" s="428" t="s">
        <v>720</v>
      </c>
      <c r="G324" s="334"/>
      <c r="H324" s="76">
        <v>1</v>
      </c>
      <c r="I324" s="76"/>
      <c r="J324" s="76">
        <v>3</v>
      </c>
      <c r="K324" s="76">
        <v>5</v>
      </c>
      <c r="L324" s="61"/>
    </row>
    <row r="325" spans="1:12" ht="19.95" customHeight="1" x14ac:dyDescent="0.25">
      <c r="A325" s="296"/>
      <c r="B325" s="348" t="s">
        <v>199</v>
      </c>
      <c r="C325" s="349"/>
      <c r="D325" s="327" t="s">
        <v>328</v>
      </c>
      <c r="E325" s="336"/>
      <c r="F325" s="358"/>
      <c r="G325" s="333"/>
      <c r="H325" s="76"/>
      <c r="I325" s="76"/>
      <c r="J325" s="76"/>
      <c r="K325" s="76"/>
      <c r="L325" s="61"/>
    </row>
    <row r="326" spans="1:12" ht="19.95" customHeight="1" x14ac:dyDescent="0.25">
      <c r="A326" s="296"/>
      <c r="B326" s="348" t="s">
        <v>199</v>
      </c>
      <c r="C326" s="349" t="s">
        <v>540</v>
      </c>
      <c r="D326" s="357" t="s">
        <v>184</v>
      </c>
      <c r="E326" s="354" t="s">
        <v>800</v>
      </c>
      <c r="F326" s="414"/>
      <c r="G326" s="527" t="s">
        <v>329</v>
      </c>
      <c r="H326" s="366">
        <v>99</v>
      </c>
      <c r="I326" s="366"/>
      <c r="J326" s="366"/>
      <c r="K326" s="76"/>
      <c r="L326" s="61"/>
    </row>
    <row r="327" spans="1:12" ht="19.95" customHeight="1" x14ac:dyDescent="0.25">
      <c r="A327" s="296"/>
      <c r="B327" s="348" t="s">
        <v>199</v>
      </c>
      <c r="C327" s="349" t="s">
        <v>540</v>
      </c>
      <c r="D327" s="357"/>
      <c r="E327" s="354" t="s">
        <v>330</v>
      </c>
      <c r="F327" s="414" t="s">
        <v>721</v>
      </c>
      <c r="G327" s="528"/>
      <c r="H327" s="366">
        <v>99</v>
      </c>
      <c r="I327" s="366"/>
      <c r="J327" s="366"/>
      <c r="K327" s="76"/>
      <c r="L327" s="61"/>
    </row>
    <row r="328" spans="1:12" ht="19.95" customHeight="1" x14ac:dyDescent="0.25">
      <c r="A328" s="296"/>
      <c r="B328" s="348" t="s">
        <v>199</v>
      </c>
      <c r="C328" s="349" t="s">
        <v>540</v>
      </c>
      <c r="D328" s="357" t="s">
        <v>116</v>
      </c>
      <c r="E328" s="354" t="s">
        <v>331</v>
      </c>
      <c r="F328" s="414"/>
      <c r="G328" s="528"/>
      <c r="H328" s="366">
        <v>99</v>
      </c>
      <c r="I328" s="366"/>
      <c r="J328" s="366"/>
      <c r="K328" s="76"/>
      <c r="L328" s="61"/>
    </row>
    <row r="329" spans="1:12" ht="19.95" customHeight="1" x14ac:dyDescent="0.25">
      <c r="A329" s="296"/>
      <c r="B329" s="348" t="s">
        <v>199</v>
      </c>
      <c r="C329" s="349" t="s">
        <v>540</v>
      </c>
      <c r="D329" s="357" t="s">
        <v>332</v>
      </c>
      <c r="E329" s="354" t="s">
        <v>333</v>
      </c>
      <c r="F329" s="414"/>
      <c r="G329" s="528"/>
      <c r="H329" s="366">
        <v>99</v>
      </c>
      <c r="I329" s="366"/>
      <c r="J329" s="366"/>
      <c r="K329" s="76"/>
      <c r="L329" s="61"/>
    </row>
    <row r="330" spans="1:12" ht="19.95" customHeight="1" x14ac:dyDescent="0.25">
      <c r="A330" s="296"/>
      <c r="B330" s="348" t="s">
        <v>199</v>
      </c>
      <c r="C330" s="349" t="s">
        <v>540</v>
      </c>
      <c r="D330" s="357"/>
      <c r="E330" s="354" t="s">
        <v>334</v>
      </c>
      <c r="F330" s="414"/>
      <c r="G330" s="528"/>
      <c r="H330" s="366">
        <v>99</v>
      </c>
      <c r="I330" s="366"/>
      <c r="J330" s="366"/>
      <c r="K330" s="76"/>
      <c r="L330" s="61"/>
    </row>
    <row r="331" spans="1:12" ht="19.95" customHeight="1" x14ac:dyDescent="0.25">
      <c r="A331" s="296"/>
      <c r="B331" s="348" t="s">
        <v>199</v>
      </c>
      <c r="C331" s="349" t="s">
        <v>540</v>
      </c>
      <c r="D331" s="357"/>
      <c r="E331" s="354" t="s">
        <v>335</v>
      </c>
      <c r="F331" s="414" t="s">
        <v>722</v>
      </c>
      <c r="G331" s="528"/>
      <c r="H331" s="366">
        <v>99</v>
      </c>
      <c r="I331" s="366"/>
      <c r="J331" s="366"/>
      <c r="K331" s="76"/>
      <c r="L331" s="61"/>
    </row>
    <row r="332" spans="1:12" ht="19.95" customHeight="1" x14ac:dyDescent="0.25">
      <c r="A332" s="296"/>
      <c r="B332" s="348" t="s">
        <v>199</v>
      </c>
      <c r="C332" s="349" t="s">
        <v>540</v>
      </c>
      <c r="D332" s="357"/>
      <c r="E332" s="354" t="s">
        <v>336</v>
      </c>
      <c r="F332" s="414"/>
      <c r="G332" s="528"/>
      <c r="H332" s="366">
        <v>99</v>
      </c>
      <c r="I332" s="366"/>
      <c r="J332" s="366"/>
      <c r="K332" s="76"/>
      <c r="L332" s="61"/>
    </row>
    <row r="333" spans="1:12" ht="19.95" customHeight="1" x14ac:dyDescent="0.25">
      <c r="A333" s="296"/>
      <c r="B333" s="348" t="s">
        <v>199</v>
      </c>
      <c r="C333" s="349" t="s">
        <v>540</v>
      </c>
      <c r="D333" s="357" t="s">
        <v>337</v>
      </c>
      <c r="E333" s="354" t="s">
        <v>280</v>
      </c>
      <c r="F333" s="414"/>
      <c r="G333" s="528"/>
      <c r="H333" s="366">
        <v>99</v>
      </c>
      <c r="I333" s="366"/>
      <c r="J333" s="366"/>
      <c r="K333" s="76"/>
      <c r="L333" s="61"/>
    </row>
    <row r="334" spans="1:12" ht="19.95" customHeight="1" x14ac:dyDescent="0.25">
      <c r="A334" s="296"/>
      <c r="B334" s="348" t="s">
        <v>199</v>
      </c>
      <c r="C334" s="349" t="s">
        <v>540</v>
      </c>
      <c r="D334" s="357"/>
      <c r="E334" s="354" t="s">
        <v>338</v>
      </c>
      <c r="F334" s="414" t="s">
        <v>723</v>
      </c>
      <c r="G334" s="529"/>
      <c r="H334" s="366">
        <v>99</v>
      </c>
      <c r="I334" s="366"/>
      <c r="J334" s="366"/>
      <c r="K334" s="76"/>
      <c r="L334" s="61"/>
    </row>
    <row r="335" spans="1:12" ht="19.95" customHeight="1" x14ac:dyDescent="0.25">
      <c r="A335" s="296"/>
      <c r="B335" s="348" t="s">
        <v>199</v>
      </c>
      <c r="C335" s="349"/>
      <c r="D335" s="327" t="s">
        <v>339</v>
      </c>
      <c r="E335" s="336"/>
      <c r="F335" s="358"/>
      <c r="G335" s="333"/>
      <c r="H335" s="76"/>
      <c r="I335" s="76"/>
      <c r="J335" s="76"/>
      <c r="K335" s="76"/>
      <c r="L335" s="61"/>
    </row>
    <row r="336" spans="1:12" ht="19.95" customHeight="1" x14ac:dyDescent="0.25">
      <c r="A336" s="296"/>
      <c r="B336" s="348" t="s">
        <v>199</v>
      </c>
      <c r="C336" s="349" t="s">
        <v>541</v>
      </c>
      <c r="D336" s="357" t="s">
        <v>340</v>
      </c>
      <c r="E336" s="356" t="s">
        <v>341</v>
      </c>
      <c r="F336" s="417" t="s">
        <v>724</v>
      </c>
      <c r="G336" s="460" t="s">
        <v>342</v>
      </c>
      <c r="H336" s="76"/>
      <c r="I336" s="76"/>
      <c r="J336" s="76"/>
      <c r="K336" s="76"/>
      <c r="L336" s="61"/>
    </row>
    <row r="337" spans="1:13" ht="19.95" customHeight="1" x14ac:dyDescent="0.25">
      <c r="A337" s="296"/>
      <c r="B337" s="348" t="s">
        <v>199</v>
      </c>
      <c r="C337" s="349" t="s">
        <v>541</v>
      </c>
      <c r="D337" s="489" t="s">
        <v>343</v>
      </c>
      <c r="E337" s="356" t="s">
        <v>344</v>
      </c>
      <c r="F337" s="417" t="s">
        <v>725</v>
      </c>
      <c r="G337" s="530"/>
      <c r="H337" s="76"/>
      <c r="I337" s="76"/>
      <c r="J337" s="76"/>
      <c r="K337" s="76"/>
      <c r="L337" s="61"/>
    </row>
    <row r="338" spans="1:13" ht="19.95" customHeight="1" x14ac:dyDescent="0.25">
      <c r="A338" s="296"/>
      <c r="B338" s="348" t="s">
        <v>199</v>
      </c>
      <c r="C338" s="349" t="s">
        <v>541</v>
      </c>
      <c r="D338" s="490"/>
      <c r="E338" s="356" t="s">
        <v>345</v>
      </c>
      <c r="F338" s="417" t="s">
        <v>726</v>
      </c>
      <c r="G338" s="530"/>
      <c r="H338" s="76"/>
      <c r="I338" s="76"/>
      <c r="J338" s="76"/>
      <c r="K338" s="76"/>
      <c r="L338" s="61"/>
    </row>
    <row r="339" spans="1:13" ht="19.95" customHeight="1" x14ac:dyDescent="0.25">
      <c r="A339" s="521"/>
      <c r="B339" s="348" t="s">
        <v>199</v>
      </c>
      <c r="C339" s="349" t="s">
        <v>541</v>
      </c>
      <c r="D339" s="491"/>
      <c r="E339" s="356" t="s">
        <v>801</v>
      </c>
      <c r="F339" s="417" t="s">
        <v>727</v>
      </c>
      <c r="G339" s="530"/>
      <c r="H339" s="76"/>
      <c r="I339" s="76"/>
      <c r="J339" s="76"/>
      <c r="K339" s="76"/>
      <c r="L339" s="61"/>
    </row>
    <row r="340" spans="1:13" ht="19.95" customHeight="1" x14ac:dyDescent="0.25">
      <c r="A340" s="521"/>
      <c r="B340" s="348" t="s">
        <v>199</v>
      </c>
      <c r="C340" s="349" t="s">
        <v>541</v>
      </c>
      <c r="D340" s="489" t="s">
        <v>346</v>
      </c>
      <c r="E340" s="356" t="s">
        <v>347</v>
      </c>
      <c r="F340" s="417" t="s">
        <v>728</v>
      </c>
      <c r="G340" s="530"/>
      <c r="H340" s="76"/>
      <c r="I340" s="76"/>
      <c r="J340" s="76"/>
      <c r="K340" s="76"/>
      <c r="L340" s="61"/>
    </row>
    <row r="341" spans="1:13" ht="19.95" customHeight="1" x14ac:dyDescent="0.25">
      <c r="A341" s="521"/>
      <c r="B341" s="348" t="s">
        <v>199</v>
      </c>
      <c r="C341" s="349" t="s">
        <v>541</v>
      </c>
      <c r="D341" s="491"/>
      <c r="E341" s="356" t="s">
        <v>348</v>
      </c>
      <c r="F341" s="417" t="s">
        <v>728</v>
      </c>
      <c r="G341" s="530"/>
      <c r="H341" s="76"/>
      <c r="I341" s="76"/>
      <c r="J341" s="76"/>
      <c r="K341" s="76"/>
      <c r="L341" s="61"/>
    </row>
    <row r="342" spans="1:13" ht="19.95" customHeight="1" x14ac:dyDescent="0.25">
      <c r="A342" s="521"/>
      <c r="B342" s="348" t="s">
        <v>199</v>
      </c>
      <c r="C342" s="349" t="s">
        <v>541</v>
      </c>
      <c r="D342" s="357" t="s">
        <v>234</v>
      </c>
      <c r="E342" s="356"/>
      <c r="F342" s="417"/>
      <c r="G342" s="530"/>
      <c r="H342" s="76"/>
      <c r="I342" s="76"/>
      <c r="J342" s="76"/>
      <c r="K342" s="76"/>
      <c r="L342" s="61"/>
    </row>
    <row r="343" spans="1:13" ht="19.95" customHeight="1" x14ac:dyDescent="0.25">
      <c r="A343" s="521"/>
      <c r="B343" s="348" t="s">
        <v>199</v>
      </c>
      <c r="C343" s="349" t="s">
        <v>541</v>
      </c>
      <c r="D343" s="483" t="s">
        <v>349</v>
      </c>
      <c r="E343" s="356" t="s">
        <v>802</v>
      </c>
      <c r="F343" s="417"/>
      <c r="G343" s="530"/>
      <c r="H343" s="76"/>
      <c r="I343" s="76"/>
      <c r="J343" s="76"/>
      <c r="K343" s="76"/>
      <c r="L343" s="468" t="s">
        <v>350</v>
      </c>
      <c r="M343" s="117" t="s">
        <v>22</v>
      </c>
    </row>
    <row r="344" spans="1:13" ht="19.95" customHeight="1" x14ac:dyDescent="0.25">
      <c r="A344" s="521"/>
      <c r="B344" s="348" t="s">
        <v>199</v>
      </c>
      <c r="C344" s="349" t="s">
        <v>541</v>
      </c>
      <c r="D344" s="485"/>
      <c r="E344" s="356" t="s">
        <v>803</v>
      </c>
      <c r="F344" s="417"/>
      <c r="G344" s="458"/>
      <c r="H344" s="76"/>
      <c r="I344" s="76"/>
      <c r="J344" s="76"/>
      <c r="K344" s="76"/>
      <c r="L344" s="468"/>
    </row>
    <row r="345" spans="1:13" ht="19.95" customHeight="1" x14ac:dyDescent="0.25">
      <c r="A345" s="521"/>
      <c r="B345" s="348" t="s">
        <v>199</v>
      </c>
      <c r="C345" s="350"/>
      <c r="D345" s="337" t="s">
        <v>351</v>
      </c>
      <c r="E345" s="328"/>
      <c r="F345" s="332"/>
      <c r="G345" s="333"/>
      <c r="H345" s="76"/>
      <c r="I345" s="76"/>
      <c r="J345" s="76"/>
      <c r="K345" s="76"/>
      <c r="L345" s="468"/>
      <c r="M345" s="117" t="s">
        <v>126</v>
      </c>
    </row>
    <row r="346" spans="1:13" ht="19.95" customHeight="1" x14ac:dyDescent="0.25">
      <c r="A346" s="521"/>
      <c r="B346" s="384" t="s">
        <v>352</v>
      </c>
      <c r="C346" s="385" t="s">
        <v>542</v>
      </c>
      <c r="D346" s="386" t="s">
        <v>353</v>
      </c>
      <c r="E346" s="374" t="s">
        <v>354</v>
      </c>
      <c r="F346" s="429"/>
      <c r="G346" s="334"/>
      <c r="H346" s="76">
        <v>1</v>
      </c>
      <c r="I346" s="76"/>
      <c r="J346" s="76">
        <v>3</v>
      </c>
      <c r="K346" s="76">
        <v>5</v>
      </c>
      <c r="L346" s="468"/>
      <c r="M346" s="117" t="s">
        <v>355</v>
      </c>
    </row>
    <row r="347" spans="1:13" ht="19.95" customHeight="1" x14ac:dyDescent="0.25">
      <c r="A347" s="521"/>
      <c r="B347" s="384" t="s">
        <v>352</v>
      </c>
      <c r="C347" s="385" t="s">
        <v>542</v>
      </c>
      <c r="D347" s="387"/>
      <c r="E347" s="388" t="s">
        <v>356</v>
      </c>
      <c r="F347" s="430" t="s">
        <v>729</v>
      </c>
      <c r="G347" s="334"/>
      <c r="H347" s="76">
        <v>1</v>
      </c>
      <c r="I347" s="76"/>
      <c r="J347" s="76">
        <v>3</v>
      </c>
      <c r="K347" s="76">
        <v>5</v>
      </c>
      <c r="L347" s="468"/>
      <c r="M347" s="117" t="s">
        <v>357</v>
      </c>
    </row>
    <row r="348" spans="1:13" ht="19.95" customHeight="1" x14ac:dyDescent="0.25">
      <c r="A348" s="521"/>
      <c r="B348" s="384" t="s">
        <v>352</v>
      </c>
      <c r="C348" s="385" t="s">
        <v>542</v>
      </c>
      <c r="D348" s="389"/>
      <c r="E348" s="390" t="s">
        <v>358</v>
      </c>
      <c r="F348" s="430" t="s">
        <v>730</v>
      </c>
      <c r="G348" s="334"/>
      <c r="H348" s="76">
        <v>1</v>
      </c>
      <c r="I348" s="76"/>
      <c r="J348" s="76">
        <v>3</v>
      </c>
      <c r="K348" s="76">
        <v>5</v>
      </c>
      <c r="L348" s="468"/>
    </row>
    <row r="349" spans="1:13" ht="19.95" customHeight="1" x14ac:dyDescent="0.25">
      <c r="A349" s="521"/>
      <c r="B349" s="384" t="s">
        <v>352</v>
      </c>
      <c r="C349" s="385" t="s">
        <v>542</v>
      </c>
      <c r="D349" s="391" t="s">
        <v>359</v>
      </c>
      <c r="E349" s="392" t="s">
        <v>360</v>
      </c>
      <c r="F349" s="429" t="s">
        <v>731</v>
      </c>
      <c r="G349" s="334"/>
      <c r="H349" s="76">
        <v>1</v>
      </c>
      <c r="I349" s="76"/>
      <c r="J349" s="76">
        <v>3</v>
      </c>
      <c r="K349" s="76">
        <v>5</v>
      </c>
      <c r="L349" s="468"/>
    </row>
    <row r="350" spans="1:13" ht="19.95" customHeight="1" x14ac:dyDescent="0.25">
      <c r="B350" s="384" t="s">
        <v>352</v>
      </c>
      <c r="C350" s="385" t="s">
        <v>542</v>
      </c>
      <c r="D350" s="391"/>
      <c r="E350" s="393" t="s">
        <v>361</v>
      </c>
      <c r="F350" s="431" t="s">
        <v>732</v>
      </c>
      <c r="G350" s="334"/>
      <c r="H350" s="76">
        <v>1</v>
      </c>
      <c r="I350" s="76"/>
      <c r="J350" s="76">
        <v>3</v>
      </c>
      <c r="K350" s="76">
        <v>5</v>
      </c>
      <c r="L350" s="468"/>
    </row>
    <row r="351" spans="1:13" ht="19.95" customHeight="1" x14ac:dyDescent="0.25">
      <c r="B351" s="384" t="s">
        <v>352</v>
      </c>
      <c r="C351" s="385" t="s">
        <v>542</v>
      </c>
      <c r="D351" s="391"/>
      <c r="E351" s="394" t="s">
        <v>362</v>
      </c>
      <c r="F351" s="432" t="s">
        <v>363</v>
      </c>
      <c r="G351" s="334"/>
      <c r="H351" s="76">
        <v>1</v>
      </c>
      <c r="I351" s="76"/>
      <c r="J351" s="76">
        <v>3</v>
      </c>
      <c r="K351" s="76">
        <v>5</v>
      </c>
      <c r="L351" s="468"/>
    </row>
    <row r="352" spans="1:13" ht="19.95" customHeight="1" x14ac:dyDescent="0.25">
      <c r="B352" s="384" t="s">
        <v>352</v>
      </c>
      <c r="C352" s="385" t="s">
        <v>542</v>
      </c>
      <c r="D352" s="391"/>
      <c r="E352" s="395" t="s">
        <v>364</v>
      </c>
      <c r="F352" s="432" t="s">
        <v>733</v>
      </c>
      <c r="G352" s="334"/>
      <c r="H352" s="76">
        <v>1</v>
      </c>
      <c r="I352" s="76"/>
      <c r="J352" s="76">
        <v>3</v>
      </c>
      <c r="K352" s="76">
        <v>5</v>
      </c>
      <c r="L352" s="469"/>
    </row>
    <row r="353" spans="2:12" ht="19.95" customHeight="1" x14ac:dyDescent="0.25">
      <c r="B353" s="384" t="s">
        <v>352</v>
      </c>
      <c r="C353" s="385" t="s">
        <v>542</v>
      </c>
      <c r="D353" s="391"/>
      <c r="E353" s="395" t="s">
        <v>365</v>
      </c>
      <c r="F353" s="432" t="s">
        <v>734</v>
      </c>
      <c r="G353" s="334"/>
      <c r="H353" s="76">
        <v>1</v>
      </c>
      <c r="I353" s="76"/>
      <c r="J353" s="76">
        <v>3</v>
      </c>
      <c r="K353" s="76">
        <v>5</v>
      </c>
      <c r="L353" s="469"/>
    </row>
    <row r="354" spans="2:12" ht="19.95" customHeight="1" x14ac:dyDescent="0.25">
      <c r="B354" s="384" t="s">
        <v>352</v>
      </c>
      <c r="C354" s="385" t="s">
        <v>542</v>
      </c>
      <c r="D354" s="391"/>
      <c r="E354" s="395" t="s">
        <v>366</v>
      </c>
      <c r="F354" s="432" t="s">
        <v>735</v>
      </c>
      <c r="G354" s="334"/>
      <c r="H354" s="76">
        <v>1</v>
      </c>
      <c r="I354" s="76"/>
      <c r="J354" s="76">
        <v>3</v>
      </c>
      <c r="K354" s="76">
        <v>5</v>
      </c>
      <c r="L354" s="469"/>
    </row>
    <row r="355" spans="2:12" ht="19.95" customHeight="1" x14ac:dyDescent="0.25">
      <c r="B355" s="384" t="s">
        <v>352</v>
      </c>
      <c r="C355" s="385" t="s">
        <v>542</v>
      </c>
      <c r="D355" s="396" t="s">
        <v>367</v>
      </c>
      <c r="E355" s="395" t="s">
        <v>368</v>
      </c>
      <c r="F355" s="433" t="s">
        <v>736</v>
      </c>
      <c r="G355" s="334"/>
      <c r="H355" s="76">
        <v>2</v>
      </c>
      <c r="I355" s="76"/>
      <c r="J355" s="76">
        <v>3</v>
      </c>
      <c r="K355" s="76">
        <v>5</v>
      </c>
      <c r="L355" s="469"/>
    </row>
    <row r="356" spans="2:12" ht="19.95" customHeight="1" x14ac:dyDescent="0.25">
      <c r="B356" s="384" t="s">
        <v>352</v>
      </c>
      <c r="C356" s="385" t="s">
        <v>542</v>
      </c>
      <c r="D356" s="397"/>
      <c r="E356" s="398"/>
      <c r="F356" s="433" t="s">
        <v>369</v>
      </c>
      <c r="G356" s="334"/>
      <c r="H356" s="76">
        <v>2</v>
      </c>
      <c r="I356" s="76"/>
      <c r="J356" s="76">
        <v>3</v>
      </c>
      <c r="K356" s="76">
        <v>5</v>
      </c>
      <c r="L356" s="469"/>
    </row>
    <row r="357" spans="2:12" ht="19.95" customHeight="1" x14ac:dyDescent="0.25">
      <c r="B357" s="384" t="s">
        <v>352</v>
      </c>
      <c r="C357" s="385" t="s">
        <v>542</v>
      </c>
      <c r="D357" s="397"/>
      <c r="E357" s="398"/>
      <c r="F357" s="432" t="s">
        <v>737</v>
      </c>
      <c r="G357" s="334"/>
      <c r="H357" s="76">
        <v>2</v>
      </c>
      <c r="I357" s="76"/>
      <c r="J357" s="76">
        <v>3</v>
      </c>
      <c r="K357" s="76">
        <v>5</v>
      </c>
      <c r="L357" s="469"/>
    </row>
    <row r="358" spans="2:12" ht="19.95" customHeight="1" x14ac:dyDescent="0.25">
      <c r="B358" s="384" t="s">
        <v>352</v>
      </c>
      <c r="C358" s="385" t="s">
        <v>542</v>
      </c>
      <c r="D358" s="397"/>
      <c r="E358" s="392"/>
      <c r="F358" s="431" t="s">
        <v>738</v>
      </c>
      <c r="G358" s="334"/>
      <c r="H358" s="76">
        <v>2</v>
      </c>
      <c r="I358" s="76"/>
      <c r="J358" s="76">
        <v>3</v>
      </c>
      <c r="K358" s="76">
        <v>5</v>
      </c>
      <c r="L358" s="469"/>
    </row>
    <row r="359" spans="2:12" ht="19.95" customHeight="1" x14ac:dyDescent="0.25">
      <c r="B359" s="384" t="s">
        <v>352</v>
      </c>
      <c r="C359" s="385" t="s">
        <v>542</v>
      </c>
      <c r="D359" s="397"/>
      <c r="E359" s="395" t="s">
        <v>370</v>
      </c>
      <c r="F359" s="432" t="s">
        <v>371</v>
      </c>
      <c r="G359" s="334"/>
      <c r="H359" s="76">
        <v>2</v>
      </c>
      <c r="I359" s="76"/>
      <c r="J359" s="76">
        <v>3</v>
      </c>
      <c r="K359" s="76">
        <v>5</v>
      </c>
      <c r="L359" s="469"/>
    </row>
    <row r="360" spans="2:12" ht="19.95" customHeight="1" x14ac:dyDescent="0.25">
      <c r="B360" s="384" t="s">
        <v>352</v>
      </c>
      <c r="C360" s="385" t="s">
        <v>542</v>
      </c>
      <c r="D360" s="397"/>
      <c r="E360" s="398"/>
      <c r="F360" s="431" t="s">
        <v>372</v>
      </c>
      <c r="G360" s="334"/>
      <c r="H360" s="76">
        <v>2</v>
      </c>
      <c r="I360" s="76"/>
      <c r="J360" s="76">
        <v>3</v>
      </c>
      <c r="K360" s="76">
        <v>5</v>
      </c>
      <c r="L360" s="469"/>
    </row>
    <row r="361" spans="2:12" ht="19.95" customHeight="1" x14ac:dyDescent="0.25">
      <c r="B361" s="384" t="s">
        <v>352</v>
      </c>
      <c r="C361" s="385" t="s">
        <v>542</v>
      </c>
      <c r="D361" s="397"/>
      <c r="E361" s="398"/>
      <c r="F361" s="431" t="s">
        <v>739</v>
      </c>
      <c r="G361" s="334"/>
      <c r="H361" s="76">
        <v>2</v>
      </c>
      <c r="I361" s="76"/>
      <c r="J361" s="76">
        <v>3</v>
      </c>
      <c r="K361" s="76">
        <v>5</v>
      </c>
      <c r="L361" s="469"/>
    </row>
    <row r="362" spans="2:12" ht="19.95" customHeight="1" x14ac:dyDescent="0.25">
      <c r="B362" s="384" t="s">
        <v>352</v>
      </c>
      <c r="C362" s="385" t="s">
        <v>542</v>
      </c>
      <c r="D362" s="397"/>
      <c r="E362" s="398"/>
      <c r="F362" s="431" t="s">
        <v>738</v>
      </c>
      <c r="G362" s="334"/>
      <c r="H362" s="76">
        <v>2</v>
      </c>
      <c r="I362" s="76"/>
      <c r="J362" s="76">
        <v>3</v>
      </c>
      <c r="K362" s="76">
        <v>5</v>
      </c>
      <c r="L362" s="469"/>
    </row>
    <row r="363" spans="2:12" ht="19.95" customHeight="1" x14ac:dyDescent="0.25">
      <c r="B363" s="384" t="s">
        <v>352</v>
      </c>
      <c r="C363" s="385" t="s">
        <v>542</v>
      </c>
      <c r="D363" s="397"/>
      <c r="E363" s="398"/>
      <c r="F363" s="432" t="s">
        <v>740</v>
      </c>
      <c r="G363" s="334"/>
      <c r="H363" s="76">
        <v>2</v>
      </c>
      <c r="I363" s="76"/>
      <c r="J363" s="76">
        <v>3</v>
      </c>
      <c r="K363" s="76">
        <v>5</v>
      </c>
      <c r="L363" s="468"/>
    </row>
    <row r="364" spans="2:12" ht="19.95" customHeight="1" x14ac:dyDescent="0.25">
      <c r="B364" s="384" t="s">
        <v>352</v>
      </c>
      <c r="C364" s="385" t="s">
        <v>542</v>
      </c>
      <c r="D364" s="397"/>
      <c r="E364" s="392"/>
      <c r="F364" s="432" t="s">
        <v>741</v>
      </c>
      <c r="G364" s="399"/>
      <c r="H364" s="76">
        <v>2</v>
      </c>
      <c r="I364" s="76"/>
      <c r="J364" s="76">
        <v>3</v>
      </c>
      <c r="K364" s="76">
        <v>5</v>
      </c>
      <c r="L364" s="468"/>
    </row>
    <row r="365" spans="2:12" ht="19.95" customHeight="1" x14ac:dyDescent="0.25">
      <c r="B365" s="384" t="s">
        <v>352</v>
      </c>
      <c r="C365" s="385" t="s">
        <v>542</v>
      </c>
      <c r="D365" s="400"/>
      <c r="E365" s="401"/>
      <c r="F365" s="434" t="s">
        <v>742</v>
      </c>
      <c r="G365" s="399"/>
      <c r="H365" s="76"/>
      <c r="I365" s="76"/>
      <c r="J365" s="76"/>
      <c r="K365" s="76">
        <v>5</v>
      </c>
      <c r="L365" s="468"/>
    </row>
    <row r="366" spans="2:12" ht="19.95" customHeight="1" x14ac:dyDescent="0.25">
      <c r="B366" s="384" t="s">
        <v>352</v>
      </c>
      <c r="C366" s="352"/>
      <c r="D366" s="328" t="s">
        <v>373</v>
      </c>
      <c r="E366" s="328"/>
      <c r="F366" s="332"/>
      <c r="G366" s="333"/>
      <c r="H366" s="76"/>
      <c r="I366" s="76"/>
      <c r="J366" s="76"/>
      <c r="K366" s="76"/>
      <c r="L366" s="468"/>
    </row>
    <row r="367" spans="2:12" ht="19.95" customHeight="1" x14ac:dyDescent="0.25">
      <c r="B367" s="384" t="s">
        <v>352</v>
      </c>
      <c r="C367" s="402" t="s">
        <v>373</v>
      </c>
      <c r="D367" s="471" t="s">
        <v>374</v>
      </c>
      <c r="E367" s="359" t="s">
        <v>805</v>
      </c>
      <c r="F367" s="413" t="s">
        <v>743</v>
      </c>
      <c r="G367" s="334"/>
      <c r="H367" s="76">
        <v>1</v>
      </c>
      <c r="I367" s="76">
        <v>7</v>
      </c>
      <c r="J367" s="76">
        <v>3</v>
      </c>
      <c r="K367" s="76">
        <v>5</v>
      </c>
      <c r="L367" s="468"/>
    </row>
    <row r="368" spans="2:12" ht="19.95" customHeight="1" x14ac:dyDescent="0.25">
      <c r="B368" s="384" t="s">
        <v>352</v>
      </c>
      <c r="C368" s="402" t="s">
        <v>373</v>
      </c>
      <c r="D368" s="472"/>
      <c r="E368" s="361"/>
      <c r="F368" s="413" t="s">
        <v>744</v>
      </c>
      <c r="G368" s="334"/>
      <c r="H368" s="76">
        <v>1</v>
      </c>
      <c r="I368" s="76">
        <v>7</v>
      </c>
      <c r="J368" s="76">
        <v>3</v>
      </c>
      <c r="K368" s="76">
        <v>5</v>
      </c>
      <c r="L368" s="468"/>
    </row>
    <row r="369" spans="2:12" ht="19.95" customHeight="1" x14ac:dyDescent="0.25">
      <c r="B369" s="384" t="s">
        <v>352</v>
      </c>
      <c r="C369" s="402" t="s">
        <v>373</v>
      </c>
      <c r="D369" s="472"/>
      <c r="E369" s="380" t="s">
        <v>804</v>
      </c>
      <c r="F369" s="417" t="s">
        <v>745</v>
      </c>
      <c r="G369" s="334"/>
      <c r="H369" s="76">
        <v>1</v>
      </c>
      <c r="I369" s="76">
        <v>7</v>
      </c>
      <c r="J369" s="76">
        <v>3</v>
      </c>
      <c r="K369" s="76">
        <v>5</v>
      </c>
      <c r="L369" s="468"/>
    </row>
    <row r="370" spans="2:12" ht="19.95" customHeight="1" x14ac:dyDescent="0.25">
      <c r="B370" s="384" t="s">
        <v>352</v>
      </c>
      <c r="C370" s="402" t="s">
        <v>373</v>
      </c>
      <c r="D370" s="472"/>
      <c r="E370" s="403"/>
      <c r="F370" s="417" t="s">
        <v>375</v>
      </c>
      <c r="G370" s="399"/>
      <c r="H370" s="76">
        <v>1</v>
      </c>
      <c r="I370" s="76">
        <v>7</v>
      </c>
      <c r="J370" s="76">
        <v>3</v>
      </c>
      <c r="K370" s="76">
        <v>5</v>
      </c>
      <c r="L370" s="61"/>
    </row>
    <row r="371" spans="2:12" ht="19.95" customHeight="1" x14ac:dyDescent="0.25">
      <c r="B371" s="384" t="s">
        <v>352</v>
      </c>
      <c r="C371" s="402" t="s">
        <v>373</v>
      </c>
      <c r="D371" s="472"/>
      <c r="E371" s="404"/>
      <c r="F371" s="417" t="s">
        <v>376</v>
      </c>
      <c r="G371" s="399"/>
      <c r="H371" s="76">
        <v>1</v>
      </c>
      <c r="I371" s="76">
        <v>7</v>
      </c>
      <c r="J371" s="76">
        <v>3</v>
      </c>
      <c r="K371" s="76">
        <v>5</v>
      </c>
      <c r="L371" s="61"/>
    </row>
    <row r="372" spans="2:12" ht="19.95" customHeight="1" x14ac:dyDescent="0.25">
      <c r="B372" s="384" t="s">
        <v>352</v>
      </c>
      <c r="C372" s="402" t="s">
        <v>373</v>
      </c>
      <c r="D372" s="472"/>
      <c r="E372" s="359" t="s">
        <v>377</v>
      </c>
      <c r="F372" s="413" t="s">
        <v>378</v>
      </c>
      <c r="G372" s="334"/>
      <c r="H372" s="76">
        <v>1</v>
      </c>
      <c r="I372" s="76">
        <v>7</v>
      </c>
      <c r="J372" s="76">
        <v>3</v>
      </c>
      <c r="K372" s="76">
        <v>5</v>
      </c>
      <c r="L372" s="61"/>
    </row>
    <row r="373" spans="2:12" ht="19.95" customHeight="1" x14ac:dyDescent="0.25">
      <c r="B373" s="384" t="s">
        <v>352</v>
      </c>
      <c r="C373" s="402" t="s">
        <v>373</v>
      </c>
      <c r="D373" s="500"/>
      <c r="E373" s="361"/>
      <c r="F373" s="417" t="s">
        <v>379</v>
      </c>
      <c r="G373" s="334"/>
      <c r="H373" s="76">
        <v>1</v>
      </c>
      <c r="I373" s="76">
        <v>7</v>
      </c>
      <c r="J373" s="76">
        <v>3</v>
      </c>
      <c r="K373" s="76">
        <v>5</v>
      </c>
      <c r="L373" s="61"/>
    </row>
    <row r="374" spans="2:12" ht="19.95" customHeight="1" x14ac:dyDescent="0.25">
      <c r="B374" s="384" t="s">
        <v>352</v>
      </c>
      <c r="C374" s="402" t="s">
        <v>373</v>
      </c>
      <c r="D374" s="471" t="s">
        <v>380</v>
      </c>
      <c r="E374" s="359" t="s">
        <v>381</v>
      </c>
      <c r="F374" s="416" t="s">
        <v>746</v>
      </c>
      <c r="G374" s="334"/>
      <c r="H374" s="76">
        <v>2</v>
      </c>
      <c r="I374" s="76">
        <v>7</v>
      </c>
      <c r="J374" s="76">
        <v>3</v>
      </c>
      <c r="K374" s="76">
        <v>5</v>
      </c>
      <c r="L374" s="61"/>
    </row>
    <row r="375" spans="2:12" ht="19.95" customHeight="1" x14ac:dyDescent="0.25">
      <c r="B375" s="384" t="s">
        <v>352</v>
      </c>
      <c r="C375" s="402" t="s">
        <v>373</v>
      </c>
      <c r="D375" s="472"/>
      <c r="E375" s="376"/>
      <c r="F375" s="417" t="s">
        <v>747</v>
      </c>
      <c r="G375" s="399"/>
      <c r="H375" s="76">
        <v>2</v>
      </c>
      <c r="I375" s="76">
        <v>7</v>
      </c>
      <c r="J375" s="76">
        <v>3</v>
      </c>
      <c r="K375" s="76">
        <v>5</v>
      </c>
      <c r="L375" s="61"/>
    </row>
    <row r="376" spans="2:12" ht="19.95" customHeight="1" x14ac:dyDescent="0.25">
      <c r="B376" s="384" t="s">
        <v>352</v>
      </c>
      <c r="C376" s="402" t="s">
        <v>373</v>
      </c>
      <c r="D376" s="405"/>
      <c r="E376" s="359" t="s">
        <v>382</v>
      </c>
      <c r="F376" s="413" t="s">
        <v>748</v>
      </c>
      <c r="G376" s="334"/>
      <c r="H376" s="76">
        <v>2</v>
      </c>
      <c r="I376" s="76">
        <v>7</v>
      </c>
      <c r="J376" s="76">
        <v>3</v>
      </c>
      <c r="K376" s="76">
        <v>6</v>
      </c>
      <c r="L376" s="61"/>
    </row>
    <row r="377" spans="2:12" ht="19.95" customHeight="1" x14ac:dyDescent="0.25">
      <c r="B377" s="384" t="s">
        <v>352</v>
      </c>
      <c r="C377" s="402" t="s">
        <v>373</v>
      </c>
      <c r="D377" s="406"/>
      <c r="E377" s="376"/>
      <c r="F377" s="413" t="s">
        <v>749</v>
      </c>
      <c r="G377" s="334"/>
      <c r="H377" s="76">
        <v>2</v>
      </c>
      <c r="I377" s="76">
        <v>7</v>
      </c>
      <c r="J377" s="76">
        <v>3</v>
      </c>
      <c r="K377" s="76">
        <v>6</v>
      </c>
      <c r="L377" s="61"/>
    </row>
    <row r="378" spans="2:12" ht="19.95" customHeight="1" x14ac:dyDescent="0.25">
      <c r="B378" s="384" t="s">
        <v>352</v>
      </c>
      <c r="C378" s="402" t="s">
        <v>373</v>
      </c>
      <c r="D378" s="406"/>
      <c r="E378" s="376"/>
      <c r="F378" s="417" t="s">
        <v>750</v>
      </c>
      <c r="G378" s="334"/>
      <c r="H378" s="76">
        <v>2</v>
      </c>
      <c r="I378" s="76">
        <v>7</v>
      </c>
      <c r="J378" s="76">
        <v>3</v>
      </c>
      <c r="K378" s="76">
        <v>6</v>
      </c>
      <c r="L378" s="61"/>
    </row>
    <row r="379" spans="2:12" ht="19.95" customHeight="1" x14ac:dyDescent="0.25">
      <c r="B379" s="384" t="s">
        <v>352</v>
      </c>
      <c r="C379" s="402" t="s">
        <v>373</v>
      </c>
      <c r="D379" s="405"/>
      <c r="E379" s="376"/>
      <c r="F379" s="417" t="s">
        <v>751</v>
      </c>
      <c r="G379" s="399"/>
      <c r="H379" s="76">
        <v>2</v>
      </c>
      <c r="I379" s="76">
        <v>7</v>
      </c>
      <c r="J379" s="76">
        <v>3</v>
      </c>
      <c r="K379" s="76">
        <v>6</v>
      </c>
      <c r="L379" s="61"/>
    </row>
    <row r="380" spans="2:12" ht="19.95" customHeight="1" x14ac:dyDescent="0.25">
      <c r="B380" s="384" t="s">
        <v>352</v>
      </c>
      <c r="C380" s="402" t="s">
        <v>373</v>
      </c>
      <c r="D380" s="405"/>
      <c r="E380" s="376"/>
      <c r="F380" s="417" t="s">
        <v>383</v>
      </c>
      <c r="G380" s="399"/>
      <c r="H380" s="76">
        <v>2</v>
      </c>
      <c r="I380" s="76">
        <v>7</v>
      </c>
      <c r="J380" s="76">
        <v>3</v>
      </c>
      <c r="K380" s="76">
        <v>6</v>
      </c>
      <c r="L380" s="61"/>
    </row>
    <row r="381" spans="2:12" ht="19.95" customHeight="1" x14ac:dyDescent="0.25">
      <c r="B381" s="384" t="s">
        <v>352</v>
      </c>
      <c r="C381" s="402" t="s">
        <v>373</v>
      </c>
      <c r="D381" s="407"/>
      <c r="E381" s="361"/>
      <c r="F381" s="417" t="s">
        <v>752</v>
      </c>
      <c r="G381" s="399"/>
      <c r="H381" s="76">
        <v>2</v>
      </c>
      <c r="I381" s="76">
        <v>7</v>
      </c>
      <c r="J381" s="76">
        <v>3</v>
      </c>
      <c r="K381" s="76">
        <v>6</v>
      </c>
      <c r="L381" s="61"/>
    </row>
    <row r="382" spans="2:12" ht="19.95" customHeight="1" x14ac:dyDescent="0.25">
      <c r="B382" s="384" t="s">
        <v>352</v>
      </c>
      <c r="C382" s="402" t="s">
        <v>373</v>
      </c>
      <c r="D382" s="405"/>
      <c r="E382" s="376"/>
      <c r="F382" s="417" t="s">
        <v>753</v>
      </c>
      <c r="G382" s="399"/>
      <c r="H382" s="76">
        <v>7</v>
      </c>
      <c r="I382" s="76"/>
      <c r="J382" s="76"/>
      <c r="K382" s="76"/>
      <c r="L382" s="61"/>
    </row>
    <row r="383" spans="2:12" ht="19.95" customHeight="1" x14ac:dyDescent="0.25">
      <c r="B383" s="384" t="s">
        <v>352</v>
      </c>
      <c r="C383" s="402" t="s">
        <v>373</v>
      </c>
      <c r="D383" s="408" t="s">
        <v>384</v>
      </c>
      <c r="E383" s="395" t="s">
        <v>385</v>
      </c>
      <c r="F383" s="433" t="s">
        <v>754</v>
      </c>
      <c r="G383" s="334"/>
      <c r="H383" s="76">
        <v>2</v>
      </c>
      <c r="I383" s="76">
        <v>7</v>
      </c>
      <c r="J383" s="76">
        <v>3</v>
      </c>
      <c r="K383" s="76">
        <v>5</v>
      </c>
      <c r="L383" s="61"/>
    </row>
    <row r="384" spans="2:12" ht="19.95" customHeight="1" x14ac:dyDescent="0.25">
      <c r="B384" s="384" t="s">
        <v>352</v>
      </c>
      <c r="C384" s="402" t="s">
        <v>373</v>
      </c>
      <c r="D384" s="391"/>
      <c r="E384" s="398"/>
      <c r="F384" s="433" t="s">
        <v>755</v>
      </c>
      <c r="G384" s="334"/>
      <c r="H384" s="76">
        <v>2</v>
      </c>
      <c r="I384" s="76">
        <v>7</v>
      </c>
      <c r="J384" s="76">
        <v>3</v>
      </c>
      <c r="K384" s="76">
        <v>5</v>
      </c>
      <c r="L384" s="61"/>
    </row>
    <row r="385" spans="2:12" ht="19.95" customHeight="1" x14ac:dyDescent="0.25">
      <c r="B385" s="384" t="s">
        <v>352</v>
      </c>
      <c r="C385" s="402" t="s">
        <v>373</v>
      </c>
      <c r="D385" s="391"/>
      <c r="E385" s="392"/>
      <c r="F385" s="433" t="s">
        <v>756</v>
      </c>
      <c r="G385" s="334"/>
      <c r="H385" s="76">
        <v>2</v>
      </c>
      <c r="I385" s="76">
        <v>7</v>
      </c>
      <c r="J385" s="76">
        <v>3</v>
      </c>
      <c r="K385" s="76">
        <v>6</v>
      </c>
      <c r="L385" s="61"/>
    </row>
    <row r="386" spans="2:12" ht="19.95" customHeight="1" x14ac:dyDescent="0.25">
      <c r="B386" s="384" t="s">
        <v>352</v>
      </c>
      <c r="C386" s="402" t="s">
        <v>373</v>
      </c>
      <c r="D386" s="391"/>
      <c r="E386" s="395" t="s">
        <v>386</v>
      </c>
      <c r="F386" s="432" t="s">
        <v>757</v>
      </c>
      <c r="G386" s="334"/>
      <c r="H386" s="76">
        <v>2</v>
      </c>
      <c r="I386" s="76">
        <v>7</v>
      </c>
      <c r="J386" s="76">
        <v>3</v>
      </c>
      <c r="K386" s="76">
        <v>6</v>
      </c>
      <c r="L386" s="61"/>
    </row>
    <row r="387" spans="2:12" ht="19.95" customHeight="1" x14ac:dyDescent="0.25">
      <c r="B387" s="384" t="s">
        <v>352</v>
      </c>
      <c r="C387" s="402" t="s">
        <v>373</v>
      </c>
      <c r="D387" s="391"/>
      <c r="E387" s="398"/>
      <c r="F387" s="432" t="s">
        <v>758</v>
      </c>
      <c r="G387" s="399"/>
      <c r="H387" s="76">
        <v>2</v>
      </c>
      <c r="I387" s="76">
        <v>7</v>
      </c>
      <c r="J387" s="76">
        <v>3</v>
      </c>
      <c r="K387" s="76">
        <v>6</v>
      </c>
      <c r="L387" s="61"/>
    </row>
    <row r="388" spans="2:12" ht="19.95" customHeight="1" x14ac:dyDescent="0.25">
      <c r="B388" s="384" t="s">
        <v>352</v>
      </c>
      <c r="C388" s="402" t="s">
        <v>373</v>
      </c>
      <c r="D388" s="409"/>
      <c r="E388" s="410"/>
      <c r="F388" s="432" t="s">
        <v>759</v>
      </c>
      <c r="G388" s="399"/>
      <c r="H388" s="76">
        <v>2</v>
      </c>
      <c r="I388" s="76">
        <v>7</v>
      </c>
      <c r="J388" s="76">
        <v>3</v>
      </c>
      <c r="K388" s="76">
        <v>6</v>
      </c>
      <c r="L388" s="61"/>
    </row>
    <row r="389" spans="2:12" ht="19.95" customHeight="1" x14ac:dyDescent="0.25">
      <c r="B389" s="384" t="s">
        <v>352</v>
      </c>
      <c r="C389" s="402" t="s">
        <v>373</v>
      </c>
      <c r="D389" s="471" t="s">
        <v>387</v>
      </c>
      <c r="E389" s="473" t="s">
        <v>806</v>
      </c>
      <c r="F389" s="417" t="s">
        <v>760</v>
      </c>
      <c r="G389" s="399"/>
      <c r="H389" s="76">
        <v>3</v>
      </c>
      <c r="I389" s="76">
        <v>7</v>
      </c>
      <c r="J389" s="76"/>
      <c r="K389" s="76">
        <v>6</v>
      </c>
      <c r="L389" s="61"/>
    </row>
    <row r="390" spans="2:12" ht="19.95" customHeight="1" x14ac:dyDescent="0.25">
      <c r="B390" s="384" t="s">
        <v>352</v>
      </c>
      <c r="C390" s="402" t="s">
        <v>373</v>
      </c>
      <c r="D390" s="472"/>
      <c r="E390" s="475"/>
      <c r="F390" s="417" t="s">
        <v>761</v>
      </c>
      <c r="G390" s="399"/>
      <c r="H390" s="76">
        <v>3</v>
      </c>
      <c r="I390" s="76">
        <v>7</v>
      </c>
      <c r="J390" s="76"/>
      <c r="K390" s="76">
        <v>6</v>
      </c>
      <c r="L390" s="61"/>
    </row>
    <row r="391" spans="2:12" ht="19.95" customHeight="1" x14ac:dyDescent="0.25">
      <c r="B391" s="384" t="s">
        <v>352</v>
      </c>
      <c r="C391" s="402" t="s">
        <v>373</v>
      </c>
      <c r="D391" s="472"/>
      <c r="E391" s="473" t="s">
        <v>807</v>
      </c>
      <c r="F391" s="417" t="s">
        <v>762</v>
      </c>
      <c r="G391" s="399"/>
      <c r="H391" s="76">
        <v>3</v>
      </c>
      <c r="I391" s="76">
        <v>7</v>
      </c>
      <c r="J391" s="76"/>
      <c r="K391" s="76">
        <v>6</v>
      </c>
      <c r="L391" s="61"/>
    </row>
    <row r="392" spans="2:12" ht="19.95" customHeight="1" x14ac:dyDescent="0.25">
      <c r="B392" s="384" t="s">
        <v>352</v>
      </c>
      <c r="C392" s="402" t="s">
        <v>373</v>
      </c>
      <c r="D392" s="472"/>
      <c r="E392" s="475"/>
      <c r="F392" s="426" t="s">
        <v>761</v>
      </c>
      <c r="G392" s="411"/>
      <c r="H392" s="76">
        <v>3</v>
      </c>
      <c r="I392" s="76">
        <v>7</v>
      </c>
      <c r="J392" s="76"/>
      <c r="K392" s="76">
        <v>6</v>
      </c>
      <c r="L392" s="61"/>
    </row>
    <row r="393" spans="2:12" ht="19.95" customHeight="1" x14ac:dyDescent="0.25">
      <c r="B393" s="384" t="s">
        <v>352</v>
      </c>
      <c r="C393" s="402" t="s">
        <v>373</v>
      </c>
      <c r="D393" s="472"/>
      <c r="E393" s="502" t="s">
        <v>388</v>
      </c>
      <c r="F393" s="414" t="s">
        <v>763</v>
      </c>
      <c r="G393" s="399"/>
      <c r="H393" s="76">
        <v>3</v>
      </c>
      <c r="I393" s="76">
        <v>7</v>
      </c>
      <c r="J393" s="76"/>
      <c r="K393" s="76">
        <v>6</v>
      </c>
      <c r="L393" s="61"/>
    </row>
    <row r="394" spans="2:12" ht="19.95" customHeight="1" x14ac:dyDescent="0.25">
      <c r="B394" s="384" t="s">
        <v>352</v>
      </c>
      <c r="C394" s="402" t="s">
        <v>373</v>
      </c>
      <c r="D394" s="500"/>
      <c r="E394" s="502"/>
      <c r="F394" s="142" t="s">
        <v>764</v>
      </c>
      <c r="G394" s="399"/>
      <c r="H394" s="76">
        <v>3</v>
      </c>
      <c r="I394" s="76">
        <v>7</v>
      </c>
      <c r="J394" s="76"/>
      <c r="K394" s="76">
        <v>6</v>
      </c>
      <c r="L394" s="61"/>
    </row>
    <row r="395" spans="2:12" ht="19.95" customHeight="1" x14ac:dyDescent="0.25">
      <c r="B395" s="384" t="s">
        <v>352</v>
      </c>
      <c r="C395" s="402" t="s">
        <v>373</v>
      </c>
      <c r="D395" s="471" t="s">
        <v>389</v>
      </c>
      <c r="E395" s="473" t="s">
        <v>389</v>
      </c>
      <c r="F395" s="414" t="s">
        <v>765</v>
      </c>
      <c r="G395" s="334"/>
      <c r="H395" s="76">
        <v>3</v>
      </c>
      <c r="I395" s="76">
        <v>7</v>
      </c>
      <c r="J395" s="76"/>
      <c r="K395" s="76">
        <v>6</v>
      </c>
    </row>
    <row r="396" spans="2:12" ht="19.95" customHeight="1" x14ac:dyDescent="0.25">
      <c r="B396" s="384" t="s">
        <v>352</v>
      </c>
      <c r="C396" s="402" t="s">
        <v>373</v>
      </c>
      <c r="D396" s="472"/>
      <c r="E396" s="474"/>
      <c r="F396" s="414" t="s">
        <v>766</v>
      </c>
      <c r="G396" s="334"/>
      <c r="H396" s="76">
        <v>3</v>
      </c>
      <c r="I396" s="76">
        <v>7</v>
      </c>
      <c r="J396" s="76"/>
      <c r="K396" s="76">
        <v>6</v>
      </c>
    </row>
    <row r="397" spans="2:12" ht="19.95" customHeight="1" x14ac:dyDescent="0.25">
      <c r="B397" s="384" t="s">
        <v>352</v>
      </c>
      <c r="C397" s="402" t="s">
        <v>373</v>
      </c>
      <c r="D397" s="472"/>
      <c r="E397" s="474"/>
      <c r="F397" s="414" t="s">
        <v>767</v>
      </c>
      <c r="G397" s="334"/>
      <c r="H397" s="76">
        <v>3</v>
      </c>
      <c r="I397" s="76">
        <v>7</v>
      </c>
      <c r="J397" s="76"/>
      <c r="K397" s="76">
        <v>6</v>
      </c>
    </row>
    <row r="398" spans="2:12" ht="19.95" customHeight="1" x14ac:dyDescent="0.25">
      <c r="B398" s="384" t="s">
        <v>352</v>
      </c>
      <c r="C398" s="385" t="s">
        <v>373</v>
      </c>
      <c r="D398" s="472"/>
      <c r="E398" s="474"/>
      <c r="F398" s="415"/>
      <c r="G398" s="412"/>
      <c r="H398" s="76"/>
      <c r="I398" s="76"/>
      <c r="J398" s="76"/>
      <c r="K398" s="76"/>
    </row>
    <row r="399" spans="2:12" ht="19.95" customHeight="1" x14ac:dyDescent="0.25">
      <c r="B399" s="338" t="s">
        <v>390</v>
      </c>
      <c r="C399" s="338" t="s">
        <v>390</v>
      </c>
      <c r="D399" s="339" t="s">
        <v>390</v>
      </c>
      <c r="E399" s="340" t="s">
        <v>391</v>
      </c>
      <c r="F399" s="340" t="s">
        <v>768</v>
      </c>
      <c r="G399" s="413"/>
      <c r="H399" s="76">
        <v>3</v>
      </c>
      <c r="I399" s="76"/>
      <c r="J399" s="76"/>
      <c r="K399" s="76"/>
    </row>
    <row r="400" spans="2:12" ht="19.95" customHeight="1" x14ac:dyDescent="0.25">
      <c r="B400" s="338" t="s">
        <v>390</v>
      </c>
      <c r="C400" s="338" t="s">
        <v>390</v>
      </c>
      <c r="D400" s="414"/>
      <c r="E400" s="356"/>
      <c r="F400" s="340" t="s">
        <v>769</v>
      </c>
      <c r="G400" s="413"/>
      <c r="H400" s="76">
        <v>3</v>
      </c>
      <c r="I400" s="76"/>
      <c r="J400" s="76"/>
      <c r="K400" s="76"/>
    </row>
    <row r="401" spans="2:11" ht="19.95" customHeight="1" x14ac:dyDescent="0.25">
      <c r="B401" s="338" t="s">
        <v>390</v>
      </c>
      <c r="C401" s="338" t="s">
        <v>390</v>
      </c>
      <c r="D401" s="414"/>
      <c r="E401" s="356"/>
      <c r="F401" s="340" t="s">
        <v>770</v>
      </c>
      <c r="G401" s="413"/>
      <c r="H401" s="76">
        <v>3</v>
      </c>
      <c r="I401" s="76"/>
      <c r="J401" s="76"/>
      <c r="K401" s="76"/>
    </row>
    <row r="402" spans="2:11" ht="19.95" customHeight="1" x14ac:dyDescent="0.25">
      <c r="B402" s="338" t="s">
        <v>390</v>
      </c>
      <c r="C402" s="338" t="s">
        <v>390</v>
      </c>
      <c r="D402" s="414"/>
      <c r="E402" s="356"/>
      <c r="F402" s="341" t="s">
        <v>771</v>
      </c>
      <c r="G402" s="413"/>
      <c r="H402" s="76"/>
      <c r="I402" s="76"/>
      <c r="J402" s="76"/>
      <c r="K402" s="76"/>
    </row>
    <row r="403" spans="2:11" ht="19.95" customHeight="1" x14ac:dyDescent="0.25">
      <c r="B403" s="338" t="s">
        <v>390</v>
      </c>
      <c r="C403" s="338" t="s">
        <v>390</v>
      </c>
      <c r="D403" s="414"/>
      <c r="E403" s="356"/>
      <c r="F403" s="341" t="s">
        <v>772</v>
      </c>
      <c r="G403" s="413"/>
      <c r="H403" s="76"/>
      <c r="I403" s="76"/>
      <c r="J403" s="76"/>
      <c r="K403" s="76"/>
    </row>
    <row r="404" spans="2:11" ht="19.95" customHeight="1" x14ac:dyDescent="0.25">
      <c r="B404" s="338" t="s">
        <v>390</v>
      </c>
      <c r="C404" s="338" t="s">
        <v>390</v>
      </c>
      <c r="D404" s="414"/>
      <c r="E404" s="356"/>
      <c r="F404" s="341" t="s">
        <v>773</v>
      </c>
      <c r="G404" s="413"/>
      <c r="H404" s="76"/>
      <c r="I404" s="76"/>
      <c r="J404" s="76"/>
      <c r="K404" s="76"/>
    </row>
    <row r="405" spans="2:11" ht="19.95" customHeight="1" x14ac:dyDescent="0.25">
      <c r="B405" s="338" t="s">
        <v>390</v>
      </c>
      <c r="C405" s="338" t="s">
        <v>390</v>
      </c>
      <c r="D405" s="414"/>
      <c r="E405" s="356"/>
      <c r="F405" s="341" t="s">
        <v>774</v>
      </c>
      <c r="G405" s="413"/>
      <c r="H405" s="76"/>
      <c r="I405" s="76"/>
      <c r="J405" s="76"/>
      <c r="K405" s="76"/>
    </row>
    <row r="406" spans="2:11" ht="19.95" customHeight="1" x14ac:dyDescent="0.25">
      <c r="B406" s="338" t="s">
        <v>390</v>
      </c>
      <c r="C406" s="338" t="s">
        <v>390</v>
      </c>
      <c r="D406" s="414"/>
      <c r="E406" s="356"/>
      <c r="F406" s="341" t="s">
        <v>775</v>
      </c>
      <c r="G406" s="413"/>
      <c r="H406" s="76"/>
      <c r="I406" s="76"/>
      <c r="J406" s="76"/>
      <c r="K406" s="76"/>
    </row>
    <row r="407" spans="2:11" ht="19.95" customHeight="1" x14ac:dyDescent="0.25">
      <c r="B407" s="338" t="s">
        <v>390</v>
      </c>
      <c r="C407" s="338" t="s">
        <v>390</v>
      </c>
      <c r="D407" s="414"/>
      <c r="E407" s="356"/>
      <c r="F407" s="341" t="s">
        <v>776</v>
      </c>
      <c r="G407" s="413"/>
      <c r="H407" s="76"/>
      <c r="I407" s="76"/>
      <c r="J407" s="76"/>
      <c r="K407" s="76"/>
    </row>
    <row r="408" spans="2:11" ht="19.95" customHeight="1" x14ac:dyDescent="0.25">
      <c r="B408" s="338" t="s">
        <v>390</v>
      </c>
      <c r="C408" s="338" t="s">
        <v>390</v>
      </c>
      <c r="D408" s="414"/>
      <c r="E408" s="356"/>
      <c r="F408" s="341" t="s">
        <v>392</v>
      </c>
      <c r="G408" s="413"/>
      <c r="H408" s="76"/>
      <c r="I408" s="76"/>
      <c r="J408" s="76"/>
      <c r="K408" s="76"/>
    </row>
    <row r="409" spans="2:11" ht="19.95" customHeight="1" x14ac:dyDescent="0.25">
      <c r="B409" s="338" t="s">
        <v>390</v>
      </c>
      <c r="C409" s="338" t="s">
        <v>390</v>
      </c>
      <c r="D409" s="414"/>
      <c r="E409" s="356"/>
      <c r="F409" s="341" t="s">
        <v>777</v>
      </c>
      <c r="G409" s="413"/>
      <c r="H409" s="76"/>
      <c r="I409" s="76"/>
      <c r="J409" s="76"/>
      <c r="K409" s="76"/>
    </row>
    <row r="410" spans="2:11" ht="19.95" customHeight="1" x14ac:dyDescent="0.25">
      <c r="B410" s="338" t="s">
        <v>390</v>
      </c>
      <c r="C410" s="338" t="s">
        <v>390</v>
      </c>
      <c r="D410" s="414"/>
      <c r="E410" s="356"/>
      <c r="F410" s="341" t="s">
        <v>778</v>
      </c>
      <c r="G410" s="413"/>
      <c r="H410" s="76"/>
      <c r="I410" s="76"/>
      <c r="J410" s="76"/>
      <c r="K410" s="76"/>
    </row>
    <row r="411" spans="2:11" ht="19.95" customHeight="1" x14ac:dyDescent="0.25">
      <c r="B411" s="338" t="s">
        <v>390</v>
      </c>
      <c r="C411" s="338" t="s">
        <v>390</v>
      </c>
      <c r="D411" s="414"/>
      <c r="E411" s="356"/>
      <c r="F411" s="341" t="s">
        <v>779</v>
      </c>
      <c r="G411" s="413"/>
      <c r="H411" s="76"/>
      <c r="I411" s="76"/>
      <c r="J411" s="76"/>
      <c r="K411" s="76"/>
    </row>
    <row r="412" spans="2:11" ht="19.95" customHeight="1" x14ac:dyDescent="0.25">
      <c r="B412" s="338" t="s">
        <v>390</v>
      </c>
      <c r="C412" s="338" t="s">
        <v>390</v>
      </c>
      <c r="D412" s="414"/>
      <c r="E412" s="356"/>
      <c r="F412" s="341" t="s">
        <v>780</v>
      </c>
      <c r="G412" s="413"/>
      <c r="H412" s="76"/>
      <c r="I412" s="76"/>
      <c r="J412" s="76"/>
      <c r="K412" s="76"/>
    </row>
    <row r="413" spans="2:11" ht="19.95" customHeight="1" x14ac:dyDescent="0.25">
      <c r="B413" s="338" t="s">
        <v>390</v>
      </c>
      <c r="C413" s="338" t="s">
        <v>390</v>
      </c>
      <c r="D413" s="414"/>
      <c r="E413" s="356"/>
      <c r="F413" s="341" t="s">
        <v>781</v>
      </c>
      <c r="G413" s="413"/>
      <c r="H413" s="76"/>
      <c r="I413" s="76"/>
      <c r="J413" s="76"/>
      <c r="K413" s="76"/>
    </row>
    <row r="414" spans="2:11" ht="19.95" customHeight="1" x14ac:dyDescent="0.25">
      <c r="B414" s="338" t="s">
        <v>390</v>
      </c>
      <c r="C414" s="338" t="s">
        <v>390</v>
      </c>
      <c r="D414" s="414"/>
      <c r="E414" s="356"/>
      <c r="F414" s="341" t="s">
        <v>782</v>
      </c>
      <c r="G414" s="413"/>
      <c r="H414" s="76"/>
      <c r="I414" s="76"/>
      <c r="J414" s="76"/>
      <c r="K414" s="76"/>
    </row>
    <row r="415" spans="2:11" ht="19.95" customHeight="1" x14ac:dyDescent="0.25">
      <c r="B415" s="338" t="s">
        <v>390</v>
      </c>
      <c r="C415" s="338" t="s">
        <v>390</v>
      </c>
      <c r="D415" s="414"/>
      <c r="E415" s="356"/>
      <c r="F415" s="341" t="s">
        <v>783</v>
      </c>
      <c r="G415" s="413"/>
      <c r="H415" s="76"/>
      <c r="I415" s="76"/>
      <c r="J415" s="76"/>
      <c r="K415" s="76"/>
    </row>
    <row r="416" spans="2:11" ht="19.95" customHeight="1" x14ac:dyDescent="0.25">
      <c r="B416" s="338" t="s">
        <v>390</v>
      </c>
      <c r="C416" s="338" t="s">
        <v>390</v>
      </c>
      <c r="D416" s="414"/>
      <c r="E416" s="356"/>
      <c r="F416" s="341" t="s">
        <v>784</v>
      </c>
      <c r="G416" s="413"/>
      <c r="H416" s="76"/>
      <c r="I416" s="76"/>
      <c r="J416" s="76"/>
      <c r="K416" s="76"/>
    </row>
    <row r="417" spans="2:11" ht="19.95" customHeight="1" x14ac:dyDescent="0.25">
      <c r="B417" s="338" t="s">
        <v>393</v>
      </c>
      <c r="C417" s="338" t="s">
        <v>393</v>
      </c>
      <c r="D417" s="526" t="s">
        <v>394</v>
      </c>
      <c r="E417" s="356"/>
      <c r="F417" s="341" t="s">
        <v>785</v>
      </c>
      <c r="G417" s="413"/>
      <c r="H417" s="76">
        <v>7</v>
      </c>
      <c r="I417" s="76"/>
      <c r="J417" s="76"/>
      <c r="K417" s="76"/>
    </row>
    <row r="418" spans="2:11" ht="19.95" customHeight="1" x14ac:dyDescent="0.25">
      <c r="B418" s="338" t="s">
        <v>393</v>
      </c>
      <c r="C418" s="338" t="s">
        <v>393</v>
      </c>
      <c r="D418" s="526"/>
      <c r="E418" s="356"/>
      <c r="F418" s="341" t="s">
        <v>786</v>
      </c>
      <c r="G418" s="413"/>
      <c r="H418" s="76">
        <v>7</v>
      </c>
      <c r="I418" s="76"/>
      <c r="J418" s="76"/>
      <c r="K418" s="76"/>
    </row>
    <row r="419" spans="2:11" ht="19.95" customHeight="1" x14ac:dyDescent="0.25">
      <c r="B419" s="338" t="s">
        <v>393</v>
      </c>
      <c r="C419" s="338" t="s">
        <v>393</v>
      </c>
      <c r="D419" s="526"/>
      <c r="E419" s="356"/>
      <c r="F419" s="341" t="s">
        <v>395</v>
      </c>
      <c r="G419" s="413"/>
      <c r="H419" s="76">
        <v>7</v>
      </c>
      <c r="I419" s="76"/>
      <c r="J419" s="76"/>
      <c r="K419" s="76"/>
    </row>
    <row r="420" spans="2:11" ht="19.95" customHeight="1" x14ac:dyDescent="0.25">
      <c r="B420" s="338" t="s">
        <v>393</v>
      </c>
      <c r="C420" s="338" t="s">
        <v>393</v>
      </c>
      <c r="D420" s="526"/>
      <c r="E420" s="356"/>
      <c r="F420" s="341" t="s">
        <v>787</v>
      </c>
      <c r="G420" s="413"/>
      <c r="H420" s="76">
        <v>7</v>
      </c>
      <c r="I420" s="76"/>
      <c r="J420" s="76"/>
      <c r="K420" s="76"/>
    </row>
    <row r="421" spans="2:11" ht="19.95" customHeight="1" x14ac:dyDescent="0.25">
      <c r="B421" s="338" t="s">
        <v>393</v>
      </c>
      <c r="C421" s="338" t="s">
        <v>393</v>
      </c>
      <c r="D421" s="526"/>
      <c r="E421" s="356"/>
      <c r="F421" s="341" t="s">
        <v>788</v>
      </c>
      <c r="G421" s="413"/>
      <c r="H421" s="76">
        <v>7</v>
      </c>
      <c r="I421" s="76"/>
      <c r="J421" s="76"/>
      <c r="K421" s="76"/>
    </row>
    <row r="422" spans="2:11" ht="19.95" customHeight="1" x14ac:dyDescent="0.25">
      <c r="B422" s="338" t="s">
        <v>393</v>
      </c>
      <c r="C422" s="338" t="s">
        <v>393</v>
      </c>
      <c r="D422" s="526"/>
      <c r="E422" s="356"/>
      <c r="F422" s="341" t="s">
        <v>789</v>
      </c>
      <c r="G422" s="413"/>
      <c r="H422" s="76">
        <v>7</v>
      </c>
      <c r="I422" s="76"/>
      <c r="J422" s="76"/>
      <c r="K422" s="76"/>
    </row>
    <row r="423" spans="2:11" ht="19.95" customHeight="1" x14ac:dyDescent="0.25">
      <c r="B423" s="338" t="s">
        <v>393</v>
      </c>
      <c r="C423" s="338" t="s">
        <v>393</v>
      </c>
      <c r="D423" s="526"/>
      <c r="E423" s="356"/>
      <c r="F423" s="341" t="s">
        <v>790</v>
      </c>
      <c r="G423" s="413"/>
      <c r="H423" s="76">
        <v>7</v>
      </c>
      <c r="I423" s="76"/>
      <c r="J423" s="76"/>
      <c r="K423" s="76"/>
    </row>
    <row r="424" spans="2:11" ht="19.95" customHeight="1" x14ac:dyDescent="0.25">
      <c r="B424" s="338" t="s">
        <v>393</v>
      </c>
      <c r="C424" s="338" t="s">
        <v>393</v>
      </c>
      <c r="D424" s="526"/>
      <c r="E424" s="356"/>
      <c r="F424" s="341" t="s">
        <v>791</v>
      </c>
      <c r="G424" s="413"/>
      <c r="H424" s="76">
        <v>7</v>
      </c>
      <c r="I424" s="76"/>
      <c r="J424" s="76"/>
      <c r="K424" s="76"/>
    </row>
    <row r="425" spans="2:11" ht="19.95" customHeight="1" x14ac:dyDescent="0.25">
      <c r="B425" s="338" t="s">
        <v>393</v>
      </c>
      <c r="C425" s="338" t="s">
        <v>393</v>
      </c>
      <c r="D425" s="526"/>
      <c r="E425" s="356"/>
      <c r="F425" s="341" t="s">
        <v>792</v>
      </c>
      <c r="G425" s="413"/>
      <c r="H425" s="76">
        <v>7</v>
      </c>
      <c r="I425" s="76"/>
      <c r="J425" s="76"/>
      <c r="K425" s="76"/>
    </row>
    <row r="426" spans="2:11" ht="19.95" customHeight="1" x14ac:dyDescent="0.25">
      <c r="B426" s="338" t="s">
        <v>393</v>
      </c>
      <c r="C426" s="338" t="s">
        <v>393</v>
      </c>
      <c r="D426" s="526"/>
      <c r="E426" s="356"/>
      <c r="F426" s="341" t="s">
        <v>793</v>
      </c>
      <c r="G426" s="413"/>
      <c r="H426" s="76">
        <v>7</v>
      </c>
      <c r="I426" s="76"/>
      <c r="J426" s="76"/>
      <c r="K426" s="76"/>
    </row>
    <row r="427" spans="2:11" ht="19.95" customHeight="1" x14ac:dyDescent="0.25">
      <c r="B427" s="338" t="s">
        <v>393</v>
      </c>
      <c r="C427" s="338" t="s">
        <v>393</v>
      </c>
      <c r="D427" s="526"/>
      <c r="E427" s="356"/>
      <c r="F427" s="341" t="s">
        <v>794</v>
      </c>
      <c r="G427" s="413"/>
      <c r="H427" s="76">
        <v>7</v>
      </c>
      <c r="I427" s="76"/>
      <c r="J427" s="76"/>
      <c r="K427" s="76"/>
    </row>
    <row r="428" spans="2:11" ht="19.95" customHeight="1" x14ac:dyDescent="0.25">
      <c r="B428" s="338" t="s">
        <v>393</v>
      </c>
      <c r="C428" s="338" t="s">
        <v>393</v>
      </c>
      <c r="D428" s="526"/>
      <c r="E428" s="356"/>
      <c r="F428" s="341" t="s">
        <v>795</v>
      </c>
      <c r="G428" s="413"/>
      <c r="H428" s="76">
        <v>7</v>
      </c>
      <c r="I428" s="76"/>
      <c r="J428" s="76"/>
      <c r="K428" s="76"/>
    </row>
    <row r="429" spans="2:11" ht="19.95" customHeight="1" x14ac:dyDescent="0.25">
      <c r="B429" s="338" t="s">
        <v>393</v>
      </c>
      <c r="C429" s="338" t="s">
        <v>393</v>
      </c>
      <c r="D429" s="526"/>
      <c r="E429" s="356"/>
      <c r="F429" s="341" t="s">
        <v>796</v>
      </c>
      <c r="G429" s="413"/>
      <c r="H429" s="76">
        <v>7</v>
      </c>
      <c r="I429" s="76"/>
      <c r="J429" s="76"/>
      <c r="K429" s="76"/>
    </row>
    <row r="430" spans="2:11" x14ac:dyDescent="0.25">
      <c r="F430" s="123"/>
      <c r="G430" s="61"/>
    </row>
    <row r="431" spans="2:11" x14ac:dyDescent="0.25">
      <c r="F431" s="123"/>
      <c r="G431" s="61"/>
    </row>
    <row r="432" spans="2:11" x14ac:dyDescent="0.25">
      <c r="F432" s="123"/>
      <c r="G432" s="61"/>
    </row>
    <row r="433" spans="6:7" x14ac:dyDescent="0.25">
      <c r="F433" s="123"/>
      <c r="G433" s="61"/>
    </row>
    <row r="434" spans="6:7" x14ac:dyDescent="0.25">
      <c r="F434" s="123"/>
      <c r="G434" s="61"/>
    </row>
    <row r="435" spans="6:7" x14ac:dyDescent="0.25">
      <c r="F435" s="123"/>
      <c r="G435" s="61"/>
    </row>
    <row r="436" spans="6:7" x14ac:dyDescent="0.25">
      <c r="F436" s="123"/>
      <c r="G436" s="61"/>
    </row>
    <row r="437" spans="6:7" x14ac:dyDescent="0.25">
      <c r="F437" s="123"/>
      <c r="G437" s="61"/>
    </row>
    <row r="438" spans="6:7" x14ac:dyDescent="0.25">
      <c r="F438" s="123"/>
      <c r="G438" s="61"/>
    </row>
    <row r="439" spans="6:7" x14ac:dyDescent="0.25">
      <c r="F439" s="123"/>
      <c r="G439" s="61"/>
    </row>
    <row r="440" spans="6:7" x14ac:dyDescent="0.25">
      <c r="F440" s="123"/>
      <c r="G440" s="61"/>
    </row>
    <row r="441" spans="6:7" x14ac:dyDescent="0.25">
      <c r="F441" s="123"/>
      <c r="G441" s="61"/>
    </row>
    <row r="442" spans="6:7" x14ac:dyDescent="0.25">
      <c r="F442" s="123"/>
      <c r="G442" s="61"/>
    </row>
    <row r="443" spans="6:7" x14ac:dyDescent="0.25">
      <c r="F443" s="123"/>
      <c r="G443" s="61"/>
    </row>
    <row r="444" spans="6:7" x14ac:dyDescent="0.25">
      <c r="F444" s="123"/>
      <c r="G444" s="61"/>
    </row>
    <row r="445" spans="6:7" x14ac:dyDescent="0.25">
      <c r="F445" s="123"/>
      <c r="G445" s="61"/>
    </row>
    <row r="446" spans="6:7" x14ac:dyDescent="0.25">
      <c r="F446" s="123"/>
      <c r="G446" s="61"/>
    </row>
    <row r="447" spans="6:7" x14ac:dyDescent="0.25">
      <c r="F447" s="123"/>
      <c r="G447" s="61"/>
    </row>
    <row r="448" spans="6:7" x14ac:dyDescent="0.25">
      <c r="F448" s="123"/>
      <c r="G448" s="61"/>
    </row>
    <row r="449" spans="6:7" x14ac:dyDescent="0.25">
      <c r="F449" s="123"/>
      <c r="G449" s="61"/>
    </row>
    <row r="450" spans="6:7" x14ac:dyDescent="0.25">
      <c r="F450" s="123"/>
      <c r="G450" s="61"/>
    </row>
    <row r="451" spans="6:7" x14ac:dyDescent="0.25">
      <c r="F451" s="123"/>
      <c r="G451" s="61"/>
    </row>
    <row r="489" spans="12:12" x14ac:dyDescent="0.25">
      <c r="L489" s="114"/>
    </row>
    <row r="490" spans="12:12" x14ac:dyDescent="0.25">
      <c r="L490" s="114"/>
    </row>
    <row r="491" spans="12:12" x14ac:dyDescent="0.25">
      <c r="L491" s="114"/>
    </row>
    <row r="492" spans="12:12" x14ac:dyDescent="0.25">
      <c r="L492" s="114"/>
    </row>
    <row r="493" spans="12:12" x14ac:dyDescent="0.25">
      <c r="L493" s="114"/>
    </row>
    <row r="494" spans="12:12" x14ac:dyDescent="0.25">
      <c r="L494" s="114"/>
    </row>
    <row r="495" spans="12:12" x14ac:dyDescent="0.25">
      <c r="L495" s="114"/>
    </row>
    <row r="496" spans="12:12" x14ac:dyDescent="0.25">
      <c r="L496" s="114"/>
    </row>
    <row r="497" spans="12:12" x14ac:dyDescent="0.25">
      <c r="L497" s="114"/>
    </row>
  </sheetData>
  <autoFilter ref="A2:H398" xr:uid="{00000000-0009-0000-0000-000001000000}">
    <filterColumn colId="0" showButton="0"/>
    <filterColumn colId="1" showButton="0"/>
    <filterColumn colId="2" showButton="0"/>
    <filterColumn colId="3" showButton="0"/>
    <filterColumn colId="4" showButton="0"/>
    <filterColumn colId="5" showButton="0"/>
  </autoFilter>
  <mergeCells count="158">
    <mergeCell ref="K2:K6"/>
    <mergeCell ref="D417:D429"/>
    <mergeCell ref="D308:D312"/>
    <mergeCell ref="I2:I6"/>
    <mergeCell ref="J2:J6"/>
    <mergeCell ref="E44:E47"/>
    <mergeCell ref="E40:E43"/>
    <mergeCell ref="E48:E51"/>
    <mergeCell ref="E52:E55"/>
    <mergeCell ref="G326:G334"/>
    <mergeCell ref="G336:G344"/>
    <mergeCell ref="D300:G300"/>
    <mergeCell ref="D314:D318"/>
    <mergeCell ref="E200:E201"/>
    <mergeCell ref="E203:E207"/>
    <mergeCell ref="D322:D324"/>
    <mergeCell ref="D343:D344"/>
    <mergeCell ref="E141:E142"/>
    <mergeCell ref="E144:E146"/>
    <mergeCell ref="E150:E153"/>
    <mergeCell ref="E275:E278"/>
    <mergeCell ref="D274:D278"/>
    <mergeCell ref="D279:D281"/>
    <mergeCell ref="E178:E180"/>
    <mergeCell ref="A339:A349"/>
    <mergeCell ref="H2:H6"/>
    <mergeCell ref="D264:D266"/>
    <mergeCell ref="E215:E218"/>
    <mergeCell ref="E219:E220"/>
    <mergeCell ref="E221:E223"/>
    <mergeCell ref="E224:E225"/>
    <mergeCell ref="E226:E227"/>
    <mergeCell ref="D252:D255"/>
    <mergeCell ref="D140:D147"/>
    <mergeCell ref="D148:D153"/>
    <mergeCell ref="D154:D156"/>
    <mergeCell ref="D268:D273"/>
    <mergeCell ref="E271:E272"/>
    <mergeCell ref="D131:D133"/>
    <mergeCell ref="E160:E161"/>
    <mergeCell ref="E158:E159"/>
    <mergeCell ref="E186:E189"/>
    <mergeCell ref="D8:D10"/>
    <mergeCell ref="D11:D14"/>
    <mergeCell ref="D15:D18"/>
    <mergeCell ref="D20:D23"/>
    <mergeCell ref="D7:G7"/>
    <mergeCell ref="D26:D34"/>
    <mergeCell ref="E181:E182"/>
    <mergeCell ref="E183:E184"/>
    <mergeCell ref="E167:E169"/>
    <mergeCell ref="E164:E166"/>
    <mergeCell ref="E162:E163"/>
    <mergeCell ref="E170:E171"/>
    <mergeCell ref="E172:E173"/>
    <mergeCell ref="E174:E175"/>
    <mergeCell ref="E176:E177"/>
    <mergeCell ref="D215:D220"/>
    <mergeCell ref="D238:D242"/>
    <mergeCell ref="D234:D236"/>
    <mergeCell ref="D243:D244"/>
    <mergeCell ref="D245:D247"/>
    <mergeCell ref="D221:D232"/>
    <mergeCell ref="E245:E247"/>
    <mergeCell ref="D249:D251"/>
    <mergeCell ref="E253:E255"/>
    <mergeCell ref="E228:E232"/>
    <mergeCell ref="D90:D94"/>
    <mergeCell ref="D95:D97"/>
    <mergeCell ref="D98:D101"/>
    <mergeCell ref="D113:D116"/>
    <mergeCell ref="D117:D120"/>
    <mergeCell ref="D67:D69"/>
    <mergeCell ref="D88:D89"/>
    <mergeCell ref="A1:G1"/>
    <mergeCell ref="A2:G6"/>
    <mergeCell ref="D35:D38"/>
    <mergeCell ref="E26:E29"/>
    <mergeCell ref="E30:E31"/>
    <mergeCell ref="E32:E34"/>
    <mergeCell ref="E35:E36"/>
    <mergeCell ref="E37:E38"/>
    <mergeCell ref="E79:E80"/>
    <mergeCell ref="E82:E83"/>
    <mergeCell ref="E84:E86"/>
    <mergeCell ref="D82:D86"/>
    <mergeCell ref="D70:D75"/>
    <mergeCell ref="E73:E75"/>
    <mergeCell ref="E67:E68"/>
    <mergeCell ref="E71:E72"/>
    <mergeCell ref="D60:D61"/>
    <mergeCell ref="D56:D59"/>
    <mergeCell ref="D48:D55"/>
    <mergeCell ref="D40:D47"/>
    <mergeCell ref="D77:D81"/>
    <mergeCell ref="E56:E57"/>
    <mergeCell ref="E58:E59"/>
    <mergeCell ref="D63:D66"/>
    <mergeCell ref="E393:E394"/>
    <mergeCell ref="D367:D373"/>
    <mergeCell ref="D374:D375"/>
    <mergeCell ref="D389:D394"/>
    <mergeCell ref="D121:D127"/>
    <mergeCell ref="D340:D341"/>
    <mergeCell ref="D307:G307"/>
    <mergeCell ref="D301:D303"/>
    <mergeCell ref="G277:G278"/>
    <mergeCell ref="G139:G156"/>
    <mergeCell ref="D191:D192"/>
    <mergeCell ref="D193:D197"/>
    <mergeCell ref="D198:D199"/>
    <mergeCell ref="D304:D306"/>
    <mergeCell ref="D185:D189"/>
    <mergeCell ref="D283:D291"/>
    <mergeCell ref="D292:D299"/>
    <mergeCell ref="L1:M1"/>
    <mergeCell ref="L2:M6"/>
    <mergeCell ref="M8:M23"/>
    <mergeCell ref="L26:L38"/>
    <mergeCell ref="L40:L56"/>
    <mergeCell ref="M40:M56"/>
    <mergeCell ref="L63:L72"/>
    <mergeCell ref="L89:L108"/>
    <mergeCell ref="L311:L321"/>
    <mergeCell ref="D395:D398"/>
    <mergeCell ref="E395:E398"/>
    <mergeCell ref="E389:E390"/>
    <mergeCell ref="E391:E392"/>
    <mergeCell ref="E96:E97"/>
    <mergeCell ref="E99:E101"/>
    <mergeCell ref="D103:D107"/>
    <mergeCell ref="D108:D111"/>
    <mergeCell ref="E109:E111"/>
    <mergeCell ref="D134:D137"/>
    <mergeCell ref="D200:D210"/>
    <mergeCell ref="E118:E119"/>
    <mergeCell ref="E121:E122"/>
    <mergeCell ref="E123:E124"/>
    <mergeCell ref="E125:E126"/>
    <mergeCell ref="D129:D130"/>
    <mergeCell ref="E285:E290"/>
    <mergeCell ref="E294:E298"/>
    <mergeCell ref="D158:D169"/>
    <mergeCell ref="D170:D184"/>
    <mergeCell ref="D337:D339"/>
    <mergeCell ref="D258:D259"/>
    <mergeCell ref="D260:D262"/>
    <mergeCell ref="D212:D214"/>
    <mergeCell ref="L343:L369"/>
    <mergeCell ref="L113:L127"/>
    <mergeCell ref="L158:L159"/>
    <mergeCell ref="L161:L171"/>
    <mergeCell ref="L172:L176"/>
    <mergeCell ref="L177:L189"/>
    <mergeCell ref="L191:L199"/>
    <mergeCell ref="L200:L210"/>
    <mergeCell ref="L249:L259"/>
    <mergeCell ref="L283:L290"/>
  </mergeCells>
  <hyperlinks>
    <hyperlink ref="M311" r:id="rId1" xr:uid="{00000000-0004-0000-0100-000000000000}"/>
    <hyperlink ref="L8" r:id="rId2" xr:uid="{00000000-0004-0000-0100-000001000000}"/>
    <hyperlink ref="L26" r:id="rId3" xr:uid="{00000000-0004-0000-0100-000002000000}"/>
    <hyperlink ref="L40" r:id="rId4" xr:uid="{00000000-0004-0000-0100-000003000000}"/>
    <hyperlink ref="L63" r:id="rId5" display="https://uel.unisciel.fr/mathematiques/dev_limites/dev_limites/co/dev_limites.html" xr:uid="{00000000-0004-0000-0100-000004000000}"/>
    <hyperlink ref="L89" r:id="rId6" display="https://uel.unisciel.fr/physique/outils_nancy/outils_nancy_ch11/co/outils_nancy_ch11.html" xr:uid="{00000000-0004-0000-0100-000005000000}"/>
    <hyperlink ref="L113" r:id="rId7" display="https://www.lelivrescolaire.fr/page/14235244" xr:uid="{00000000-0004-0000-0100-000006000000}"/>
    <hyperlink ref="L158" r:id="rId8" display="https://www.lelivrescolaire.fr/page/10486827" xr:uid="{00000000-0004-0000-0100-000007000000}"/>
    <hyperlink ref="L161" r:id="rId9" display="https://www.lelivrescolaire.fr/page/10486827" xr:uid="{00000000-0004-0000-0100-000008000000}"/>
    <hyperlink ref="L177" r:id="rId10" display="https://www.lelivrescolaire.fr/page/10486827" xr:uid="{00000000-0004-0000-0100-000009000000}"/>
    <hyperlink ref="L160" r:id="rId11" display="https://uel.unisciel.fr/physique/outils_nancy/outils_nancy_ch03/co/sexercer_02.html?msclkid=7986dd11c18711ecb89a99ba63c4e67c" xr:uid="{00000000-0004-0000-0100-00000A000000}"/>
    <hyperlink ref="L172" r:id="rId12" display="https://uel.unisciel.fr/physique/outils_nancy/outils_nancy_ch03/co/sexercer_02.html?msclkid=7986dd11c18711ecb89a99ba63c4e67c" xr:uid="{00000000-0004-0000-0100-00000B000000}"/>
    <hyperlink ref="L191" r:id="rId13" display="https://uel.unisciel.fr/mathematiques/analyse1/analyse1_ch03/co/analyse1_ch03.html" xr:uid="{00000000-0004-0000-0100-00000C000000}"/>
    <hyperlink ref="L200" r:id="rId14" display="https://uel.unisciel.fr/mathematiques/analyse1/analyse1_ch04/co/analyse1_ch04.html" xr:uid="{00000000-0004-0000-0100-00000D000000}"/>
    <hyperlink ref="L249" r:id="rId15" display="https://uel.unisciel.fr/physique/outils_nancy/outils_nancy_ch08/co/outils_nancy_ch08.html" xr:uid="{00000000-0004-0000-0100-00000E000000}"/>
    <hyperlink ref="L283" r:id="rId16" display="https://uel.unisciel.fr/mathematiques/eq_diff/eq_diff/co/eq_diff.html" xr:uid="{00000000-0004-0000-0100-00000F000000}"/>
    <hyperlink ref="L311" r:id="rId17" display="https://uel.unisciel.fr/mathematiques/analyse1/analyse1_ch02/co/analyse1_ch02.html" xr:uid="{00000000-0004-0000-0100-000010000000}"/>
    <hyperlink ref="M343" r:id="rId18" xr:uid="{00000000-0004-0000-0100-000011000000}"/>
    <hyperlink ref="M345" r:id="rId19" xr:uid="{00000000-0004-0000-0100-000012000000}"/>
    <hyperlink ref="M346" r:id="rId20" xr:uid="{00000000-0004-0000-0100-000013000000}"/>
    <hyperlink ref="M347" r:id="rId21" xr:uid="{00000000-0004-0000-0100-000014000000}"/>
    <hyperlink ref="M40" r:id="rId22" xr:uid="{00000000-0004-0000-0100-000015000000}"/>
    <hyperlink ref="M8" r:id="rId23" xr:uid="{00000000-0004-0000-0100-000016000000}"/>
    <hyperlink ref="M29" r:id="rId24" xr:uid="{00000000-0004-0000-0100-000017000000}"/>
    <hyperlink ref="M101" r:id="rId25" xr:uid="{00000000-0004-0000-0100-000018000000}"/>
    <hyperlink ref="M104" r:id="rId26" xr:uid="{00000000-0004-0000-0100-000019000000}"/>
    <hyperlink ref="M115" r:id="rId27" xr:uid="{00000000-0004-0000-0100-00001A000000}"/>
    <hyperlink ref="M158" r:id="rId28" xr:uid="{00000000-0004-0000-0100-00001B000000}"/>
    <hyperlink ref="M250" r:id="rId29" xr:uid="{00000000-0004-0000-0100-00001C000000}"/>
    <hyperlink ref="L343" r:id="rId30" display="https://ressources.unisciel.fr/ramses/519-21_probabilites/co/fa901_5.html" xr:uid="{00000000-0004-0000-0100-00001D000000}"/>
  </hyperlinks>
  <pageMargins left="0.7" right="0.7" top="0.75" bottom="0.75" header="0.3" footer="0.3"/>
  <pageSetup paperSize="9" orientation="portrait" r:id="rId3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2005E"/>
  </sheetPr>
  <dimension ref="A1:H60"/>
  <sheetViews>
    <sheetView tabSelected="1" topLeftCell="A3" zoomScale="55" zoomScaleNormal="55" workbookViewId="0">
      <selection activeCell="B24" sqref="B24"/>
    </sheetView>
  </sheetViews>
  <sheetFormatPr baseColWidth="10" defaultColWidth="11.44140625" defaultRowHeight="13.8" x14ac:dyDescent="0.3"/>
  <cols>
    <col min="1" max="1" width="50.6640625" style="28" customWidth="1"/>
    <col min="2" max="2" width="12.6640625" style="28" customWidth="1"/>
    <col min="3" max="3" width="14.6640625" style="28" customWidth="1"/>
    <col min="4" max="4" width="18.6640625" style="28" customWidth="1"/>
    <col min="5" max="5" width="20.6640625" style="28" customWidth="1"/>
    <col min="6" max="7" width="14.6640625" style="28" customWidth="1"/>
    <col min="8" max="8" width="12.6640625" style="28" customWidth="1"/>
    <col min="9" max="16384" width="11.44140625" style="28"/>
  </cols>
  <sheetData>
    <row r="1" spans="1:8" s="61" customFormat="1" ht="18" customHeight="1" x14ac:dyDescent="0.25">
      <c r="A1" s="91" t="s">
        <v>433</v>
      </c>
      <c r="B1" s="92"/>
      <c r="C1" s="92"/>
      <c r="D1" s="92"/>
      <c r="E1" s="92"/>
    </row>
    <row r="2" spans="1:8" s="61" customFormat="1" ht="18" customHeight="1" x14ac:dyDescent="0.25">
      <c r="A2" s="92" t="s">
        <v>507</v>
      </c>
      <c r="B2" s="92"/>
      <c r="C2" s="92"/>
      <c r="D2" s="92"/>
      <c r="E2" s="92"/>
    </row>
    <row r="3" spans="1:8" s="61" customFormat="1" ht="18" customHeight="1" x14ac:dyDescent="0.25">
      <c r="A3" s="92" t="s">
        <v>508</v>
      </c>
      <c r="B3" s="92"/>
      <c r="C3" s="92"/>
      <c r="D3" s="92"/>
      <c r="E3" s="92"/>
    </row>
    <row r="4" spans="1:8" s="61" customFormat="1" ht="18" customHeight="1" x14ac:dyDescent="0.25">
      <c r="A4" s="92" t="s">
        <v>434</v>
      </c>
      <c r="B4" s="92"/>
      <c r="C4" s="92"/>
      <c r="D4" s="92"/>
      <c r="E4" s="92"/>
    </row>
    <row r="5" spans="1:8" s="61" customFormat="1" ht="18" customHeight="1" x14ac:dyDescent="0.25">
      <c r="A5" s="92" t="s">
        <v>435</v>
      </c>
      <c r="B5" s="92"/>
      <c r="C5" s="92"/>
      <c r="D5" s="92"/>
      <c r="E5" s="92"/>
    </row>
    <row r="7" spans="1:8" ht="14.4" thickBot="1" x14ac:dyDescent="0.35"/>
    <row r="8" spans="1:8" ht="19.95" customHeight="1" thickBot="1" x14ac:dyDescent="0.35">
      <c r="A8" s="94" t="s">
        <v>436</v>
      </c>
      <c r="B8" s="93">
        <v>1</v>
      </c>
      <c r="C8" s="95"/>
      <c r="D8" s="96"/>
      <c r="E8" s="96"/>
      <c r="F8" s="96"/>
      <c r="G8" s="96"/>
      <c r="H8" s="96"/>
    </row>
    <row r="9" spans="1:8" ht="13.95" customHeight="1" x14ac:dyDescent="0.3">
      <c r="A9" s="30"/>
    </row>
    <row r="10" spans="1:8" ht="19.95" customHeight="1" x14ac:dyDescent="0.3">
      <c r="A10" s="94" t="s">
        <v>437</v>
      </c>
      <c r="B10" s="97"/>
      <c r="C10" s="97"/>
      <c r="D10" s="97"/>
      <c r="E10" s="97"/>
      <c r="F10" s="97"/>
      <c r="G10" s="97"/>
      <c r="H10" s="97"/>
    </row>
    <row r="11" spans="1:8" ht="13.95" customHeight="1" thickBot="1" x14ac:dyDescent="0.35">
      <c r="A11" s="46"/>
      <c r="B11" s="46"/>
      <c r="C11" s="46"/>
      <c r="D11" s="46"/>
      <c r="E11" s="46"/>
      <c r="F11" s="46"/>
      <c r="G11" s="46"/>
      <c r="H11" s="46"/>
    </row>
    <row r="12" spans="1:8" ht="25.95" customHeight="1" thickTop="1" thickBot="1" x14ac:dyDescent="0.35">
      <c r="A12" s="544" t="str">
        <f>IF(OR($B$8=1,$B$8=3), "Positionnement", "Pas de  Positionnement en A2-A4")</f>
        <v>Positionnement</v>
      </c>
      <c r="B12" s="545"/>
      <c r="C12" s="545"/>
      <c r="D12" s="545"/>
      <c r="E12" s="545"/>
      <c r="F12" s="545"/>
      <c r="G12" s="545"/>
      <c r="H12" s="546"/>
    </row>
    <row r="13" spans="1:8" ht="24" customHeight="1" x14ac:dyDescent="0.3">
      <c r="A13" s="49" t="s">
        <v>397</v>
      </c>
      <c r="B13" s="549" t="s">
        <v>398</v>
      </c>
      <c r="C13" s="551" t="s">
        <v>399</v>
      </c>
      <c r="D13" s="551" t="s">
        <v>400</v>
      </c>
      <c r="E13" s="551" t="s">
        <v>401</v>
      </c>
      <c r="F13" s="551" t="s">
        <v>402</v>
      </c>
      <c r="G13" s="542" t="s">
        <v>403</v>
      </c>
      <c r="H13" s="547" t="s">
        <v>438</v>
      </c>
    </row>
    <row r="14" spans="1:8" ht="13.95" customHeight="1" thickBot="1" x14ac:dyDescent="0.35">
      <c r="A14" s="50" t="s">
        <v>404</v>
      </c>
      <c r="B14" s="550"/>
      <c r="C14" s="552"/>
      <c r="D14" s="552"/>
      <c r="E14" s="552"/>
      <c r="F14" s="552"/>
      <c r="G14" s="543"/>
      <c r="H14" s="548"/>
    </row>
    <row r="15" spans="1:8" ht="19.95" customHeight="1" x14ac:dyDescent="0.3">
      <c r="A15" s="71" t="str">
        <f>IF(OR($B$8=1,$B$8=3),IF($B$8=1,Aide1!A4,Aide3!A4), )</f>
        <v>Analyse : Suites</v>
      </c>
      <c r="B15" s="51">
        <v>1</v>
      </c>
      <c r="C15" s="52">
        <v>1</v>
      </c>
      <c r="D15" s="52">
        <v>1</v>
      </c>
      <c r="E15" s="52">
        <v>1</v>
      </c>
      <c r="F15" s="52">
        <v>0</v>
      </c>
      <c r="G15" s="53">
        <v>1</v>
      </c>
      <c r="H15" s="62">
        <f>SUM(B15:G15)*100/5</f>
        <v>100</v>
      </c>
    </row>
    <row r="16" spans="1:8" ht="19.95" customHeight="1" x14ac:dyDescent="0.3">
      <c r="A16" s="72" t="str">
        <f>IF(OR($B$8=1,$B$8=3),IF($B$8=1,Aide1!A5,Aide3!A5), )</f>
        <v>Analyse : Équations différentielles</v>
      </c>
      <c r="B16" s="47">
        <v>0.5</v>
      </c>
      <c r="C16" s="43">
        <v>0</v>
      </c>
      <c r="D16" s="43">
        <v>0</v>
      </c>
      <c r="E16" s="43">
        <v>1</v>
      </c>
      <c r="F16" s="43">
        <v>0</v>
      </c>
      <c r="G16" s="45">
        <v>0</v>
      </c>
      <c r="H16" s="65">
        <f t="shared" ref="H16:H25" si="0">SUM(B16:G16)*100/5</f>
        <v>30</v>
      </c>
    </row>
    <row r="17" spans="1:8" ht="19.95" customHeight="1" x14ac:dyDescent="0.3">
      <c r="A17" s="73" t="str">
        <f>IF(OR($B$8=1,$B$8=3),IF($B$8=1,Aide1!A6,Aide3!A6), )</f>
        <v>Analyse : Intégration 1D</v>
      </c>
      <c r="B17" s="54">
        <v>1</v>
      </c>
      <c r="C17" s="55">
        <v>1</v>
      </c>
      <c r="D17" s="55">
        <v>1</v>
      </c>
      <c r="E17" s="55">
        <v>0</v>
      </c>
      <c r="F17" s="55">
        <v>1</v>
      </c>
      <c r="G17" s="56">
        <v>1</v>
      </c>
      <c r="H17" s="63">
        <f t="shared" si="0"/>
        <v>100</v>
      </c>
    </row>
    <row r="18" spans="1:8" ht="19.95" customHeight="1" x14ac:dyDescent="0.3">
      <c r="A18" s="72" t="str">
        <f>IF(OR($B$8=1,$B$8=3),IF($B$8=1,Aide1!A7,Aide3!A7), )</f>
        <v>Analyse : Fonctions  1D</v>
      </c>
      <c r="B18" s="47">
        <v>0</v>
      </c>
      <c r="C18" s="43">
        <v>1</v>
      </c>
      <c r="D18" s="43">
        <v>1</v>
      </c>
      <c r="E18" s="43"/>
      <c r="F18" s="43"/>
      <c r="G18" s="45"/>
      <c r="H18" s="65">
        <f t="shared" si="0"/>
        <v>40</v>
      </c>
    </row>
    <row r="19" spans="1:8" ht="19.95" customHeight="1" x14ac:dyDescent="0.3">
      <c r="A19" s="73" t="str">
        <f>IF(OR($B$8=1,$B$8=3),IF($B$8=1,Aide1!A8,Aide3!A8), )</f>
        <v>Probabilités</v>
      </c>
      <c r="B19" s="54">
        <v>1</v>
      </c>
      <c r="C19" s="55">
        <v>0</v>
      </c>
      <c r="D19" s="55">
        <v>1</v>
      </c>
      <c r="E19" s="55">
        <v>1</v>
      </c>
      <c r="F19" s="55">
        <v>1</v>
      </c>
      <c r="G19" s="56">
        <v>0</v>
      </c>
      <c r="H19" s="63">
        <f t="shared" si="0"/>
        <v>80</v>
      </c>
    </row>
    <row r="20" spans="1:8" ht="19.95" customHeight="1" x14ac:dyDescent="0.3">
      <c r="A20" s="72" t="str">
        <f>IF(OR($B$8=1,$B$8=3),IF($B$8=1,Aide1!A9,Aide3!A9), )</f>
        <v xml:space="preserve">Statistiques </v>
      </c>
      <c r="B20" s="47">
        <v>1</v>
      </c>
      <c r="C20" s="43">
        <v>0</v>
      </c>
      <c r="D20" s="43">
        <v>1</v>
      </c>
      <c r="E20" s="43"/>
      <c r="F20" s="43"/>
      <c r="G20" s="45"/>
      <c r="H20" s="65">
        <f t="shared" si="0"/>
        <v>40</v>
      </c>
    </row>
    <row r="21" spans="1:8" ht="19.95" customHeight="1" x14ac:dyDescent="0.3">
      <c r="A21" s="73" t="str">
        <f>IF(OR($B$8=1,$B$8=3),IF($B$8=1,Aide1!A10,Aide3!A10), )</f>
        <v>Algèbre : Nombres complexes</v>
      </c>
      <c r="B21" s="54">
        <v>0</v>
      </c>
      <c r="C21" s="55">
        <v>0</v>
      </c>
      <c r="D21" s="55">
        <v>0</v>
      </c>
      <c r="E21" s="55"/>
      <c r="F21" s="55">
        <v>0</v>
      </c>
      <c r="G21" s="56">
        <v>0</v>
      </c>
      <c r="H21" s="63">
        <f t="shared" si="0"/>
        <v>0</v>
      </c>
    </row>
    <row r="22" spans="1:8" ht="19.95" customHeight="1" x14ac:dyDescent="0.3">
      <c r="A22" s="72" t="str">
        <f>IF(OR($B$8=1,$B$8=3),IF($B$8=1,Aide1!A11,Aide3!A11), )</f>
        <v>Algèbre : Arithmétique</v>
      </c>
      <c r="B22" s="47">
        <v>1</v>
      </c>
      <c r="C22" s="43">
        <v>0</v>
      </c>
      <c r="D22" s="43">
        <v>0</v>
      </c>
      <c r="E22" s="43">
        <v>1</v>
      </c>
      <c r="F22" s="43"/>
      <c r="G22" s="45">
        <v>1</v>
      </c>
      <c r="H22" s="65">
        <f t="shared" si="0"/>
        <v>60</v>
      </c>
    </row>
    <row r="23" spans="1:8" ht="19.95" customHeight="1" x14ac:dyDescent="0.3">
      <c r="A23" s="73" t="str">
        <f>IF(OR($B$8=1,$B$8=3),IF($B$8=1,Aide1!A12,Aide3!A12), )</f>
        <v>Algèbre : Graphes et matrice</v>
      </c>
      <c r="B23" s="54">
        <v>1</v>
      </c>
      <c r="C23" s="55">
        <v>1</v>
      </c>
      <c r="D23" s="55">
        <v>1</v>
      </c>
      <c r="E23" s="55">
        <v>0</v>
      </c>
      <c r="F23" s="55">
        <v>1</v>
      </c>
      <c r="G23" s="56">
        <v>1</v>
      </c>
      <c r="H23" s="63">
        <f t="shared" si="0"/>
        <v>100</v>
      </c>
    </row>
    <row r="24" spans="1:8" ht="19.95" customHeight="1" x14ac:dyDescent="0.3">
      <c r="A24" s="72" t="str">
        <f>IF(OR($B$8=1,$B$8=3),IF($B$8=1,Aide1!A13,Aide3!A13), )</f>
        <v>Géomètrie analytique et plane</v>
      </c>
      <c r="B24" s="47">
        <v>1</v>
      </c>
      <c r="C24" s="43">
        <v>0</v>
      </c>
      <c r="D24" s="43">
        <v>1</v>
      </c>
      <c r="E24" s="43">
        <v>0.5</v>
      </c>
      <c r="F24" s="43"/>
      <c r="G24" s="45">
        <v>1</v>
      </c>
      <c r="H24" s="65">
        <f t="shared" si="0"/>
        <v>70</v>
      </c>
    </row>
    <row r="25" spans="1:8" ht="19.95" customHeight="1" thickBot="1" x14ac:dyDescent="0.35">
      <c r="A25" s="74" t="str">
        <f>IF(OR($B$8=1,$B$8=3),IF($B$8=1,Aide1!A14,Aide3!A14), )</f>
        <v>Algèbre : Polynômes</v>
      </c>
      <c r="B25" s="57">
        <v>2</v>
      </c>
      <c r="C25" s="58">
        <v>0</v>
      </c>
      <c r="D25" s="58">
        <v>0</v>
      </c>
      <c r="E25" s="58">
        <v>1</v>
      </c>
      <c r="F25" s="58">
        <v>0</v>
      </c>
      <c r="G25" s="59"/>
      <c r="H25" s="64">
        <f t="shared" si="0"/>
        <v>60</v>
      </c>
    </row>
    <row r="26" spans="1:8" s="61" customFormat="1" ht="19.95" customHeight="1" thickBot="1" x14ac:dyDescent="0.3">
      <c r="A26" s="66" t="s">
        <v>438</v>
      </c>
      <c r="B26" s="67">
        <f>SUM(B15:B25)*100/17</f>
        <v>55.882352941176471</v>
      </c>
      <c r="C26" s="68">
        <f>SUM(C15:C25)*100/8</f>
        <v>50</v>
      </c>
      <c r="D26" s="68">
        <f>SUM(D15:D25)*100/8</f>
        <v>87.5</v>
      </c>
      <c r="E26" s="68">
        <f>SUM(E15:E25)*100/8</f>
        <v>68.75</v>
      </c>
      <c r="F26" s="68">
        <f>SUM(F15:F25)*100/6</f>
        <v>50</v>
      </c>
      <c r="G26" s="69">
        <f>SUM(G15:G25)*100/8</f>
        <v>62.5</v>
      </c>
      <c r="H26" s="70"/>
    </row>
    <row r="27" spans="1:8" ht="16.2" customHeight="1" thickTop="1" x14ac:dyDescent="0.3"/>
    <row r="28" spans="1:8" ht="16.2" customHeight="1" thickBot="1" x14ac:dyDescent="0.35"/>
    <row r="29" spans="1:8" ht="25.95" customHeight="1" thickTop="1" thickBot="1" x14ac:dyDescent="0.35">
      <c r="A29" s="544" t="s">
        <v>439</v>
      </c>
      <c r="B29" s="545"/>
      <c r="C29" s="545"/>
      <c r="D29" s="545"/>
      <c r="E29" s="545"/>
      <c r="F29" s="545"/>
      <c r="G29" s="545"/>
      <c r="H29" s="546"/>
    </row>
    <row r="30" spans="1:8" ht="24" customHeight="1" x14ac:dyDescent="0.3">
      <c r="A30" s="49" t="s">
        <v>397</v>
      </c>
      <c r="B30" s="549" t="s">
        <v>398</v>
      </c>
      <c r="C30" s="551" t="s">
        <v>399</v>
      </c>
      <c r="D30" s="551" t="s">
        <v>400</v>
      </c>
      <c r="E30" s="551" t="s">
        <v>401</v>
      </c>
      <c r="F30" s="551" t="s">
        <v>402</v>
      </c>
      <c r="G30" s="542" t="s">
        <v>403</v>
      </c>
      <c r="H30" s="547" t="s">
        <v>438</v>
      </c>
    </row>
    <row r="31" spans="1:8" s="61" customFormat="1" ht="13.95" customHeight="1" thickBot="1" x14ac:dyDescent="0.3">
      <c r="A31" s="50" t="s">
        <v>404</v>
      </c>
      <c r="B31" s="550"/>
      <c r="C31" s="552"/>
      <c r="D31" s="552"/>
      <c r="E31" s="552"/>
      <c r="F31" s="552"/>
      <c r="G31" s="543"/>
      <c r="H31" s="548"/>
    </row>
    <row r="32" spans="1:8" s="75" customFormat="1" ht="19.95" customHeight="1" x14ac:dyDescent="0.3">
      <c r="A32" s="71" t="str">
        <f>IF(OR($B$8=1,$B$8=3),IF($B$8=1,Aide1!A20,Aide3!A19),Aide2!A4)</f>
        <v>Géométrie</v>
      </c>
      <c r="B32" s="51"/>
      <c r="C32" s="52"/>
      <c r="D32" s="52"/>
      <c r="E32" s="52"/>
      <c r="F32" s="52"/>
      <c r="G32" s="53"/>
      <c r="H32" s="77">
        <f>SUM(B32:G32)*100/(IF($B$8=1,Aide1!H20,Aide3!H19))</f>
        <v>0</v>
      </c>
    </row>
    <row r="33" spans="1:8" s="75" customFormat="1" ht="19.95" customHeight="1" x14ac:dyDescent="0.3">
      <c r="A33" s="72" t="str">
        <f>IF(OR($B$8=1,$B$8=3),IF($B$8=1,Aide1!A21,Aide3!A20),Aide2!A5)</f>
        <v>Probabilités- Statistique</v>
      </c>
      <c r="B33" s="79"/>
      <c r="C33" s="80"/>
      <c r="D33" s="80"/>
      <c r="E33" s="80"/>
      <c r="F33" s="80"/>
      <c r="G33" s="81"/>
      <c r="H33" s="82">
        <f>SUM(B33:G33)*100/(IF($B$8=1,Aide1!H21,Aide3!H20))</f>
        <v>0</v>
      </c>
    </row>
    <row r="34" spans="1:8" s="75" customFormat="1" ht="19.95" customHeight="1" x14ac:dyDescent="0.3">
      <c r="A34" s="73" t="str">
        <f>IF(OR($B$8=1,$B$8=3),IF($B$8=1,Aide1!A22,Aide3!A21),Aide2!A6)</f>
        <v>Analyse : Suites et Séries</v>
      </c>
      <c r="B34" s="54"/>
      <c r="C34" s="55"/>
      <c r="D34" s="55"/>
      <c r="E34" s="55"/>
      <c r="F34" s="55"/>
      <c r="G34" s="56"/>
      <c r="H34" s="78">
        <f>SUM(B34:G34)*100/(IF($B$8=1,Aide1!H22,Aide3!H21))</f>
        <v>0</v>
      </c>
    </row>
    <row r="35" spans="1:8" s="75" customFormat="1" ht="19.95" customHeight="1" x14ac:dyDescent="0.3">
      <c r="A35" s="72" t="str">
        <f>IF(OR($B$8=1,$B$8=3),IF($B$8=1,Aide1!A23,Aide3!A22),Aide2!#REF!)</f>
        <v>Analyse : Primitives-Intégrations  0</v>
      </c>
      <c r="B35" s="79"/>
      <c r="C35" s="80"/>
      <c r="D35" s="80"/>
      <c r="E35" s="80"/>
      <c r="F35" s="80"/>
      <c r="G35" s="81"/>
      <c r="H35" s="82">
        <f>SUM(B35:G35)*100/(IF($B$8=1,Aide1!H23,Aide3!H22))</f>
        <v>0</v>
      </c>
    </row>
    <row r="36" spans="1:8" s="75" customFormat="1" ht="19.95" customHeight="1" x14ac:dyDescent="0.3">
      <c r="A36" s="73" t="str">
        <f>IF(OR($B$8=1,$B$8=3),IF($B$8=1,Aide1!A24,Aide3!A23),Aide2!A7)</f>
        <v>Analyse : Interpolation, développement limité 0</v>
      </c>
      <c r="B36" s="54"/>
      <c r="C36" s="55"/>
      <c r="D36" s="55"/>
      <c r="E36" s="55"/>
      <c r="F36" s="55"/>
      <c r="G36" s="56"/>
      <c r="H36" s="78">
        <f>SUM(B36:G36)*100/(IF($B$8=1,Aide1!H24,Aide3!H23))</f>
        <v>0</v>
      </c>
    </row>
    <row r="37" spans="1:8" s="75" customFormat="1" ht="19.95" customHeight="1" x14ac:dyDescent="0.3">
      <c r="A37" s="72" t="str">
        <f>IF(OR($B$8=1,$B$8=3),IF($B$8=1,Aide1!A25,Aide3!A24),Aide2!A8)</f>
        <v>Analyse : Equations différentielles  0</v>
      </c>
      <c r="B37" s="79"/>
      <c r="C37" s="80"/>
      <c r="D37" s="80"/>
      <c r="E37" s="80"/>
      <c r="F37" s="80"/>
      <c r="G37" s="81"/>
      <c r="H37" s="82">
        <f>SUM(B37:G37)*100/(IF($B$8=1,Aide1!H25,Aide3!H24))</f>
        <v>0</v>
      </c>
    </row>
    <row r="38" spans="1:8" s="75" customFormat="1" ht="19.95" customHeight="1" x14ac:dyDescent="0.3">
      <c r="A38" s="73" t="str">
        <f>IF(OR($B$8=1,$B$8=3),IF($B$8=1,Aide1!A26,Aide3!A25),Aide2!A9)</f>
        <v xml:space="preserve">Algèbre : Arithmétique </v>
      </c>
      <c r="B38" s="54"/>
      <c r="C38" s="55"/>
      <c r="D38" s="55"/>
      <c r="E38" s="55"/>
      <c r="F38" s="55"/>
      <c r="G38" s="56"/>
      <c r="H38" s="78">
        <f>SUM(B38:G38)*100/(IF($B$8=1,Aide1!H26,Aide3!H25))</f>
        <v>0</v>
      </c>
    </row>
    <row r="39" spans="1:8" s="75" customFormat="1" ht="19.95" customHeight="1" x14ac:dyDescent="0.3">
      <c r="A39" s="72">
        <f>IF(OR($B$8=1,$B$8=3),IF($B$8=1,Aide1!A27,Aide3!A26),Aide2!A10)</f>
        <v>0</v>
      </c>
      <c r="B39" s="79"/>
      <c r="C39" s="80"/>
      <c r="D39" s="80"/>
      <c r="E39" s="80"/>
      <c r="F39" s="80"/>
      <c r="G39" s="81"/>
      <c r="H39" s="82" t="e">
        <f>SUM(B39:G39)*100/(IF($B$8=1,Aide1!H27,Aide3!H26))</f>
        <v>#DIV/0!</v>
      </c>
    </row>
    <row r="40" spans="1:8" s="75" customFormat="1" ht="19.95" customHeight="1" x14ac:dyDescent="0.3">
      <c r="A40" s="73">
        <f>IF(OR($B$8=1,$B$8=3),IF($B$8=1,Aide1!A28,Aide3!A27),Aide2!A11)</f>
        <v>0</v>
      </c>
      <c r="B40" s="54"/>
      <c r="C40" s="55"/>
      <c r="D40" s="55"/>
      <c r="E40" s="55"/>
      <c r="F40" s="55"/>
      <c r="G40" s="56"/>
      <c r="H40" s="78" t="e">
        <f>SUM(B40:G40)*100/(IF($B$8=1,Aide1!H28,Aide3!H27))</f>
        <v>#DIV/0!</v>
      </c>
    </row>
    <row r="41" spans="1:8" s="75" customFormat="1" ht="19.95" customHeight="1" thickBot="1" x14ac:dyDescent="0.35">
      <c r="A41" s="72">
        <f>IF(OR($B$8=1,$B$8=3),IF($B$8=1,Aide1!A29,Aide3!A28),Aide2!A12)</f>
        <v>0</v>
      </c>
      <c r="B41" s="79"/>
      <c r="C41" s="80"/>
      <c r="D41" s="80"/>
      <c r="E41" s="80"/>
      <c r="F41" s="80"/>
      <c r="G41" s="81"/>
      <c r="H41" s="82" t="e">
        <f>SUM(B41:G41)*100/(IF($B$8=1,Aide1!H29,Aide3!H28))</f>
        <v>#DIV/0!</v>
      </c>
    </row>
    <row r="42" spans="1:8" s="76" customFormat="1" ht="19.95" customHeight="1" thickBot="1" x14ac:dyDescent="0.3">
      <c r="A42" s="66" t="s">
        <v>438</v>
      </c>
      <c r="B42" s="67">
        <f>SUM(B32:B41)*100/(IF($B$8=1,Aide1!B34,Aide3!B33))</f>
        <v>0</v>
      </c>
      <c r="C42" s="68">
        <f>SUM(C32:C41)*100/(IF($B$8=1,Aide1!C34,Aide3!C33))</f>
        <v>0</v>
      </c>
      <c r="D42" s="68">
        <f>SUM(D32:D41)*100/(IF($B$8=1,Aide1!D34,Aide3!D33))</f>
        <v>0</v>
      </c>
      <c r="E42" s="68">
        <f>SUM(E32:E41)*100/(IF($B$8=1,Aide1!E34,Aide3!E33))</f>
        <v>0</v>
      </c>
      <c r="F42" s="68">
        <f>SUM(F32:F41)*100/(IF($B$8=1,Aide1!F34,Aide3!F33))</f>
        <v>0</v>
      </c>
      <c r="G42" s="69">
        <f>SUM(G32:G41)*100/(IF($B$8=1,Aide1!G34,Aide3!G33))</f>
        <v>0</v>
      </c>
      <c r="H42" s="70"/>
    </row>
    <row r="43" spans="1:8" ht="16.2" customHeight="1" thickTop="1" x14ac:dyDescent="0.3"/>
    <row r="44" spans="1:8" ht="16.2" customHeight="1" x14ac:dyDescent="0.3"/>
    <row r="45" spans="1:8" ht="16.2" customHeight="1" x14ac:dyDescent="0.3"/>
    <row r="46" spans="1:8" ht="16.2" customHeight="1" thickBot="1" x14ac:dyDescent="0.35"/>
    <row r="47" spans="1:8" ht="25.95" customHeight="1" thickTop="1" thickBot="1" x14ac:dyDescent="0.35">
      <c r="A47" s="533" t="s">
        <v>440</v>
      </c>
      <c r="B47" s="534"/>
      <c r="C47" s="534"/>
      <c r="D47" s="534"/>
      <c r="E47" s="534"/>
      <c r="F47" s="534"/>
      <c r="G47" s="534"/>
      <c r="H47" s="535"/>
    </row>
    <row r="48" spans="1:8" ht="24" customHeight="1" x14ac:dyDescent="0.3">
      <c r="A48" s="49" t="s">
        <v>397</v>
      </c>
      <c r="B48" s="536" t="s">
        <v>398</v>
      </c>
      <c r="C48" s="538" t="s">
        <v>399</v>
      </c>
      <c r="D48" s="538" t="s">
        <v>400</v>
      </c>
      <c r="E48" s="538" t="s">
        <v>401</v>
      </c>
      <c r="F48" s="538" t="s">
        <v>402</v>
      </c>
      <c r="G48" s="538" t="s">
        <v>403</v>
      </c>
      <c r="H48" s="540" t="s">
        <v>438</v>
      </c>
    </row>
    <row r="49" spans="1:8" ht="13.95" customHeight="1" x14ac:dyDescent="0.3">
      <c r="A49" s="87" t="s">
        <v>404</v>
      </c>
      <c r="B49" s="537"/>
      <c r="C49" s="539"/>
      <c r="D49" s="539"/>
      <c r="E49" s="539"/>
      <c r="F49" s="539"/>
      <c r="G49" s="539"/>
      <c r="H49" s="541"/>
    </row>
    <row r="50" spans="1:8" ht="19.95" customHeight="1" x14ac:dyDescent="0.3">
      <c r="A50" s="73" t="str">
        <f>IF(OR($B$8=1,$B$8=3),IF($B$8=1,Aide1!A39,Aide3!A37),)</f>
        <v>Algèbre : Nombres complexes</v>
      </c>
      <c r="B50" s="85"/>
      <c r="C50" s="83"/>
      <c r="D50" s="83"/>
      <c r="E50" s="83"/>
      <c r="F50" s="83"/>
      <c r="G50" s="83"/>
      <c r="H50" s="88">
        <f>SUM(B50:G50)*100/(IF($B$8=1,Aide1!H39,Aide3!H37))</f>
        <v>0</v>
      </c>
    </row>
    <row r="51" spans="1:8" ht="19.95" customHeight="1" x14ac:dyDescent="0.3">
      <c r="A51" s="72" t="str">
        <f>IF(OR($B$8=1,$B$8=3),IF($B$8=1,Aide1!A40,Aide3!A38),)</f>
        <v>Analyse : Etude 1D</v>
      </c>
      <c r="B51" s="86"/>
      <c r="C51" s="84"/>
      <c r="D51" s="84"/>
      <c r="E51" s="84"/>
      <c r="F51" s="84"/>
      <c r="G51" s="84"/>
      <c r="H51" s="89">
        <f>SUM(B51:G51)*100/(IF($B$8=1,Aide1!H40,Aide3!H38))</f>
        <v>0</v>
      </c>
    </row>
    <row r="52" spans="1:8" ht="19.95" customHeight="1" x14ac:dyDescent="0.3">
      <c r="A52" s="73" t="str">
        <f>IF(OR($B$8=1,$B$8=3),IF($B$8=1,Aide1!A41,Aide3!A39),)</f>
        <v>Analyse : fonctions de plx variables</v>
      </c>
      <c r="B52" s="85"/>
      <c r="C52" s="83"/>
      <c r="D52" s="83"/>
      <c r="E52" s="83"/>
      <c r="F52" s="83"/>
      <c r="G52" s="83"/>
      <c r="H52" s="88">
        <f>SUM(B52:G52)*100/(IF($B$8=1,Aide1!H41,Aide3!H39))</f>
        <v>0</v>
      </c>
    </row>
    <row r="53" spans="1:8" ht="19.95" customHeight="1" x14ac:dyDescent="0.3">
      <c r="A53" s="72" t="str">
        <f>IF(OR($B$8=1,$B$8=3),IF($B$8=1,Aide1!A42,Aide3!A40),)</f>
        <v>Graphes</v>
      </c>
      <c r="B53" s="86"/>
      <c r="C53" s="84"/>
      <c r="D53" s="84"/>
      <c r="E53" s="84"/>
      <c r="F53" s="84"/>
      <c r="G53" s="84"/>
      <c r="H53" s="89">
        <f>SUM(B53:G53)*100/(IF($B$8=1,Aide1!H42,Aide3!H40))</f>
        <v>0</v>
      </c>
    </row>
    <row r="54" spans="1:8" ht="19.95" customHeight="1" x14ac:dyDescent="0.3">
      <c r="A54" s="73" t="str">
        <f>IF(OR($B$8=1,$B$8=3),IF($B$8=1,Aide1!A43,Aide3!A41),)</f>
        <v>Matrices et systèmes</v>
      </c>
      <c r="B54" s="85"/>
      <c r="C54" s="83"/>
      <c r="D54" s="83"/>
      <c r="E54" s="83"/>
      <c r="F54" s="83"/>
      <c r="G54" s="83"/>
      <c r="H54" s="88">
        <f>SUM(B54:G54)*100/(IF($B$8=1,Aide1!H43,Aide3!H41))</f>
        <v>0</v>
      </c>
    </row>
    <row r="55" spans="1:8" ht="19.95" customHeight="1" x14ac:dyDescent="0.3">
      <c r="A55" s="72" t="str">
        <f>IF(OR($B$8=1,$B$8=3),IF($B$8=1,Aide1!A44,Aide3!A42),)</f>
        <v xml:space="preserve">Probabilités </v>
      </c>
      <c r="B55" s="86"/>
      <c r="C55" s="84"/>
      <c r="D55" s="84"/>
      <c r="E55" s="84"/>
      <c r="F55" s="84"/>
      <c r="G55" s="84"/>
      <c r="H55" s="89">
        <f>SUM(B55:G55)*100/(IF($B$8=1,Aide1!H44,Aide3!#REF!))</f>
        <v>0</v>
      </c>
    </row>
    <row r="56" spans="1:8" ht="19.95" customHeight="1" x14ac:dyDescent="0.3">
      <c r="A56" s="73" t="str">
        <f>IF(OR($B$8=1,$B$8=3),IF($B$8=1,Aide1!A45,Aide3!A43),)</f>
        <v>Statistiques descriptives</v>
      </c>
      <c r="B56" s="85"/>
      <c r="C56" s="83"/>
      <c r="D56" s="83"/>
      <c r="E56" s="83"/>
      <c r="F56" s="83"/>
      <c r="G56" s="83"/>
      <c r="H56" s="88">
        <f>SUM(B56:G56)*100/(IF($B$8=1,Aide1!H45,Aide3!#REF!))</f>
        <v>0</v>
      </c>
    </row>
    <row r="57" spans="1:8" ht="19.95" customHeight="1" x14ac:dyDescent="0.3">
      <c r="A57" s="72">
        <f>IF(OR($B$8=1,$B$8=3),IF($B$8=1,Aide1!A46,Aide3!A44),)</f>
        <v>0</v>
      </c>
      <c r="B57" s="86"/>
      <c r="C57" s="84"/>
      <c r="D57" s="84"/>
      <c r="E57" s="84"/>
      <c r="F57" s="84"/>
      <c r="G57" s="84"/>
      <c r="H57" s="89" t="e">
        <f>SUM(B57:G57)*100/(IF($B$8=1,Aide1!H46,Aide3!H42))</f>
        <v>#DIV/0!</v>
      </c>
    </row>
    <row r="58" spans="1:8" ht="19.95" customHeight="1" thickBot="1" x14ac:dyDescent="0.35">
      <c r="A58" s="73">
        <f>IF(OR($B$8=1,$B$8=3),IF($B$8=1,Aide1!A47,Aide3!A45),)</f>
        <v>0</v>
      </c>
      <c r="B58" s="85"/>
      <c r="C58" s="83"/>
      <c r="D58" s="83"/>
      <c r="E58" s="83"/>
      <c r="F58" s="83"/>
      <c r="G58" s="83"/>
      <c r="H58" s="88" t="e">
        <f>SUM(B58:G58)*100/(IF($B$8=1,Aide1!H47,Aide3!H43))</f>
        <v>#DIV/0!</v>
      </c>
    </row>
    <row r="59" spans="1:8" ht="19.95" customHeight="1" thickBot="1" x14ac:dyDescent="0.35">
      <c r="A59" s="60" t="s">
        <v>438</v>
      </c>
      <c r="B59" s="48">
        <f>SUM(B50:B58)*100/(IF($B$8=1,Aide1!B51,Aide3!B51))</f>
        <v>0</v>
      </c>
      <c r="C59" s="44">
        <f>SUM(C50:C58)*100/(IF($B$8=1,Aide1!C51,Aide3!C51))</f>
        <v>0</v>
      </c>
      <c r="D59" s="44">
        <f>SUM(D50:D58)*100/(IF($B$8=1,Aide1!D51,Aide3!D51))</f>
        <v>0</v>
      </c>
      <c r="E59" s="44">
        <f>SUM(E50:E58)*100/(IF($B$8=1,Aide1!E51,Aide3!E51))</f>
        <v>0</v>
      </c>
      <c r="F59" s="44">
        <f>SUM(F50:F58)*100/(IF($B$8=1,Aide1!F51,Aide3!F51))</f>
        <v>0</v>
      </c>
      <c r="G59" s="44">
        <f>SUM(G50:G58)*100/(IF($B$8=1,Aide1!G51,Aide3!G51))</f>
        <v>0</v>
      </c>
      <c r="H59" s="90"/>
    </row>
    <row r="60" spans="1:8" ht="14.4" thickTop="1" x14ac:dyDescent="0.3"/>
  </sheetData>
  <mergeCells count="24">
    <mergeCell ref="G13:G14"/>
    <mergeCell ref="A12:H12"/>
    <mergeCell ref="H13:H14"/>
    <mergeCell ref="A29:H29"/>
    <mergeCell ref="B30:B31"/>
    <mergeCell ref="C30:C31"/>
    <mergeCell ref="D30:D31"/>
    <mergeCell ref="E30:E31"/>
    <mergeCell ref="F30:F31"/>
    <mergeCell ref="G30:G31"/>
    <mergeCell ref="H30:H31"/>
    <mergeCell ref="B13:B14"/>
    <mergeCell ref="C13:C14"/>
    <mergeCell ref="D13:D14"/>
    <mergeCell ref="E13:E14"/>
    <mergeCell ref="F13:F14"/>
    <mergeCell ref="A47:H47"/>
    <mergeCell ref="B48:B49"/>
    <mergeCell ref="C48:C49"/>
    <mergeCell ref="D48:D49"/>
    <mergeCell ref="E48:E49"/>
    <mergeCell ref="F48:F49"/>
    <mergeCell ref="G48:G49"/>
    <mergeCell ref="H48:H4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52"/>
  <sheetViews>
    <sheetView zoomScale="70" zoomScaleNormal="70" workbookViewId="0">
      <selection activeCell="E58" sqref="E58:E59"/>
    </sheetView>
  </sheetViews>
  <sheetFormatPr baseColWidth="10" defaultColWidth="11.44140625" defaultRowHeight="13.8" x14ac:dyDescent="0.3"/>
  <cols>
    <col min="1" max="1" width="50.6640625" style="28" customWidth="1"/>
    <col min="2" max="2" width="9.5546875" style="28" customWidth="1"/>
    <col min="3" max="3" width="11.5546875" style="28" customWidth="1"/>
    <col min="4" max="4" width="14.6640625" style="28" customWidth="1"/>
    <col min="5" max="5" width="16.6640625" style="28" customWidth="1"/>
    <col min="6" max="6" width="10.6640625" style="28" customWidth="1"/>
    <col min="7" max="7" width="12.6640625" style="28" customWidth="1"/>
    <col min="8" max="16384" width="11.44140625" style="28"/>
  </cols>
  <sheetData>
    <row r="1" spans="1:15" ht="16.2" thickBot="1" x14ac:dyDescent="0.35">
      <c r="A1" s="559" t="s">
        <v>396</v>
      </c>
      <c r="B1" s="559"/>
      <c r="C1" s="559"/>
      <c r="D1" s="559"/>
      <c r="E1" s="559"/>
      <c r="F1" s="559"/>
      <c r="G1" s="559"/>
      <c r="H1" s="559"/>
      <c r="I1" s="559"/>
      <c r="J1" s="559"/>
    </row>
    <row r="2" spans="1:15" ht="21.6" thickTop="1" x14ac:dyDescent="0.3">
      <c r="A2" s="301" t="s">
        <v>397</v>
      </c>
      <c r="B2" s="560" t="s">
        <v>398</v>
      </c>
      <c r="C2" s="562" t="s">
        <v>399</v>
      </c>
      <c r="D2" s="562" t="s">
        <v>400</v>
      </c>
      <c r="E2" s="562" t="s">
        <v>401</v>
      </c>
      <c r="F2" s="562" t="s">
        <v>402</v>
      </c>
      <c r="G2" s="564" t="s">
        <v>403</v>
      </c>
      <c r="H2" s="303"/>
    </row>
    <row r="3" spans="1:15" ht="14.4" customHeight="1" thickBot="1" x14ac:dyDescent="0.35">
      <c r="A3" s="302" t="s">
        <v>404</v>
      </c>
      <c r="B3" s="561"/>
      <c r="C3" s="563"/>
      <c r="D3" s="563"/>
      <c r="E3" s="563"/>
      <c r="F3" s="563"/>
      <c r="G3" s="565"/>
      <c r="H3" s="304"/>
    </row>
    <row r="4" spans="1:15" ht="19.95" customHeight="1" x14ac:dyDescent="0.3">
      <c r="A4" s="71" t="s">
        <v>543</v>
      </c>
      <c r="B4" s="51">
        <v>1</v>
      </c>
      <c r="C4" s="52">
        <v>1</v>
      </c>
      <c r="D4" s="52">
        <v>1</v>
      </c>
      <c r="E4" s="52">
        <v>1</v>
      </c>
      <c r="F4" s="52">
        <v>0</v>
      </c>
      <c r="G4" s="53">
        <v>1</v>
      </c>
      <c r="H4" s="310">
        <f>SUM(B4:G4)</f>
        <v>5</v>
      </c>
    </row>
    <row r="5" spans="1:15" ht="19.95" customHeight="1" x14ac:dyDescent="0.3">
      <c r="A5" s="72" t="s">
        <v>544</v>
      </c>
      <c r="B5" s="47">
        <v>2</v>
      </c>
      <c r="C5" s="43">
        <v>1</v>
      </c>
      <c r="D5" s="43">
        <v>0</v>
      </c>
      <c r="E5" s="43">
        <v>0</v>
      </c>
      <c r="F5" s="43">
        <v>1</v>
      </c>
      <c r="G5" s="45">
        <v>1</v>
      </c>
      <c r="H5" s="311">
        <f t="shared" ref="H5:H11" si="0">SUM(B5:G5)</f>
        <v>5</v>
      </c>
    </row>
    <row r="6" spans="1:15" ht="19.95" customHeight="1" x14ac:dyDescent="0.3">
      <c r="A6" s="73" t="s">
        <v>419</v>
      </c>
      <c r="B6" s="54">
        <v>2</v>
      </c>
      <c r="C6" s="55">
        <v>0</v>
      </c>
      <c r="D6" s="55">
        <v>1</v>
      </c>
      <c r="E6" s="55">
        <v>1</v>
      </c>
      <c r="F6" s="55">
        <v>0</v>
      </c>
      <c r="G6" s="56">
        <v>1</v>
      </c>
      <c r="H6" s="312">
        <f t="shared" si="0"/>
        <v>5</v>
      </c>
      <c r="J6" s="108"/>
      <c r="K6" s="108"/>
      <c r="L6" s="108"/>
      <c r="M6" s="108"/>
      <c r="N6" s="108"/>
      <c r="O6" s="108"/>
    </row>
    <row r="7" spans="1:15" ht="19.95" customHeight="1" x14ac:dyDescent="0.3">
      <c r="A7" s="72" t="s">
        <v>420</v>
      </c>
      <c r="B7" s="47">
        <v>1</v>
      </c>
      <c r="C7" s="43">
        <v>1</v>
      </c>
      <c r="D7" s="43">
        <v>1</v>
      </c>
      <c r="E7" s="43">
        <v>1</v>
      </c>
      <c r="F7" s="43">
        <v>1</v>
      </c>
      <c r="G7" s="45">
        <v>0</v>
      </c>
      <c r="H7" s="311">
        <f t="shared" si="0"/>
        <v>5</v>
      </c>
    </row>
    <row r="8" spans="1:15" ht="19.95" customHeight="1" x14ac:dyDescent="0.3">
      <c r="A8" s="73" t="s">
        <v>408</v>
      </c>
      <c r="B8" s="54">
        <v>1</v>
      </c>
      <c r="C8" s="55">
        <v>0</v>
      </c>
      <c r="D8" s="55">
        <v>1</v>
      </c>
      <c r="E8" s="55">
        <v>1</v>
      </c>
      <c r="F8" s="55">
        <v>1</v>
      </c>
      <c r="G8" s="56">
        <v>1</v>
      </c>
      <c r="H8" s="312">
        <f t="shared" si="0"/>
        <v>5</v>
      </c>
    </row>
    <row r="9" spans="1:15" ht="19.95" customHeight="1" x14ac:dyDescent="0.3">
      <c r="A9" s="72" t="s">
        <v>409</v>
      </c>
      <c r="B9" s="47">
        <v>2</v>
      </c>
      <c r="C9" s="43">
        <v>1</v>
      </c>
      <c r="D9" s="43">
        <v>1</v>
      </c>
      <c r="E9" s="43">
        <v>1</v>
      </c>
      <c r="F9" s="43">
        <v>0</v>
      </c>
      <c r="G9" s="45">
        <v>0</v>
      </c>
      <c r="H9" s="311">
        <f t="shared" si="0"/>
        <v>5</v>
      </c>
    </row>
    <row r="10" spans="1:15" ht="19.95" customHeight="1" x14ac:dyDescent="0.3">
      <c r="A10" s="73" t="s">
        <v>416</v>
      </c>
      <c r="B10" s="54">
        <v>1</v>
      </c>
      <c r="C10" s="55">
        <v>1</v>
      </c>
      <c r="D10" s="55">
        <v>1</v>
      </c>
      <c r="E10" s="55">
        <v>0</v>
      </c>
      <c r="F10" s="55">
        <v>1</v>
      </c>
      <c r="G10" s="56">
        <v>1</v>
      </c>
      <c r="H10" s="312">
        <f t="shared" si="0"/>
        <v>5</v>
      </c>
    </row>
    <row r="11" spans="1:15" ht="19.95" customHeight="1" x14ac:dyDescent="0.3">
      <c r="A11" s="72" t="s">
        <v>410</v>
      </c>
      <c r="B11" s="47">
        <v>2</v>
      </c>
      <c r="C11" s="43">
        <v>1</v>
      </c>
      <c r="D11" s="43">
        <v>0</v>
      </c>
      <c r="E11" s="43">
        <v>1</v>
      </c>
      <c r="F11" s="43">
        <v>0</v>
      </c>
      <c r="G11" s="45">
        <v>1</v>
      </c>
      <c r="H11" s="311">
        <f t="shared" si="0"/>
        <v>5</v>
      </c>
    </row>
    <row r="12" spans="1:15" ht="19.95" customHeight="1" x14ac:dyDescent="0.3">
      <c r="A12" s="73" t="s">
        <v>411</v>
      </c>
      <c r="B12" s="54">
        <v>2</v>
      </c>
      <c r="C12" s="55">
        <v>0</v>
      </c>
      <c r="D12" s="55">
        <v>1</v>
      </c>
      <c r="E12" s="55">
        <v>0</v>
      </c>
      <c r="F12" s="55">
        <v>1</v>
      </c>
      <c r="G12" s="56">
        <v>1</v>
      </c>
      <c r="H12" s="312">
        <f>SUM(B12:G12)</f>
        <v>5</v>
      </c>
    </row>
    <row r="13" spans="1:15" ht="19.95" customHeight="1" x14ac:dyDescent="0.3">
      <c r="A13" s="72" t="s">
        <v>412</v>
      </c>
      <c r="B13" s="47">
        <v>1</v>
      </c>
      <c r="C13" s="43">
        <v>1</v>
      </c>
      <c r="D13" s="43">
        <v>1</v>
      </c>
      <c r="E13" s="43">
        <v>1</v>
      </c>
      <c r="F13" s="43">
        <v>0</v>
      </c>
      <c r="G13" s="45">
        <v>1</v>
      </c>
      <c r="H13" s="311">
        <f>SUM(B13:G13)</f>
        <v>5</v>
      </c>
    </row>
    <row r="14" spans="1:15" ht="19.95" customHeight="1" thickBot="1" x14ac:dyDescent="0.35">
      <c r="A14" s="74" t="s">
        <v>545</v>
      </c>
      <c r="B14" s="57">
        <v>2</v>
      </c>
      <c r="C14" s="58">
        <v>1</v>
      </c>
      <c r="D14" s="58">
        <v>0</v>
      </c>
      <c r="E14" s="58">
        <v>1</v>
      </c>
      <c r="F14" s="58">
        <v>1</v>
      </c>
      <c r="G14" s="59">
        <v>0</v>
      </c>
      <c r="H14" s="313">
        <f>SUM(B14:G14)</f>
        <v>5</v>
      </c>
    </row>
    <row r="15" spans="1:15" ht="19.95" customHeight="1" thickBot="1" x14ac:dyDescent="0.35">
      <c r="A15" s="66" t="s">
        <v>421</v>
      </c>
      <c r="B15" s="307">
        <f t="shared" ref="B15:G15" si="1">SUM(B4:B14)</f>
        <v>17</v>
      </c>
      <c r="C15" s="308">
        <f t="shared" si="1"/>
        <v>8</v>
      </c>
      <c r="D15" s="308">
        <f t="shared" si="1"/>
        <v>8</v>
      </c>
      <c r="E15" s="308">
        <f t="shared" si="1"/>
        <v>8</v>
      </c>
      <c r="F15" s="308">
        <f t="shared" si="1"/>
        <v>6</v>
      </c>
      <c r="G15" s="309">
        <f t="shared" si="1"/>
        <v>8</v>
      </c>
      <c r="H15" s="70">
        <f>SUM(B15:G15)</f>
        <v>55</v>
      </c>
    </row>
    <row r="16" spans="1:15" ht="14.4" thickTop="1" x14ac:dyDescent="0.3"/>
    <row r="17" spans="1:8" ht="14.4" thickBot="1" x14ac:dyDescent="0.35"/>
    <row r="18" spans="1:8" ht="21.6" thickTop="1" x14ac:dyDescent="0.3">
      <c r="A18" s="301" t="s">
        <v>397</v>
      </c>
      <c r="B18" s="555" t="s">
        <v>398</v>
      </c>
      <c r="C18" s="557" t="s">
        <v>399</v>
      </c>
      <c r="D18" s="557" t="s">
        <v>400</v>
      </c>
      <c r="E18" s="557" t="s">
        <v>401</v>
      </c>
      <c r="F18" s="557" t="s">
        <v>402</v>
      </c>
      <c r="G18" s="553" t="s">
        <v>403</v>
      </c>
      <c r="H18" s="305"/>
    </row>
    <row r="19" spans="1:8" ht="12.75" customHeight="1" thickBot="1" x14ac:dyDescent="0.35">
      <c r="A19" s="302" t="s">
        <v>404</v>
      </c>
      <c r="B19" s="556"/>
      <c r="C19" s="558"/>
      <c r="D19" s="558"/>
      <c r="E19" s="558"/>
      <c r="F19" s="558"/>
      <c r="G19" s="554"/>
      <c r="H19" s="306"/>
    </row>
    <row r="20" spans="1:8" ht="19.95" customHeight="1" x14ac:dyDescent="0.3">
      <c r="A20" s="435" t="s">
        <v>418</v>
      </c>
      <c r="B20" s="51">
        <v>1</v>
      </c>
      <c r="C20" s="52">
        <v>1</v>
      </c>
      <c r="D20" s="52">
        <v>1</v>
      </c>
      <c r="E20" s="52">
        <v>1</v>
      </c>
      <c r="F20" s="52">
        <v>1</v>
      </c>
      <c r="G20" s="53">
        <v>1</v>
      </c>
      <c r="H20" s="310">
        <f t="shared" ref="H20:H33" si="2">SUM(B20:G20)</f>
        <v>6</v>
      </c>
    </row>
    <row r="21" spans="1:8" ht="19.95" customHeight="1" x14ac:dyDescent="0.3">
      <c r="A21" s="435" t="s">
        <v>423</v>
      </c>
      <c r="B21" s="47">
        <v>1</v>
      </c>
      <c r="C21" s="43">
        <v>1</v>
      </c>
      <c r="D21" s="43">
        <v>1</v>
      </c>
      <c r="E21" s="43">
        <v>1</v>
      </c>
      <c r="F21" s="43">
        <v>1</v>
      </c>
      <c r="G21" s="45">
        <v>1</v>
      </c>
      <c r="H21" s="311">
        <f t="shared" si="2"/>
        <v>6</v>
      </c>
    </row>
    <row r="22" spans="1:8" ht="19.95" customHeight="1" x14ac:dyDescent="0.3">
      <c r="A22" s="436" t="s">
        <v>425</v>
      </c>
      <c r="B22" s="51">
        <v>1</v>
      </c>
      <c r="C22" s="52">
        <v>1</v>
      </c>
      <c r="D22" s="52">
        <v>1</v>
      </c>
      <c r="E22" s="52">
        <v>1</v>
      </c>
      <c r="F22" s="52">
        <v>1</v>
      </c>
      <c r="G22" s="53">
        <v>1</v>
      </c>
      <c r="H22" s="310">
        <f t="shared" si="2"/>
        <v>6</v>
      </c>
    </row>
    <row r="23" spans="1:8" ht="19.95" customHeight="1" x14ac:dyDescent="0.3">
      <c r="A23" s="437" t="s">
        <v>426</v>
      </c>
      <c r="B23" s="47">
        <v>1</v>
      </c>
      <c r="C23" s="43">
        <v>1</v>
      </c>
      <c r="D23" s="43">
        <v>1</v>
      </c>
      <c r="E23" s="43">
        <v>1</v>
      </c>
      <c r="F23" s="43">
        <v>1</v>
      </c>
      <c r="G23" s="45">
        <v>1</v>
      </c>
      <c r="H23" s="311">
        <f t="shared" si="2"/>
        <v>6</v>
      </c>
    </row>
    <row r="24" spans="1:8" ht="19.95" customHeight="1" x14ac:dyDescent="0.3">
      <c r="A24" s="438" t="s">
        <v>429</v>
      </c>
      <c r="B24" s="51">
        <v>1</v>
      </c>
      <c r="C24" s="52">
        <v>1</v>
      </c>
      <c r="D24" s="52">
        <v>1</v>
      </c>
      <c r="E24" s="52">
        <v>1</v>
      </c>
      <c r="F24" s="52">
        <v>1</v>
      </c>
      <c r="G24" s="53">
        <v>1</v>
      </c>
      <c r="H24" s="310">
        <f t="shared" si="2"/>
        <v>6</v>
      </c>
    </row>
    <row r="25" spans="1:8" ht="19.95" customHeight="1" x14ac:dyDescent="0.3">
      <c r="A25" s="438" t="s">
        <v>430</v>
      </c>
      <c r="B25" s="47">
        <v>1</v>
      </c>
      <c r="C25" s="43">
        <v>1</v>
      </c>
      <c r="D25" s="43">
        <v>1</v>
      </c>
      <c r="E25" s="43">
        <v>1</v>
      </c>
      <c r="F25" s="43">
        <v>1</v>
      </c>
      <c r="G25" s="45">
        <v>1</v>
      </c>
      <c r="H25" s="311">
        <f t="shared" si="2"/>
        <v>6</v>
      </c>
    </row>
    <row r="26" spans="1:8" ht="19.95" customHeight="1" x14ac:dyDescent="0.3">
      <c r="A26" s="439" t="s">
        <v>424</v>
      </c>
      <c r="B26" s="51">
        <v>1</v>
      </c>
      <c r="C26" s="52">
        <v>1</v>
      </c>
      <c r="D26" s="52">
        <v>1</v>
      </c>
      <c r="E26" s="52">
        <v>1</v>
      </c>
      <c r="F26" s="52">
        <v>1</v>
      </c>
      <c r="G26" s="53">
        <v>1</v>
      </c>
      <c r="H26" s="310">
        <f t="shared" si="2"/>
        <v>6</v>
      </c>
    </row>
    <row r="27" spans="1:8" ht="19.95" customHeight="1" x14ac:dyDescent="0.3">
      <c r="A27" s="72"/>
      <c r="B27" s="47"/>
      <c r="C27" s="43"/>
      <c r="D27" s="43"/>
      <c r="E27" s="43"/>
      <c r="F27" s="43"/>
      <c r="G27" s="45"/>
      <c r="H27" s="311">
        <f t="shared" si="2"/>
        <v>0</v>
      </c>
    </row>
    <row r="28" spans="1:8" ht="19.95" customHeight="1" x14ac:dyDescent="0.3">
      <c r="A28" s="71"/>
      <c r="B28" s="51"/>
      <c r="C28" s="52"/>
      <c r="D28" s="52"/>
      <c r="E28" s="52"/>
      <c r="F28" s="52"/>
      <c r="G28" s="53"/>
      <c r="H28" s="310">
        <f t="shared" si="2"/>
        <v>0</v>
      </c>
    </row>
    <row r="29" spans="1:8" ht="19.95" customHeight="1" x14ac:dyDescent="0.3">
      <c r="A29" s="72"/>
      <c r="B29" s="47"/>
      <c r="C29" s="43"/>
      <c r="D29" s="43"/>
      <c r="E29" s="43"/>
      <c r="F29" s="43"/>
      <c r="G29" s="45"/>
      <c r="H29" s="311">
        <f t="shared" si="2"/>
        <v>0</v>
      </c>
    </row>
    <row r="30" spans="1:8" ht="19.95" customHeight="1" x14ac:dyDescent="0.3">
      <c r="A30" s="71"/>
      <c r="B30" s="51"/>
      <c r="C30" s="52"/>
      <c r="D30" s="52"/>
      <c r="E30" s="52"/>
      <c r="F30" s="52"/>
      <c r="G30" s="53"/>
      <c r="H30" s="310">
        <f t="shared" si="2"/>
        <v>0</v>
      </c>
    </row>
    <row r="31" spans="1:8" ht="19.95" customHeight="1" x14ac:dyDescent="0.3">
      <c r="A31" s="72"/>
      <c r="B31" s="47"/>
      <c r="C31" s="43"/>
      <c r="D31" s="43"/>
      <c r="E31" s="43"/>
      <c r="F31" s="43"/>
      <c r="G31" s="45"/>
      <c r="H31" s="311">
        <f t="shared" si="2"/>
        <v>0</v>
      </c>
    </row>
    <row r="32" spans="1:8" ht="19.95" customHeight="1" x14ac:dyDescent="0.3">
      <c r="A32" s="71"/>
      <c r="B32" s="51"/>
      <c r="C32" s="52"/>
      <c r="D32" s="52"/>
      <c r="E32" s="52"/>
      <c r="F32" s="52"/>
      <c r="G32" s="53"/>
      <c r="H32" s="310">
        <f t="shared" si="2"/>
        <v>0</v>
      </c>
    </row>
    <row r="33" spans="1:17" ht="19.95" customHeight="1" thickBot="1" x14ac:dyDescent="0.35">
      <c r="A33" s="72"/>
      <c r="B33" s="47"/>
      <c r="C33" s="43"/>
      <c r="D33" s="43"/>
      <c r="E33" s="43"/>
      <c r="F33" s="43"/>
      <c r="G33" s="45"/>
      <c r="H33" s="311">
        <f t="shared" si="2"/>
        <v>0</v>
      </c>
    </row>
    <row r="34" spans="1:17" ht="19.95" customHeight="1" thickBot="1" x14ac:dyDescent="0.35">
      <c r="A34" s="66" t="s">
        <v>413</v>
      </c>
      <c r="B34" s="307">
        <f t="shared" ref="B34:G34" si="3">SUM(B20:B33)</f>
        <v>7</v>
      </c>
      <c r="C34" s="308">
        <f t="shared" si="3"/>
        <v>7</v>
      </c>
      <c r="D34" s="308">
        <f t="shared" si="3"/>
        <v>7</v>
      </c>
      <c r="E34" s="308">
        <f t="shared" si="3"/>
        <v>7</v>
      </c>
      <c r="F34" s="308">
        <f t="shared" si="3"/>
        <v>7</v>
      </c>
      <c r="G34" s="309">
        <f t="shared" si="3"/>
        <v>7</v>
      </c>
      <c r="H34" s="70">
        <f>SUM(B34:G34)</f>
        <v>42</v>
      </c>
    </row>
    <row r="35" spans="1:17" ht="15" thickTop="1" x14ac:dyDescent="0.3">
      <c r="K35" s="287"/>
      <c r="L35" s="287"/>
      <c r="M35" s="288"/>
      <c r="N35" s="288"/>
      <c r="O35" s="288"/>
      <c r="P35" s="288"/>
      <c r="Q35" s="288"/>
    </row>
    <row r="36" spans="1:17" ht="14.4" thickBot="1" x14ac:dyDescent="0.35"/>
    <row r="37" spans="1:17" ht="21.6" thickTop="1" x14ac:dyDescent="0.3">
      <c r="A37" s="301" t="s">
        <v>397</v>
      </c>
      <c r="B37" s="555" t="s">
        <v>398</v>
      </c>
      <c r="C37" s="557" t="s">
        <v>399</v>
      </c>
      <c r="D37" s="557" t="s">
        <v>400</v>
      </c>
      <c r="E37" s="557" t="s">
        <v>401</v>
      </c>
      <c r="F37" s="557" t="s">
        <v>402</v>
      </c>
      <c r="G37" s="553" t="s">
        <v>403</v>
      </c>
      <c r="H37" s="303"/>
    </row>
    <row r="38" spans="1:17" ht="12.75" customHeight="1" thickBot="1" x14ac:dyDescent="0.35">
      <c r="A38" s="302" t="s">
        <v>404</v>
      </c>
      <c r="B38" s="556"/>
      <c r="C38" s="558"/>
      <c r="D38" s="558"/>
      <c r="E38" s="558"/>
      <c r="F38" s="558"/>
      <c r="G38" s="554"/>
      <c r="H38" s="304"/>
    </row>
    <row r="39" spans="1:17" ht="19.95" customHeight="1" x14ac:dyDescent="0.3">
      <c r="A39" s="437" t="s">
        <v>416</v>
      </c>
      <c r="B39" s="51">
        <v>1</v>
      </c>
      <c r="C39" s="52">
        <v>1</v>
      </c>
      <c r="D39" s="52">
        <v>1</v>
      </c>
      <c r="E39" s="52">
        <v>1</v>
      </c>
      <c r="F39" s="52">
        <v>1</v>
      </c>
      <c r="G39" s="53">
        <v>1</v>
      </c>
      <c r="H39" s="310">
        <f>SUM(B39:G39)</f>
        <v>6</v>
      </c>
    </row>
    <row r="40" spans="1:17" ht="19.95" customHeight="1" x14ac:dyDescent="0.3">
      <c r="A40" s="440" t="s">
        <v>820</v>
      </c>
      <c r="B40" s="47">
        <v>1</v>
      </c>
      <c r="C40" s="43">
        <v>1</v>
      </c>
      <c r="D40" s="43">
        <v>1</v>
      </c>
      <c r="E40" s="43">
        <v>1</v>
      </c>
      <c r="F40" s="43">
        <v>1</v>
      </c>
      <c r="G40" s="45">
        <v>1</v>
      </c>
      <c r="H40" s="311">
        <f>SUM(B40:G40)</f>
        <v>6</v>
      </c>
    </row>
    <row r="41" spans="1:17" ht="19.95" customHeight="1" x14ac:dyDescent="0.3">
      <c r="A41" s="441" t="s">
        <v>821</v>
      </c>
      <c r="B41" s="51">
        <v>1</v>
      </c>
      <c r="C41" s="52">
        <v>1</v>
      </c>
      <c r="D41" s="52">
        <v>1</v>
      </c>
      <c r="E41" s="52">
        <v>1</v>
      </c>
      <c r="F41" s="52">
        <v>1</v>
      </c>
      <c r="G41" s="53">
        <v>1</v>
      </c>
      <c r="H41" s="310">
        <f>SUM(B44:G44)</f>
        <v>6</v>
      </c>
    </row>
    <row r="42" spans="1:17" ht="19.95" customHeight="1" x14ac:dyDescent="0.3">
      <c r="A42" s="442" t="s">
        <v>822</v>
      </c>
      <c r="B42" s="47">
        <v>1</v>
      </c>
      <c r="C42" s="43">
        <v>1</v>
      </c>
      <c r="D42" s="43">
        <v>1</v>
      </c>
      <c r="E42" s="43">
        <v>1</v>
      </c>
      <c r="F42" s="43">
        <v>1</v>
      </c>
      <c r="G42" s="45">
        <v>1</v>
      </c>
      <c r="H42" s="311">
        <f>SUM(B42:G42)</f>
        <v>6</v>
      </c>
    </row>
    <row r="43" spans="1:17" ht="19.95" customHeight="1" x14ac:dyDescent="0.3">
      <c r="A43" s="443" t="s">
        <v>823</v>
      </c>
      <c r="B43" s="51">
        <v>1</v>
      </c>
      <c r="C43" s="52">
        <v>1</v>
      </c>
      <c r="D43" s="52">
        <v>1</v>
      </c>
      <c r="E43" s="52">
        <v>1</v>
      </c>
      <c r="F43" s="52">
        <v>1</v>
      </c>
      <c r="G43" s="53">
        <v>1</v>
      </c>
      <c r="H43" s="310">
        <f t="shared" ref="H43:H48" si="4">SUM(B43:G43)</f>
        <v>6</v>
      </c>
    </row>
    <row r="44" spans="1:17" ht="19.95" customHeight="1" x14ac:dyDescent="0.3">
      <c r="A44" s="444" t="s">
        <v>848</v>
      </c>
      <c r="B44" s="47">
        <v>1</v>
      </c>
      <c r="C44" s="43">
        <v>1</v>
      </c>
      <c r="D44" s="43">
        <v>1</v>
      </c>
      <c r="E44" s="43">
        <v>1</v>
      </c>
      <c r="F44" s="43">
        <v>1</v>
      </c>
      <c r="G44" s="45">
        <v>1</v>
      </c>
      <c r="H44" s="311">
        <f>SUM(B44:G44)</f>
        <v>6</v>
      </c>
    </row>
    <row r="45" spans="1:17" ht="19.95" customHeight="1" x14ac:dyDescent="0.3">
      <c r="A45" s="444" t="s">
        <v>432</v>
      </c>
      <c r="B45" s="51">
        <v>1</v>
      </c>
      <c r="C45" s="52">
        <v>1</v>
      </c>
      <c r="D45" s="52">
        <v>1</v>
      </c>
      <c r="E45" s="52">
        <v>1</v>
      </c>
      <c r="F45" s="52">
        <v>1</v>
      </c>
      <c r="G45" s="53">
        <v>1</v>
      </c>
      <c r="H45" s="310">
        <f t="shared" si="4"/>
        <v>6</v>
      </c>
    </row>
    <row r="46" spans="1:17" ht="19.95" customHeight="1" x14ac:dyDescent="0.3">
      <c r="A46" s="72"/>
      <c r="B46" s="47"/>
      <c r="C46" s="43"/>
      <c r="D46" s="43"/>
      <c r="E46" s="43"/>
      <c r="F46" s="43"/>
      <c r="G46" s="45"/>
      <c r="H46" s="311">
        <f t="shared" si="4"/>
        <v>0</v>
      </c>
    </row>
    <row r="47" spans="1:17" ht="19.95" customHeight="1" x14ac:dyDescent="0.3">
      <c r="A47" s="71"/>
      <c r="B47" s="51"/>
      <c r="C47" s="52"/>
      <c r="D47" s="52"/>
      <c r="E47" s="52"/>
      <c r="F47" s="52"/>
      <c r="G47" s="53"/>
      <c r="H47" s="310">
        <f t="shared" si="4"/>
        <v>0</v>
      </c>
    </row>
    <row r="48" spans="1:17" ht="19.95" customHeight="1" x14ac:dyDescent="0.3">
      <c r="A48" s="72"/>
      <c r="B48" s="47"/>
      <c r="C48" s="43"/>
      <c r="D48" s="43"/>
      <c r="E48" s="43"/>
      <c r="F48" s="43"/>
      <c r="G48" s="45"/>
      <c r="H48" s="311">
        <f t="shared" si="4"/>
        <v>0</v>
      </c>
    </row>
    <row r="49" spans="1:8" ht="19.95" customHeight="1" x14ac:dyDescent="0.3">
      <c r="A49" s="71"/>
      <c r="B49" s="51"/>
      <c r="C49" s="52"/>
      <c r="D49" s="52"/>
      <c r="E49" s="52"/>
      <c r="F49" s="52"/>
      <c r="G49" s="53"/>
      <c r="H49" s="310">
        <f>SUM(B48:G48)</f>
        <v>0</v>
      </c>
    </row>
    <row r="50" spans="1:8" ht="19.95" customHeight="1" thickBot="1" x14ac:dyDescent="0.35">
      <c r="A50" s="72"/>
      <c r="B50" s="47"/>
      <c r="C50" s="43"/>
      <c r="D50" s="43"/>
      <c r="E50" s="43"/>
      <c r="F50" s="43"/>
      <c r="G50" s="45"/>
      <c r="H50" s="311">
        <f>SUM(B41:G41)</f>
        <v>6</v>
      </c>
    </row>
    <row r="51" spans="1:8" ht="19.95" customHeight="1" thickBot="1" x14ac:dyDescent="0.35">
      <c r="A51" s="66"/>
      <c r="B51" s="307">
        <f t="shared" ref="B51:G51" si="5">SUM(B39:B50)</f>
        <v>7</v>
      </c>
      <c r="C51" s="308">
        <f t="shared" si="5"/>
        <v>7</v>
      </c>
      <c r="D51" s="308">
        <f t="shared" si="5"/>
        <v>7</v>
      </c>
      <c r="E51" s="308">
        <f t="shared" si="5"/>
        <v>7</v>
      </c>
      <c r="F51" s="308">
        <f t="shared" si="5"/>
        <v>7</v>
      </c>
      <c r="G51" s="309">
        <f t="shared" si="5"/>
        <v>7</v>
      </c>
      <c r="H51" s="70">
        <f>SUM(B51:G51)</f>
        <v>42</v>
      </c>
    </row>
    <row r="52" spans="1:8" ht="14.4" thickTop="1" x14ac:dyDescent="0.3"/>
  </sheetData>
  <mergeCells count="19">
    <mergeCell ref="A1:J1"/>
    <mergeCell ref="B2:B3"/>
    <mergeCell ref="C2:C3"/>
    <mergeCell ref="D2:D3"/>
    <mergeCell ref="E2:E3"/>
    <mergeCell ref="F2:F3"/>
    <mergeCell ref="G2:G3"/>
    <mergeCell ref="G37:G38"/>
    <mergeCell ref="B18:B19"/>
    <mergeCell ref="C18:C19"/>
    <mergeCell ref="D18:D19"/>
    <mergeCell ref="E18:E19"/>
    <mergeCell ref="F18:F19"/>
    <mergeCell ref="G18:G19"/>
    <mergeCell ref="B37:B38"/>
    <mergeCell ref="C37:C38"/>
    <mergeCell ref="D37:D38"/>
    <mergeCell ref="E37:E38"/>
    <mergeCell ref="F37:F38"/>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
  <sheetViews>
    <sheetView workbookViewId="0">
      <selection activeCell="E58" sqref="E58:E59"/>
    </sheetView>
  </sheetViews>
  <sheetFormatPr baseColWidth="10" defaultColWidth="11.44140625" defaultRowHeight="13.8" x14ac:dyDescent="0.3"/>
  <cols>
    <col min="1" max="1" width="40.6640625" style="28" customWidth="1"/>
    <col min="2" max="2" width="10.6640625" style="28" customWidth="1"/>
    <col min="3" max="3" width="12.6640625" style="28" customWidth="1"/>
    <col min="4" max="4" width="14.6640625" style="28" customWidth="1"/>
    <col min="5" max="5" width="16.6640625" style="28" customWidth="1"/>
    <col min="6" max="6" width="10.5546875" style="28" bestFit="1" customWidth="1"/>
    <col min="7" max="7" width="11.6640625" style="28" bestFit="1" customWidth="1"/>
    <col min="8" max="16384" width="11.44140625" style="28"/>
  </cols>
  <sheetData>
    <row r="1" spans="1:8" ht="14.4" thickBot="1" x14ac:dyDescent="0.35"/>
    <row r="2" spans="1:8" ht="21.6" thickTop="1" x14ac:dyDescent="0.3">
      <c r="A2" s="314" t="s">
        <v>397</v>
      </c>
      <c r="B2" s="574" t="s">
        <v>398</v>
      </c>
      <c r="C2" s="572" t="s">
        <v>399</v>
      </c>
      <c r="D2" s="572" t="s">
        <v>400</v>
      </c>
      <c r="E2" s="572" t="s">
        <v>401</v>
      </c>
      <c r="F2" s="572" t="s">
        <v>402</v>
      </c>
      <c r="G2" s="572" t="s">
        <v>403</v>
      </c>
      <c r="H2" s="298"/>
    </row>
    <row r="3" spans="1:8" ht="14.4" thickBot="1" x14ac:dyDescent="0.35">
      <c r="A3" s="315" t="s">
        <v>404</v>
      </c>
      <c r="B3" s="575"/>
      <c r="C3" s="573"/>
      <c r="D3" s="573"/>
      <c r="E3" s="573"/>
      <c r="F3" s="573"/>
      <c r="G3" s="573"/>
      <c r="H3" s="300"/>
    </row>
    <row r="4" spans="1:8" ht="25.2" customHeight="1" x14ac:dyDescent="0.3">
      <c r="A4" s="319" t="s">
        <v>828</v>
      </c>
      <c r="B4" s="320">
        <v>6</v>
      </c>
      <c r="C4" s="566"/>
      <c r="D4" s="567"/>
      <c r="E4" s="567"/>
      <c r="F4" s="567"/>
      <c r="G4" s="567"/>
      <c r="H4" s="567"/>
    </row>
    <row r="5" spans="1:8" ht="25.2" customHeight="1" x14ac:dyDescent="0.3">
      <c r="A5" s="316" t="s">
        <v>829</v>
      </c>
      <c r="B5" s="321">
        <v>6</v>
      </c>
      <c r="C5" s="568"/>
      <c r="D5" s="569"/>
      <c r="E5" s="569"/>
      <c r="F5" s="569"/>
      <c r="G5" s="569"/>
      <c r="H5" s="569"/>
    </row>
    <row r="6" spans="1:8" ht="45" customHeight="1" x14ac:dyDescent="0.3">
      <c r="A6" s="317" t="s">
        <v>830</v>
      </c>
      <c r="B6" s="322">
        <v>6</v>
      </c>
      <c r="C6" s="568"/>
      <c r="D6" s="569"/>
      <c r="E6" s="569"/>
      <c r="F6" s="569"/>
      <c r="G6" s="569"/>
      <c r="H6" s="569"/>
    </row>
    <row r="7" spans="1:8" ht="45" customHeight="1" x14ac:dyDescent="0.3">
      <c r="A7" s="317" t="s">
        <v>825</v>
      </c>
      <c r="B7" s="322">
        <v>6</v>
      </c>
      <c r="C7" s="568"/>
      <c r="D7" s="569"/>
      <c r="E7" s="569"/>
      <c r="F7" s="569"/>
      <c r="G7" s="569"/>
      <c r="H7" s="569"/>
    </row>
    <row r="8" spans="1:8" ht="45" customHeight="1" x14ac:dyDescent="0.3">
      <c r="A8" s="317" t="s">
        <v>824</v>
      </c>
      <c r="B8" s="323">
        <v>6</v>
      </c>
      <c r="C8" s="568"/>
      <c r="D8" s="569"/>
      <c r="E8" s="569"/>
      <c r="F8" s="569"/>
      <c r="G8" s="569"/>
      <c r="H8" s="569"/>
    </row>
    <row r="9" spans="1:8" ht="45" customHeight="1" thickBot="1" x14ac:dyDescent="0.35">
      <c r="A9" s="318" t="s">
        <v>826</v>
      </c>
      <c r="B9" s="324">
        <v>6</v>
      </c>
      <c r="C9" s="568"/>
      <c r="D9" s="569"/>
      <c r="E9" s="569"/>
      <c r="F9" s="569"/>
      <c r="G9" s="569"/>
      <c r="H9" s="569"/>
    </row>
    <row r="10" spans="1:8" ht="15" thickTop="1" thickBot="1" x14ac:dyDescent="0.35">
      <c r="A10" s="318" t="s">
        <v>827</v>
      </c>
      <c r="B10" s="324">
        <v>6</v>
      </c>
      <c r="C10" s="570"/>
      <c r="D10" s="571"/>
      <c r="E10" s="571"/>
      <c r="F10" s="571"/>
      <c r="G10" s="571"/>
      <c r="H10" s="571"/>
    </row>
    <row r="11" spans="1:8" ht="14.4" thickTop="1" x14ac:dyDescent="0.3"/>
  </sheetData>
  <mergeCells count="7">
    <mergeCell ref="C4:H10"/>
    <mergeCell ref="G2:G3"/>
    <mergeCell ref="B2:B3"/>
    <mergeCell ref="C2:C3"/>
    <mergeCell ref="D2:D3"/>
    <mergeCell ref="E2:E3"/>
    <mergeCell ref="F2:F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52"/>
  <sheetViews>
    <sheetView topLeftCell="A19" zoomScale="70" zoomScaleNormal="70" workbookViewId="0">
      <selection activeCell="E58" sqref="E58:E59"/>
    </sheetView>
  </sheetViews>
  <sheetFormatPr baseColWidth="10" defaultColWidth="11.44140625" defaultRowHeight="13.8" x14ac:dyDescent="0.3"/>
  <cols>
    <col min="1" max="1" width="66.6640625" style="28" customWidth="1"/>
    <col min="2" max="2" width="10.6640625" style="28" customWidth="1"/>
    <col min="3" max="3" width="12.6640625" style="28" customWidth="1"/>
    <col min="4" max="4" width="14.6640625" style="28" customWidth="1"/>
    <col min="5" max="5" width="16.6640625" style="28" customWidth="1"/>
    <col min="6" max="6" width="10.6640625" style="28" customWidth="1"/>
    <col min="7" max="7" width="12.6640625" style="28" customWidth="1"/>
    <col min="8" max="16384" width="11.44140625" style="28"/>
  </cols>
  <sheetData>
    <row r="1" spans="1:15" ht="14.4" thickBot="1" x14ac:dyDescent="0.35">
      <c r="A1" s="576" t="s">
        <v>396</v>
      </c>
      <c r="B1" s="576"/>
      <c r="C1" s="576"/>
      <c r="D1" s="576"/>
      <c r="E1" s="576"/>
      <c r="F1" s="576"/>
      <c r="G1" s="576"/>
      <c r="H1" s="576"/>
      <c r="I1" s="576"/>
      <c r="J1" s="576"/>
    </row>
    <row r="2" spans="1:15" ht="21.6" thickTop="1" x14ac:dyDescent="0.3">
      <c r="A2" s="297" t="s">
        <v>397</v>
      </c>
      <c r="B2" s="557" t="s">
        <v>398</v>
      </c>
      <c r="C2" s="557" t="s">
        <v>399</v>
      </c>
      <c r="D2" s="557" t="s">
        <v>400</v>
      </c>
      <c r="E2" s="557" t="s">
        <v>401</v>
      </c>
      <c r="F2" s="557" t="s">
        <v>402</v>
      </c>
      <c r="G2" s="557" t="s">
        <v>403</v>
      </c>
      <c r="H2" s="303"/>
    </row>
    <row r="3" spans="1:15" ht="15" customHeight="1" thickBot="1" x14ac:dyDescent="0.35">
      <c r="A3" s="299" t="s">
        <v>404</v>
      </c>
      <c r="B3" s="558"/>
      <c r="C3" s="558"/>
      <c r="D3" s="558"/>
      <c r="E3" s="558"/>
      <c r="F3" s="558"/>
      <c r="G3" s="558"/>
      <c r="H3" s="304"/>
    </row>
    <row r="4" spans="1:15" ht="19.95" customHeight="1" x14ac:dyDescent="0.3">
      <c r="A4" s="71" t="s">
        <v>405</v>
      </c>
      <c r="B4" s="51">
        <v>1</v>
      </c>
      <c r="C4" s="52">
        <v>1</v>
      </c>
      <c r="D4" s="52">
        <v>1</v>
      </c>
      <c r="E4" s="52">
        <v>1</v>
      </c>
      <c r="F4" s="52">
        <v>0</v>
      </c>
      <c r="G4" s="53">
        <v>1</v>
      </c>
      <c r="H4" s="310">
        <f>SUM(B4:G4)</f>
        <v>5</v>
      </c>
    </row>
    <row r="5" spans="1:15" ht="19.95" customHeight="1" x14ac:dyDescent="0.3">
      <c r="A5" s="72" t="s">
        <v>544</v>
      </c>
      <c r="B5" s="47">
        <v>2</v>
      </c>
      <c r="C5" s="43">
        <v>1</v>
      </c>
      <c r="D5" s="43">
        <v>0</v>
      </c>
      <c r="E5" s="43">
        <v>0</v>
      </c>
      <c r="F5" s="43">
        <v>1</v>
      </c>
      <c r="G5" s="45">
        <v>1</v>
      </c>
      <c r="H5" s="311">
        <f t="shared" ref="H5:H14" si="0">SUM(B5:G5)</f>
        <v>5</v>
      </c>
    </row>
    <row r="6" spans="1:15" ht="19.95" customHeight="1" x14ac:dyDescent="0.3">
      <c r="A6" s="71" t="s">
        <v>406</v>
      </c>
      <c r="B6" s="51">
        <v>2</v>
      </c>
      <c r="C6" s="52">
        <v>0</v>
      </c>
      <c r="D6" s="52">
        <v>1</v>
      </c>
      <c r="E6" s="52">
        <v>1</v>
      </c>
      <c r="F6" s="52">
        <v>0</v>
      </c>
      <c r="G6" s="53">
        <v>1</v>
      </c>
      <c r="H6" s="312">
        <f t="shared" si="0"/>
        <v>5</v>
      </c>
      <c r="J6" s="108"/>
      <c r="K6" s="108"/>
      <c r="L6" s="108"/>
      <c r="M6" s="108"/>
      <c r="N6" s="108"/>
      <c r="O6" s="108"/>
    </row>
    <row r="7" spans="1:15" ht="19.95" customHeight="1" x14ac:dyDescent="0.3">
      <c r="A7" s="72" t="s">
        <v>407</v>
      </c>
      <c r="B7" s="47">
        <v>1</v>
      </c>
      <c r="C7" s="43">
        <v>1</v>
      </c>
      <c r="D7" s="43">
        <v>1</v>
      </c>
      <c r="E7" s="43">
        <v>1</v>
      </c>
      <c r="F7" s="43">
        <v>1</v>
      </c>
      <c r="G7" s="45">
        <v>0</v>
      </c>
      <c r="H7" s="311">
        <f t="shared" si="0"/>
        <v>5</v>
      </c>
    </row>
    <row r="8" spans="1:15" ht="19.95" customHeight="1" x14ac:dyDescent="0.3">
      <c r="A8" s="71" t="s">
        <v>408</v>
      </c>
      <c r="B8" s="51">
        <v>1</v>
      </c>
      <c r="C8" s="52">
        <v>0</v>
      </c>
      <c r="D8" s="52">
        <v>1</v>
      </c>
      <c r="E8" s="52">
        <v>1</v>
      </c>
      <c r="F8" s="52">
        <v>1</v>
      </c>
      <c r="G8" s="53">
        <v>1</v>
      </c>
      <c r="H8" s="312">
        <f t="shared" si="0"/>
        <v>5</v>
      </c>
    </row>
    <row r="9" spans="1:15" ht="19.95" customHeight="1" x14ac:dyDescent="0.3">
      <c r="A9" s="72" t="s">
        <v>409</v>
      </c>
      <c r="B9" s="47">
        <v>2</v>
      </c>
      <c r="C9" s="43">
        <v>1</v>
      </c>
      <c r="D9" s="43">
        <v>1</v>
      </c>
      <c r="E9" s="43">
        <v>1</v>
      </c>
      <c r="F9" s="43">
        <v>0</v>
      </c>
      <c r="G9" s="45">
        <v>0</v>
      </c>
      <c r="H9" s="311">
        <f>SUM(B9:G9)</f>
        <v>5</v>
      </c>
    </row>
    <row r="10" spans="1:15" ht="19.95" customHeight="1" x14ac:dyDescent="0.3">
      <c r="A10" s="71" t="s">
        <v>416</v>
      </c>
      <c r="B10" s="51">
        <v>1</v>
      </c>
      <c r="C10" s="52">
        <v>1</v>
      </c>
      <c r="D10" s="52">
        <v>1</v>
      </c>
      <c r="E10" s="52">
        <v>0</v>
      </c>
      <c r="F10" s="52">
        <v>1</v>
      </c>
      <c r="G10" s="53">
        <v>1</v>
      </c>
      <c r="H10" s="312">
        <f t="shared" si="0"/>
        <v>5</v>
      </c>
    </row>
    <row r="11" spans="1:15" ht="19.95" customHeight="1" x14ac:dyDescent="0.3">
      <c r="A11" s="72" t="s">
        <v>410</v>
      </c>
      <c r="B11" s="47">
        <v>2</v>
      </c>
      <c r="C11" s="43">
        <v>1</v>
      </c>
      <c r="D11" s="43">
        <v>0</v>
      </c>
      <c r="E11" s="43">
        <v>1</v>
      </c>
      <c r="F11" s="43">
        <v>0</v>
      </c>
      <c r="G11" s="45">
        <v>1</v>
      </c>
      <c r="H11" s="311">
        <f t="shared" si="0"/>
        <v>5</v>
      </c>
    </row>
    <row r="12" spans="1:15" ht="19.95" customHeight="1" x14ac:dyDescent="0.3">
      <c r="A12" s="71" t="s">
        <v>411</v>
      </c>
      <c r="B12" s="51">
        <v>2</v>
      </c>
      <c r="C12" s="52">
        <v>0</v>
      </c>
      <c r="D12" s="52">
        <v>1</v>
      </c>
      <c r="E12" s="52">
        <v>0</v>
      </c>
      <c r="F12" s="52">
        <v>1</v>
      </c>
      <c r="G12" s="53">
        <v>1</v>
      </c>
      <c r="H12" s="312">
        <f t="shared" si="0"/>
        <v>5</v>
      </c>
    </row>
    <row r="13" spans="1:15" ht="19.95" customHeight="1" x14ac:dyDescent="0.3">
      <c r="A13" s="72" t="s">
        <v>412</v>
      </c>
      <c r="B13" s="47">
        <v>1</v>
      </c>
      <c r="C13" s="43">
        <v>1</v>
      </c>
      <c r="D13" s="43">
        <v>1</v>
      </c>
      <c r="E13" s="43">
        <v>1</v>
      </c>
      <c r="F13" s="43">
        <v>0</v>
      </c>
      <c r="G13" s="45">
        <v>1</v>
      </c>
      <c r="H13" s="311">
        <f t="shared" si="0"/>
        <v>5</v>
      </c>
    </row>
    <row r="14" spans="1:15" ht="19.95" customHeight="1" thickBot="1" x14ac:dyDescent="0.35">
      <c r="A14" s="71" t="s">
        <v>545</v>
      </c>
      <c r="B14" s="51">
        <v>2</v>
      </c>
      <c r="C14" s="52">
        <v>1</v>
      </c>
      <c r="D14" s="52">
        <v>0</v>
      </c>
      <c r="E14" s="52">
        <v>1</v>
      </c>
      <c r="F14" s="52">
        <v>1</v>
      </c>
      <c r="G14" s="53">
        <v>0</v>
      </c>
      <c r="H14" s="313">
        <f t="shared" si="0"/>
        <v>5</v>
      </c>
    </row>
    <row r="15" spans="1:15" ht="19.95" customHeight="1" thickBot="1" x14ac:dyDescent="0.35">
      <c r="A15" s="66" t="s">
        <v>413</v>
      </c>
      <c r="B15" s="307">
        <f t="shared" ref="B15:H15" si="1">SUM(B4:B14)</f>
        <v>17</v>
      </c>
      <c r="C15" s="308">
        <f t="shared" si="1"/>
        <v>8</v>
      </c>
      <c r="D15" s="308">
        <f t="shared" si="1"/>
        <v>8</v>
      </c>
      <c r="E15" s="308">
        <f t="shared" si="1"/>
        <v>8</v>
      </c>
      <c r="F15" s="308">
        <f t="shared" si="1"/>
        <v>6</v>
      </c>
      <c r="G15" s="309">
        <f t="shared" si="1"/>
        <v>8</v>
      </c>
      <c r="H15" s="70">
        <f t="shared" si="1"/>
        <v>55</v>
      </c>
    </row>
    <row r="16" spans="1:15" ht="15" thickTop="1" thickBot="1" x14ac:dyDescent="0.35"/>
    <row r="17" spans="1:8" ht="21.6" thickTop="1" x14ac:dyDescent="0.3">
      <c r="A17" s="297" t="s">
        <v>397</v>
      </c>
      <c r="B17" s="557" t="s">
        <v>398</v>
      </c>
      <c r="C17" s="557" t="s">
        <v>399</v>
      </c>
      <c r="D17" s="557" t="s">
        <v>400</v>
      </c>
      <c r="E17" s="557" t="s">
        <v>401</v>
      </c>
      <c r="F17" s="557" t="s">
        <v>402</v>
      </c>
      <c r="G17" s="557" t="s">
        <v>403</v>
      </c>
      <c r="H17" s="298"/>
    </row>
    <row r="18" spans="1:8" ht="14.4" thickBot="1" x14ac:dyDescent="0.35">
      <c r="A18" s="299" t="s">
        <v>404</v>
      </c>
      <c r="B18" s="558"/>
      <c r="C18" s="558"/>
      <c r="D18" s="558"/>
      <c r="E18" s="558"/>
      <c r="F18" s="558"/>
      <c r="G18" s="558"/>
      <c r="H18" s="300"/>
    </row>
    <row r="19" spans="1:8" ht="19.95" customHeight="1" x14ac:dyDescent="0.3">
      <c r="A19" s="448" t="s">
        <v>832</v>
      </c>
      <c r="B19" s="51">
        <v>2</v>
      </c>
      <c r="C19" s="52">
        <v>1</v>
      </c>
      <c r="D19" s="52">
        <v>0</v>
      </c>
      <c r="E19" s="52">
        <v>1</v>
      </c>
      <c r="F19" s="52">
        <v>1</v>
      </c>
      <c r="G19" s="53">
        <v>1</v>
      </c>
      <c r="H19" s="310">
        <f>SUM(B19:G19)</f>
        <v>6</v>
      </c>
    </row>
    <row r="20" spans="1:8" ht="19.95" customHeight="1" x14ac:dyDescent="0.3">
      <c r="A20" s="448" t="s">
        <v>833</v>
      </c>
      <c r="B20" s="47">
        <v>2</v>
      </c>
      <c r="C20" s="43">
        <v>1</v>
      </c>
      <c r="D20" s="43">
        <v>1</v>
      </c>
      <c r="E20" s="43">
        <v>0</v>
      </c>
      <c r="F20" s="43">
        <v>1</v>
      </c>
      <c r="G20" s="45">
        <v>1</v>
      </c>
      <c r="H20" s="311">
        <f t="shared" ref="H20:H32" si="2">SUM(B20:G20)</f>
        <v>6</v>
      </c>
    </row>
    <row r="21" spans="1:8" ht="19.95" customHeight="1" x14ac:dyDescent="0.3">
      <c r="A21" s="448" t="s">
        <v>834</v>
      </c>
      <c r="B21" s="51">
        <v>2</v>
      </c>
      <c r="C21" s="52">
        <v>1</v>
      </c>
      <c r="D21" s="52">
        <v>1</v>
      </c>
      <c r="E21" s="52">
        <v>1</v>
      </c>
      <c r="F21" s="52">
        <v>1</v>
      </c>
      <c r="G21" s="53">
        <v>1</v>
      </c>
      <c r="H21" s="310">
        <f t="shared" si="2"/>
        <v>7</v>
      </c>
    </row>
    <row r="22" spans="1:8" ht="19.95" customHeight="1" x14ac:dyDescent="0.3">
      <c r="A22" s="448" t="s">
        <v>835</v>
      </c>
      <c r="B22" s="47">
        <v>2</v>
      </c>
      <c r="C22" s="43">
        <v>1</v>
      </c>
      <c r="D22" s="43">
        <v>1</v>
      </c>
      <c r="E22" s="43">
        <v>1</v>
      </c>
      <c r="F22" s="43">
        <v>1</v>
      </c>
      <c r="G22" s="45">
        <v>1</v>
      </c>
      <c r="H22" s="311">
        <f t="shared" si="2"/>
        <v>7</v>
      </c>
    </row>
    <row r="23" spans="1:8" ht="19.95" customHeight="1" x14ac:dyDescent="0.3">
      <c r="A23" s="445" t="s">
        <v>836</v>
      </c>
      <c r="B23" s="51">
        <v>2</v>
      </c>
      <c r="C23" s="52">
        <v>1</v>
      </c>
      <c r="D23" s="52">
        <v>1</v>
      </c>
      <c r="E23" s="52">
        <v>1</v>
      </c>
      <c r="F23" s="52">
        <v>1</v>
      </c>
      <c r="G23" s="53">
        <v>1</v>
      </c>
      <c r="H23" s="310">
        <f t="shared" si="2"/>
        <v>7</v>
      </c>
    </row>
    <row r="24" spans="1:8" ht="19.95" customHeight="1" x14ac:dyDescent="0.3">
      <c r="A24" s="446" t="s">
        <v>837</v>
      </c>
      <c r="B24" s="47">
        <v>2</v>
      </c>
      <c r="C24" s="43">
        <v>1</v>
      </c>
      <c r="D24" s="43">
        <v>1</v>
      </c>
      <c r="E24" s="43">
        <v>1</v>
      </c>
      <c r="F24" s="43">
        <v>1</v>
      </c>
      <c r="G24" s="45">
        <v>1</v>
      </c>
      <c r="H24" s="311">
        <f t="shared" si="2"/>
        <v>7</v>
      </c>
    </row>
    <row r="25" spans="1:8" ht="19.95" customHeight="1" x14ac:dyDescent="0.3">
      <c r="A25" s="445" t="s">
        <v>838</v>
      </c>
      <c r="B25" s="51">
        <v>2</v>
      </c>
      <c r="C25" s="52">
        <v>0</v>
      </c>
      <c r="D25" s="52">
        <v>1</v>
      </c>
      <c r="E25" s="52">
        <v>1</v>
      </c>
      <c r="F25" s="52">
        <v>0</v>
      </c>
      <c r="G25" s="53">
        <v>1</v>
      </c>
      <c r="H25" s="310">
        <f>SUM(B25:G25)</f>
        <v>5</v>
      </c>
    </row>
    <row r="26" spans="1:8" ht="19.95" customHeight="1" x14ac:dyDescent="0.3">
      <c r="A26" s="445" t="s">
        <v>839</v>
      </c>
      <c r="B26" s="47">
        <v>2</v>
      </c>
      <c r="C26" s="43">
        <v>0</v>
      </c>
      <c r="D26" s="43">
        <v>0</v>
      </c>
      <c r="E26" s="43">
        <v>1</v>
      </c>
      <c r="F26" s="43">
        <v>1</v>
      </c>
      <c r="G26" s="45">
        <v>1</v>
      </c>
      <c r="H26" s="311">
        <f>SUM(B26:G26)</f>
        <v>5</v>
      </c>
    </row>
    <row r="27" spans="1:8" ht="19.95" customHeight="1" x14ac:dyDescent="0.3">
      <c r="A27" s="447" t="s">
        <v>840</v>
      </c>
      <c r="B27" s="51">
        <v>2</v>
      </c>
      <c r="C27" s="52">
        <v>0</v>
      </c>
      <c r="D27" s="52">
        <v>1</v>
      </c>
      <c r="E27" s="52">
        <v>1</v>
      </c>
      <c r="F27" s="52">
        <v>1</v>
      </c>
      <c r="G27" s="53">
        <v>0</v>
      </c>
      <c r="H27" s="310">
        <f t="shared" si="2"/>
        <v>5</v>
      </c>
    </row>
    <row r="28" spans="1:8" ht="19.95" customHeight="1" x14ac:dyDescent="0.3">
      <c r="A28" s="446" t="s">
        <v>841</v>
      </c>
      <c r="B28" s="47">
        <v>2</v>
      </c>
      <c r="C28" s="43">
        <v>1</v>
      </c>
      <c r="D28" s="43">
        <v>0</v>
      </c>
      <c r="E28" s="43">
        <v>0</v>
      </c>
      <c r="F28" s="43">
        <v>1</v>
      </c>
      <c r="G28" s="45">
        <v>1</v>
      </c>
      <c r="H28" s="311">
        <f t="shared" si="2"/>
        <v>5</v>
      </c>
    </row>
    <row r="29" spans="1:8" ht="19.95" customHeight="1" x14ac:dyDescent="0.3">
      <c r="A29" s="71"/>
      <c r="B29" s="51"/>
      <c r="C29" s="52"/>
      <c r="D29" s="52"/>
      <c r="E29" s="52"/>
      <c r="F29" s="52"/>
      <c r="G29" s="53"/>
      <c r="H29" s="310">
        <f t="shared" si="2"/>
        <v>0</v>
      </c>
    </row>
    <row r="30" spans="1:8" ht="19.95" customHeight="1" x14ac:dyDescent="0.3">
      <c r="A30" s="72"/>
      <c r="B30" s="47"/>
      <c r="C30" s="43"/>
      <c r="D30" s="43"/>
      <c r="E30" s="43"/>
      <c r="F30" s="43"/>
      <c r="G30" s="45"/>
      <c r="H30" s="311">
        <f t="shared" si="2"/>
        <v>0</v>
      </c>
    </row>
    <row r="31" spans="1:8" ht="19.95" customHeight="1" x14ac:dyDescent="0.3">
      <c r="A31" s="71"/>
      <c r="B31" s="51"/>
      <c r="C31" s="52"/>
      <c r="D31" s="52"/>
      <c r="E31" s="52"/>
      <c r="F31" s="52"/>
      <c r="G31" s="53"/>
      <c r="H31" s="310">
        <f t="shared" si="2"/>
        <v>0</v>
      </c>
    </row>
    <row r="32" spans="1:8" ht="19.95" customHeight="1" thickBot="1" x14ac:dyDescent="0.35">
      <c r="A32" s="72"/>
      <c r="B32" s="47"/>
      <c r="C32" s="43"/>
      <c r="D32" s="43"/>
      <c r="E32" s="43"/>
      <c r="F32" s="43"/>
      <c r="G32" s="45"/>
      <c r="H32" s="311">
        <f t="shared" si="2"/>
        <v>0</v>
      </c>
    </row>
    <row r="33" spans="1:8" ht="19.95" customHeight="1" thickBot="1" x14ac:dyDescent="0.35">
      <c r="A33" s="66" t="s">
        <v>413</v>
      </c>
      <c r="B33" s="307">
        <f t="shared" ref="B33:G33" si="3">SUM(B19:B32)</f>
        <v>20</v>
      </c>
      <c r="C33" s="308">
        <f t="shared" si="3"/>
        <v>7</v>
      </c>
      <c r="D33" s="308">
        <f t="shared" si="3"/>
        <v>7</v>
      </c>
      <c r="E33" s="308">
        <f t="shared" si="3"/>
        <v>8</v>
      </c>
      <c r="F33" s="308">
        <f t="shared" si="3"/>
        <v>9</v>
      </c>
      <c r="G33" s="309">
        <f t="shared" si="3"/>
        <v>9</v>
      </c>
      <c r="H33" s="70">
        <f>SUM(H27:H32)</f>
        <v>10</v>
      </c>
    </row>
    <row r="34" spans="1:8" ht="15" thickTop="1" thickBot="1" x14ac:dyDescent="0.35"/>
    <row r="35" spans="1:8" ht="21.6" thickTop="1" x14ac:dyDescent="0.3">
      <c r="A35" s="297" t="s">
        <v>397</v>
      </c>
      <c r="B35" s="557" t="s">
        <v>398</v>
      </c>
      <c r="C35" s="557" t="s">
        <v>399</v>
      </c>
      <c r="D35" s="557" t="s">
        <v>400</v>
      </c>
      <c r="E35" s="557" t="s">
        <v>401</v>
      </c>
      <c r="F35" s="557" t="s">
        <v>402</v>
      </c>
      <c r="G35" s="557" t="s">
        <v>403</v>
      </c>
      <c r="H35" s="298"/>
    </row>
    <row r="36" spans="1:8" ht="14.4" thickBot="1" x14ac:dyDescent="0.35">
      <c r="A36" s="299" t="s">
        <v>404</v>
      </c>
      <c r="B36" s="558"/>
      <c r="C36" s="558"/>
      <c r="D36" s="558"/>
      <c r="E36" s="558"/>
      <c r="F36" s="558"/>
      <c r="G36" s="558"/>
      <c r="H36" s="300"/>
    </row>
    <row r="37" spans="1:8" ht="19.95" customHeight="1" x14ac:dyDescent="0.3">
      <c r="A37" s="449" t="s">
        <v>842</v>
      </c>
      <c r="B37" s="51">
        <v>1</v>
      </c>
      <c r="C37" s="52">
        <v>1</v>
      </c>
      <c r="D37" s="52">
        <v>1</v>
      </c>
      <c r="E37" s="52">
        <v>1</v>
      </c>
      <c r="F37" s="52">
        <v>1</v>
      </c>
      <c r="G37" s="53">
        <v>1</v>
      </c>
      <c r="H37" s="310">
        <f t="shared" ref="H37:H48" si="4">SUM(B37:G37)</f>
        <v>6</v>
      </c>
    </row>
    <row r="38" spans="1:8" ht="19.95" customHeight="1" x14ac:dyDescent="0.3">
      <c r="A38" s="449" t="s">
        <v>837</v>
      </c>
      <c r="B38" s="47">
        <v>1</v>
      </c>
      <c r="C38" s="43">
        <v>1</v>
      </c>
      <c r="D38" s="43">
        <v>1</v>
      </c>
      <c r="E38" s="43">
        <v>1</v>
      </c>
      <c r="F38" s="43">
        <v>1</v>
      </c>
      <c r="G38" s="45">
        <v>1</v>
      </c>
      <c r="H38" s="311">
        <f t="shared" si="4"/>
        <v>6</v>
      </c>
    </row>
    <row r="39" spans="1:8" ht="19.95" customHeight="1" x14ac:dyDescent="0.3">
      <c r="A39" s="449" t="s">
        <v>838</v>
      </c>
      <c r="B39" s="51">
        <v>1</v>
      </c>
      <c r="C39" s="52">
        <v>1</v>
      </c>
      <c r="D39" s="52">
        <v>1</v>
      </c>
      <c r="E39" s="52">
        <v>1</v>
      </c>
      <c r="F39" s="52">
        <v>1</v>
      </c>
      <c r="G39" s="53">
        <v>1</v>
      </c>
      <c r="H39" s="310">
        <f t="shared" si="4"/>
        <v>6</v>
      </c>
    </row>
    <row r="40" spans="1:8" ht="19.95" customHeight="1" x14ac:dyDescent="0.3">
      <c r="A40" s="449" t="s">
        <v>843</v>
      </c>
      <c r="B40" s="47">
        <v>1</v>
      </c>
      <c r="C40" s="43">
        <v>1</v>
      </c>
      <c r="D40" s="43">
        <v>1</v>
      </c>
      <c r="E40" s="43">
        <v>1</v>
      </c>
      <c r="F40" s="43">
        <v>1</v>
      </c>
      <c r="G40" s="45">
        <v>1</v>
      </c>
      <c r="H40" s="311">
        <f t="shared" si="4"/>
        <v>6</v>
      </c>
    </row>
    <row r="41" spans="1:8" ht="19.95" customHeight="1" x14ac:dyDescent="0.3">
      <c r="A41" s="449" t="s">
        <v>840</v>
      </c>
      <c r="B41" s="51">
        <v>1</v>
      </c>
      <c r="C41" s="52">
        <v>1</v>
      </c>
      <c r="D41" s="52">
        <v>1</v>
      </c>
      <c r="E41" s="52">
        <v>1</v>
      </c>
      <c r="F41" s="52">
        <v>1</v>
      </c>
      <c r="G41" s="53">
        <v>1</v>
      </c>
      <c r="H41" s="310">
        <f t="shared" si="4"/>
        <v>6</v>
      </c>
    </row>
    <row r="42" spans="1:8" ht="19.95" customHeight="1" x14ac:dyDescent="0.3">
      <c r="A42" s="450" t="s">
        <v>844</v>
      </c>
      <c r="B42" s="47">
        <v>1</v>
      </c>
      <c r="C42" s="43">
        <v>1</v>
      </c>
      <c r="D42" s="43">
        <v>1</v>
      </c>
      <c r="E42" s="43">
        <v>1</v>
      </c>
      <c r="F42" s="43">
        <v>1</v>
      </c>
      <c r="G42" s="45">
        <v>1</v>
      </c>
      <c r="H42" s="311">
        <f>SUM(B42:G42)</f>
        <v>6</v>
      </c>
    </row>
    <row r="43" spans="1:8" ht="19.95" customHeight="1" x14ac:dyDescent="0.3">
      <c r="A43" s="451" t="s">
        <v>845</v>
      </c>
      <c r="B43" s="51">
        <v>1</v>
      </c>
      <c r="C43" s="52">
        <v>1</v>
      </c>
      <c r="D43" s="52">
        <v>1</v>
      </c>
      <c r="E43" s="52">
        <v>1</v>
      </c>
      <c r="F43" s="52">
        <v>1</v>
      </c>
      <c r="G43" s="53">
        <v>1</v>
      </c>
      <c r="H43" s="310">
        <f t="shared" si="4"/>
        <v>6</v>
      </c>
    </row>
    <row r="44" spans="1:8" ht="19.95" customHeight="1" x14ac:dyDescent="0.3">
      <c r="A44" s="452" t="s">
        <v>846</v>
      </c>
      <c r="B44" s="47">
        <v>1</v>
      </c>
      <c r="C44" s="43">
        <v>1</v>
      </c>
      <c r="D44" s="43">
        <v>1</v>
      </c>
      <c r="E44" s="43">
        <v>1</v>
      </c>
      <c r="F44" s="43">
        <v>1</v>
      </c>
      <c r="G44" s="45">
        <v>1</v>
      </c>
      <c r="H44" s="311">
        <f t="shared" si="4"/>
        <v>6</v>
      </c>
    </row>
    <row r="45" spans="1:8" ht="19.95" customHeight="1" x14ac:dyDescent="0.3">
      <c r="A45" s="71"/>
      <c r="B45" s="51"/>
      <c r="C45" s="52"/>
      <c r="D45" s="52"/>
      <c r="E45" s="52"/>
      <c r="F45" s="52"/>
      <c r="G45" s="53"/>
      <c r="H45" s="310">
        <f t="shared" si="4"/>
        <v>0</v>
      </c>
    </row>
    <row r="46" spans="1:8" ht="19.95" customHeight="1" x14ac:dyDescent="0.3">
      <c r="A46" s="72"/>
      <c r="B46" s="47"/>
      <c r="C46" s="43"/>
      <c r="D46" s="43"/>
      <c r="E46" s="43"/>
      <c r="F46" s="43"/>
      <c r="G46" s="45"/>
      <c r="H46" s="311">
        <f t="shared" si="4"/>
        <v>0</v>
      </c>
    </row>
    <row r="47" spans="1:8" ht="19.95" customHeight="1" x14ac:dyDescent="0.3">
      <c r="A47" s="71"/>
      <c r="B47" s="51"/>
      <c r="C47" s="52"/>
      <c r="D47" s="52"/>
      <c r="E47" s="52"/>
      <c r="F47" s="52"/>
      <c r="G47" s="53"/>
      <c r="H47" s="310">
        <f t="shared" si="4"/>
        <v>0</v>
      </c>
    </row>
    <row r="48" spans="1:8" ht="19.95" customHeight="1" x14ac:dyDescent="0.3">
      <c r="A48" s="72"/>
      <c r="B48" s="47"/>
      <c r="C48" s="43"/>
      <c r="D48" s="43"/>
      <c r="E48" s="43"/>
      <c r="F48" s="43"/>
      <c r="G48" s="45"/>
      <c r="H48" s="311">
        <f t="shared" si="4"/>
        <v>0</v>
      </c>
    </row>
    <row r="49" spans="1:8" ht="19.95" customHeight="1" x14ac:dyDescent="0.3">
      <c r="A49" s="71"/>
      <c r="B49" s="51"/>
      <c r="C49" s="52"/>
      <c r="D49" s="52"/>
      <c r="E49" s="52"/>
      <c r="F49" s="52"/>
      <c r="G49" s="53"/>
      <c r="H49" s="310"/>
    </row>
    <row r="50" spans="1:8" ht="19.95" customHeight="1" thickBot="1" x14ac:dyDescent="0.35">
      <c r="A50" s="72"/>
      <c r="B50" s="47"/>
      <c r="C50" s="43"/>
      <c r="D50" s="43"/>
      <c r="E50" s="43"/>
      <c r="F50" s="43"/>
      <c r="G50" s="45"/>
      <c r="H50" s="311"/>
    </row>
    <row r="51" spans="1:8" ht="19.95" customHeight="1" thickBot="1" x14ac:dyDescent="0.35">
      <c r="A51" s="66" t="s">
        <v>413</v>
      </c>
      <c r="B51" s="307">
        <f t="shared" ref="B51:G51" si="5">SUM(B37:B48)</f>
        <v>8</v>
      </c>
      <c r="C51" s="308">
        <f t="shared" si="5"/>
        <v>8</v>
      </c>
      <c r="D51" s="308">
        <f t="shared" si="5"/>
        <v>8</v>
      </c>
      <c r="E51" s="308">
        <f t="shared" si="5"/>
        <v>8</v>
      </c>
      <c r="F51" s="308">
        <f t="shared" si="5"/>
        <v>8</v>
      </c>
      <c r="G51" s="309">
        <f t="shared" si="5"/>
        <v>8</v>
      </c>
      <c r="H51" s="70">
        <f>SUM(H43:H48)</f>
        <v>12</v>
      </c>
    </row>
    <row r="52" spans="1:8" ht="14.4" thickTop="1" x14ac:dyDescent="0.3"/>
  </sheetData>
  <mergeCells count="19">
    <mergeCell ref="A1:J1"/>
    <mergeCell ref="B2:B3"/>
    <mergeCell ref="C2:C3"/>
    <mergeCell ref="D2:D3"/>
    <mergeCell ref="E2:E3"/>
    <mergeCell ref="F2:F3"/>
    <mergeCell ref="G2:G3"/>
    <mergeCell ref="G35:G36"/>
    <mergeCell ref="B17:B18"/>
    <mergeCell ref="C17:C18"/>
    <mergeCell ref="D17:D18"/>
    <mergeCell ref="E17:E18"/>
    <mergeCell ref="F17:F18"/>
    <mergeCell ref="G17:G18"/>
    <mergeCell ref="B35:B36"/>
    <mergeCell ref="C35:C36"/>
    <mergeCell ref="D35:D36"/>
    <mergeCell ref="E35:E36"/>
    <mergeCell ref="F35:F36"/>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tabColor rgb="FF69B3E7"/>
  </sheetPr>
  <dimension ref="A1:I493"/>
  <sheetViews>
    <sheetView topLeftCell="A282" zoomScale="85" zoomScaleNormal="85" workbookViewId="0">
      <selection activeCell="D362" sqref="D362"/>
    </sheetView>
  </sheetViews>
  <sheetFormatPr baseColWidth="10" defaultColWidth="11.44140625" defaultRowHeight="17.399999999999999" x14ac:dyDescent="0.25"/>
  <cols>
    <col min="1" max="1" width="28.6640625" style="103" customWidth="1"/>
    <col min="2" max="2" width="22.6640625" style="100" customWidth="1"/>
    <col min="3" max="3" width="27.88671875" style="104" customWidth="1"/>
    <col min="4" max="4" width="44.6640625" style="105" customWidth="1"/>
    <col min="5" max="5" width="66.6640625" style="105" bestFit="1" customWidth="1"/>
    <col min="6" max="6" width="60.6640625" style="106" customWidth="1"/>
    <col min="7" max="7" width="20" style="122" customWidth="1"/>
    <col min="8" max="8" width="60.6640625" style="15" customWidth="1"/>
    <col min="9" max="16384" width="11.44140625" style="100"/>
  </cols>
  <sheetData>
    <row r="1" spans="1:9" ht="46.2" customHeight="1" thickTop="1" thickBot="1" x14ac:dyDescent="0.3">
      <c r="A1" s="594" t="s">
        <v>441</v>
      </c>
      <c r="B1" s="595"/>
      <c r="C1" s="595"/>
      <c r="D1" s="595"/>
      <c r="E1" s="595"/>
      <c r="F1" s="595"/>
      <c r="G1" s="596"/>
      <c r="H1" s="586" t="s">
        <v>11</v>
      </c>
      <c r="I1" s="587"/>
    </row>
    <row r="2" spans="1:9" ht="42" customHeight="1" thickBot="1" x14ac:dyDescent="0.3">
      <c r="A2" s="603" t="s">
        <v>516</v>
      </c>
      <c r="B2" s="604"/>
      <c r="C2" s="604"/>
      <c r="D2" s="604"/>
      <c r="E2" s="604"/>
      <c r="F2" s="604"/>
      <c r="G2" s="605"/>
      <c r="H2" s="584" t="s">
        <v>17</v>
      </c>
      <c r="I2" s="585"/>
    </row>
    <row r="3" spans="1:9" s="101" customFormat="1" ht="18" customHeight="1" thickBot="1" x14ac:dyDescent="0.3">
      <c r="A3" s="99" t="s">
        <v>442</v>
      </c>
      <c r="B3" s="98" t="s">
        <v>443</v>
      </c>
      <c r="C3" s="98" t="s">
        <v>444</v>
      </c>
      <c r="D3" s="98" t="s">
        <v>445</v>
      </c>
      <c r="E3" s="98" t="s">
        <v>517</v>
      </c>
      <c r="F3" s="98" t="s">
        <v>518</v>
      </c>
      <c r="G3" s="176" t="s">
        <v>303</v>
      </c>
      <c r="H3" s="208"/>
      <c r="I3" s="209"/>
    </row>
    <row r="4" spans="1:9" ht="19.95" customHeight="1" x14ac:dyDescent="0.25">
      <c r="A4" s="606" t="s">
        <v>537</v>
      </c>
      <c r="B4" s="124" t="str">
        <f>IF('Items sous domaines Maths '!H8=1,'Items sous domaines Maths '!B8,0)</f>
        <v>Algèbre</v>
      </c>
      <c r="C4" s="125" t="str">
        <f>IF('Items sous domaines Maths '!H8=1,'Items sous domaines Maths '!C8)</f>
        <v>Arithmétique</v>
      </c>
      <c r="D4" s="125" t="str">
        <f>IF('Items sous domaines Maths '!H8=1,'Items sous domaines Maths '!D8,0)</f>
        <v>Divisibilité</v>
      </c>
      <c r="E4" s="125" t="str">
        <f>IF('Items sous domaines Maths '!H8=1,'Items sous domaines Maths '!E8,0)</f>
        <v>Critères de divisibilité</v>
      </c>
      <c r="F4" s="126">
        <f>IF('Items sous domaines Maths '!H8=1,'Items sous domaines Maths '!F8,0)</f>
        <v>0</v>
      </c>
      <c r="G4" s="610" t="s">
        <v>446</v>
      </c>
      <c r="H4" s="578" t="s">
        <v>21</v>
      </c>
      <c r="I4" s="582" t="s">
        <v>22</v>
      </c>
    </row>
    <row r="5" spans="1:9" ht="19.95" customHeight="1" x14ac:dyDescent="0.25">
      <c r="A5" s="607"/>
      <c r="B5" s="127" t="str">
        <f>IF('Items sous domaines Maths '!H9=1,'Items sous domaines Maths '!B9,0)</f>
        <v>Algèbre</v>
      </c>
      <c r="C5" s="128" t="str">
        <f>IF('Items sous domaines Maths '!H9=1,'Items sous domaines Maths '!C9,0)</f>
        <v>Arithmétique</v>
      </c>
      <c r="D5" s="128">
        <f>IF('Items sous domaines Maths '!H9=1,'Items sous domaines Maths '!D9,0)</f>
        <v>0</v>
      </c>
      <c r="E5" s="128" t="str">
        <f>IF('Items sous domaines Maths '!H9=1,'Items sous domaines Maths '!E9,0)</f>
        <v>Division euclidienne</v>
      </c>
      <c r="F5" s="129" t="str">
        <f>IF('Items sous domaines Maths '!H9=1,'Items sous domaines Maths '!F9,0)</f>
        <v>Algorithme d'Euclide.</v>
      </c>
      <c r="G5" s="590"/>
      <c r="H5" s="598"/>
      <c r="I5" s="582"/>
    </row>
    <row r="6" spans="1:9" ht="19.95" customHeight="1" thickBot="1" x14ac:dyDescent="0.3">
      <c r="A6" s="608"/>
      <c r="B6" s="130" t="str">
        <f>IF('Items sous domaines Maths '!H10=1,'Items sous domaines Maths '!B10,0)</f>
        <v>Algèbre</v>
      </c>
      <c r="C6" s="131" t="str">
        <f>IF('Items sous domaines Maths '!H10=1,'Items sous domaines Maths '!C10,0)</f>
        <v>Arithmétique</v>
      </c>
      <c r="D6" s="131">
        <f>IF('Items sous domaines Maths '!H10=1,'Items sous domaines Maths '!D10,0)</f>
        <v>0</v>
      </c>
      <c r="E6" s="131" t="str">
        <f>IF('Items sous domaines Maths '!H10=1,'Items sous domaines Maths '!E10,0)</f>
        <v>Congruences</v>
      </c>
      <c r="F6" s="132">
        <f>IF('Items sous domaines Maths '!H10=1,'Items sous domaines Maths '!F10,0)</f>
        <v>0</v>
      </c>
      <c r="G6" s="591"/>
      <c r="H6" s="599"/>
      <c r="I6" s="583"/>
    </row>
    <row r="7" spans="1:9" customFormat="1" ht="17.399999999999999" customHeight="1" thickTop="1" x14ac:dyDescent="0.25">
      <c r="A7" s="597"/>
      <c r="B7" t="str">
        <f>IF('Items sous domaines Maths '!H11=1,'Items sous domaines Maths '!B11,0)</f>
        <v>Algèbre</v>
      </c>
      <c r="C7" t="str">
        <f>IF('Items sous domaines Maths '!H11=1,'Items sous domaines Maths '!C11,0)</f>
        <v>Arithmétique</v>
      </c>
      <c r="D7" t="str">
        <f>IF('Items sous domaines Maths '!H11=1,'Items sous domaines Maths '!D11,0)</f>
        <v>Factorisation</v>
      </c>
      <c r="E7" t="str">
        <f>IF('Items sous domaines Maths '!H11=1,'Items sous domaines Maths '!E11,0)</f>
        <v>Nombres premiers, Crible d'Eratosthène</v>
      </c>
      <c r="F7">
        <f>IF('Items sous domaines Maths '!H11=1,'Items sous domaines Maths '!F11,0)</f>
        <v>0</v>
      </c>
      <c r="G7" s="592"/>
      <c r="H7" s="597"/>
      <c r="I7" s="588"/>
    </row>
    <row r="8" spans="1:9" customFormat="1" ht="30.6" customHeight="1" x14ac:dyDescent="0.25">
      <c r="A8" s="597"/>
      <c r="B8" t="str">
        <f>IF('Items sous domaines Maths '!H12=1,'Items sous domaines Maths '!B12,0)</f>
        <v>Algèbre</v>
      </c>
      <c r="C8" t="str">
        <f>IF('Items sous domaines Maths '!H12=1,'Items sous domaines Maths '!C12,0)</f>
        <v>Arithmétique</v>
      </c>
      <c r="D8">
        <f>IF('Items sous domaines Maths '!H12=1,'Items sous domaines Maths '!D12,0)</f>
        <v>0</v>
      </c>
      <c r="E8" t="str">
        <f>IF('Items sous domaines Maths '!H12=1,'Items sous domaines Maths '!E12,0)</f>
        <v>Lemme d'Euclide</v>
      </c>
      <c r="F8">
        <f>IF('Items sous domaines Maths '!H12=1,'Items sous domaines Maths '!F12,0)</f>
        <v>0</v>
      </c>
      <c r="G8" s="592"/>
      <c r="H8" s="597"/>
      <c r="I8" s="588"/>
    </row>
    <row r="9" spans="1:9" customFormat="1" ht="27" customHeight="1" x14ac:dyDescent="0.25">
      <c r="A9" s="597"/>
      <c r="B9" t="str">
        <f>IF('Items sous domaines Maths '!H13=1,'Items sous domaines Maths '!B13,0)</f>
        <v>Algèbre</v>
      </c>
      <c r="C9" t="str">
        <f>IF('Items sous domaines Maths '!H13=1,'Items sous domaines Maths '!C13,0)</f>
        <v>Arithmétique</v>
      </c>
      <c r="D9">
        <f>IF('Items sous domaines Maths '!H13=1,'Items sous domaines Maths '!D13,0)</f>
        <v>0</v>
      </c>
      <c r="E9" t="str">
        <f>IF('Items sous domaines Maths '!H13=1,'Items sous domaines Maths '!E13,0)</f>
        <v>Petit théorème de Fermat</v>
      </c>
      <c r="F9">
        <f>IF('Items sous domaines Maths '!H13=1,'Items sous domaines Maths '!F13,0)</f>
        <v>0</v>
      </c>
      <c r="G9" s="592"/>
      <c r="H9" s="597"/>
      <c r="I9" s="588"/>
    </row>
    <row r="10" spans="1:9" customFormat="1" ht="17.399999999999999" customHeight="1" thickBot="1" x14ac:dyDescent="0.3">
      <c r="A10" s="597"/>
      <c r="B10" t="str">
        <f>IF('Items sous domaines Maths '!H14=1,'Items sous domaines Maths '!B14,0)</f>
        <v>Algèbre</v>
      </c>
      <c r="C10" t="str">
        <f>IF('Items sous domaines Maths '!H14=1,'Items sous domaines Maths '!C14,0)</f>
        <v>Arithmétique</v>
      </c>
      <c r="D10">
        <f>IF('Items sous domaines Maths '!H14=1,'Items sous domaines Maths '!D14,0)</f>
        <v>0</v>
      </c>
      <c r="E10" t="str">
        <f>IF('Items sous domaines Maths '!H14=1,'Items sous domaines Maths '!E14,0)</f>
        <v>Décomposition en facteurs premiers / Théorème fondamental de l'arithmétique</v>
      </c>
      <c r="F10">
        <f>IF('Items sous domaines Maths '!H14=1,'Items sous domaines Maths '!F14,0)</f>
        <v>0</v>
      </c>
      <c r="G10" s="592"/>
      <c r="H10" s="597"/>
      <c r="I10" s="588"/>
    </row>
    <row r="11" spans="1:9" ht="19.95" customHeight="1" thickTop="1" x14ac:dyDescent="0.25">
      <c r="A11" s="609"/>
      <c r="B11" s="210" t="str">
        <f>IF('Items sous domaines Maths '!H15=1,'Items sous domaines Maths '!B15,0)</f>
        <v>Algèbre</v>
      </c>
      <c r="C11" s="211" t="str">
        <f>IF('Items sous domaines Maths '!H15=1,'Items sous domaines Maths '!C15,0)</f>
        <v>Arithmétique</v>
      </c>
      <c r="D11" s="211" t="str">
        <f>IF('Items sous domaines Maths '!H15=1,'Items sous domaines Maths '!D15,0)</f>
        <v>PGCD</v>
      </c>
      <c r="E11" s="211" t="str">
        <f>IF('Items sous domaines Maths '!H15=1,'Items sous domaines Maths '!E15,0)</f>
        <v>PGCD de 2 entiers, lien avec la décomposition en facteurs premiers</v>
      </c>
      <c r="F11" s="212">
        <f>IF('Items sous domaines Maths '!H15=1,'Items sous domaines Maths '!F15,0)</f>
        <v>0</v>
      </c>
      <c r="G11" s="589"/>
      <c r="H11" s="600"/>
      <c r="I11" s="581"/>
    </row>
    <row r="12" spans="1:9" ht="19.95" customHeight="1" x14ac:dyDescent="0.25">
      <c r="A12" s="607"/>
      <c r="B12" s="127" t="str">
        <f>IF('Items sous domaines Maths '!H16=1,'Items sous domaines Maths '!B16,0)</f>
        <v>Algèbre</v>
      </c>
      <c r="C12" s="128" t="str">
        <f>IF('Items sous domaines Maths '!H16=1,'Items sous domaines Maths '!C16,0)</f>
        <v>Arithmétique</v>
      </c>
      <c r="D12" s="128">
        <f>IF('Items sous domaines Maths '!H16=1,'Items sous domaines Maths '!D16,0)</f>
        <v>0</v>
      </c>
      <c r="E12" s="128" t="str">
        <f>IF('Items sous domaines Maths '!H16=1,'Items sous domaines Maths '!E16,0)</f>
        <v>Théorème de Bezout</v>
      </c>
      <c r="F12" s="129">
        <f>IF('Items sous domaines Maths '!H16=1,'Items sous domaines Maths '!F16,0)</f>
        <v>0</v>
      </c>
      <c r="G12" s="590"/>
      <c r="H12" s="598"/>
      <c r="I12" s="582"/>
    </row>
    <row r="13" spans="1:9" ht="19.95" customHeight="1" x14ac:dyDescent="0.25">
      <c r="A13" s="607"/>
      <c r="B13" s="133" t="str">
        <f>IF('Items sous domaines Maths '!H17=1,'Items sous domaines Maths '!B17,0)</f>
        <v>Algèbre</v>
      </c>
      <c r="C13" s="134" t="str">
        <f>IF('Items sous domaines Maths '!H17=1,'Items sous domaines Maths '!C17,0)</f>
        <v>Arithmétique</v>
      </c>
      <c r="D13" s="134">
        <f>IF('Items sous domaines Maths '!H17=1,'Items sous domaines Maths '!D17,0)</f>
        <v>0</v>
      </c>
      <c r="E13" s="134" t="str">
        <f>IF('Items sous domaines Maths '!H17=1,'Items sous domaines Maths '!E17,0)</f>
        <v>Nombres premiers entre eux, caractérisation via Bezout, Lemme de Gauss</v>
      </c>
      <c r="F13" s="135">
        <f>IF('Items sous domaines Maths '!H17=1,'Items sous domaines Maths '!F17,0)</f>
        <v>0</v>
      </c>
      <c r="G13" s="590"/>
      <c r="H13" s="598"/>
      <c r="I13" s="582"/>
    </row>
    <row r="14" spans="1:9" ht="19.95" customHeight="1" x14ac:dyDescent="0.25">
      <c r="A14" s="607"/>
      <c r="B14" s="127" t="str">
        <f>IF('Items sous domaines Maths '!H18=1,'Items sous domaines Maths '!B18,0)</f>
        <v>Algèbre</v>
      </c>
      <c r="C14" s="128" t="str">
        <f>IF('Items sous domaines Maths '!H18=1,'Items sous domaines Maths '!C18,0)</f>
        <v>Arithmétique</v>
      </c>
      <c r="D14" s="128">
        <f>IF('Items sous domaines Maths '!H18=1,'Items sous domaines Maths '!D18,0)</f>
        <v>0</v>
      </c>
      <c r="E14" s="128" t="str">
        <f>IF('Items sous domaines Maths '!H18=1,'Items sous domaines Maths '!E18,0)</f>
        <v>PPCM</v>
      </c>
      <c r="F14" s="129">
        <f>IF('Items sous domaines Maths '!H18=1,'Items sous domaines Maths '!F18,0)</f>
        <v>0</v>
      </c>
      <c r="G14" s="590"/>
      <c r="H14" s="598"/>
      <c r="I14" s="582"/>
    </row>
    <row r="15" spans="1:9" ht="19.95" customHeight="1" x14ac:dyDescent="0.25">
      <c r="A15" s="607"/>
      <c r="B15" s="133" t="str">
        <f>IF('Items sous domaines Maths '!H19=1,'Items sous domaines Maths '!B19,0)</f>
        <v>Algèbre</v>
      </c>
      <c r="C15" s="134" t="str">
        <f>IF('Items sous domaines Maths '!H19=1,'Items sous domaines Maths '!C19,0)</f>
        <v>Arithmétique</v>
      </c>
      <c r="D15" s="134" t="str">
        <f>IF('Items sous domaines Maths '!H19=1,'Items sous domaines Maths '!D19,0)</f>
        <v>Équations dophantiennes</v>
      </c>
      <c r="E15" s="134">
        <f>IF('Items sous domaines Maths '!H19=1,'Items sous domaines Maths '!E19,0)</f>
        <v>0</v>
      </c>
      <c r="F15" s="135">
        <f>IF('Items sous domaines Maths '!H19=1,'Items sous domaines Maths '!F19,0)</f>
        <v>0</v>
      </c>
      <c r="G15" s="590"/>
      <c r="H15" s="598"/>
      <c r="I15" s="582"/>
    </row>
    <row r="16" spans="1:9" ht="19.95" customHeight="1" x14ac:dyDescent="0.25">
      <c r="A16" s="607"/>
      <c r="B16" s="127" t="str">
        <f>IF('Items sous domaines Maths '!H20=1,'Items sous domaines Maths '!B20,0)</f>
        <v>Algèbre</v>
      </c>
      <c r="C16" s="128" t="str">
        <f>IF('Items sous domaines Maths '!H20=1,'Items sous domaines Maths '!C20,0)</f>
        <v>Arithmétique</v>
      </c>
      <c r="D16" s="128" t="str">
        <f>IF('Items sous domaines Maths '!H20=1,'Items sous domaines Maths '!D20,0)</f>
        <v>Chiffrage</v>
      </c>
      <c r="E16" s="128" t="str">
        <f>IF('Items sous domaines Maths '!H20=1,'Items sous domaines Maths '!E20,0)</f>
        <v>Chiffrement simple</v>
      </c>
      <c r="F16" s="129" t="str">
        <f>IF('Items sous domaines Maths '!H20=1,'Items sous domaines Maths '!F20,0)</f>
        <v>rot, César, Vigenère...</v>
      </c>
      <c r="G16" s="590"/>
      <c r="H16" s="598"/>
      <c r="I16" s="582"/>
    </row>
    <row r="17" spans="1:9" ht="19.95" customHeight="1" x14ac:dyDescent="0.25">
      <c r="A17" s="607"/>
      <c r="B17" s="133" t="str">
        <f>IF('Items sous domaines Maths '!H21=1,'Items sous domaines Maths '!B21,0)</f>
        <v>Algèbre</v>
      </c>
      <c r="C17" s="134" t="str">
        <f>IF('Items sous domaines Maths '!H21=1,'Items sous domaines Maths '!C21,0)</f>
        <v>Arithmétique</v>
      </c>
      <c r="D17" s="134">
        <f>IF('Items sous domaines Maths '!H21=1,'Items sous domaines Maths '!D21,0)</f>
        <v>0</v>
      </c>
      <c r="E17" s="134" t="str">
        <f>IF('Items sous domaines Maths '!H21=1,'Items sous domaines Maths '!E21,0)</f>
        <v>Chiffrement symétrique</v>
      </c>
      <c r="F17" s="135" t="str">
        <f>IF('Items sous domaines Maths '!H21=1,'Items sous domaines Maths '!F21,0)</f>
        <v>Verman</v>
      </c>
      <c r="G17" s="590"/>
      <c r="H17" s="598"/>
      <c r="I17" s="582"/>
    </row>
    <row r="18" spans="1:9" ht="19.95" customHeight="1" x14ac:dyDescent="0.25">
      <c r="A18" s="607"/>
      <c r="B18" s="127" t="str">
        <f>IF('Items sous domaines Maths '!H22=1,'Items sous domaines Maths '!B22,0)</f>
        <v>Algèbre</v>
      </c>
      <c r="C18" s="128" t="str">
        <f>IF('Items sous domaines Maths '!H22=1,'Items sous domaines Maths '!C22,0)</f>
        <v>Arithmétique</v>
      </c>
      <c r="D18" s="128">
        <f>IF('Items sous domaines Maths '!H22=1,'Items sous domaines Maths '!D22,0)</f>
        <v>0</v>
      </c>
      <c r="E18" s="128" t="str">
        <f>IF('Items sous domaines Maths '!H22=1,'Items sous domaines Maths '!E22,0)</f>
        <v>Division euclidienne de polynômes</v>
      </c>
      <c r="F18" s="129" t="str">
        <f>IF('Items sous domaines Maths '!H22=1,'Items sous domaines Maths '!F22,0)</f>
        <v>Lien avec les CRC</v>
      </c>
      <c r="G18" s="590"/>
      <c r="H18" s="598"/>
      <c r="I18" s="582"/>
    </row>
    <row r="19" spans="1:9" ht="19.95" customHeight="1" thickBot="1" x14ac:dyDescent="0.3">
      <c r="A19" s="608"/>
      <c r="B19" s="130" t="str">
        <f>IF('Items sous domaines Maths '!H23=1,'Items sous domaines Maths '!B23,0)</f>
        <v>Algèbre</v>
      </c>
      <c r="C19" s="131" t="str">
        <f>IF('Items sous domaines Maths '!H23=1,'Items sous domaines Maths '!C23,0)</f>
        <v>Arithmétique</v>
      </c>
      <c r="D19" s="131">
        <f>IF('Items sous domaines Maths '!H23=1,'Items sous domaines Maths '!D23,0)</f>
        <v>0</v>
      </c>
      <c r="E19" s="131" t="str">
        <f>IF('Items sous domaines Maths '!H23=1,'Items sous domaines Maths '!E23,0)</f>
        <v>Chiffrement asymétrique</v>
      </c>
      <c r="F19" s="132" t="str">
        <f>IF('Items sous domaines Maths '!H23=1,'Items sous domaines Maths '!F23,0)</f>
        <v>RSA, PGP (hybride)</v>
      </c>
      <c r="G19" s="591"/>
      <c r="H19" s="599"/>
      <c r="I19" s="583"/>
    </row>
    <row r="20" spans="1:9" customFormat="1" ht="17.399999999999999" hidden="1" customHeight="1" thickTop="1" x14ac:dyDescent="0.25">
      <c r="B20">
        <f>IF('Items sous domaines Maths '!H24=1,'Items sous domaines Maths '!B24,0)</f>
        <v>0</v>
      </c>
      <c r="C20">
        <f>IF('Items sous domaines Maths '!H24=1,'Items sous domaines Maths '!C24,0)</f>
        <v>0</v>
      </c>
      <c r="D20">
        <f>IF('Items sous domaines Maths '!H24=1,'Items sous domaines Maths '!D24,0)</f>
        <v>0</v>
      </c>
      <c r="E20">
        <f>IF('Items sous domaines Maths '!H24=1,'Items sous domaines Maths '!E24,0)</f>
        <v>0</v>
      </c>
      <c r="F20">
        <f>IF('Items sous domaines Maths '!H24=1,'Items sous domaines Maths '!F24,0)</f>
        <v>0</v>
      </c>
      <c r="G20">
        <f>IF('Items sous domaines Maths '!H24=1,'Items sous domaines Maths '!G24,0)</f>
        <v>0</v>
      </c>
    </row>
    <row r="21" spans="1:9" customFormat="1" ht="17.399999999999999" hidden="1" customHeight="1" thickBot="1" x14ac:dyDescent="0.3">
      <c r="B21">
        <f>IF('Items sous domaines Maths '!H25=1,'Items sous domaines Maths '!B25,0)</f>
        <v>0</v>
      </c>
      <c r="C21">
        <f>IF('Items sous domaines Maths '!H25=1,'Items sous domaines Maths '!C25,0)</f>
        <v>0</v>
      </c>
      <c r="D21">
        <f>IF('Items sous domaines Maths '!H25=1,'Items sous domaines Maths '!D25,0)</f>
        <v>0</v>
      </c>
      <c r="E21">
        <f>IF('Items sous domaines Maths '!H25=1,'Items sous domaines Maths '!E25,0)</f>
        <v>0</v>
      </c>
      <c r="F21">
        <f>IF('Items sous domaines Maths '!H25=1,'Items sous domaines Maths '!F25,0)</f>
        <v>0</v>
      </c>
      <c r="G21">
        <f>IF('Items sous domaines Maths '!H25=1,'Items sous domaines Maths '!G25,0)</f>
        <v>0</v>
      </c>
    </row>
    <row r="22" spans="1:9" ht="19.95" customHeight="1" thickTop="1" x14ac:dyDescent="0.25">
      <c r="A22" s="609" t="s">
        <v>526</v>
      </c>
      <c r="B22" s="210" t="str">
        <f>IF('Items sous domaines Maths '!H26=1,'Items sous domaines Maths '!B26,0)</f>
        <v>Algèbre</v>
      </c>
      <c r="C22" s="211" t="str">
        <f>IF('Items sous domaines Maths '!H26=1,'Items sous domaines Maths '!C26,0)</f>
        <v>Logique</v>
      </c>
      <c r="D22" s="211" t="str">
        <f>IF('Items sous domaines Maths '!H26=1,'Items sous domaines Maths '!D26,0)</f>
        <v>Logique et raisonnements</v>
      </c>
      <c r="E22" s="211" t="str">
        <f>IF('Items sous domaines Maths '!H26=1,'Items sous domaines Maths '!E26,0)</f>
        <v xml:space="preserve">Rudiments de logique </v>
      </c>
      <c r="F22" s="212" t="str">
        <f>IF('Items sous domaines Maths '!H26=1,'Items sous domaines Maths '!F26,0)</f>
        <v>Opérations : négation, conjonction, disjonction, implication, équivalence.</v>
      </c>
      <c r="G22" s="589" t="s">
        <v>447</v>
      </c>
      <c r="H22" s="577" t="s">
        <v>46</v>
      </c>
      <c r="I22" s="213"/>
    </row>
    <row r="23" spans="1:9" ht="19.95" customHeight="1" x14ac:dyDescent="0.25">
      <c r="A23" s="607"/>
      <c r="B23" s="127" t="str">
        <f>IF('Items sous domaines Maths '!H27=1,'Items sous domaines Maths '!B27,0)</f>
        <v>Algèbre</v>
      </c>
      <c r="C23" s="128" t="str">
        <f>IF('Items sous domaines Maths '!H27=1,'Items sous domaines Maths '!C27,0)</f>
        <v>Logique</v>
      </c>
      <c r="D23" s="128">
        <f>IF('Items sous domaines Maths '!H27=1,'Items sous domaines Maths '!D27,0)</f>
        <v>0</v>
      </c>
      <c r="E23" s="128">
        <f>IF('Items sous domaines Maths '!H27=1,'Items sous domaines Maths '!E27,0)</f>
        <v>0</v>
      </c>
      <c r="F23" s="129" t="str">
        <f>IF('Items sous domaines Maths '!H27=1,'Items sous domaines Maths '!F27,0)</f>
        <v>Tables de vérité</v>
      </c>
      <c r="G23" s="590"/>
      <c r="H23" s="598"/>
      <c r="I23" s="214"/>
    </row>
    <row r="24" spans="1:9" ht="19.95" customHeight="1" x14ac:dyDescent="0.25">
      <c r="A24" s="607"/>
      <c r="B24" s="133" t="str">
        <f>IF('Items sous domaines Maths '!H28=1,'Items sous domaines Maths '!B28,0)</f>
        <v>Algèbre</v>
      </c>
      <c r="C24" s="134" t="str">
        <f>IF('Items sous domaines Maths '!H28=1,'Items sous domaines Maths '!C28,0)</f>
        <v>Logique</v>
      </c>
      <c r="D24" s="134">
        <f>IF('Items sous domaines Maths '!H28=1,'Items sous domaines Maths '!D28,0)</f>
        <v>0</v>
      </c>
      <c r="E24" s="134">
        <f>IF('Items sous domaines Maths '!H28=1,'Items sous domaines Maths '!E28,0)</f>
        <v>0</v>
      </c>
      <c r="F24" s="135" t="str">
        <f>IF('Items sous domaines Maths '!H28=1,'Items sous domaines Maths '!F28,0)</f>
        <v>Quantificateurs .</v>
      </c>
      <c r="G24" s="590"/>
      <c r="H24" s="598"/>
      <c r="I24" s="214"/>
    </row>
    <row r="25" spans="1:9" ht="19.95" customHeight="1" thickBot="1" x14ac:dyDescent="0.3">
      <c r="A25" s="608"/>
      <c r="B25" s="136" t="str">
        <f>IF('Items sous domaines Maths '!H29=1,'Items sous domaines Maths '!B29,0)</f>
        <v>Algèbre</v>
      </c>
      <c r="C25" s="137" t="str">
        <f>IF('Items sous domaines Maths '!H29=1,'Items sous domaines Maths '!C29,0)</f>
        <v>Logique</v>
      </c>
      <c r="D25" s="137">
        <f>IF('Items sous domaines Maths '!H29=1,'Items sous domaines Maths '!D29,0)</f>
        <v>0</v>
      </c>
      <c r="E25" s="137">
        <f>IF('Items sous domaines Maths '!H29=1,'Items sous domaines Maths '!E29,0)</f>
        <v>0</v>
      </c>
      <c r="F25" s="138" t="str">
        <f>IF('Items sous domaines Maths '!H29=1,'Items sous domaines Maths '!F29,0)</f>
        <v xml:space="preserve">Négations </v>
      </c>
      <c r="G25" s="591"/>
      <c r="H25" s="599"/>
      <c r="I25" s="215" t="s">
        <v>50</v>
      </c>
    </row>
    <row r="26" spans="1:9" customFormat="1" ht="22.2" customHeight="1" thickTop="1" x14ac:dyDescent="0.25">
      <c r="A26" s="598"/>
      <c r="B26" t="str">
        <f>IF('Items sous domaines Maths '!H30=1,'Items sous domaines Maths '!B30,0)</f>
        <v>Algèbre</v>
      </c>
      <c r="C26" t="str">
        <f>IF('Items sous domaines Maths '!H30=1,'Items sous domaines Maths '!C30,0)</f>
        <v>Logique</v>
      </c>
      <c r="D26">
        <f>IF('Items sous domaines Maths '!H30=1,'Items sous domaines Maths '!D30,0)</f>
        <v>0</v>
      </c>
      <c r="E26" t="str">
        <f>IF('Items sous domaines Maths '!H30=1,'Items sous domaines Maths '!E30,0)</f>
        <v xml:space="preserve">Propriétés de N </v>
      </c>
      <c r="F26" t="str">
        <f>IF('Items sous domaines Maths '!H30=1,'Items sous domaines Maths '!F30,0)</f>
        <v>Définitions générales .</v>
      </c>
      <c r="G26" s="592"/>
      <c r="H26" s="597"/>
    </row>
    <row r="27" spans="1:9" s="2" customFormat="1" ht="17.399999999999999" customHeight="1" thickBot="1" x14ac:dyDescent="0.3">
      <c r="A27" s="598"/>
      <c r="B27" t="str">
        <f>IF('Items sous domaines Maths '!H31=1,'Items sous domaines Maths '!B31,0)</f>
        <v>Algèbre</v>
      </c>
      <c r="C27" t="str">
        <f>IF('Items sous domaines Maths '!H31=1,'Items sous domaines Maths '!C31,0)</f>
        <v>Logique</v>
      </c>
      <c r="D27">
        <f>IF('Items sous domaines Maths '!H31=1,'Items sous domaines Maths '!D31,0)</f>
        <v>0</v>
      </c>
      <c r="E27">
        <f>IF('Items sous domaines Maths '!H31=1,'Items sous domaines Maths '!E31,0)</f>
        <v>0</v>
      </c>
      <c r="F27" t="str">
        <f>IF('Items sous domaines Maths '!H31=1,'Items sous domaines Maths '!F31,0)</f>
        <v>Parties de N .</v>
      </c>
      <c r="G27" s="592"/>
      <c r="H27" s="597"/>
    </row>
    <row r="28" spans="1:9" s="102" customFormat="1" ht="19.95" customHeight="1" thickTop="1" x14ac:dyDescent="0.25">
      <c r="A28" s="609"/>
      <c r="B28" s="210" t="str">
        <f>IF('Items sous domaines Maths '!H32=1,'Items sous domaines Maths '!B32,0)</f>
        <v>Algèbre</v>
      </c>
      <c r="C28" s="211" t="str">
        <f>IF('Items sous domaines Maths '!H32=1,'Items sous domaines Maths '!C32,0)</f>
        <v>Logique</v>
      </c>
      <c r="D28" s="211">
        <f>IF('Items sous domaines Maths '!H32=1,'Items sous domaines Maths '!D32,0)</f>
        <v>0</v>
      </c>
      <c r="E28" s="211" t="str">
        <f>IF('Items sous domaines Maths '!H32=1,'Items sous domaines Maths '!E32,0)</f>
        <v xml:space="preserve">Autres types de raisonnements </v>
      </c>
      <c r="F28" s="212" t="str">
        <f>IF('Items sous domaines Maths '!H32=1,'Items sous domaines Maths '!F32,0)</f>
        <v xml:space="preserve">Raisonnement par récurrence </v>
      </c>
      <c r="G28" s="589"/>
      <c r="H28" s="600"/>
      <c r="I28" s="216"/>
    </row>
    <row r="29" spans="1:9" s="102" customFormat="1" ht="19.95" customHeight="1" x14ac:dyDescent="0.25">
      <c r="A29" s="607"/>
      <c r="B29" s="127" t="str">
        <f>IF('Items sous domaines Maths '!H33=1,'Items sous domaines Maths '!B33,0)</f>
        <v>Algèbre</v>
      </c>
      <c r="C29" s="128" t="str">
        <f>IF('Items sous domaines Maths '!H33=1,'Items sous domaines Maths '!C33,0)</f>
        <v>Logique</v>
      </c>
      <c r="D29" s="128">
        <f>IF('Items sous domaines Maths '!H33=1,'Items sous domaines Maths '!D33,0)</f>
        <v>0</v>
      </c>
      <c r="E29" s="128">
        <f>IF('Items sous domaines Maths '!H33=1,'Items sous domaines Maths '!E33,0)</f>
        <v>0</v>
      </c>
      <c r="F29" s="129" t="str">
        <f>IF('Items sous domaines Maths '!H33=1,'Items sous domaines Maths '!F33,0)</f>
        <v>Raisonnement par contraposition</v>
      </c>
      <c r="G29" s="590"/>
      <c r="H29" s="598"/>
      <c r="I29" s="217"/>
    </row>
    <row r="30" spans="1:9" s="102" customFormat="1" ht="19.95" customHeight="1" x14ac:dyDescent="0.25">
      <c r="A30" s="607"/>
      <c r="B30" s="133" t="str">
        <f>IF('Items sous domaines Maths '!H34=1,'Items sous domaines Maths '!B34,0)</f>
        <v>Algèbre</v>
      </c>
      <c r="C30" s="134" t="str">
        <f>IF('Items sous domaines Maths '!H34=1,'Items sous domaines Maths '!C34,0)</f>
        <v>Logique</v>
      </c>
      <c r="D30" s="134">
        <f>IF('Items sous domaines Maths '!H34=1,'Items sous domaines Maths '!D34,0)</f>
        <v>0</v>
      </c>
      <c r="E30" s="134">
        <f>IF('Items sous domaines Maths '!H34=1,'Items sous domaines Maths '!E34,0)</f>
        <v>0</v>
      </c>
      <c r="F30" s="135" t="str">
        <f>IF('Items sous domaines Maths '!H34=1,'Items sous domaines Maths '!F34,0)</f>
        <v xml:space="preserve">Raisonnement par l’absurde </v>
      </c>
      <c r="G30" s="590"/>
      <c r="H30" s="598"/>
      <c r="I30" s="217"/>
    </row>
    <row r="31" spans="1:9" s="102" customFormat="1" ht="19.95" customHeight="1" x14ac:dyDescent="0.25">
      <c r="A31" s="607"/>
      <c r="B31" s="127" t="str">
        <f>IF('Items sous domaines Maths '!H35=1,'Items sous domaines Maths '!B35,0)</f>
        <v>Algèbre</v>
      </c>
      <c r="C31" s="128" t="str">
        <f>IF('Items sous domaines Maths '!H35=1,'Items sous domaines Maths '!C35,0)</f>
        <v>Logique</v>
      </c>
      <c r="D31" s="128" t="str">
        <f>IF('Items sous domaines Maths '!H35=1,'Items sous domaines Maths '!D35,0)</f>
        <v>Logique booléenne</v>
      </c>
      <c r="E31" s="128" t="str">
        <f>IF('Items sous domaines Maths '!H35=1,'Items sous domaines Maths '!E35,0)</f>
        <v>Fonctions Booléennes</v>
      </c>
      <c r="F31" s="129" t="str">
        <f>IF('Items sous domaines Maths '!H35=1,'Items sous domaines Maths '!F35,0)</f>
        <v>Fonction NOT, NOR, AND, OR</v>
      </c>
      <c r="G31" s="590"/>
      <c r="H31" s="598"/>
      <c r="I31" s="217"/>
    </row>
    <row r="32" spans="1:9" s="102" customFormat="1" ht="19.95" customHeight="1" x14ac:dyDescent="0.25">
      <c r="A32" s="607"/>
      <c r="B32" s="133" t="str">
        <f>IF('Items sous domaines Maths '!H36=1,'Items sous domaines Maths '!B36,0)</f>
        <v>Algèbre</v>
      </c>
      <c r="C32" s="134" t="str">
        <f>IF('Items sous domaines Maths '!H36=1,'Items sous domaines Maths '!C36,0)</f>
        <v>Logique</v>
      </c>
      <c r="D32" s="134">
        <f>IF('Items sous domaines Maths '!H36=1,'Items sous domaines Maths '!D36,0)</f>
        <v>0</v>
      </c>
      <c r="E32" s="134">
        <f>IF('Items sous domaines Maths '!H36=1,'Items sous domaines Maths '!E36,0)</f>
        <v>0</v>
      </c>
      <c r="F32" s="135" t="str">
        <f>IF('Items sous domaines Maths '!H36=1,'Items sous domaines Maths '!F36,0)</f>
        <v>Tables de verité</v>
      </c>
      <c r="G32" s="590"/>
      <c r="H32" s="598"/>
      <c r="I32" s="217"/>
    </row>
    <row r="33" spans="1:9" s="102" customFormat="1" ht="19.95" customHeight="1" x14ac:dyDescent="0.25">
      <c r="A33" s="607"/>
      <c r="B33" s="127" t="str">
        <f>IF('Items sous domaines Maths '!H37=1,'Items sous domaines Maths '!B37,0)</f>
        <v>Algèbre</v>
      </c>
      <c r="C33" s="128" t="str">
        <f>IF('Items sous domaines Maths '!H37=1,'Items sous domaines Maths '!C37,0)</f>
        <v>Logique</v>
      </c>
      <c r="D33" s="128">
        <f>IF('Items sous domaines Maths '!H37=1,'Items sous domaines Maths '!D37,0)</f>
        <v>0</v>
      </c>
      <c r="E33" s="128" t="str">
        <f>IF('Items sous domaines Maths '!H37=1,'Items sous domaines Maths '!E37,0)</f>
        <v>Représentations graphiques des fonctions booléennes</v>
      </c>
      <c r="F33" s="129" t="str">
        <f>IF('Items sous domaines Maths '!H37=1,'Items sous domaines Maths '!F37,0)</f>
        <v>Connaissance des symboles de représentation</v>
      </c>
      <c r="G33" s="590"/>
      <c r="H33" s="598"/>
      <c r="I33" s="217"/>
    </row>
    <row r="34" spans="1:9" ht="19.95" customHeight="1" thickBot="1" x14ac:dyDescent="0.3">
      <c r="A34" s="608"/>
      <c r="B34" s="130" t="str">
        <f>IF('Items sous domaines Maths '!H38=1,'Items sous domaines Maths '!B38,0)</f>
        <v>Algèbre</v>
      </c>
      <c r="C34" s="131" t="str">
        <f>IF('Items sous domaines Maths '!H38=1,'Items sous domaines Maths '!C38,0)</f>
        <v>Logique</v>
      </c>
      <c r="D34" s="131">
        <f>IF('Items sous domaines Maths '!H38=1,'Items sous domaines Maths '!D38,0)</f>
        <v>0</v>
      </c>
      <c r="E34" s="131">
        <f>IF('Items sous domaines Maths '!H38=1,'Items sous domaines Maths '!E38,0)</f>
        <v>0</v>
      </c>
      <c r="F34" s="132" t="str">
        <f>IF('Items sous domaines Maths '!H38=1,'Items sous domaines Maths '!F38,0)</f>
        <v>Utilisation dans la description des circuits logiques.</v>
      </c>
      <c r="G34" s="591"/>
      <c r="H34" s="599"/>
      <c r="I34" s="218"/>
    </row>
    <row r="35" spans="1:9" customFormat="1" ht="17.399999999999999" hidden="1" customHeight="1" thickTop="1" thickBot="1" x14ac:dyDescent="0.3">
      <c r="B35">
        <f>IF('Items sous domaines Maths '!H39=1,'Items sous domaines Maths '!B39,0)</f>
        <v>0</v>
      </c>
      <c r="C35">
        <f>IF('Items sous domaines Maths '!H39=1,'Items sous domaines Maths '!C39,0)</f>
        <v>0</v>
      </c>
      <c r="D35">
        <f>IF('Items sous domaines Maths '!H39=1,'Items sous domaines Maths '!D39,0)</f>
        <v>0</v>
      </c>
      <c r="E35">
        <f>IF('Items sous domaines Maths '!H39=1,'Items sous domaines Maths '!E39,0)</f>
        <v>0</v>
      </c>
      <c r="F35">
        <f>IF('Items sous domaines Maths '!H39=1,'Items sous domaines Maths '!F39,0)</f>
        <v>0</v>
      </c>
      <c r="G35">
        <f>IF('Items sous domaines Maths '!H39=1,'Items sous domaines Maths '!G39,0)</f>
        <v>0</v>
      </c>
    </row>
    <row r="36" spans="1:9" ht="19.95" hidden="1" customHeight="1" thickTop="1" x14ac:dyDescent="0.25">
      <c r="A36" s="609"/>
      <c r="B36" s="210">
        <f>IF('Items sous domaines Maths '!H40=1,'Items sous domaines Maths '!B40,0)</f>
        <v>0</v>
      </c>
      <c r="C36" s="211">
        <f>IF('Items sous domaines Maths '!H40=1,'Items sous domaines Maths '!C40,0)</f>
        <v>0</v>
      </c>
      <c r="D36" s="211">
        <f>IF('Items sous domaines Maths '!H40=1,'Items sous domaines Maths '!D40,0)</f>
        <v>0</v>
      </c>
      <c r="E36" s="211">
        <f>IF('Items sous domaines Maths '!H40=1,'Items sous domaines Maths '!E40,0)</f>
        <v>0</v>
      </c>
      <c r="F36" s="212">
        <f>IF('Items sous domaines Maths '!H40=1,'Items sous domaines Maths '!F40,0)</f>
        <v>0</v>
      </c>
      <c r="G36" s="589" t="s">
        <v>448</v>
      </c>
      <c r="H36" s="577" t="s">
        <v>63</v>
      </c>
      <c r="I36" s="581" t="s">
        <v>22</v>
      </c>
    </row>
    <row r="37" spans="1:9" ht="19.95" hidden="1" customHeight="1" x14ac:dyDescent="0.25">
      <c r="A37" s="607"/>
      <c r="B37" s="127">
        <f>IF('Items sous domaines Maths '!H41=1,'Items sous domaines Maths '!B41,0)</f>
        <v>0</v>
      </c>
      <c r="C37" s="128">
        <f>IF('Items sous domaines Maths '!H41=1,'Items sous domaines Maths '!C41,0)</f>
        <v>0</v>
      </c>
      <c r="D37" s="128">
        <f>IF('Items sous domaines Maths '!H41=1,'Items sous domaines Maths '!D41,0)</f>
        <v>0</v>
      </c>
      <c r="E37" s="128">
        <f>IF('Items sous domaines Maths '!H41=1,'Items sous domaines Maths '!E41,0)</f>
        <v>0</v>
      </c>
      <c r="F37" s="129">
        <f>IF('Items sous domaines Maths '!H41=1,'Items sous domaines Maths '!F41,0)</f>
        <v>0</v>
      </c>
      <c r="G37" s="590"/>
      <c r="H37" s="598"/>
      <c r="I37" s="582"/>
    </row>
    <row r="38" spans="1:9" ht="19.95" hidden="1" customHeight="1" x14ac:dyDescent="0.25">
      <c r="A38" s="607"/>
      <c r="B38" s="133">
        <f>IF('Items sous domaines Maths '!H42=1,'Items sous domaines Maths '!B42,0)</f>
        <v>0</v>
      </c>
      <c r="C38" s="134">
        <f>IF('Items sous domaines Maths '!H42=1,'Items sous domaines Maths '!C42,0)</f>
        <v>0</v>
      </c>
      <c r="D38" s="134">
        <f>IF('Items sous domaines Maths '!H42=1,'Items sous domaines Maths '!D42,0)</f>
        <v>0</v>
      </c>
      <c r="E38" s="134">
        <f>IF('Items sous domaines Maths '!H42=1,'Items sous domaines Maths '!E42,0)</f>
        <v>0</v>
      </c>
      <c r="F38" s="135">
        <f>IF('Items sous domaines Maths '!H42=1,'Items sous domaines Maths '!F42,0)</f>
        <v>0</v>
      </c>
      <c r="G38" s="590"/>
      <c r="H38" s="598"/>
      <c r="I38" s="582"/>
    </row>
    <row r="39" spans="1:9" ht="19.95" hidden="1" customHeight="1" x14ac:dyDescent="0.25">
      <c r="A39" s="607"/>
      <c r="B39" s="127">
        <f>IF('Items sous domaines Maths '!H43=1,'Items sous domaines Maths '!B43,0)</f>
        <v>0</v>
      </c>
      <c r="C39" s="128">
        <f>IF('Items sous domaines Maths '!H43=1,'Items sous domaines Maths '!C43,0)</f>
        <v>0</v>
      </c>
      <c r="D39" s="128">
        <f>IF('Items sous domaines Maths '!H43=1,'Items sous domaines Maths '!D43,0)</f>
        <v>0</v>
      </c>
      <c r="E39" s="128">
        <f>IF('Items sous domaines Maths '!H43=1,'Items sous domaines Maths '!E43,0)</f>
        <v>0</v>
      </c>
      <c r="F39" s="129">
        <f>IF('Items sous domaines Maths '!H43=1,'Items sous domaines Maths '!F43,0)</f>
        <v>0</v>
      </c>
      <c r="G39" s="590"/>
      <c r="H39" s="598"/>
      <c r="I39" s="582"/>
    </row>
    <row r="40" spans="1:9" ht="19.95" hidden="1" customHeight="1" x14ac:dyDescent="0.25">
      <c r="A40" s="607"/>
      <c r="B40" s="133">
        <f>IF('Items sous domaines Maths '!H44=1,'Items sous domaines Maths '!B44,0)</f>
        <v>0</v>
      </c>
      <c r="C40" s="134">
        <f>IF('Items sous domaines Maths '!H44=1,'Items sous domaines Maths '!C44,0)</f>
        <v>0</v>
      </c>
      <c r="D40" s="134">
        <f>IF('Items sous domaines Maths '!H44=1,'Items sous domaines Maths '!D44,0)</f>
        <v>0</v>
      </c>
      <c r="E40" s="134">
        <f>IF('Items sous domaines Maths '!H44=1,'Items sous domaines Maths '!E44,0)</f>
        <v>0</v>
      </c>
      <c r="F40" s="135">
        <f>IF('Items sous domaines Maths '!H44=1,'Items sous domaines Maths '!F44,0)</f>
        <v>0</v>
      </c>
      <c r="G40" s="590"/>
      <c r="H40" s="598"/>
      <c r="I40" s="582"/>
    </row>
    <row r="41" spans="1:9" ht="19.95" hidden="1" customHeight="1" x14ac:dyDescent="0.25">
      <c r="A41" s="607"/>
      <c r="B41" s="127">
        <f>IF('Items sous domaines Maths '!H45=1,'Items sous domaines Maths '!B45,0)</f>
        <v>0</v>
      </c>
      <c r="C41" s="128">
        <f>IF('Items sous domaines Maths '!H45=1,'Items sous domaines Maths '!C45,0)</f>
        <v>0</v>
      </c>
      <c r="D41" s="128">
        <f>IF('Items sous domaines Maths '!H45=1,'Items sous domaines Maths '!D45,0)</f>
        <v>0</v>
      </c>
      <c r="E41" s="128">
        <f>IF('Items sous domaines Maths '!H45=1,'Items sous domaines Maths '!E45,0)</f>
        <v>0</v>
      </c>
      <c r="F41" s="129">
        <f>IF('Items sous domaines Maths '!H45=1,'Items sous domaines Maths '!F45,0)</f>
        <v>0</v>
      </c>
      <c r="G41" s="590"/>
      <c r="H41" s="598"/>
      <c r="I41" s="582"/>
    </row>
    <row r="42" spans="1:9" ht="19.95" hidden="1" customHeight="1" x14ac:dyDescent="0.25">
      <c r="A42" s="607"/>
      <c r="B42" s="133">
        <f>IF('Items sous domaines Maths '!H46=1,'Items sous domaines Maths '!B46,0)</f>
        <v>0</v>
      </c>
      <c r="C42" s="134">
        <f>IF('Items sous domaines Maths '!H46=1,'Items sous domaines Maths '!C46,0)</f>
        <v>0</v>
      </c>
      <c r="D42" s="134">
        <f>IF('Items sous domaines Maths '!H46=1,'Items sous domaines Maths '!D46,0)</f>
        <v>0</v>
      </c>
      <c r="E42" s="134">
        <f>IF('Items sous domaines Maths '!H46=1,'Items sous domaines Maths '!E46,0)</f>
        <v>0</v>
      </c>
      <c r="F42" s="135">
        <f>IF('Items sous domaines Maths '!H46=1,'Items sous domaines Maths '!F46,0)</f>
        <v>0</v>
      </c>
      <c r="G42" s="590"/>
      <c r="H42" s="598"/>
      <c r="I42" s="582"/>
    </row>
    <row r="43" spans="1:9" ht="19.95" hidden="1" customHeight="1" x14ac:dyDescent="0.25">
      <c r="A43" s="607"/>
      <c r="B43" s="127">
        <f>IF('Items sous domaines Maths '!H47=1,'Items sous domaines Maths '!B47,0)</f>
        <v>0</v>
      </c>
      <c r="C43" s="128">
        <f>IF('Items sous domaines Maths '!H47=1,'Items sous domaines Maths '!C47,0)</f>
        <v>0</v>
      </c>
      <c r="D43" s="128">
        <f>IF('Items sous domaines Maths '!H47=1,'Items sous domaines Maths '!D47,0)</f>
        <v>0</v>
      </c>
      <c r="E43" s="128">
        <f>IF('Items sous domaines Maths '!H47=1,'Items sous domaines Maths '!E47,0)</f>
        <v>0</v>
      </c>
      <c r="F43" s="129">
        <f>IF('Items sous domaines Maths '!H47=1,'Items sous domaines Maths '!F47,0)</f>
        <v>0</v>
      </c>
      <c r="G43" s="590"/>
      <c r="H43" s="598"/>
      <c r="I43" s="582"/>
    </row>
    <row r="44" spans="1:9" ht="19.95" hidden="1" customHeight="1" x14ac:dyDescent="0.25">
      <c r="A44" s="607"/>
      <c r="B44" s="133">
        <f>IF('Items sous domaines Maths '!H48=1,'Items sous domaines Maths '!B48,0)</f>
        <v>0</v>
      </c>
      <c r="C44" s="134">
        <f>IF('Items sous domaines Maths '!H48=1,'Items sous domaines Maths '!C48,0)</f>
        <v>0</v>
      </c>
      <c r="D44" s="134">
        <f>IF('Items sous domaines Maths '!H48=1,'Items sous domaines Maths '!D48,0)</f>
        <v>0</v>
      </c>
      <c r="E44" s="134">
        <f>IF('Items sous domaines Maths '!H48=1,'Items sous domaines Maths '!E48,0)</f>
        <v>0</v>
      </c>
      <c r="F44" s="135">
        <f>IF('Items sous domaines Maths '!H48=1,'Items sous domaines Maths '!F48,0)</f>
        <v>0</v>
      </c>
      <c r="G44" s="590"/>
      <c r="H44" s="598"/>
      <c r="I44" s="582"/>
    </row>
    <row r="45" spans="1:9" ht="19.95" hidden="1" customHeight="1" x14ac:dyDescent="0.25">
      <c r="A45" s="607"/>
      <c r="B45" s="127">
        <f>IF('Items sous domaines Maths '!H49=1,'Items sous domaines Maths '!B49,0)</f>
        <v>0</v>
      </c>
      <c r="C45" s="128">
        <f>IF('Items sous domaines Maths '!H49=1,'Items sous domaines Maths '!C49,0)</f>
        <v>0</v>
      </c>
      <c r="D45" s="128">
        <f>IF('Items sous domaines Maths '!H49=1,'Items sous domaines Maths '!D49,0)</f>
        <v>0</v>
      </c>
      <c r="E45" s="128">
        <f>IF('Items sous domaines Maths '!H49=1,'Items sous domaines Maths '!E49,0)</f>
        <v>0</v>
      </c>
      <c r="F45" s="129">
        <f>IF('Items sous domaines Maths '!H49=1,'Items sous domaines Maths '!F49,0)</f>
        <v>0</v>
      </c>
      <c r="G45" s="590"/>
      <c r="H45" s="598"/>
      <c r="I45" s="582"/>
    </row>
    <row r="46" spans="1:9" ht="19.95" hidden="1" customHeight="1" x14ac:dyDescent="0.25">
      <c r="A46" s="607"/>
      <c r="B46" s="133">
        <f>IF('Items sous domaines Maths '!H50=1,'Items sous domaines Maths '!B50,0)</f>
        <v>0</v>
      </c>
      <c r="C46" s="134">
        <f>IF('Items sous domaines Maths '!H50=1,'Items sous domaines Maths '!C50,0)</f>
        <v>0</v>
      </c>
      <c r="D46" s="134">
        <f>IF('Items sous domaines Maths '!H50=1,'Items sous domaines Maths '!D50,0)</f>
        <v>0</v>
      </c>
      <c r="E46" s="134">
        <f>IF('Items sous domaines Maths '!H50=1,'Items sous domaines Maths '!E50,0)</f>
        <v>0</v>
      </c>
      <c r="F46" s="135">
        <f>IF('Items sous domaines Maths '!H50=1,'Items sous domaines Maths '!F50,0)</f>
        <v>0</v>
      </c>
      <c r="G46" s="590"/>
      <c r="H46" s="598"/>
      <c r="I46" s="582"/>
    </row>
    <row r="47" spans="1:9" ht="19.95" hidden="1" customHeight="1" x14ac:dyDescent="0.25">
      <c r="A47" s="607"/>
      <c r="B47" s="127">
        <f>IF('Items sous domaines Maths '!H51=1,'Items sous domaines Maths '!B51,0)</f>
        <v>0</v>
      </c>
      <c r="C47" s="128">
        <f>IF('Items sous domaines Maths '!H51=1,'Items sous domaines Maths '!C51,0)</f>
        <v>0</v>
      </c>
      <c r="D47" s="128">
        <f>IF('Items sous domaines Maths '!H51=1,'Items sous domaines Maths '!D51,0)</f>
        <v>0</v>
      </c>
      <c r="E47" s="128">
        <f>IF('Items sous domaines Maths '!H51=1,'Items sous domaines Maths '!E51,0)</f>
        <v>0</v>
      </c>
      <c r="F47" s="129">
        <f>IF('Items sous domaines Maths '!H51=1,'Items sous domaines Maths '!F51,0)</f>
        <v>0</v>
      </c>
      <c r="G47" s="590"/>
      <c r="H47" s="598"/>
      <c r="I47" s="582"/>
    </row>
    <row r="48" spans="1:9" ht="19.95" hidden="1" customHeight="1" x14ac:dyDescent="0.25">
      <c r="A48" s="607"/>
      <c r="B48" s="133">
        <f>IF('Items sous domaines Maths '!H52=1,'Items sous domaines Maths '!B52,0)</f>
        <v>0</v>
      </c>
      <c r="C48" s="134">
        <f>IF('Items sous domaines Maths '!H52=1,'Items sous domaines Maths '!C52,0)</f>
        <v>0</v>
      </c>
      <c r="D48" s="134">
        <f>IF('Items sous domaines Maths '!H52=1,'Items sous domaines Maths '!D52,0)</f>
        <v>0</v>
      </c>
      <c r="E48" s="134">
        <f>IF('Items sous domaines Maths '!H52=1,'Items sous domaines Maths '!E52,0)</f>
        <v>0</v>
      </c>
      <c r="F48" s="135">
        <f>IF('Items sous domaines Maths '!H52=1,'Items sous domaines Maths '!F52,0)</f>
        <v>0</v>
      </c>
      <c r="G48" s="590"/>
      <c r="H48" s="598"/>
      <c r="I48" s="582"/>
    </row>
    <row r="49" spans="1:9" ht="19.95" hidden="1" customHeight="1" x14ac:dyDescent="0.25">
      <c r="A49" s="607"/>
      <c r="B49" s="127">
        <f>IF('Items sous domaines Maths '!H53=1,'Items sous domaines Maths '!B53,0)</f>
        <v>0</v>
      </c>
      <c r="C49" s="128">
        <f>IF('Items sous domaines Maths '!H53=1,'Items sous domaines Maths '!C53,0)</f>
        <v>0</v>
      </c>
      <c r="D49" s="128">
        <f>IF('Items sous domaines Maths '!H53=1,'Items sous domaines Maths '!D53,0)</f>
        <v>0</v>
      </c>
      <c r="E49" s="128">
        <f>IF('Items sous domaines Maths '!H53=1,'Items sous domaines Maths '!E53,0)</f>
        <v>0</v>
      </c>
      <c r="F49" s="129">
        <f>IF('Items sous domaines Maths '!H53=1,'Items sous domaines Maths '!F53,0)</f>
        <v>0</v>
      </c>
      <c r="G49" s="590"/>
      <c r="H49" s="598"/>
      <c r="I49" s="582"/>
    </row>
    <row r="50" spans="1:9" s="15" customFormat="1" ht="19.95" hidden="1" customHeight="1" x14ac:dyDescent="0.25">
      <c r="A50" s="607"/>
      <c r="B50" s="133">
        <f>IF('Items sous domaines Maths '!H54=1,'Items sous domaines Maths '!B54,0)</f>
        <v>0</v>
      </c>
      <c r="C50" s="134">
        <f>IF('Items sous domaines Maths '!H54=1,'Items sous domaines Maths '!C54,0)</f>
        <v>0</v>
      </c>
      <c r="D50" s="134">
        <f>IF('Items sous domaines Maths '!H54=1,'Items sous domaines Maths '!D54,0)</f>
        <v>0</v>
      </c>
      <c r="E50" s="134">
        <f>IF('Items sous domaines Maths '!H54=1,'Items sous domaines Maths '!E54,0)</f>
        <v>0</v>
      </c>
      <c r="F50" s="135">
        <f>IF('Items sous domaines Maths '!H54=1,'Items sous domaines Maths '!F54,0)</f>
        <v>0</v>
      </c>
      <c r="G50" s="590"/>
      <c r="H50" s="598"/>
      <c r="I50" s="582"/>
    </row>
    <row r="51" spans="1:9" ht="19.95" hidden="1" customHeight="1" x14ac:dyDescent="0.25">
      <c r="A51" s="607"/>
      <c r="B51" s="127">
        <f>IF('Items sous domaines Maths '!H55=1,'Items sous domaines Maths '!B55,0)</f>
        <v>0</v>
      </c>
      <c r="C51" s="128">
        <f>IF('Items sous domaines Maths '!H55=1,'Items sous domaines Maths '!C55,0)</f>
        <v>0</v>
      </c>
      <c r="D51" s="128">
        <f>IF('Items sous domaines Maths '!H55=1,'Items sous domaines Maths '!D55,0)</f>
        <v>0</v>
      </c>
      <c r="E51" s="128">
        <f>IF('Items sous domaines Maths '!H55=1,'Items sous domaines Maths '!E55,0)</f>
        <v>0</v>
      </c>
      <c r="F51" s="129">
        <f>IF('Items sous domaines Maths '!H55=1,'Items sous domaines Maths '!F55,0)</f>
        <v>0</v>
      </c>
      <c r="G51" s="590"/>
      <c r="H51" s="598"/>
      <c r="I51" s="582"/>
    </row>
    <row r="52" spans="1:9" ht="19.95" hidden="1" customHeight="1" thickBot="1" x14ac:dyDescent="0.3">
      <c r="A52" s="608"/>
      <c r="B52" s="130">
        <f>IF('Items sous domaines Maths '!H56=1,'Items sous domaines Maths '!B56,0)</f>
        <v>0</v>
      </c>
      <c r="C52" s="131">
        <f>IF('Items sous domaines Maths '!H56=1,'Items sous domaines Maths '!C56,0)</f>
        <v>0</v>
      </c>
      <c r="D52" s="131">
        <f>IF('Items sous domaines Maths '!H56=1,'Items sous domaines Maths '!D56,0)</f>
        <v>0</v>
      </c>
      <c r="E52" s="131">
        <f>IF('Items sous domaines Maths '!H56=1,'Items sous domaines Maths '!E56,0)</f>
        <v>0</v>
      </c>
      <c r="F52" s="132">
        <f>IF('Items sous domaines Maths '!H56=1,'Items sous domaines Maths '!F56,0)</f>
        <v>0</v>
      </c>
      <c r="G52" s="591"/>
      <c r="H52" s="599"/>
      <c r="I52" s="583"/>
    </row>
    <row r="53" spans="1:9" customFormat="1" ht="17.399999999999999" hidden="1" customHeight="1" thickTop="1" thickBot="1" x14ac:dyDescent="0.3">
      <c r="A53" s="611"/>
      <c r="B53" s="11">
        <f>IF('Items sous domaines Maths '!H57=1,'Items sous domaines Maths '!B57,0)</f>
        <v>0</v>
      </c>
      <c r="C53" s="11">
        <f>IF('Items sous domaines Maths '!H57=1,'Items sous domaines Maths '!C57,0)</f>
        <v>0</v>
      </c>
      <c r="D53" s="11">
        <f>IF('Items sous domaines Maths '!H57=1,'Items sous domaines Maths '!D57,0)</f>
        <v>0</v>
      </c>
      <c r="E53" s="11">
        <f>IF('Items sous domaines Maths '!H57=1,'Items sous domaines Maths '!E57,0)</f>
        <v>0</v>
      </c>
      <c r="F53" s="12">
        <f>IF('Items sous domaines Maths '!H57=1,'Items sous domaines Maths '!F57,0)</f>
        <v>0</v>
      </c>
      <c r="G53">
        <f>IF('Items sous domaines Maths '!H57=1,'Items sous domaines Maths '!G57,0)</f>
        <v>0</v>
      </c>
    </row>
    <row r="54" spans="1:9" customFormat="1" ht="17.399999999999999" hidden="1" customHeight="1" x14ac:dyDescent="0.25">
      <c r="B54">
        <f>IF('Items sous domaines Maths '!H58=1,'Items sous domaines Maths '!B58,0)</f>
        <v>0</v>
      </c>
      <c r="C54">
        <f>IF('Items sous domaines Maths '!H58=1,'Items sous domaines Maths '!C58,0)</f>
        <v>0</v>
      </c>
      <c r="D54">
        <f>IF('Items sous domaines Maths '!H58=1,'Items sous domaines Maths '!D58,0)</f>
        <v>0</v>
      </c>
      <c r="E54">
        <f>IF('Items sous domaines Maths '!H58=1,'Items sous domaines Maths '!E58,0)</f>
        <v>0</v>
      </c>
      <c r="F54">
        <f>IF('Items sous domaines Maths '!H58=1,'Items sous domaines Maths '!F58,0)</f>
        <v>0</v>
      </c>
      <c r="G54">
        <f>IF('Items sous domaines Maths '!H58=1,'Items sous domaines Maths '!G58,0)</f>
        <v>0</v>
      </c>
    </row>
    <row r="55" spans="1:9" customFormat="1" ht="17.399999999999999" hidden="1" customHeight="1" x14ac:dyDescent="0.25">
      <c r="B55">
        <f>IF('Items sous domaines Maths '!H59=1,'Items sous domaines Maths '!B59,0)</f>
        <v>0</v>
      </c>
      <c r="C55">
        <f>IF('Items sous domaines Maths '!H59=1,'Items sous domaines Maths '!C59,0)</f>
        <v>0</v>
      </c>
      <c r="D55">
        <f>IF('Items sous domaines Maths '!H59=1,'Items sous domaines Maths '!D59,0)</f>
        <v>0</v>
      </c>
      <c r="E55">
        <f>IF('Items sous domaines Maths '!H59=1,'Items sous domaines Maths '!E59,0)</f>
        <v>0</v>
      </c>
      <c r="F55">
        <f>IF('Items sous domaines Maths '!H59=1,'Items sous domaines Maths '!F59,0)</f>
        <v>0</v>
      </c>
      <c r="G55">
        <f>IF('Items sous domaines Maths '!H59=1,'Items sous domaines Maths '!G59,0)</f>
        <v>0</v>
      </c>
    </row>
    <row r="56" spans="1:9" customFormat="1" ht="23.4" hidden="1" customHeight="1" x14ac:dyDescent="0.25">
      <c r="B56">
        <f>IF('Items sous domaines Maths '!H60=1,'Items sous domaines Maths '!B60,0)</f>
        <v>0</v>
      </c>
      <c r="C56">
        <f>IF('Items sous domaines Maths '!H60=1,'Items sous domaines Maths '!C60,0)</f>
        <v>0</v>
      </c>
      <c r="D56">
        <f>IF('Items sous domaines Maths '!H60=1,'Items sous domaines Maths '!D60,0)</f>
        <v>0</v>
      </c>
      <c r="E56">
        <f>IF('Items sous domaines Maths '!H60=1,'Items sous domaines Maths '!E60,0)</f>
        <v>0</v>
      </c>
      <c r="F56">
        <f>IF('Items sous domaines Maths '!H60=1,'Items sous domaines Maths '!F60,0)</f>
        <v>0</v>
      </c>
      <c r="G56">
        <f>IF('Items sous domaines Maths '!H60=1,'Items sous domaines Maths '!G60,0)</f>
        <v>0</v>
      </c>
    </row>
    <row r="57" spans="1:9" customFormat="1" ht="43.95" hidden="1" customHeight="1" x14ac:dyDescent="0.25">
      <c r="B57">
        <f>IF('Items sous domaines Maths '!H61=1,'Items sous domaines Maths '!B61,0)</f>
        <v>0</v>
      </c>
      <c r="C57">
        <f>IF('Items sous domaines Maths '!H61=1,'Items sous domaines Maths '!C61,0)</f>
        <v>0</v>
      </c>
      <c r="D57">
        <f>IF('Items sous domaines Maths '!H61=1,'Items sous domaines Maths '!D61,0)</f>
        <v>0</v>
      </c>
      <c r="E57">
        <f>IF('Items sous domaines Maths '!H61=1,'Items sous domaines Maths '!E61,0)</f>
        <v>0</v>
      </c>
      <c r="F57">
        <f>IF('Items sous domaines Maths '!H61=1,'Items sous domaines Maths '!F61,0)</f>
        <v>0</v>
      </c>
      <c r="G57">
        <f>IF('Items sous domaines Maths '!H61=1,'Items sous domaines Maths '!G61,0)</f>
        <v>0</v>
      </c>
    </row>
    <row r="58" spans="1:9" customFormat="1" ht="30" hidden="1" customHeight="1" thickBot="1" x14ac:dyDescent="0.3">
      <c r="B58">
        <f>IF('Items sous domaines Maths '!H62=1,'Items sous domaines Maths '!B62,0)</f>
        <v>0</v>
      </c>
      <c r="C58">
        <f>IF('Items sous domaines Maths '!H62=1,'Items sous domaines Maths '!C62,0)</f>
        <v>0</v>
      </c>
      <c r="D58">
        <f>IF('Items sous domaines Maths '!H62=1,'Items sous domaines Maths '!D62,0)</f>
        <v>0</v>
      </c>
      <c r="E58">
        <f>IF('Items sous domaines Maths '!H62=1,'Items sous domaines Maths '!E62,0)</f>
        <v>0</v>
      </c>
      <c r="F58">
        <f>IF('Items sous domaines Maths '!H62=1,'Items sous domaines Maths '!F62,0)</f>
        <v>0</v>
      </c>
      <c r="G58">
        <f>IF('Items sous domaines Maths '!H62=1,'Items sous domaines Maths '!G62,0)</f>
        <v>0</v>
      </c>
    </row>
    <row r="59" spans="1:9" ht="19.95" customHeight="1" thickTop="1" x14ac:dyDescent="0.25">
      <c r="A59" s="609" t="s">
        <v>510</v>
      </c>
      <c r="B59" s="210" t="str">
        <f>IF('Items sous domaines Maths '!H63=1,'Items sous domaines Maths '!B63,0)</f>
        <v>Algèbre</v>
      </c>
      <c r="C59" s="211" t="str">
        <f>IF('Items sous domaines Maths '!H63=1,'Items sous domaines Maths '!C63,0)</f>
        <v>Les polynômes</v>
      </c>
      <c r="D59" s="211" t="str">
        <f>IF('Items sous domaines Maths '!H63=1,'Items sous domaines Maths '!D63,0)</f>
        <v>Présentation de l'ensemble IK[X]</v>
      </c>
      <c r="E59" s="211" t="str">
        <f>IF('Items sous domaines Maths '!H63=1,'Items sous domaines Maths '!E63,0)</f>
        <v>Degré</v>
      </c>
      <c r="F59" s="212" t="str">
        <f>IF('Items sous domaines Maths '!H63=1,'Items sous domaines Maths '!F63,0)</f>
        <v>Savoir repérer le coefficient dominant, terme de plus haurt degré, polynôme nul, polynôme unitaire.</v>
      </c>
      <c r="G59" s="589" t="s">
        <v>446</v>
      </c>
      <c r="H59" s="577" t="s">
        <v>84</v>
      </c>
      <c r="I59" s="213"/>
    </row>
    <row r="60" spans="1:9" ht="19.95" customHeight="1" x14ac:dyDescent="0.25">
      <c r="A60" s="607"/>
      <c r="B60" s="127" t="str">
        <f>IF('Items sous domaines Maths '!H64=1,'Items sous domaines Maths '!B64,0)</f>
        <v>Algèbre</v>
      </c>
      <c r="C60" s="128" t="str">
        <f>IF('Items sous domaines Maths '!H64=1,'Items sous domaines Maths '!C64,0)</f>
        <v>Les polynômes</v>
      </c>
      <c r="D60" s="128">
        <f>IF('Items sous domaines Maths '!H64=1,'Items sous domaines Maths '!D64,0)</f>
        <v>0</v>
      </c>
      <c r="E60" s="128">
        <f>IF('Items sous domaines Maths '!H64=1,'Items sous domaines Maths '!E64,0)</f>
        <v>0</v>
      </c>
      <c r="F60" s="129" t="str">
        <f>IF('Items sous domaines Maths '!H64=1,'Items sous domaines Maths '!F64,0)</f>
        <v>Savoir trouver le degré d'une somme, d'un produit, d'une composée.</v>
      </c>
      <c r="G60" s="590"/>
      <c r="H60" s="578"/>
      <c r="I60" s="214"/>
    </row>
    <row r="61" spans="1:9" ht="19.95" customHeight="1" x14ac:dyDescent="0.25">
      <c r="A61" s="607"/>
      <c r="B61" s="133" t="str">
        <f>IF('Items sous domaines Maths '!H65=1,'Items sous domaines Maths '!B65,0)</f>
        <v>Algèbre</v>
      </c>
      <c r="C61" s="134" t="str">
        <f>IF('Items sous domaines Maths '!H65=1,'Items sous domaines Maths '!C65,0)</f>
        <v>Les polynômes</v>
      </c>
      <c r="D61" s="134">
        <f>IF('Items sous domaines Maths '!H65=1,'Items sous domaines Maths '!D65,0)</f>
        <v>0</v>
      </c>
      <c r="E61" s="134" t="str">
        <f>IF('Items sous domaines Maths '!H65=1,'Items sous domaines Maths '!E65,0)</f>
        <v>Opérations</v>
      </c>
      <c r="F61" s="135" t="str">
        <f>IF('Items sous domaines Maths '!H65=1,'Items sous domaines Maths '!F65,0)</f>
        <v>Savoir effectuer la somme, produit, composée de deux polynômes.</v>
      </c>
      <c r="G61" s="590"/>
      <c r="H61" s="578"/>
      <c r="I61" s="214"/>
    </row>
    <row r="62" spans="1:9" ht="19.95" customHeight="1" x14ac:dyDescent="0.25">
      <c r="A62" s="607"/>
      <c r="B62" s="127" t="str">
        <f>IF('Items sous domaines Maths '!H66=1,'Items sous domaines Maths '!B66,0)</f>
        <v>Algèbre</v>
      </c>
      <c r="C62" s="128" t="str">
        <f>IF('Items sous domaines Maths '!H66=1,'Items sous domaines Maths '!C66,0)</f>
        <v>Les polynômes</v>
      </c>
      <c r="D62" s="128">
        <f>IF('Items sous domaines Maths '!H66=1,'Items sous domaines Maths '!D66,0)</f>
        <v>0</v>
      </c>
      <c r="E62" s="128" t="str">
        <f>IF('Items sous domaines Maths '!H66=1,'Items sous domaines Maths '!E66,0)</f>
        <v>Divisibilité et division euclidienne dans IK[X]</v>
      </c>
      <c r="F62" s="129" t="str">
        <f>IF('Items sous domaines Maths '!H66=1,'Items sous domaines Maths '!F66,0)</f>
        <v>Savoir effectuer une division posée suivant les puissances décroissantes, polynômes premiers entre eux.</v>
      </c>
      <c r="G62" s="590"/>
      <c r="H62" s="578"/>
      <c r="I62" s="214"/>
    </row>
    <row r="63" spans="1:9" ht="19.95" customHeight="1" x14ac:dyDescent="0.25">
      <c r="A63" s="607"/>
      <c r="B63" s="133" t="str">
        <f>IF('Items sous domaines Maths '!H67=1,'Items sous domaines Maths '!B67,0)</f>
        <v>Algèbre</v>
      </c>
      <c r="C63" s="134" t="str">
        <f>IF('Items sous domaines Maths '!H67=1,'Items sous domaines Maths '!C67,0)</f>
        <v>Les polynômes</v>
      </c>
      <c r="D63" s="134" t="str">
        <f>IF('Items sous domaines Maths '!H67=1,'Items sous domaines Maths '!D67,0)</f>
        <v>Dérivation des polynomes</v>
      </c>
      <c r="E63" s="134" t="str">
        <f>IF('Items sous domaines Maths '!H67=1,'Items sous domaines Maths '!E67,0)</f>
        <v>Polynôme dérivé et degré</v>
      </c>
      <c r="F63" s="135" t="str">
        <f>IF('Items sous domaines Maths '!H67=1,'Items sous domaines Maths '!F67,0)</f>
        <v>Connaître l'écriture du polynôme dérivé d'ordre 1 et d'ordres supérieurs. Connaître la formule de la dérivée du monôme de degré n pour tout n.</v>
      </c>
      <c r="G63" s="590"/>
      <c r="H63" s="578"/>
      <c r="I63" s="214"/>
    </row>
    <row r="64" spans="1:9" ht="19.95" customHeight="1" x14ac:dyDescent="0.25">
      <c r="A64" s="607"/>
      <c r="B64" s="127" t="str">
        <f>IF('Items sous domaines Maths '!H68=1,'Items sous domaines Maths '!B68,0)</f>
        <v>Algèbre</v>
      </c>
      <c r="C64" s="128" t="str">
        <f>IF('Items sous domaines Maths '!H68=1,'Items sous domaines Maths '!C68,0)</f>
        <v>Les polynômes</v>
      </c>
      <c r="D64" s="128">
        <f>IF('Items sous domaines Maths '!H68=1,'Items sous domaines Maths '!D68,0)</f>
        <v>0</v>
      </c>
      <c r="E64" s="128">
        <f>IF('Items sous domaines Maths '!H68=1,'Items sous domaines Maths '!E68,0)</f>
        <v>0</v>
      </c>
      <c r="F64" s="129" t="str">
        <f>IF('Items sous domaines Maths '!H68=1,'Items sous domaines Maths '!F68,0)</f>
        <v>Connaître la formule de Leibniz : savoir l'appliquer à la dérivation d'un produit de polynômes.</v>
      </c>
      <c r="G64" s="590"/>
      <c r="H64" s="578"/>
      <c r="I64" s="214"/>
    </row>
    <row r="65" spans="1:9" ht="19.95" customHeight="1" x14ac:dyDescent="0.25">
      <c r="A65" s="607"/>
      <c r="B65" s="133" t="str">
        <f>IF('Items sous domaines Maths '!H69=1,'Items sous domaines Maths '!B69,0)</f>
        <v>Algèbre</v>
      </c>
      <c r="C65" s="134" t="str">
        <f>IF('Items sous domaines Maths '!H69=1,'Items sous domaines Maths '!C69,0)</f>
        <v>Les polynômes</v>
      </c>
      <c r="D65" s="134">
        <f>IF('Items sous domaines Maths '!H69=1,'Items sous domaines Maths '!D69,0)</f>
        <v>0</v>
      </c>
      <c r="E65" s="134" t="str">
        <f>IF('Items sous domaines Maths '!H69=1,'Items sous domaines Maths '!E69,0)</f>
        <v>Formules de Taylor</v>
      </c>
      <c r="F65" s="135" t="str">
        <f>IF('Items sous domaines Maths '!H69=1,'Items sous domaines Maths '!F69,0)</f>
        <v>Savoir établir la formules de Taylor d'un polynôme, à un ordre n, en 0 et en a réel donné.</v>
      </c>
      <c r="G65" s="590"/>
      <c r="H65" s="578"/>
      <c r="I65" s="214"/>
    </row>
    <row r="66" spans="1:9" ht="19.95" customHeight="1" x14ac:dyDescent="0.25">
      <c r="A66" s="607"/>
      <c r="B66" s="127" t="str">
        <f>IF('Items sous domaines Maths '!H70=1,'Items sous domaines Maths '!B70,0)</f>
        <v>Algèbre</v>
      </c>
      <c r="C66" s="128" t="str">
        <f>IF('Items sous domaines Maths '!H70=1,'Items sous domaines Maths '!C70,0)</f>
        <v>Les polynômes</v>
      </c>
      <c r="D66" s="128" t="str">
        <f>IF('Items sous domaines Maths '!H70=1,'Items sous domaines Maths '!D70,0)</f>
        <v>Décomposition en facteurs irreductibles</v>
      </c>
      <c r="E66" s="128" t="str">
        <f>IF('Items sous domaines Maths '!H70=1,'Items sous domaines Maths '!E70,0)</f>
        <v xml:space="preserve">Racines (ou zéros) d’un polynôme. </v>
      </c>
      <c r="F66" s="129" t="str">
        <f>IF('Items sous domaines Maths '!H70=1,'Items sous domaines Maths '!F70,0)</f>
        <v>Connaître les techniques de détermination des racines d'un polynôme et les factorisations qui en découlent (polynômes d'ordre 2, 3 et plus).</v>
      </c>
      <c r="G66" s="590"/>
      <c r="H66" s="578"/>
      <c r="I66" s="214"/>
    </row>
    <row r="67" spans="1:9" ht="19.95" customHeight="1" x14ac:dyDescent="0.25">
      <c r="A67" s="607"/>
      <c r="B67" s="133" t="str">
        <f>IF('Items sous domaines Maths '!H71=1,'Items sous domaines Maths '!B71,0)</f>
        <v>Algèbre</v>
      </c>
      <c r="C67" s="134" t="str">
        <f>IF('Items sous domaines Maths '!H71=1,'Items sous domaines Maths '!C71,0)</f>
        <v>Les polynômes</v>
      </c>
      <c r="D67" s="134">
        <f>IF('Items sous domaines Maths '!H71=1,'Items sous domaines Maths '!D71,0)</f>
        <v>0</v>
      </c>
      <c r="E67" s="134" t="str">
        <f>IF('Items sous domaines Maths '!H71=1,'Items sous domaines Maths '!E71,0)</f>
        <v xml:space="preserve">Multiplicité d’une racine. </v>
      </c>
      <c r="F67" s="135" t="str">
        <f>IF('Items sous domaines Maths '!H71=1,'Items sous domaines Maths '!F71,0)</f>
        <v>Savoir caractériser l'ordre de multiplicité d'une racine par l'annulation des dérivées successives.</v>
      </c>
      <c r="G67" s="590"/>
      <c r="H67" s="578"/>
      <c r="I67" s="214"/>
    </row>
    <row r="68" spans="1:9" ht="19.95" customHeight="1" thickBot="1" x14ac:dyDescent="0.3">
      <c r="A68" s="608"/>
      <c r="B68" s="136" t="str">
        <f>IF('Items sous domaines Maths '!H72=1,'Items sous domaines Maths '!B72,0)</f>
        <v>Algèbre</v>
      </c>
      <c r="C68" s="137" t="str">
        <f>IF('Items sous domaines Maths '!H72=1,'Items sous domaines Maths '!C72,0)</f>
        <v>Les polynômes</v>
      </c>
      <c r="D68" s="137">
        <f>IF('Items sous domaines Maths '!H72=1,'Items sous domaines Maths '!D72,0)</f>
        <v>0</v>
      </c>
      <c r="E68" s="137">
        <f>IF('Items sous domaines Maths '!H72=1,'Items sous domaines Maths '!E72,0)</f>
        <v>0</v>
      </c>
      <c r="F68" s="138" t="str">
        <f>IF('Items sous domaines Maths '!H72=1,'Items sous domaines Maths '!F72,0)</f>
        <v xml:space="preserve">Savoir que le nombre de racines d’un polynôme P non nul est majoré par le degré de P. </v>
      </c>
      <c r="G68" s="591"/>
      <c r="H68" s="579"/>
      <c r="I68" s="218"/>
    </row>
    <row r="69" spans="1:9" customFormat="1" ht="17.399999999999999" hidden="1" customHeight="1" thickTop="1" x14ac:dyDescent="0.25">
      <c r="B69">
        <f>IF('Items sous domaines Maths '!H73=1,'Items sous domaines Maths '!B73,0)</f>
        <v>0</v>
      </c>
      <c r="C69">
        <f>IF('Items sous domaines Maths '!H73=1,'Items sous domaines Maths '!C73,0)</f>
        <v>0</v>
      </c>
      <c r="D69">
        <f>IF('Items sous domaines Maths '!H73=1,'Items sous domaines Maths '!D73,0)</f>
        <v>0</v>
      </c>
      <c r="E69">
        <f>IF('Items sous domaines Maths '!H73=1,'Items sous domaines Maths '!E73,0)</f>
        <v>0</v>
      </c>
      <c r="F69">
        <f>IF('Items sous domaines Maths '!H73=1,'Items sous domaines Maths '!F73,0)</f>
        <v>0</v>
      </c>
      <c r="G69">
        <f>IF('Items sous domaines Maths '!H73=1,'Items sous domaines Maths '!G73,0)</f>
        <v>0</v>
      </c>
    </row>
    <row r="70" spans="1:9" customFormat="1" ht="17.399999999999999" hidden="1" customHeight="1" x14ac:dyDescent="0.25">
      <c r="B70">
        <f>IF('Items sous domaines Maths '!H74=1,'Items sous domaines Maths '!B74,0)</f>
        <v>0</v>
      </c>
      <c r="C70">
        <f>IF('Items sous domaines Maths '!H74=1,'Items sous domaines Maths '!C74,0)</f>
        <v>0</v>
      </c>
      <c r="D70">
        <f>IF('Items sous domaines Maths '!H74=1,'Items sous domaines Maths '!D74,0)</f>
        <v>0</v>
      </c>
      <c r="E70">
        <f>IF('Items sous domaines Maths '!H74=1,'Items sous domaines Maths '!E74,0)</f>
        <v>0</v>
      </c>
      <c r="F70">
        <f>IF('Items sous domaines Maths '!H74=1,'Items sous domaines Maths '!F74,0)</f>
        <v>0</v>
      </c>
      <c r="G70">
        <f>IF('Items sous domaines Maths '!H74=1,'Items sous domaines Maths '!G74,0)</f>
        <v>0</v>
      </c>
    </row>
    <row r="71" spans="1:9" customFormat="1" ht="17.399999999999999" hidden="1" customHeight="1" x14ac:dyDescent="0.25">
      <c r="B71">
        <f>IF('Items sous domaines Maths '!H75=1,'Items sous domaines Maths '!B75,0)</f>
        <v>0</v>
      </c>
      <c r="C71">
        <f>IF('Items sous domaines Maths '!H75=1,'Items sous domaines Maths '!C75,0)</f>
        <v>0</v>
      </c>
      <c r="D71">
        <f>IF('Items sous domaines Maths '!H75=1,'Items sous domaines Maths '!D75,0)</f>
        <v>0</v>
      </c>
      <c r="E71">
        <f>IF('Items sous domaines Maths '!H75=1,'Items sous domaines Maths '!E75,0)</f>
        <v>0</v>
      </c>
      <c r="F71">
        <f>IF('Items sous domaines Maths '!H75=1,'Items sous domaines Maths '!F75,0)</f>
        <v>0</v>
      </c>
      <c r="G71">
        <f>IF('Items sous domaines Maths '!H75=1,'Items sous domaines Maths '!G75,0)</f>
        <v>0</v>
      </c>
    </row>
    <row r="72" spans="1:9" customFormat="1" ht="17.399999999999999" hidden="1" customHeight="1" x14ac:dyDescent="0.25">
      <c r="B72">
        <f>IF('Items sous domaines Maths '!H76=1,'Items sous domaines Maths '!B76,0)</f>
        <v>0</v>
      </c>
      <c r="C72">
        <f>IF('Items sous domaines Maths '!H76=1,'Items sous domaines Maths '!C76,0)</f>
        <v>0</v>
      </c>
      <c r="D72">
        <f>IF('Items sous domaines Maths '!H76=1,'Items sous domaines Maths '!D76,0)</f>
        <v>0</v>
      </c>
      <c r="E72">
        <f>IF('Items sous domaines Maths '!H76=1,'Items sous domaines Maths '!E76,0)</f>
        <v>0</v>
      </c>
      <c r="F72">
        <f>IF('Items sous domaines Maths '!H76=1,'Items sous domaines Maths '!F76,0)</f>
        <v>0</v>
      </c>
      <c r="G72">
        <f>IF('Items sous domaines Maths '!H76=1,'Items sous domaines Maths '!G76,0)</f>
        <v>0</v>
      </c>
    </row>
    <row r="73" spans="1:9" customFormat="1" ht="17.399999999999999" hidden="1" customHeight="1" x14ac:dyDescent="0.25">
      <c r="B73">
        <f>IF('Items sous domaines Maths '!H77=1,'Items sous domaines Maths '!B77,0)</f>
        <v>0</v>
      </c>
      <c r="C73">
        <f>IF('Items sous domaines Maths '!H77=1,'Items sous domaines Maths '!C77,0)</f>
        <v>0</v>
      </c>
      <c r="D73">
        <f>IF('Items sous domaines Maths '!H77=1,'Items sous domaines Maths '!D77,0)</f>
        <v>0</v>
      </c>
      <c r="E73">
        <f>IF('Items sous domaines Maths '!H77=1,'Items sous domaines Maths '!E77,0)</f>
        <v>0</v>
      </c>
      <c r="F73">
        <f>IF('Items sous domaines Maths '!H77=1,'Items sous domaines Maths '!F77,0)</f>
        <v>0</v>
      </c>
      <c r="G73">
        <f>IF('Items sous domaines Maths '!H77=1,'Items sous domaines Maths '!G77,0)</f>
        <v>0</v>
      </c>
    </row>
    <row r="74" spans="1:9" customFormat="1" ht="17.399999999999999" hidden="1" customHeight="1" x14ac:dyDescent="0.25">
      <c r="B74">
        <f>IF('Items sous domaines Maths '!H78=1,'Items sous domaines Maths '!B78,0)</f>
        <v>0</v>
      </c>
      <c r="C74">
        <f>IF('Items sous domaines Maths '!H78=1,'Items sous domaines Maths '!C78,0)</f>
        <v>0</v>
      </c>
      <c r="D74">
        <f>IF('Items sous domaines Maths '!H78=1,'Items sous domaines Maths '!D78,0)</f>
        <v>0</v>
      </c>
      <c r="E74">
        <f>IF('Items sous domaines Maths '!H78=1,'Items sous domaines Maths '!E78,0)</f>
        <v>0</v>
      </c>
      <c r="F74">
        <f>IF('Items sous domaines Maths '!H78=1,'Items sous domaines Maths '!F78,0)</f>
        <v>0</v>
      </c>
      <c r="G74">
        <f>IF('Items sous domaines Maths '!H78=1,'Items sous domaines Maths '!G78,0)</f>
        <v>0</v>
      </c>
    </row>
    <row r="75" spans="1:9" customFormat="1" ht="17.399999999999999" hidden="1" customHeight="1" x14ac:dyDescent="0.25">
      <c r="B75">
        <f>IF('Items sous domaines Maths '!H79=1,'Items sous domaines Maths '!B79,0)</f>
        <v>0</v>
      </c>
      <c r="C75">
        <f>IF('Items sous domaines Maths '!H79=1,'Items sous domaines Maths '!C79,0)</f>
        <v>0</v>
      </c>
      <c r="D75">
        <f>IF('Items sous domaines Maths '!H79=1,'Items sous domaines Maths '!D79,0)</f>
        <v>0</v>
      </c>
      <c r="E75">
        <f>IF('Items sous domaines Maths '!H79=1,'Items sous domaines Maths '!E79,0)</f>
        <v>0</v>
      </c>
      <c r="F75">
        <f>IF('Items sous domaines Maths '!H79=1,'Items sous domaines Maths '!F79,0)</f>
        <v>0</v>
      </c>
      <c r="G75">
        <f>IF('Items sous domaines Maths '!H79=1,'Items sous domaines Maths '!G79,0)</f>
        <v>0</v>
      </c>
    </row>
    <row r="76" spans="1:9" customFormat="1" ht="17.399999999999999" hidden="1" customHeight="1" x14ac:dyDescent="0.25">
      <c r="B76">
        <f>IF('Items sous domaines Maths '!H80=1,'Items sous domaines Maths '!B80,0)</f>
        <v>0</v>
      </c>
      <c r="C76">
        <f>IF('Items sous domaines Maths '!H80=1,'Items sous domaines Maths '!C80,0)</f>
        <v>0</v>
      </c>
      <c r="D76">
        <f>IF('Items sous domaines Maths '!H80=1,'Items sous domaines Maths '!D80,0)</f>
        <v>0</v>
      </c>
      <c r="E76">
        <f>IF('Items sous domaines Maths '!H80=1,'Items sous domaines Maths '!E80,0)</f>
        <v>0</v>
      </c>
      <c r="F76">
        <f>IF('Items sous domaines Maths '!H80=1,'Items sous domaines Maths '!F80,0)</f>
        <v>0</v>
      </c>
      <c r="G76">
        <f>IF('Items sous domaines Maths '!H80=1,'Items sous domaines Maths '!G80,0)</f>
        <v>0</v>
      </c>
    </row>
    <row r="77" spans="1:9" customFormat="1" ht="17.399999999999999" hidden="1" customHeight="1" x14ac:dyDescent="0.25">
      <c r="B77">
        <f>IF('Items sous domaines Maths '!H81=1,'Items sous domaines Maths '!B81,0)</f>
        <v>0</v>
      </c>
      <c r="C77">
        <f>IF('Items sous domaines Maths '!H81=1,'Items sous domaines Maths '!C81,0)</f>
        <v>0</v>
      </c>
      <c r="D77">
        <f>IF('Items sous domaines Maths '!H81=1,'Items sous domaines Maths '!D81,0)</f>
        <v>0</v>
      </c>
      <c r="E77">
        <f>IF('Items sous domaines Maths '!H81=1,'Items sous domaines Maths '!E81,0)</f>
        <v>0</v>
      </c>
      <c r="F77">
        <f>IF('Items sous domaines Maths '!H81=1,'Items sous domaines Maths '!F81,0)</f>
        <v>0</v>
      </c>
      <c r="G77">
        <f>IF('Items sous domaines Maths '!H81=1,'Items sous domaines Maths '!G81,0)</f>
        <v>0</v>
      </c>
    </row>
    <row r="78" spans="1:9" customFormat="1" ht="17.399999999999999" hidden="1" customHeight="1" x14ac:dyDescent="0.25">
      <c r="B78">
        <f>IF('Items sous domaines Maths '!H82=1,'Items sous domaines Maths '!B82,0)</f>
        <v>0</v>
      </c>
      <c r="C78">
        <f>IF('Items sous domaines Maths '!H82=1,'Items sous domaines Maths '!C82,0)</f>
        <v>0</v>
      </c>
      <c r="D78">
        <f>IF('Items sous domaines Maths '!H82=1,'Items sous domaines Maths '!D82,0)</f>
        <v>0</v>
      </c>
      <c r="E78">
        <f>IF('Items sous domaines Maths '!H82=1,'Items sous domaines Maths '!E82,0)</f>
        <v>0</v>
      </c>
      <c r="F78">
        <f>IF('Items sous domaines Maths '!H82=1,'Items sous domaines Maths '!F82,0)</f>
        <v>0</v>
      </c>
      <c r="G78">
        <f>IF('Items sous domaines Maths '!H82=1,'Items sous domaines Maths '!G82,0)</f>
        <v>0</v>
      </c>
    </row>
    <row r="79" spans="1:9" customFormat="1" ht="17.399999999999999" hidden="1" customHeight="1" x14ac:dyDescent="0.25">
      <c r="B79">
        <f>IF('Items sous domaines Maths '!H83=1,'Items sous domaines Maths '!B83,0)</f>
        <v>0</v>
      </c>
      <c r="C79">
        <f>IF('Items sous domaines Maths '!H83=1,'Items sous domaines Maths '!C83,0)</f>
        <v>0</v>
      </c>
      <c r="D79">
        <f>IF('Items sous domaines Maths '!H83=1,'Items sous domaines Maths '!D83,0)</f>
        <v>0</v>
      </c>
      <c r="E79">
        <f>IF('Items sous domaines Maths '!H83=1,'Items sous domaines Maths '!E83,0)</f>
        <v>0</v>
      </c>
      <c r="F79">
        <f>IF('Items sous domaines Maths '!H83=1,'Items sous domaines Maths '!F83,0)</f>
        <v>0</v>
      </c>
      <c r="G79">
        <f>IF('Items sous domaines Maths '!H83=1,'Items sous domaines Maths '!G83,0)</f>
        <v>0</v>
      </c>
    </row>
    <row r="80" spans="1:9" customFormat="1" ht="17.399999999999999" hidden="1" customHeight="1" x14ac:dyDescent="0.25">
      <c r="B80">
        <f>IF('Items sous domaines Maths '!H84=1,'Items sous domaines Maths '!B84,0)</f>
        <v>0</v>
      </c>
      <c r="C80">
        <f>IF('Items sous domaines Maths '!H84=1,'Items sous domaines Maths '!C84,0)</f>
        <v>0</v>
      </c>
      <c r="D80">
        <f>IF('Items sous domaines Maths '!H84=1,'Items sous domaines Maths '!D84,0)</f>
        <v>0</v>
      </c>
      <c r="E80">
        <f>IF('Items sous domaines Maths '!H84=1,'Items sous domaines Maths '!E84,0)</f>
        <v>0</v>
      </c>
      <c r="F80">
        <f>IF('Items sous domaines Maths '!H84=1,'Items sous domaines Maths '!F84,0)</f>
        <v>0</v>
      </c>
      <c r="G80">
        <f>IF('Items sous domaines Maths '!H84=1,'Items sous domaines Maths '!G84,0)</f>
        <v>0</v>
      </c>
    </row>
    <row r="81" spans="1:9" customFormat="1" ht="17.399999999999999" hidden="1" customHeight="1" x14ac:dyDescent="0.25">
      <c r="B81">
        <f>IF('Items sous domaines Maths '!H85=1,'Items sous domaines Maths '!B85,0)</f>
        <v>0</v>
      </c>
      <c r="C81">
        <f>IF('Items sous domaines Maths '!H85=1,'Items sous domaines Maths '!C85,0)</f>
        <v>0</v>
      </c>
      <c r="D81">
        <f>IF('Items sous domaines Maths '!H85=1,'Items sous domaines Maths '!D85,0)</f>
        <v>0</v>
      </c>
      <c r="E81">
        <f>IF('Items sous domaines Maths '!H85=1,'Items sous domaines Maths '!E85,0)</f>
        <v>0</v>
      </c>
      <c r="F81">
        <f>IF('Items sous domaines Maths '!H85=1,'Items sous domaines Maths '!F85,0)</f>
        <v>0</v>
      </c>
      <c r="G81">
        <f>IF('Items sous domaines Maths '!H85=1,'Items sous domaines Maths '!G85,0)</f>
        <v>0</v>
      </c>
    </row>
    <row r="82" spans="1:9" customFormat="1" ht="17.399999999999999" hidden="1" customHeight="1" x14ac:dyDescent="0.25">
      <c r="B82">
        <f>IF('Items sous domaines Maths '!H86=1,'Items sous domaines Maths '!B86,0)</f>
        <v>0</v>
      </c>
      <c r="C82">
        <f>IF('Items sous domaines Maths '!H86=1,'Items sous domaines Maths '!C86,0)</f>
        <v>0</v>
      </c>
      <c r="D82">
        <f>IF('Items sous domaines Maths '!H86=1,'Items sous domaines Maths '!D86,0)</f>
        <v>0</v>
      </c>
      <c r="E82">
        <f>IF('Items sous domaines Maths '!H86=1,'Items sous domaines Maths '!E86,0)</f>
        <v>0</v>
      </c>
      <c r="F82">
        <f>IF('Items sous domaines Maths '!H86=1,'Items sous domaines Maths '!F86,0)</f>
        <v>0</v>
      </c>
      <c r="G82">
        <f>IF('Items sous domaines Maths '!H86=1,'Items sous domaines Maths '!G86,0)</f>
        <v>0</v>
      </c>
    </row>
    <row r="83" spans="1:9" customFormat="1" ht="17.399999999999999" hidden="1" customHeight="1" x14ac:dyDescent="0.25">
      <c r="B83">
        <f>IF('Items sous domaines Maths '!H87=1,'Items sous domaines Maths '!B87,0)</f>
        <v>0</v>
      </c>
      <c r="C83">
        <f>IF('Items sous domaines Maths '!H87=1,'Items sous domaines Maths '!C87,0)</f>
        <v>0</v>
      </c>
      <c r="D83">
        <f>IF('Items sous domaines Maths '!H87=1,'Items sous domaines Maths '!D87,0)</f>
        <v>0</v>
      </c>
      <c r="E83">
        <f>IF('Items sous domaines Maths '!H87=1,'Items sous domaines Maths '!E87,0)</f>
        <v>0</v>
      </c>
      <c r="F83">
        <f>IF('Items sous domaines Maths '!H87=1,'Items sous domaines Maths '!F87,0)</f>
        <v>0</v>
      </c>
      <c r="G83">
        <f>IF('Items sous domaines Maths '!H87=1,'Items sous domaines Maths '!G87,0)</f>
        <v>0</v>
      </c>
    </row>
    <row r="84" spans="1:9" customFormat="1" ht="17.399999999999999" hidden="1" customHeight="1" thickBot="1" x14ac:dyDescent="0.3">
      <c r="B84">
        <f>IF('Items sous domaines Maths '!H88=1,'Items sous domaines Maths '!B88,0)</f>
        <v>0</v>
      </c>
      <c r="C84">
        <f>IF('Items sous domaines Maths '!H88=1,'Items sous domaines Maths '!C88,0)</f>
        <v>0</v>
      </c>
      <c r="D84">
        <f>IF('Items sous domaines Maths '!H88=1,'Items sous domaines Maths '!D88,0)</f>
        <v>0</v>
      </c>
      <c r="E84">
        <f>IF('Items sous domaines Maths '!H88=1,'Items sous domaines Maths '!E88,0)</f>
        <v>0</v>
      </c>
      <c r="F84">
        <f>IF('Items sous domaines Maths '!H88=1,'Items sous domaines Maths '!F88,0)</f>
        <v>0</v>
      </c>
      <c r="G84">
        <f>IF('Items sous domaines Maths '!H88=1,'Items sous domaines Maths '!G88,0)</f>
        <v>0</v>
      </c>
    </row>
    <row r="85" spans="1:9" ht="19.95" hidden="1" customHeight="1" thickTop="1" thickBot="1" x14ac:dyDescent="0.3">
      <c r="A85" s="615" t="s">
        <v>538</v>
      </c>
      <c r="B85" s="219">
        <f>IF('Items sous domaines Maths '!H89=1,'Items sous domaines Maths '!B89,0)</f>
        <v>0</v>
      </c>
      <c r="C85" s="220">
        <f>IF('Items sous domaines Maths '!H89=1,'Items sous domaines Maths '!C89,0)</f>
        <v>0</v>
      </c>
      <c r="D85" s="220">
        <f>IF('Items sous domaines Maths '!H89=1,'Items sous domaines Maths '!D89,0)</f>
        <v>0</v>
      </c>
      <c r="E85" s="220">
        <f>IF('Items sous domaines Maths '!H89=1,'Items sous domaines Maths '!E89,0)</f>
        <v>0</v>
      </c>
      <c r="F85" s="221">
        <f>IF('Items sous domaines Maths '!H89=1,'Items sous domaines Maths '!F89,0)</f>
        <v>0</v>
      </c>
      <c r="G85" s="593" t="s">
        <v>446</v>
      </c>
      <c r="H85" s="601" t="s">
        <v>107</v>
      </c>
      <c r="I85" s="222"/>
    </row>
    <row r="86" spans="1:9" customFormat="1" ht="17.399999999999999" hidden="1" customHeight="1" thickTop="1" x14ac:dyDescent="0.25">
      <c r="A86" s="597"/>
      <c r="B86">
        <f>IF('Items sous domaines Maths '!H90=1,'Items sous domaines Maths '!B90,0)</f>
        <v>0</v>
      </c>
      <c r="C86">
        <f>IF('Items sous domaines Maths '!H90=1,'Items sous domaines Maths '!C90,0)</f>
        <v>0</v>
      </c>
      <c r="D86">
        <f>IF('Items sous domaines Maths '!H90=1,'Items sous domaines Maths '!D90,0)</f>
        <v>0</v>
      </c>
      <c r="E86">
        <f>IF('Items sous domaines Maths '!H90=1,'Items sous domaines Maths '!E90,0)</f>
        <v>0</v>
      </c>
      <c r="F86">
        <f>IF('Items sous domaines Maths '!H90=1,'Items sous domaines Maths '!F90,0)</f>
        <v>0</v>
      </c>
      <c r="G86" s="592"/>
      <c r="H86" s="580"/>
    </row>
    <row r="87" spans="1:9" customFormat="1" ht="17.399999999999999" hidden="1" customHeight="1" x14ac:dyDescent="0.25">
      <c r="A87" s="597"/>
      <c r="B87">
        <f>IF('Items sous domaines Maths '!H91=1,'Items sous domaines Maths '!B91,0)</f>
        <v>0</v>
      </c>
      <c r="C87">
        <f>IF('Items sous domaines Maths '!H91=1,'Items sous domaines Maths '!C91,0)</f>
        <v>0</v>
      </c>
      <c r="D87">
        <f>IF('Items sous domaines Maths '!H91=1,'Items sous domaines Maths '!D91,0)</f>
        <v>0</v>
      </c>
      <c r="E87">
        <f>IF('Items sous domaines Maths '!H91=1,'Items sous domaines Maths '!E91,0)</f>
        <v>0</v>
      </c>
      <c r="F87">
        <f>IF('Items sous domaines Maths '!H91=1,'Items sous domaines Maths '!F91,0)</f>
        <v>0</v>
      </c>
      <c r="G87" s="592"/>
      <c r="H87" s="580"/>
    </row>
    <row r="88" spans="1:9" customFormat="1" ht="17.399999999999999" hidden="1" customHeight="1" x14ac:dyDescent="0.25">
      <c r="A88" s="597"/>
      <c r="B88">
        <f>IF('Items sous domaines Maths '!H92=1,'Items sous domaines Maths '!B92,0)</f>
        <v>0</v>
      </c>
      <c r="C88">
        <f>IF('Items sous domaines Maths '!H92=1,'Items sous domaines Maths '!C92,0)</f>
        <v>0</v>
      </c>
      <c r="D88">
        <f>IF('Items sous domaines Maths '!H92=1,'Items sous domaines Maths '!D92,0)</f>
        <v>0</v>
      </c>
      <c r="E88">
        <f>IF('Items sous domaines Maths '!H92=1,'Items sous domaines Maths '!E92,0)</f>
        <v>0</v>
      </c>
      <c r="F88">
        <f>IF('Items sous domaines Maths '!H92=1,'Items sous domaines Maths '!F92,0)</f>
        <v>0</v>
      </c>
      <c r="G88" s="592"/>
      <c r="H88" s="580"/>
    </row>
    <row r="89" spans="1:9" customFormat="1" ht="17.7" hidden="1" customHeight="1" x14ac:dyDescent="0.25">
      <c r="A89" s="597"/>
      <c r="B89">
        <f>IF('Items sous domaines Maths '!H93=1,'Items sous domaines Maths '!B93,0)</f>
        <v>0</v>
      </c>
      <c r="C89">
        <f>IF('Items sous domaines Maths '!H93=1,'Items sous domaines Maths '!C93,0)</f>
        <v>0</v>
      </c>
      <c r="D89">
        <f>IF('Items sous domaines Maths '!H93=1,'Items sous domaines Maths '!D93,0)</f>
        <v>0</v>
      </c>
      <c r="E89">
        <f>IF('Items sous domaines Maths '!H93=1,'Items sous domaines Maths '!E93,0)</f>
        <v>0</v>
      </c>
      <c r="F89">
        <f>IF('Items sous domaines Maths '!H93=1,'Items sous domaines Maths '!F93,0)</f>
        <v>0</v>
      </c>
      <c r="G89" s="592"/>
      <c r="H89" s="580"/>
    </row>
    <row r="90" spans="1:9" customFormat="1" ht="17.7" hidden="1" customHeight="1" thickBot="1" x14ac:dyDescent="0.3">
      <c r="A90" s="597"/>
      <c r="B90">
        <f>IF('Items sous domaines Maths '!H94=1,'Items sous domaines Maths '!B94,0)</f>
        <v>0</v>
      </c>
      <c r="C90">
        <f>IF('Items sous domaines Maths '!H94=1,'Items sous domaines Maths '!C94,0)</f>
        <v>0</v>
      </c>
      <c r="D90">
        <f>IF('Items sous domaines Maths '!H94=1,'Items sous domaines Maths '!D94,0)</f>
        <v>0</v>
      </c>
      <c r="E90">
        <f>IF('Items sous domaines Maths '!H94=1,'Items sous domaines Maths '!E94,0)</f>
        <v>0</v>
      </c>
      <c r="F90">
        <f>IF('Items sous domaines Maths '!H94=1,'Items sous domaines Maths '!F94,0)</f>
        <v>0</v>
      </c>
      <c r="G90" s="592"/>
      <c r="H90" s="580"/>
    </row>
    <row r="91" spans="1:9" customFormat="1" ht="17.7" hidden="1" customHeight="1" x14ac:dyDescent="0.25">
      <c r="A91" s="616"/>
      <c r="B91">
        <f>IF('Items sous domaines Maths '!H95=1,'Items sous domaines Maths '!B95,0)</f>
        <v>0</v>
      </c>
      <c r="C91">
        <f>IF('Items sous domaines Maths '!H95=1,'Items sous domaines Maths '!C95,0)</f>
        <v>0</v>
      </c>
      <c r="D91">
        <f>IF('Items sous domaines Maths '!H95=1,'Items sous domaines Maths '!D95,0)</f>
        <v>0</v>
      </c>
      <c r="E91">
        <f>IF('Items sous domaines Maths '!H95=1,'Items sous domaines Maths '!E95,0)</f>
        <v>0</v>
      </c>
      <c r="F91">
        <f>IF('Items sous domaines Maths '!H95=1,'Items sous domaines Maths '!F95,0)</f>
        <v>0</v>
      </c>
      <c r="G91" s="592"/>
      <c r="H91" s="580"/>
    </row>
    <row r="92" spans="1:9" customFormat="1" ht="17.7" hidden="1" customHeight="1" x14ac:dyDescent="0.25">
      <c r="A92" s="617"/>
      <c r="B92">
        <f>IF('Items sous domaines Maths '!H96=1,'Items sous domaines Maths '!B96,0)</f>
        <v>0</v>
      </c>
      <c r="C92">
        <f>IF('Items sous domaines Maths '!H96=1,'Items sous domaines Maths '!C96,0)</f>
        <v>0</v>
      </c>
      <c r="D92">
        <f>IF('Items sous domaines Maths '!H96=1,'Items sous domaines Maths '!D96,0)</f>
        <v>0</v>
      </c>
      <c r="E92">
        <f>IF('Items sous domaines Maths '!H96=1,'Items sous domaines Maths '!E96,0)</f>
        <v>0</v>
      </c>
      <c r="F92">
        <f>IF('Items sous domaines Maths '!H96=1,'Items sous domaines Maths '!F96,0)</f>
        <v>0</v>
      </c>
      <c r="G92" s="592"/>
      <c r="H92" s="580"/>
    </row>
    <row r="93" spans="1:9" customFormat="1" ht="17.7" hidden="1" customHeight="1" thickBot="1" x14ac:dyDescent="0.3">
      <c r="A93" s="617"/>
      <c r="B93">
        <f>IF('Items sous domaines Maths '!H97=1,'Items sous domaines Maths '!B97,0)</f>
        <v>0</v>
      </c>
      <c r="C93">
        <f>IF('Items sous domaines Maths '!H97=1,'Items sous domaines Maths '!C97,0)</f>
        <v>0</v>
      </c>
      <c r="D93">
        <f>IF('Items sous domaines Maths '!H97=1,'Items sous domaines Maths '!D97,0)</f>
        <v>0</v>
      </c>
      <c r="E93">
        <f>IF('Items sous domaines Maths '!H97=1,'Items sous domaines Maths '!E97,0)</f>
        <v>0</v>
      </c>
      <c r="F93">
        <f>IF('Items sous domaines Maths '!H97=1,'Items sous domaines Maths '!F97,0)</f>
        <v>0</v>
      </c>
      <c r="G93" s="592"/>
      <c r="H93" s="580"/>
    </row>
    <row r="94" spans="1:9" ht="19.95" hidden="1" customHeight="1" thickTop="1" x14ac:dyDescent="0.25">
      <c r="A94" s="609"/>
      <c r="B94" s="223">
        <f>IF('Items sous domaines Maths '!H98=1,'Items sous domaines Maths '!B98,0)</f>
        <v>0</v>
      </c>
      <c r="C94" s="224">
        <f>IF('Items sous domaines Maths '!H98=1,'Items sous domaines Maths '!C98,0)</f>
        <v>0</v>
      </c>
      <c r="D94" s="224">
        <f>IF('Items sous domaines Maths '!H98=1,'Items sous domaines Maths '!D98,0)</f>
        <v>0</v>
      </c>
      <c r="E94" s="224">
        <f>IF('Items sous domaines Maths '!H98=1,'Items sous domaines Maths '!E98,0)</f>
        <v>0</v>
      </c>
      <c r="F94" s="225">
        <f>IF('Items sous domaines Maths '!H98=1,'Items sous domaines Maths '!F98,0)</f>
        <v>0</v>
      </c>
      <c r="G94" s="589"/>
      <c r="H94" s="577"/>
      <c r="I94" s="213"/>
    </row>
    <row r="95" spans="1:9" ht="19.95" hidden="1" customHeight="1" thickBot="1" x14ac:dyDescent="0.3">
      <c r="A95" s="608"/>
      <c r="B95" s="130">
        <f>IF('Items sous domaines Maths '!H99=1,'Items sous domaines Maths '!B99,0)</f>
        <v>0</v>
      </c>
      <c r="C95" s="131">
        <f>IF('Items sous domaines Maths '!H99=1,'Items sous domaines Maths '!C99,0)</f>
        <v>0</v>
      </c>
      <c r="D95" s="131">
        <f>IF('Items sous domaines Maths '!H99=1,'Items sous domaines Maths '!D99,0)</f>
        <v>0</v>
      </c>
      <c r="E95" s="131">
        <f>IF('Items sous domaines Maths '!H99=1,'Items sous domaines Maths '!E99,0)</f>
        <v>0</v>
      </c>
      <c r="F95" s="132">
        <f>IF('Items sous domaines Maths '!H99=1,'Items sous domaines Maths '!F99,0)</f>
        <v>0</v>
      </c>
      <c r="G95" s="591"/>
      <c r="H95" s="579"/>
      <c r="I95" s="218"/>
    </row>
    <row r="96" spans="1:9" customFormat="1" ht="17.7" hidden="1" customHeight="1" thickTop="1" thickBot="1" x14ac:dyDescent="0.3">
      <c r="A96" s="617"/>
      <c r="B96">
        <f>IF('Items sous domaines Maths '!H100=1,'Items sous domaines Maths '!B100,0)</f>
        <v>0</v>
      </c>
      <c r="C96">
        <f>IF('Items sous domaines Maths '!H100=1,'Items sous domaines Maths '!C100,0)</f>
        <v>0</v>
      </c>
      <c r="D96">
        <f>IF('Items sous domaines Maths '!H100=1,'Items sous domaines Maths '!D100,0)</f>
        <v>0</v>
      </c>
      <c r="E96">
        <f>IF('Items sous domaines Maths '!H100=1,'Items sous domaines Maths '!E100,0)</f>
        <v>0</v>
      </c>
      <c r="F96">
        <f>IF('Items sous domaines Maths '!H100=1,'Items sous domaines Maths '!F100,0)</f>
        <v>0</v>
      </c>
      <c r="G96" s="592"/>
      <c r="H96" s="580"/>
    </row>
    <row r="97" spans="1:9" ht="19.95" hidden="1" customHeight="1" thickTop="1" thickBot="1" x14ac:dyDescent="0.3">
      <c r="A97" s="615"/>
      <c r="B97" s="226">
        <f>IF('Items sous domaines Maths '!H101=1,'Items sous domaines Maths '!B101,0)</f>
        <v>0</v>
      </c>
      <c r="C97" s="227">
        <f>IF('Items sous domaines Maths '!H101=1,'Items sous domaines Maths '!C101,0)</f>
        <v>0</v>
      </c>
      <c r="D97" s="227">
        <f>IF('Items sous domaines Maths '!H101=1,'Items sous domaines Maths '!D101,0)</f>
        <v>0</v>
      </c>
      <c r="E97" s="227">
        <f>IF('Items sous domaines Maths '!H101=1,'Items sous domaines Maths '!E101,0)</f>
        <v>0</v>
      </c>
      <c r="F97" s="228">
        <f>IF('Items sous domaines Maths '!H101=1,'Items sous domaines Maths '!F101,0)</f>
        <v>0</v>
      </c>
      <c r="G97" s="593"/>
      <c r="H97" s="601"/>
      <c r="I97" s="229" t="s">
        <v>22</v>
      </c>
    </row>
    <row r="98" spans="1:9" customFormat="1" ht="17.7" hidden="1" customHeight="1" thickTop="1" thickBot="1" x14ac:dyDescent="0.3">
      <c r="A98" s="597"/>
      <c r="B98">
        <f>IF('Items sous domaines Maths '!H102=1,'Items sous domaines Maths '!B102,0)</f>
        <v>0</v>
      </c>
      <c r="C98">
        <f>IF('Items sous domaines Maths '!H102=1,'Items sous domaines Maths '!C102,0)</f>
        <v>0</v>
      </c>
      <c r="D98">
        <f>IF('Items sous domaines Maths '!H102=1,'Items sous domaines Maths '!D102,0)</f>
        <v>0</v>
      </c>
      <c r="E98">
        <f>IF('Items sous domaines Maths '!H102=1,'Items sous domaines Maths '!E102,0)</f>
        <v>0</v>
      </c>
      <c r="F98">
        <f>IF('Items sous domaines Maths '!H102=1,'Items sous domaines Maths '!F102,0)</f>
        <v>0</v>
      </c>
      <c r="G98" s="592"/>
      <c r="H98" s="580"/>
    </row>
    <row r="99" spans="1:9" ht="19.95" hidden="1" customHeight="1" thickTop="1" x14ac:dyDescent="0.25">
      <c r="A99" s="609"/>
      <c r="B99" s="210">
        <f>IF('Items sous domaines Maths '!H103=1,'Items sous domaines Maths '!B103,0)</f>
        <v>0</v>
      </c>
      <c r="C99" s="211">
        <f>IF('Items sous domaines Maths '!H103=1,'Items sous domaines Maths '!C103,0)</f>
        <v>0</v>
      </c>
      <c r="D99" s="211">
        <f>IF('Items sous domaines Maths '!H103=1,'Items sous domaines Maths '!D103,0)</f>
        <v>0</v>
      </c>
      <c r="E99" s="211">
        <f>IF('Items sous domaines Maths '!H103=1,'Items sous domaines Maths '!E103,0)</f>
        <v>0</v>
      </c>
      <c r="F99" s="212">
        <f>IF('Items sous domaines Maths '!H103=1,'Items sous domaines Maths '!F103,0)</f>
        <v>0</v>
      </c>
      <c r="G99" s="589"/>
      <c r="H99" s="577"/>
      <c r="I99" s="213"/>
    </row>
    <row r="100" spans="1:9" ht="19.95" hidden="1" customHeight="1" x14ac:dyDescent="0.25">
      <c r="A100" s="607"/>
      <c r="B100" s="127">
        <f>IF('Items sous domaines Maths '!H104=1,'Items sous domaines Maths '!B104,0)</f>
        <v>0</v>
      </c>
      <c r="C100" s="128">
        <f>IF('Items sous domaines Maths '!H104=1,'Items sous domaines Maths '!C104,0)</f>
        <v>0</v>
      </c>
      <c r="D100" s="128">
        <f>IF('Items sous domaines Maths '!H104=1,'Items sous domaines Maths '!D104,0)</f>
        <v>0</v>
      </c>
      <c r="E100" s="128">
        <f>IF('Items sous domaines Maths '!H104=1,'Items sous domaines Maths '!E104,0)</f>
        <v>0</v>
      </c>
      <c r="F100" s="129">
        <f>IF('Items sous domaines Maths '!H104=1,'Items sous domaines Maths '!F104,0)</f>
        <v>0</v>
      </c>
      <c r="G100" s="590"/>
      <c r="H100" s="578"/>
      <c r="I100" s="230" t="s">
        <v>126</v>
      </c>
    </row>
    <row r="101" spans="1:9" ht="19.95" hidden="1" customHeight="1" x14ac:dyDescent="0.25">
      <c r="A101" s="607"/>
      <c r="B101" s="133">
        <f>IF('Items sous domaines Maths '!H105=1,'Items sous domaines Maths '!B105,0)</f>
        <v>0</v>
      </c>
      <c r="C101" s="134">
        <f>IF('Items sous domaines Maths '!H105=1,'Items sous domaines Maths '!C105,0)</f>
        <v>0</v>
      </c>
      <c r="D101" s="134">
        <f>IF('Items sous domaines Maths '!H105=1,'Items sous domaines Maths '!D105,0)</f>
        <v>0</v>
      </c>
      <c r="E101" s="134">
        <f>IF('Items sous domaines Maths '!H105=1,'Items sous domaines Maths '!E105,0)</f>
        <v>0</v>
      </c>
      <c r="F101" s="135">
        <f>IF('Items sous domaines Maths '!H105=1,'Items sous domaines Maths '!F105,0)</f>
        <v>0</v>
      </c>
      <c r="G101" s="590"/>
      <c r="H101" s="578"/>
      <c r="I101" s="214"/>
    </row>
    <row r="102" spans="1:9" ht="19.95" hidden="1" customHeight="1" x14ac:dyDescent="0.25">
      <c r="A102" s="607"/>
      <c r="B102" s="127">
        <f>IF('Items sous domaines Maths '!H106=1,'Items sous domaines Maths '!B106,0)</f>
        <v>0</v>
      </c>
      <c r="C102" s="128">
        <f>IF('Items sous domaines Maths '!H106=1,'Items sous domaines Maths '!C106,0)</f>
        <v>0</v>
      </c>
      <c r="D102" s="128">
        <f>IF('Items sous domaines Maths '!H106=1,'Items sous domaines Maths '!D106,0)</f>
        <v>0</v>
      </c>
      <c r="E102" s="128">
        <f>IF('Items sous domaines Maths '!H106=1,'Items sous domaines Maths '!E106,0)</f>
        <v>0</v>
      </c>
      <c r="F102" s="129">
        <f>IF('Items sous domaines Maths '!H106=1,'Items sous domaines Maths '!F106,0)</f>
        <v>0</v>
      </c>
      <c r="G102" s="590"/>
      <c r="H102" s="578"/>
      <c r="I102" s="214"/>
    </row>
    <row r="103" spans="1:9" ht="19.95" hidden="1" customHeight="1" x14ac:dyDescent="0.25">
      <c r="A103" s="607"/>
      <c r="B103" s="133">
        <f>IF('Items sous domaines Maths '!H107=1,'Items sous domaines Maths '!B107,0)</f>
        <v>0</v>
      </c>
      <c r="C103" s="134">
        <f>IF('Items sous domaines Maths '!H107=1,'Items sous domaines Maths '!C107,0)</f>
        <v>0</v>
      </c>
      <c r="D103" s="134">
        <f>IF('Items sous domaines Maths '!H107=1,'Items sous domaines Maths '!D107,0)</f>
        <v>0</v>
      </c>
      <c r="E103" s="134">
        <f>IF('Items sous domaines Maths '!H107=1,'Items sous domaines Maths '!E107,0)</f>
        <v>0</v>
      </c>
      <c r="F103" s="135">
        <f>IF('Items sous domaines Maths '!H107=1,'Items sous domaines Maths '!F107,0)</f>
        <v>0</v>
      </c>
      <c r="G103" s="590"/>
      <c r="H103" s="578"/>
      <c r="I103" s="214"/>
    </row>
    <row r="104" spans="1:9" ht="19.95" hidden="1" customHeight="1" thickBot="1" x14ac:dyDescent="0.3">
      <c r="A104" s="608"/>
      <c r="B104" s="136">
        <f>IF('Items sous domaines Maths '!H108=1,'Items sous domaines Maths '!B108,0)</f>
        <v>0</v>
      </c>
      <c r="C104" s="137">
        <f>IF('Items sous domaines Maths '!H108=1,'Items sous domaines Maths '!C108,0)</f>
        <v>0</v>
      </c>
      <c r="D104" s="137">
        <f>IF('Items sous domaines Maths '!H108=1,'Items sous domaines Maths '!D108,0)</f>
        <v>0</v>
      </c>
      <c r="E104" s="137">
        <f>IF('Items sous domaines Maths '!H108=1,'Items sous domaines Maths '!E108,0)</f>
        <v>0</v>
      </c>
      <c r="F104" s="138">
        <f>IF('Items sous domaines Maths '!H108=1,'Items sous domaines Maths '!F108,0)</f>
        <v>0</v>
      </c>
      <c r="G104" s="591"/>
      <c r="H104" s="579"/>
      <c r="I104" s="218"/>
    </row>
    <row r="105" spans="1:9" customFormat="1" ht="17.7" hidden="1" customHeight="1" thickTop="1" x14ac:dyDescent="0.25">
      <c r="A105" s="617"/>
      <c r="B105">
        <f>IF('Items sous domaines Maths '!H109=1,'Items sous domaines Maths '!B109,0)</f>
        <v>0</v>
      </c>
      <c r="C105">
        <f>IF('Items sous domaines Maths '!H109=1,'Items sous domaines Maths '!C109,0)</f>
        <v>0</v>
      </c>
      <c r="D105">
        <f>IF('Items sous domaines Maths '!H109=1,'Items sous domaines Maths '!D109,0)</f>
        <v>0</v>
      </c>
      <c r="E105">
        <f>IF('Items sous domaines Maths '!H109=1,'Items sous domaines Maths '!E109,0)</f>
        <v>0</v>
      </c>
      <c r="F105" s="10">
        <f>IF('Items sous domaines Maths '!H109=1,'Items sous domaines Maths '!F109,0)</f>
        <v>0</v>
      </c>
      <c r="G105">
        <f>IF('Items sous domaines Maths '!H109=1,'Items sous domaines Maths '!G109,0)</f>
        <v>0</v>
      </c>
    </row>
    <row r="106" spans="1:9" customFormat="1" ht="17.7" hidden="1" customHeight="1" x14ac:dyDescent="0.25">
      <c r="A106" s="617"/>
      <c r="B106">
        <f>IF('Items sous domaines Maths '!H110=1,'Items sous domaines Maths '!B110,0)</f>
        <v>0</v>
      </c>
      <c r="C106">
        <f>IF('Items sous domaines Maths '!H110=1,'Items sous domaines Maths '!C110,0)</f>
        <v>0</v>
      </c>
      <c r="D106">
        <f>IF('Items sous domaines Maths '!H110=1,'Items sous domaines Maths '!D110,0)</f>
        <v>0</v>
      </c>
      <c r="E106">
        <f>IF('Items sous domaines Maths '!H110=1,'Items sous domaines Maths '!E110,0)</f>
        <v>0</v>
      </c>
      <c r="F106" s="10">
        <f>IF('Items sous domaines Maths '!H110=1,'Items sous domaines Maths '!F110,0)</f>
        <v>0</v>
      </c>
      <c r="G106">
        <f>IF('Items sous domaines Maths '!H110=1,'Items sous domaines Maths '!G110,0)</f>
        <v>0</v>
      </c>
    </row>
    <row r="107" spans="1:9" customFormat="1" ht="17.7" hidden="1" customHeight="1" thickBot="1" x14ac:dyDescent="0.3">
      <c r="A107" s="618"/>
      <c r="B107" s="11">
        <f>IF('Items sous domaines Maths '!H111=1,'Items sous domaines Maths '!B111,0)</f>
        <v>0</v>
      </c>
      <c r="C107" s="11">
        <f>IF('Items sous domaines Maths '!H111=1,'Items sous domaines Maths '!C111,0)</f>
        <v>0</v>
      </c>
      <c r="D107" s="11">
        <f>IF('Items sous domaines Maths '!H111=1,'Items sous domaines Maths '!D111,0)</f>
        <v>0</v>
      </c>
      <c r="E107" s="11">
        <f>IF('Items sous domaines Maths '!H111=1,'Items sous domaines Maths '!E111,0)</f>
        <v>0</v>
      </c>
      <c r="F107" s="12">
        <f>IF('Items sous domaines Maths '!H111=1,'Items sous domaines Maths '!F111,0)</f>
        <v>0</v>
      </c>
      <c r="G107">
        <f>IF('Items sous domaines Maths '!H111=1,'Items sous domaines Maths '!G111,0)</f>
        <v>0</v>
      </c>
    </row>
    <row r="108" spans="1:9" customFormat="1" ht="17.7" hidden="1" customHeight="1" thickBot="1" x14ac:dyDescent="0.3">
      <c r="B108">
        <f>IF('Items sous domaines Maths '!H112=1,'Items sous domaines Maths '!B112,0)</f>
        <v>0</v>
      </c>
      <c r="C108">
        <f>IF('Items sous domaines Maths '!H112=1,'Items sous domaines Maths '!C112,0)</f>
        <v>0</v>
      </c>
      <c r="D108">
        <f>IF('Items sous domaines Maths '!H112=1,'Items sous domaines Maths '!D112,0)</f>
        <v>0</v>
      </c>
      <c r="E108">
        <f>IF('Items sous domaines Maths '!H112=1,'Items sous domaines Maths '!E112,0)</f>
        <v>0</v>
      </c>
      <c r="F108">
        <f>IF('Items sous domaines Maths '!H112=1,'Items sous domaines Maths '!F112,0)</f>
        <v>0</v>
      </c>
      <c r="G108">
        <f>IF('Items sous domaines Maths '!H112=1,'Items sous domaines Maths '!G112,0)</f>
        <v>0</v>
      </c>
    </row>
    <row r="109" spans="1:9" ht="19.95" hidden="1" customHeight="1" thickTop="1" x14ac:dyDescent="0.25">
      <c r="A109" s="609" t="s">
        <v>535</v>
      </c>
      <c r="B109" s="210">
        <f>IF('Items sous domaines Maths '!H113=1,'Items sous domaines Maths '!B113,0)</f>
        <v>0</v>
      </c>
      <c r="C109" s="211">
        <f>IF('Items sous domaines Maths '!H113=1,'Items sous domaines Maths '!C113,0)</f>
        <v>0</v>
      </c>
      <c r="D109" s="211">
        <f>IF('Items sous domaines Maths '!H113=1,'Items sous domaines Maths '!D113,0)</f>
        <v>0</v>
      </c>
      <c r="E109" s="211">
        <f>IF('Items sous domaines Maths '!H113=1,'Items sous domaines Maths '!E113,0)</f>
        <v>0</v>
      </c>
      <c r="F109" s="212">
        <f>IF('Items sous domaines Maths '!H113=1,'Items sous domaines Maths '!F113,0)</f>
        <v>0</v>
      </c>
      <c r="G109" s="589" t="s">
        <v>446</v>
      </c>
      <c r="H109" s="577" t="s">
        <v>138</v>
      </c>
      <c r="I109" s="213"/>
    </row>
    <row r="110" spans="1:9" ht="19.95" hidden="1" customHeight="1" x14ac:dyDescent="0.25">
      <c r="A110" s="607"/>
      <c r="B110" s="127">
        <f>IF('Items sous domaines Maths '!H114=1,'Items sous domaines Maths '!B114,0)</f>
        <v>0</v>
      </c>
      <c r="C110" s="128">
        <f>IF('Items sous domaines Maths '!H114=1,'Items sous domaines Maths '!C114,0)</f>
        <v>0</v>
      </c>
      <c r="D110" s="128">
        <f>IF('Items sous domaines Maths '!H114=1,'Items sous domaines Maths '!D114,0)</f>
        <v>0</v>
      </c>
      <c r="E110" s="128">
        <f>IF('Items sous domaines Maths '!H114=1,'Items sous domaines Maths '!E114,0)</f>
        <v>0</v>
      </c>
      <c r="F110" s="129">
        <f>IF('Items sous domaines Maths '!H114=1,'Items sous domaines Maths '!F114,0)</f>
        <v>0</v>
      </c>
      <c r="G110" s="590"/>
      <c r="H110" s="578"/>
      <c r="I110" s="214"/>
    </row>
    <row r="111" spans="1:9" ht="19.95" hidden="1" customHeight="1" x14ac:dyDescent="0.25">
      <c r="A111" s="607"/>
      <c r="B111" s="133">
        <f>IF('Items sous domaines Maths '!H115=1,'Items sous domaines Maths '!B115,0)</f>
        <v>0</v>
      </c>
      <c r="C111" s="134">
        <f>IF('Items sous domaines Maths '!H115=1,'Items sous domaines Maths '!C115,0)</f>
        <v>0</v>
      </c>
      <c r="D111" s="134">
        <f>IF('Items sous domaines Maths '!H115=1,'Items sous domaines Maths '!D115,0)</f>
        <v>0</v>
      </c>
      <c r="E111" s="134">
        <f>IF('Items sous domaines Maths '!H115=1,'Items sous domaines Maths '!E115,0)</f>
        <v>0</v>
      </c>
      <c r="F111" s="135">
        <f>IF('Items sous domaines Maths '!H115=1,'Items sous domaines Maths '!F115,0)</f>
        <v>0</v>
      </c>
      <c r="G111" s="590"/>
      <c r="H111" s="578"/>
      <c r="I111" s="230" t="s">
        <v>141</v>
      </c>
    </row>
    <row r="112" spans="1:9" ht="19.95" hidden="1" customHeight="1" x14ac:dyDescent="0.25">
      <c r="A112" s="607"/>
      <c r="B112" s="127">
        <f>IF('Items sous domaines Maths '!H116=1,'Items sous domaines Maths '!B116,0)</f>
        <v>0</v>
      </c>
      <c r="C112" s="128">
        <f>IF('Items sous domaines Maths '!H116=1,'Items sous domaines Maths '!C116,0)</f>
        <v>0</v>
      </c>
      <c r="D112" s="128">
        <f>IF('Items sous domaines Maths '!H116=1,'Items sous domaines Maths '!D116,0)</f>
        <v>0</v>
      </c>
      <c r="E112" s="128">
        <f>IF('Items sous domaines Maths '!H116=1,'Items sous domaines Maths '!E116,0)</f>
        <v>0</v>
      </c>
      <c r="F112" s="129">
        <f>IF('Items sous domaines Maths '!H116=1,'Items sous domaines Maths '!F116,0)</f>
        <v>0</v>
      </c>
      <c r="G112" s="590"/>
      <c r="H112" s="578"/>
      <c r="I112" s="214"/>
    </row>
    <row r="113" spans="1:9" ht="19.95" hidden="1" customHeight="1" x14ac:dyDescent="0.25">
      <c r="A113" s="607"/>
      <c r="B113" s="133">
        <f>IF('Items sous domaines Maths '!H117=1,'Items sous domaines Maths '!B117,0)</f>
        <v>0</v>
      </c>
      <c r="C113" s="134">
        <f>IF('Items sous domaines Maths '!H117=1,'Items sous domaines Maths '!C117,0)</f>
        <v>0</v>
      </c>
      <c r="D113" s="134">
        <f>IF('Items sous domaines Maths '!H117=1,'Items sous domaines Maths '!D117,0)</f>
        <v>0</v>
      </c>
      <c r="E113" s="134">
        <f>IF('Items sous domaines Maths '!H117=1,'Items sous domaines Maths '!E117,0)</f>
        <v>0</v>
      </c>
      <c r="F113" s="135">
        <f>IF('Items sous domaines Maths '!H117=1,'Items sous domaines Maths '!F117,0)</f>
        <v>0</v>
      </c>
      <c r="G113" s="590"/>
      <c r="H113" s="578"/>
      <c r="I113" s="214"/>
    </row>
    <row r="114" spans="1:9" ht="19.95" hidden="1" customHeight="1" x14ac:dyDescent="0.25">
      <c r="A114" s="607"/>
      <c r="B114" s="127">
        <f>IF('Items sous domaines Maths '!H118=1,'Items sous domaines Maths '!B118,0)</f>
        <v>0</v>
      </c>
      <c r="C114" s="128">
        <f>IF('Items sous domaines Maths '!H118=1,'Items sous domaines Maths '!C118,0)</f>
        <v>0</v>
      </c>
      <c r="D114" s="128">
        <f>IF('Items sous domaines Maths '!H118=1,'Items sous domaines Maths '!D118,0)</f>
        <v>0</v>
      </c>
      <c r="E114" s="128">
        <f>IF('Items sous domaines Maths '!H118=1,'Items sous domaines Maths '!E118,0)</f>
        <v>0</v>
      </c>
      <c r="F114" s="129">
        <f>IF('Items sous domaines Maths '!H118=1,'Items sous domaines Maths '!F118,0)</f>
        <v>0</v>
      </c>
      <c r="G114" s="590"/>
      <c r="H114" s="578"/>
      <c r="I114" s="214"/>
    </row>
    <row r="115" spans="1:9" ht="19.95" hidden="1" customHeight="1" x14ac:dyDescent="0.25">
      <c r="A115" s="607"/>
      <c r="B115" s="133">
        <f>IF('Items sous domaines Maths '!H119=1,'Items sous domaines Maths '!B119,0)</f>
        <v>0</v>
      </c>
      <c r="C115" s="134">
        <f>IF('Items sous domaines Maths '!H119=1,'Items sous domaines Maths '!C119,0)</f>
        <v>0</v>
      </c>
      <c r="D115" s="134">
        <f>IF('Items sous domaines Maths '!H119=1,'Items sous domaines Maths '!D119,0)</f>
        <v>0</v>
      </c>
      <c r="E115" s="134">
        <f>IF('Items sous domaines Maths '!H119=1,'Items sous domaines Maths '!E119,0)</f>
        <v>0</v>
      </c>
      <c r="F115" s="135">
        <f>IF('Items sous domaines Maths '!H119=1,'Items sous domaines Maths '!F119,0)</f>
        <v>0</v>
      </c>
      <c r="G115" s="590"/>
      <c r="H115" s="578"/>
      <c r="I115" s="214"/>
    </row>
    <row r="116" spans="1:9" ht="19.95" hidden="1" customHeight="1" x14ac:dyDescent="0.25">
      <c r="A116" s="607"/>
      <c r="B116" s="127">
        <f>IF('Items sous domaines Maths '!H120=1,'Items sous domaines Maths '!B120,0)</f>
        <v>0</v>
      </c>
      <c r="C116" s="128">
        <f>IF('Items sous domaines Maths '!H120=1,'Items sous domaines Maths '!C120,0)</f>
        <v>0</v>
      </c>
      <c r="D116" s="128">
        <f>IF('Items sous domaines Maths '!H120=1,'Items sous domaines Maths '!D120,0)</f>
        <v>0</v>
      </c>
      <c r="E116" s="128">
        <f>IF('Items sous domaines Maths '!H120=1,'Items sous domaines Maths '!E120,0)</f>
        <v>0</v>
      </c>
      <c r="F116" s="129">
        <f>IF('Items sous domaines Maths '!H120=1,'Items sous domaines Maths '!F120,0)</f>
        <v>0</v>
      </c>
      <c r="G116" s="590"/>
      <c r="H116" s="578"/>
      <c r="I116" s="214"/>
    </row>
    <row r="117" spans="1:9" ht="19.95" hidden="1" customHeight="1" x14ac:dyDescent="0.25">
      <c r="A117" s="607"/>
      <c r="B117" s="133">
        <f>IF('Items sous domaines Maths '!H121=1,'Items sous domaines Maths '!B121,0)</f>
        <v>0</v>
      </c>
      <c r="C117" s="134">
        <f>IF('Items sous domaines Maths '!H121=1,'Items sous domaines Maths '!C121,0)</f>
        <v>0</v>
      </c>
      <c r="D117" s="134">
        <f>IF('Items sous domaines Maths '!H121=1,'Items sous domaines Maths '!D121,0)</f>
        <v>0</v>
      </c>
      <c r="E117" s="134">
        <f>IF('Items sous domaines Maths '!H121=1,'Items sous domaines Maths '!E121,0)</f>
        <v>0</v>
      </c>
      <c r="F117" s="135">
        <f>IF('Items sous domaines Maths '!H121=1,'Items sous domaines Maths '!F121,0)</f>
        <v>0</v>
      </c>
      <c r="G117" s="590"/>
      <c r="H117" s="578"/>
      <c r="I117" s="214"/>
    </row>
    <row r="118" spans="1:9" ht="19.95" hidden="1" customHeight="1" x14ac:dyDescent="0.25">
      <c r="A118" s="607"/>
      <c r="B118" s="127">
        <f>IF('Items sous domaines Maths '!H122=1,'Items sous domaines Maths '!B122,0)</f>
        <v>0</v>
      </c>
      <c r="C118" s="128">
        <f>IF('Items sous domaines Maths '!H122=1,'Items sous domaines Maths '!C122,0)</f>
        <v>0</v>
      </c>
      <c r="D118" s="128">
        <f>IF('Items sous domaines Maths '!H122=1,'Items sous domaines Maths '!D122,0)</f>
        <v>0</v>
      </c>
      <c r="E118" s="128">
        <f>IF('Items sous domaines Maths '!H122=1,'Items sous domaines Maths '!E122,0)</f>
        <v>0</v>
      </c>
      <c r="F118" s="129">
        <f>IF('Items sous domaines Maths '!H122=1,'Items sous domaines Maths '!F122,0)</f>
        <v>0</v>
      </c>
      <c r="G118" s="590"/>
      <c r="H118" s="578"/>
      <c r="I118" s="214"/>
    </row>
    <row r="119" spans="1:9" ht="19.95" hidden="1" customHeight="1" x14ac:dyDescent="0.25">
      <c r="A119" s="607"/>
      <c r="B119" s="133">
        <f>IF('Items sous domaines Maths '!H123=1,'Items sous domaines Maths '!B123,0)</f>
        <v>0</v>
      </c>
      <c r="C119" s="134">
        <f>IF('Items sous domaines Maths '!H123=1,'Items sous domaines Maths '!C123,0)</f>
        <v>0</v>
      </c>
      <c r="D119" s="134">
        <f>IF('Items sous domaines Maths '!H123=1,'Items sous domaines Maths '!D123,0)</f>
        <v>0</v>
      </c>
      <c r="E119" s="134">
        <f>IF('Items sous domaines Maths '!H123=1,'Items sous domaines Maths '!E123,0)</f>
        <v>0</v>
      </c>
      <c r="F119" s="135">
        <f>IF('Items sous domaines Maths '!H123=1,'Items sous domaines Maths '!F123,0)</f>
        <v>0</v>
      </c>
      <c r="G119" s="590"/>
      <c r="H119" s="578"/>
      <c r="I119" s="214"/>
    </row>
    <row r="120" spans="1:9" ht="19.95" hidden="1" customHeight="1" x14ac:dyDescent="0.25">
      <c r="A120" s="607"/>
      <c r="B120" s="127">
        <f>IF('Items sous domaines Maths '!H124=1,'Items sous domaines Maths '!B124,0)</f>
        <v>0</v>
      </c>
      <c r="C120" s="128">
        <f>IF('Items sous domaines Maths '!H124=1,'Items sous domaines Maths '!C124,0)</f>
        <v>0</v>
      </c>
      <c r="D120" s="128">
        <f>IF('Items sous domaines Maths '!H124=1,'Items sous domaines Maths '!D124,0)</f>
        <v>0</v>
      </c>
      <c r="E120" s="128">
        <f>IF('Items sous domaines Maths '!H124=1,'Items sous domaines Maths '!E124,0)</f>
        <v>0</v>
      </c>
      <c r="F120" s="129">
        <f>IF('Items sous domaines Maths '!H124=1,'Items sous domaines Maths '!F124,0)</f>
        <v>0</v>
      </c>
      <c r="G120" s="590"/>
      <c r="H120" s="578"/>
      <c r="I120" s="214"/>
    </row>
    <row r="121" spans="1:9" ht="19.95" hidden="1" customHeight="1" x14ac:dyDescent="0.25">
      <c r="A121" s="607"/>
      <c r="B121" s="133">
        <f>IF('Items sous domaines Maths '!H125=1,'Items sous domaines Maths '!B125,0)</f>
        <v>0</v>
      </c>
      <c r="C121" s="134">
        <f>IF('Items sous domaines Maths '!H125=1,'Items sous domaines Maths '!C125,0)</f>
        <v>0</v>
      </c>
      <c r="D121" s="134">
        <f>IF('Items sous domaines Maths '!H125=1,'Items sous domaines Maths '!D125,0)</f>
        <v>0</v>
      </c>
      <c r="E121" s="134">
        <f>IF('Items sous domaines Maths '!H125=1,'Items sous domaines Maths '!E125,0)</f>
        <v>0</v>
      </c>
      <c r="F121" s="135">
        <f>IF('Items sous domaines Maths '!H125=1,'Items sous domaines Maths '!F125,0)</f>
        <v>0</v>
      </c>
      <c r="G121" s="590"/>
      <c r="H121" s="578"/>
      <c r="I121" s="214"/>
    </row>
    <row r="122" spans="1:9" ht="19.95" hidden="1" customHeight="1" x14ac:dyDescent="0.25">
      <c r="A122" s="607"/>
      <c r="B122" s="127">
        <f>IF('Items sous domaines Maths '!H126=1,'Items sous domaines Maths '!B126,0)</f>
        <v>0</v>
      </c>
      <c r="C122" s="128">
        <f>IF('Items sous domaines Maths '!H126=1,'Items sous domaines Maths '!C126,0)</f>
        <v>0</v>
      </c>
      <c r="D122" s="128">
        <f>IF('Items sous domaines Maths '!H126=1,'Items sous domaines Maths '!D126,0)</f>
        <v>0</v>
      </c>
      <c r="E122" s="128">
        <f>IF('Items sous domaines Maths '!H126=1,'Items sous domaines Maths '!E126,0)</f>
        <v>0</v>
      </c>
      <c r="F122" s="129">
        <f>IF('Items sous domaines Maths '!H126=1,'Items sous domaines Maths '!F126,0)</f>
        <v>0</v>
      </c>
      <c r="G122" s="590"/>
      <c r="H122" s="578"/>
      <c r="I122" s="214"/>
    </row>
    <row r="123" spans="1:9" ht="19.95" hidden="1" customHeight="1" thickBot="1" x14ac:dyDescent="0.3">
      <c r="A123" s="608"/>
      <c r="B123" s="130">
        <f>IF('Items sous domaines Maths '!H127=1,'Items sous domaines Maths '!B127,0)</f>
        <v>0</v>
      </c>
      <c r="C123" s="131">
        <f>IF('Items sous domaines Maths '!H127=1,'Items sous domaines Maths '!C127,0)</f>
        <v>0</v>
      </c>
      <c r="D123" s="131">
        <f>IF('Items sous domaines Maths '!H127=1,'Items sous domaines Maths '!D127,0)</f>
        <v>0</v>
      </c>
      <c r="E123" s="131">
        <f>IF('Items sous domaines Maths '!H127=1,'Items sous domaines Maths '!E127,0)</f>
        <v>0</v>
      </c>
      <c r="F123" s="132">
        <f>IF('Items sous domaines Maths '!H127=1,'Items sous domaines Maths '!F127,0)</f>
        <v>0</v>
      </c>
      <c r="G123" s="591"/>
      <c r="H123" s="579"/>
      <c r="I123" s="218"/>
    </row>
    <row r="124" spans="1:9" customFormat="1" ht="17.7" hidden="1" customHeight="1" thickTop="1" thickBot="1" x14ac:dyDescent="0.3">
      <c r="B124">
        <f>IF('Items sous domaines Maths '!H128=1,'Items sous domaines Maths '!B128,0)</f>
        <v>0</v>
      </c>
      <c r="C124">
        <f>IF('Items sous domaines Maths '!H128=1,'Items sous domaines Maths '!C128,0)</f>
        <v>0</v>
      </c>
      <c r="D124">
        <f>IF('Items sous domaines Maths '!H128=1,'Items sous domaines Maths '!D128,0)</f>
        <v>0</v>
      </c>
      <c r="E124">
        <f>IF('Items sous domaines Maths '!H128=1,'Items sous domaines Maths '!E128,0)</f>
        <v>0</v>
      </c>
      <c r="F124">
        <f>IF('Items sous domaines Maths '!H128=1,'Items sous domaines Maths '!F128,0)</f>
        <v>0</v>
      </c>
      <c r="G124">
        <f>IF('Items sous domaines Maths '!H128=1,'Items sous domaines Maths '!G128,0)</f>
        <v>0</v>
      </c>
    </row>
    <row r="125" spans="1:9" customFormat="1" ht="17.7" hidden="1" customHeight="1" x14ac:dyDescent="0.25">
      <c r="A125" s="612" t="s">
        <v>449</v>
      </c>
      <c r="B125" s="8">
        <f>IF('Items sous domaines Maths '!H129=1,'Items sous domaines Maths '!B129,0)</f>
        <v>0</v>
      </c>
      <c r="C125" s="8">
        <f>IF('Items sous domaines Maths '!H129=1,'Items sous domaines Maths '!C129,0)</f>
        <v>0</v>
      </c>
      <c r="D125" s="8">
        <f>IF('Items sous domaines Maths '!H129=1,'Items sous domaines Maths '!D129,0)</f>
        <v>0</v>
      </c>
      <c r="E125" s="8">
        <f>IF('Items sous domaines Maths '!H129=1,'Items sous domaines Maths '!E129,0)</f>
        <v>0</v>
      </c>
      <c r="F125" s="9">
        <f>IF('Items sous domaines Maths '!H129=1,'Items sous domaines Maths '!F129,0)</f>
        <v>0</v>
      </c>
      <c r="G125">
        <f>IF('Items sous domaines Maths '!H129=1,'Items sous domaines Maths '!G129,0)</f>
        <v>0</v>
      </c>
    </row>
    <row r="126" spans="1:9" customFormat="1" ht="17.7" hidden="1" customHeight="1" x14ac:dyDescent="0.25">
      <c r="A126" s="613"/>
      <c r="B126">
        <f>IF('Items sous domaines Maths '!H130=1,'Items sous domaines Maths '!B130,0)</f>
        <v>0</v>
      </c>
      <c r="C126">
        <f>IF('Items sous domaines Maths '!H130=1,'Items sous domaines Maths '!C130,0)</f>
        <v>0</v>
      </c>
      <c r="D126">
        <f>IF('Items sous domaines Maths '!H130=1,'Items sous domaines Maths '!D130,0)</f>
        <v>0</v>
      </c>
      <c r="E126">
        <f>IF('Items sous domaines Maths '!H130=1,'Items sous domaines Maths '!E130,0)</f>
        <v>0</v>
      </c>
      <c r="F126" s="10">
        <f>IF('Items sous domaines Maths '!H130=1,'Items sous domaines Maths '!F130,0)</f>
        <v>0</v>
      </c>
      <c r="G126">
        <f>IF('Items sous domaines Maths '!H130=1,'Items sous domaines Maths '!G130,0)</f>
        <v>0</v>
      </c>
    </row>
    <row r="127" spans="1:9" customFormat="1" ht="17.7" hidden="1" customHeight="1" x14ac:dyDescent="0.25">
      <c r="A127" s="613"/>
      <c r="B127">
        <f>IF('Items sous domaines Maths '!H131=1,'Items sous domaines Maths '!B131,0)</f>
        <v>0</v>
      </c>
      <c r="C127">
        <f>IF('Items sous domaines Maths '!H131=1,'Items sous domaines Maths '!C131,0)</f>
        <v>0</v>
      </c>
      <c r="D127">
        <f>IF('Items sous domaines Maths '!H131=1,'Items sous domaines Maths '!D131,0)</f>
        <v>0</v>
      </c>
      <c r="E127">
        <f>IF('Items sous domaines Maths '!H131=1,'Items sous domaines Maths '!E131,0)</f>
        <v>0</v>
      </c>
      <c r="F127" s="10">
        <f>IF('Items sous domaines Maths '!H131=1,'Items sous domaines Maths '!F131,0)</f>
        <v>0</v>
      </c>
      <c r="G127">
        <f>IF('Items sous domaines Maths '!H131=1,'Items sous domaines Maths '!G131,0)</f>
        <v>0</v>
      </c>
    </row>
    <row r="128" spans="1:9" customFormat="1" ht="17.7" hidden="1" customHeight="1" x14ac:dyDescent="0.25">
      <c r="A128" s="613"/>
      <c r="B128">
        <f>IF('Items sous domaines Maths '!H132=1,'Items sous domaines Maths '!B132,0)</f>
        <v>0</v>
      </c>
      <c r="C128">
        <f>IF('Items sous domaines Maths '!H132=1,'Items sous domaines Maths '!C132,0)</f>
        <v>0</v>
      </c>
      <c r="D128">
        <f>IF('Items sous domaines Maths '!H132=1,'Items sous domaines Maths '!D132,0)</f>
        <v>0</v>
      </c>
      <c r="E128">
        <f>IF('Items sous domaines Maths '!H132=1,'Items sous domaines Maths '!E132,0)</f>
        <v>0</v>
      </c>
      <c r="F128" s="10">
        <f>IF('Items sous domaines Maths '!H132=1,'Items sous domaines Maths '!F132,0)</f>
        <v>0</v>
      </c>
      <c r="G128">
        <f>IF('Items sous domaines Maths '!H132=1,'Items sous domaines Maths '!G132,0)</f>
        <v>0</v>
      </c>
    </row>
    <row r="129" spans="1:7" customFormat="1" ht="17.7" hidden="1" customHeight="1" x14ac:dyDescent="0.25">
      <c r="A129" s="613"/>
      <c r="B129">
        <f>IF('Items sous domaines Maths '!H133=1,'Items sous domaines Maths '!B133,0)</f>
        <v>0</v>
      </c>
      <c r="C129">
        <f>IF('Items sous domaines Maths '!H133=1,'Items sous domaines Maths '!C133,0)</f>
        <v>0</v>
      </c>
      <c r="D129">
        <f>IF('Items sous domaines Maths '!H133=1,'Items sous domaines Maths '!D133,0)</f>
        <v>0</v>
      </c>
      <c r="E129">
        <f>IF('Items sous domaines Maths '!H133=1,'Items sous domaines Maths '!E133,0)</f>
        <v>0</v>
      </c>
      <c r="F129" s="10">
        <f>IF('Items sous domaines Maths '!H133=1,'Items sous domaines Maths '!F133,0)</f>
        <v>0</v>
      </c>
      <c r="G129">
        <f>IF('Items sous domaines Maths '!H133=1,'Items sous domaines Maths '!G133,0)</f>
        <v>0</v>
      </c>
    </row>
    <row r="130" spans="1:7" customFormat="1" ht="17.7" hidden="1" customHeight="1" x14ac:dyDescent="0.25">
      <c r="A130" s="613"/>
      <c r="B130">
        <f>IF('Items sous domaines Maths '!H134=1,'Items sous domaines Maths '!B134,0)</f>
        <v>0</v>
      </c>
      <c r="C130">
        <f>IF('Items sous domaines Maths '!H134=1,'Items sous domaines Maths '!C134,0)</f>
        <v>0</v>
      </c>
      <c r="D130">
        <f>IF('Items sous domaines Maths '!H134=1,'Items sous domaines Maths '!D134,0)</f>
        <v>0</v>
      </c>
      <c r="E130">
        <f>IF('Items sous domaines Maths '!H134=1,'Items sous domaines Maths '!E134,0)</f>
        <v>0</v>
      </c>
      <c r="F130" s="10">
        <f>IF('Items sous domaines Maths '!H134=1,'Items sous domaines Maths '!F134,0)</f>
        <v>0</v>
      </c>
      <c r="G130">
        <f>IF('Items sous domaines Maths '!H134=1,'Items sous domaines Maths '!G134,0)</f>
        <v>0</v>
      </c>
    </row>
    <row r="131" spans="1:7" customFormat="1" ht="17.7" hidden="1" customHeight="1" x14ac:dyDescent="0.25">
      <c r="A131" s="613"/>
      <c r="B131">
        <f>IF('Items sous domaines Maths '!H135=1,'Items sous domaines Maths '!B135,0)</f>
        <v>0</v>
      </c>
      <c r="C131">
        <f>IF('Items sous domaines Maths '!H135=1,'Items sous domaines Maths '!C135,0)</f>
        <v>0</v>
      </c>
      <c r="D131">
        <f>IF('Items sous domaines Maths '!H135=1,'Items sous domaines Maths '!D135,0)</f>
        <v>0</v>
      </c>
      <c r="E131">
        <f>IF('Items sous domaines Maths '!H135=1,'Items sous domaines Maths '!E135,0)</f>
        <v>0</v>
      </c>
      <c r="F131" s="10">
        <f>IF('Items sous domaines Maths '!H135=1,'Items sous domaines Maths '!F135,0)</f>
        <v>0</v>
      </c>
      <c r="G131">
        <f>IF('Items sous domaines Maths '!H135=1,'Items sous domaines Maths '!G135,0)</f>
        <v>0</v>
      </c>
    </row>
    <row r="132" spans="1:7" customFormat="1" ht="17.7" hidden="1" customHeight="1" x14ac:dyDescent="0.25">
      <c r="A132" s="613"/>
      <c r="B132">
        <f>IF('Items sous domaines Maths '!H136=1,'Items sous domaines Maths '!B136,0)</f>
        <v>0</v>
      </c>
      <c r="C132">
        <f>IF('Items sous domaines Maths '!H136=1,'Items sous domaines Maths '!C136,0)</f>
        <v>0</v>
      </c>
      <c r="D132">
        <f>IF('Items sous domaines Maths '!H136=1,'Items sous domaines Maths '!D136,0)</f>
        <v>0</v>
      </c>
      <c r="E132">
        <f>IF('Items sous domaines Maths '!H136=1,'Items sous domaines Maths '!E136,0)</f>
        <v>0</v>
      </c>
      <c r="F132" s="10">
        <f>IF('Items sous domaines Maths '!H136=1,'Items sous domaines Maths '!F136,0)</f>
        <v>0</v>
      </c>
      <c r="G132">
        <f>IF('Items sous domaines Maths '!H136=1,'Items sous domaines Maths '!G136,0)</f>
        <v>0</v>
      </c>
    </row>
    <row r="133" spans="1:7" customFormat="1" ht="17.7" hidden="1" customHeight="1" thickBot="1" x14ac:dyDescent="0.3">
      <c r="A133" s="614"/>
      <c r="B133" s="11">
        <f>IF('Items sous domaines Maths '!H137=1,'Items sous domaines Maths '!B137,0)</f>
        <v>0</v>
      </c>
      <c r="C133" s="11">
        <f>IF('Items sous domaines Maths '!H137=1,'Items sous domaines Maths '!C137,0)</f>
        <v>0</v>
      </c>
      <c r="D133" s="11">
        <f>IF('Items sous domaines Maths '!H137=1,'Items sous domaines Maths '!D137,0)</f>
        <v>0</v>
      </c>
      <c r="E133" s="11">
        <f>IF('Items sous domaines Maths '!H137=1,'Items sous domaines Maths '!E137,0)</f>
        <v>0</v>
      </c>
      <c r="F133" s="12">
        <f>IF('Items sous domaines Maths '!H137=1,'Items sous domaines Maths '!F137,0)</f>
        <v>0</v>
      </c>
      <c r="G133">
        <f>IF('Items sous domaines Maths '!H137=1,'Items sous domaines Maths '!G137,0)</f>
        <v>0</v>
      </c>
    </row>
    <row r="134" spans="1:7" customFormat="1" ht="17.7" hidden="1" customHeight="1" x14ac:dyDescent="0.25">
      <c r="B134">
        <f>IF('Items sous domaines Maths '!H138=1,'Items sous domaines Maths '!B138,0)</f>
        <v>0</v>
      </c>
      <c r="C134">
        <f>IF('Items sous domaines Maths '!H138=1,'Items sous domaines Maths '!C138,0)</f>
        <v>0</v>
      </c>
      <c r="D134">
        <f>IF('Items sous domaines Maths '!H138=1,'Items sous domaines Maths '!D138,0)</f>
        <v>0</v>
      </c>
      <c r="E134">
        <f>IF('Items sous domaines Maths '!H138=1,'Items sous domaines Maths '!E138,0)</f>
        <v>0</v>
      </c>
      <c r="F134">
        <f>IF('Items sous domaines Maths '!H138=1,'Items sous domaines Maths '!F138,0)</f>
        <v>0</v>
      </c>
      <c r="G134">
        <f>IF('Items sous domaines Maths '!H138=1,'Items sous domaines Maths '!G138,0)</f>
        <v>0</v>
      </c>
    </row>
    <row r="135" spans="1:7" customFormat="1" ht="17.7" hidden="1" customHeight="1" x14ac:dyDescent="0.25">
      <c r="B135">
        <f>IF('Items sous domaines Maths '!H139=1,'Items sous domaines Maths '!B139,0)</f>
        <v>0</v>
      </c>
      <c r="C135">
        <f>IF('Items sous domaines Maths '!H139=1,'Items sous domaines Maths '!C139,0)</f>
        <v>0</v>
      </c>
      <c r="D135">
        <f>IF('Items sous domaines Maths '!H139=1,'Items sous domaines Maths '!D139,0)</f>
        <v>0</v>
      </c>
      <c r="E135">
        <f>IF('Items sous domaines Maths '!H139=1,'Items sous domaines Maths '!E139,0)</f>
        <v>0</v>
      </c>
      <c r="F135">
        <f>IF('Items sous domaines Maths '!H139=1,'Items sous domaines Maths '!F139,0)</f>
        <v>0</v>
      </c>
      <c r="G135">
        <f>IF('Items sous domaines Maths '!H139=1,'Items sous domaines Maths '!G139,0)</f>
        <v>0</v>
      </c>
    </row>
    <row r="136" spans="1:7" customFormat="1" ht="17.7" hidden="1" customHeight="1" x14ac:dyDescent="0.25">
      <c r="B136">
        <f>IF('Items sous domaines Maths '!H140=1,'Items sous domaines Maths '!B140,0)</f>
        <v>0</v>
      </c>
      <c r="C136">
        <f>IF('Items sous domaines Maths '!H140=1,'Items sous domaines Maths '!C140,0)</f>
        <v>0</v>
      </c>
      <c r="D136">
        <f>IF('Items sous domaines Maths '!H140=1,'Items sous domaines Maths '!D140,0)</f>
        <v>0</v>
      </c>
      <c r="E136">
        <f>IF('Items sous domaines Maths '!H140=1,'Items sous domaines Maths '!E140,0)</f>
        <v>0</v>
      </c>
      <c r="F136">
        <f>IF('Items sous domaines Maths '!H140=1,'Items sous domaines Maths '!F140,0)</f>
        <v>0</v>
      </c>
      <c r="G136">
        <f>IF('Items sous domaines Maths '!H140=1,'Items sous domaines Maths '!G140,0)</f>
        <v>0</v>
      </c>
    </row>
    <row r="137" spans="1:7" customFormat="1" ht="17.7" hidden="1" customHeight="1" x14ac:dyDescent="0.25">
      <c r="B137">
        <f>IF('Items sous domaines Maths '!H141=1,'Items sous domaines Maths '!B141,0)</f>
        <v>0</v>
      </c>
      <c r="C137">
        <f>IF('Items sous domaines Maths '!H141=1,'Items sous domaines Maths '!C141,0)</f>
        <v>0</v>
      </c>
      <c r="D137">
        <f>IF('Items sous domaines Maths '!H141=1,'Items sous domaines Maths '!D141,0)</f>
        <v>0</v>
      </c>
      <c r="E137">
        <f>IF('Items sous domaines Maths '!H141=1,'Items sous domaines Maths '!E141,0)</f>
        <v>0</v>
      </c>
      <c r="F137">
        <f>IF('Items sous domaines Maths '!H141=1,'Items sous domaines Maths '!F141,0)</f>
        <v>0</v>
      </c>
      <c r="G137">
        <f>IF('Items sous domaines Maths '!H141=1,'Items sous domaines Maths '!G141,0)</f>
        <v>0</v>
      </c>
    </row>
    <row r="138" spans="1:7" customFormat="1" ht="17.7" hidden="1" customHeight="1" x14ac:dyDescent="0.25">
      <c r="B138">
        <f>IF('Items sous domaines Maths '!H142=1,'Items sous domaines Maths '!B142,0)</f>
        <v>0</v>
      </c>
      <c r="C138">
        <f>IF('Items sous domaines Maths '!H142=1,'Items sous domaines Maths '!C142,0)</f>
        <v>0</v>
      </c>
      <c r="D138">
        <f>IF('Items sous domaines Maths '!H142=1,'Items sous domaines Maths '!D142,0)</f>
        <v>0</v>
      </c>
      <c r="E138">
        <f>IF('Items sous domaines Maths '!H142=1,'Items sous domaines Maths '!E142,0)</f>
        <v>0</v>
      </c>
      <c r="F138">
        <f>IF('Items sous domaines Maths '!H142=1,'Items sous domaines Maths '!F142,0)</f>
        <v>0</v>
      </c>
      <c r="G138">
        <f>IF('Items sous domaines Maths '!H142=1,'Items sous domaines Maths '!G142,0)</f>
        <v>0</v>
      </c>
    </row>
    <row r="139" spans="1:7" customFormat="1" ht="17.7" hidden="1" customHeight="1" x14ac:dyDescent="0.25">
      <c r="B139">
        <f>IF('Items sous domaines Maths '!H143=1,'Items sous domaines Maths '!B143,0)</f>
        <v>0</v>
      </c>
      <c r="C139">
        <f>IF('Items sous domaines Maths '!H143=1,'Items sous domaines Maths '!C143,0)</f>
        <v>0</v>
      </c>
      <c r="D139">
        <f>IF('Items sous domaines Maths '!H143=1,'Items sous domaines Maths '!D143,0)</f>
        <v>0</v>
      </c>
      <c r="E139">
        <f>IF('Items sous domaines Maths '!H143=1,'Items sous domaines Maths '!E143,0)</f>
        <v>0</v>
      </c>
      <c r="F139">
        <f>IF('Items sous domaines Maths '!H143=1,'Items sous domaines Maths '!F143,0)</f>
        <v>0</v>
      </c>
      <c r="G139">
        <f>IF('Items sous domaines Maths '!H143=1,'Items sous domaines Maths '!G143,0)</f>
        <v>0</v>
      </c>
    </row>
    <row r="140" spans="1:7" customFormat="1" ht="17.7" hidden="1" customHeight="1" x14ac:dyDescent="0.25">
      <c r="B140">
        <f>IF('Items sous domaines Maths '!H144=1,'Items sous domaines Maths '!B144,0)</f>
        <v>0</v>
      </c>
      <c r="C140">
        <f>IF('Items sous domaines Maths '!H144=1,'Items sous domaines Maths '!C144,0)</f>
        <v>0</v>
      </c>
      <c r="D140">
        <f>IF('Items sous domaines Maths '!H144=1,'Items sous domaines Maths '!D144,0)</f>
        <v>0</v>
      </c>
      <c r="E140">
        <f>IF('Items sous domaines Maths '!H144=1,'Items sous domaines Maths '!E144,0)</f>
        <v>0</v>
      </c>
      <c r="F140">
        <f>IF('Items sous domaines Maths '!H144=1,'Items sous domaines Maths '!F144,0)</f>
        <v>0</v>
      </c>
      <c r="G140">
        <f>IF('Items sous domaines Maths '!H144=1,'Items sous domaines Maths '!G144,0)</f>
        <v>0</v>
      </c>
    </row>
    <row r="141" spans="1:7" customFormat="1" ht="17.7" hidden="1" customHeight="1" x14ac:dyDescent="0.25">
      <c r="B141">
        <f>IF('Items sous domaines Maths '!H145=1,'Items sous domaines Maths '!B145,0)</f>
        <v>0</v>
      </c>
      <c r="C141">
        <f>IF('Items sous domaines Maths '!H145=1,'Items sous domaines Maths '!C145,0)</f>
        <v>0</v>
      </c>
      <c r="D141">
        <f>IF('Items sous domaines Maths '!H145=1,'Items sous domaines Maths '!D145,0)</f>
        <v>0</v>
      </c>
      <c r="E141">
        <f>IF('Items sous domaines Maths '!H145=1,'Items sous domaines Maths '!E145,0)</f>
        <v>0</v>
      </c>
      <c r="F141">
        <f>IF('Items sous domaines Maths '!H145=1,'Items sous domaines Maths '!F145,0)</f>
        <v>0</v>
      </c>
      <c r="G141">
        <f>IF('Items sous domaines Maths '!H145=1,'Items sous domaines Maths '!G145,0)</f>
        <v>0</v>
      </c>
    </row>
    <row r="142" spans="1:7" customFormat="1" ht="17.7" hidden="1" customHeight="1" x14ac:dyDescent="0.25">
      <c r="B142">
        <f>IF('Items sous domaines Maths '!H146=1,'Items sous domaines Maths '!B146,0)</f>
        <v>0</v>
      </c>
      <c r="C142">
        <f>IF('Items sous domaines Maths '!H146=1,'Items sous domaines Maths '!C146,0)</f>
        <v>0</v>
      </c>
      <c r="D142">
        <f>IF('Items sous domaines Maths '!H146=1,'Items sous domaines Maths '!D146,0)</f>
        <v>0</v>
      </c>
      <c r="E142">
        <f>IF('Items sous domaines Maths '!H146=1,'Items sous domaines Maths '!E146,0)</f>
        <v>0</v>
      </c>
      <c r="F142">
        <f>IF('Items sous domaines Maths '!H146=1,'Items sous domaines Maths '!F146,0)</f>
        <v>0</v>
      </c>
      <c r="G142">
        <f>IF('Items sous domaines Maths '!H146=1,'Items sous domaines Maths '!G146,0)</f>
        <v>0</v>
      </c>
    </row>
    <row r="143" spans="1:7" customFormat="1" ht="17.7" hidden="1" customHeight="1" x14ac:dyDescent="0.25">
      <c r="B143">
        <f>IF('Items sous domaines Maths '!H147=1,'Items sous domaines Maths '!B147,0)</f>
        <v>0</v>
      </c>
      <c r="C143">
        <f>IF('Items sous domaines Maths '!H147=1,'Items sous domaines Maths '!C147,0)</f>
        <v>0</v>
      </c>
      <c r="D143">
        <f>IF('Items sous domaines Maths '!H147=1,'Items sous domaines Maths '!D147,0)</f>
        <v>0</v>
      </c>
      <c r="E143">
        <f>IF('Items sous domaines Maths '!H147=1,'Items sous domaines Maths '!E147,0)</f>
        <v>0</v>
      </c>
      <c r="F143">
        <f>IF('Items sous domaines Maths '!H147=1,'Items sous domaines Maths '!F147,0)</f>
        <v>0</v>
      </c>
      <c r="G143">
        <f>IF('Items sous domaines Maths '!H147=1,'Items sous domaines Maths '!G147,0)</f>
        <v>0</v>
      </c>
    </row>
    <row r="144" spans="1:7" customFormat="1" ht="17.7" hidden="1" customHeight="1" x14ac:dyDescent="0.25">
      <c r="B144">
        <f>IF('Items sous domaines Maths '!H148=1,'Items sous domaines Maths '!B148,0)</f>
        <v>0</v>
      </c>
      <c r="C144">
        <f>IF('Items sous domaines Maths '!H148=1,'Items sous domaines Maths '!C148,0)</f>
        <v>0</v>
      </c>
      <c r="D144">
        <f>IF('Items sous domaines Maths '!H148=1,'Items sous domaines Maths '!D148,0)</f>
        <v>0</v>
      </c>
      <c r="E144">
        <f>IF('Items sous domaines Maths '!H148=1,'Items sous domaines Maths '!E148,0)</f>
        <v>0</v>
      </c>
      <c r="F144">
        <f>IF('Items sous domaines Maths '!H148=1,'Items sous domaines Maths '!F148,0)</f>
        <v>0</v>
      </c>
      <c r="G144">
        <f>IF('Items sous domaines Maths '!H148=1,'Items sous domaines Maths '!G148,0)</f>
        <v>0</v>
      </c>
    </row>
    <row r="145" spans="1:9" customFormat="1" ht="17.7" hidden="1" customHeight="1" x14ac:dyDescent="0.25">
      <c r="B145">
        <f>IF('Items sous domaines Maths '!H149=1,'Items sous domaines Maths '!B149,0)</f>
        <v>0</v>
      </c>
      <c r="C145">
        <f>IF('Items sous domaines Maths '!H149=1,'Items sous domaines Maths '!C149,0)</f>
        <v>0</v>
      </c>
      <c r="D145">
        <f>IF('Items sous domaines Maths '!H149=1,'Items sous domaines Maths '!D149,0)</f>
        <v>0</v>
      </c>
      <c r="E145">
        <f>IF('Items sous domaines Maths '!H149=1,'Items sous domaines Maths '!E149,0)</f>
        <v>0</v>
      </c>
      <c r="F145">
        <f>IF('Items sous domaines Maths '!H149=1,'Items sous domaines Maths '!F149,0)</f>
        <v>0</v>
      </c>
      <c r="G145">
        <f>IF('Items sous domaines Maths '!H149=1,'Items sous domaines Maths '!G149,0)</f>
        <v>0</v>
      </c>
    </row>
    <row r="146" spans="1:9" customFormat="1" ht="17.7" hidden="1" customHeight="1" x14ac:dyDescent="0.25">
      <c r="B146">
        <f>IF('Items sous domaines Maths '!H150=1,'Items sous domaines Maths '!B150,0)</f>
        <v>0</v>
      </c>
      <c r="C146">
        <f>IF('Items sous domaines Maths '!H150=1,'Items sous domaines Maths '!C150,0)</f>
        <v>0</v>
      </c>
      <c r="D146">
        <f>IF('Items sous domaines Maths '!H150=1,'Items sous domaines Maths '!D150,0)</f>
        <v>0</v>
      </c>
      <c r="E146">
        <f>IF('Items sous domaines Maths '!H150=1,'Items sous domaines Maths '!E150,0)</f>
        <v>0</v>
      </c>
      <c r="F146">
        <f>IF('Items sous domaines Maths '!H150=1,'Items sous domaines Maths '!F150,0)</f>
        <v>0</v>
      </c>
      <c r="G146">
        <f>IF('Items sous domaines Maths '!H150=1,'Items sous domaines Maths '!G150,0)</f>
        <v>0</v>
      </c>
    </row>
    <row r="147" spans="1:9" customFormat="1" ht="17.7" hidden="1" customHeight="1" x14ac:dyDescent="0.25">
      <c r="B147">
        <f>IF('Items sous domaines Maths '!H151=1,'Items sous domaines Maths '!B151,0)</f>
        <v>0</v>
      </c>
      <c r="C147">
        <f>IF('Items sous domaines Maths '!H151=1,'Items sous domaines Maths '!C151,0)</f>
        <v>0</v>
      </c>
      <c r="D147">
        <f>IF('Items sous domaines Maths '!H151=1,'Items sous domaines Maths '!D151,0)</f>
        <v>0</v>
      </c>
      <c r="E147">
        <f>IF('Items sous domaines Maths '!H151=1,'Items sous domaines Maths '!E151,0)</f>
        <v>0</v>
      </c>
      <c r="F147">
        <f>IF('Items sous domaines Maths '!H151=1,'Items sous domaines Maths '!F151,0)</f>
        <v>0</v>
      </c>
      <c r="G147">
        <f>IF('Items sous domaines Maths '!H151=1,'Items sous domaines Maths '!G151,0)</f>
        <v>0</v>
      </c>
    </row>
    <row r="148" spans="1:9" customFormat="1" ht="17.7" hidden="1" customHeight="1" x14ac:dyDescent="0.25">
      <c r="B148">
        <f>IF('Items sous domaines Maths '!H152=1,'Items sous domaines Maths '!B152,0)</f>
        <v>0</v>
      </c>
      <c r="C148">
        <f>IF('Items sous domaines Maths '!H152=1,'Items sous domaines Maths '!C152,0)</f>
        <v>0</v>
      </c>
      <c r="D148">
        <f>IF('Items sous domaines Maths '!H152=1,'Items sous domaines Maths '!D152,0)</f>
        <v>0</v>
      </c>
      <c r="E148">
        <f>IF('Items sous domaines Maths '!H152=1,'Items sous domaines Maths '!E152,0)</f>
        <v>0</v>
      </c>
      <c r="F148">
        <f>IF('Items sous domaines Maths '!H152=1,'Items sous domaines Maths '!F152,0)</f>
        <v>0</v>
      </c>
      <c r="G148">
        <f>IF('Items sous domaines Maths '!H152=1,'Items sous domaines Maths '!G152,0)</f>
        <v>0</v>
      </c>
    </row>
    <row r="149" spans="1:9" customFormat="1" ht="17.7" hidden="1" customHeight="1" x14ac:dyDescent="0.25">
      <c r="B149">
        <f>IF('Items sous domaines Maths '!H153=1,'Items sous domaines Maths '!B153,0)</f>
        <v>0</v>
      </c>
      <c r="C149">
        <f>IF('Items sous domaines Maths '!H153=1,'Items sous domaines Maths '!C153,0)</f>
        <v>0</v>
      </c>
      <c r="D149">
        <f>IF('Items sous domaines Maths '!H153=1,'Items sous domaines Maths '!D153,0)</f>
        <v>0</v>
      </c>
      <c r="E149">
        <f>IF('Items sous domaines Maths '!H153=1,'Items sous domaines Maths '!E153,0)</f>
        <v>0</v>
      </c>
      <c r="F149">
        <f>IF('Items sous domaines Maths '!H153=1,'Items sous domaines Maths '!F153,0)</f>
        <v>0</v>
      </c>
      <c r="G149">
        <f>IF('Items sous domaines Maths '!H153=1,'Items sous domaines Maths '!G153,0)</f>
        <v>0</v>
      </c>
    </row>
    <row r="150" spans="1:9" customFormat="1" ht="17.7" hidden="1" customHeight="1" x14ac:dyDescent="0.25">
      <c r="B150">
        <f>IF('Items sous domaines Maths '!H154=1,'Items sous domaines Maths '!B154,0)</f>
        <v>0</v>
      </c>
      <c r="C150">
        <f>IF('Items sous domaines Maths '!H154=1,'Items sous domaines Maths '!C154,0)</f>
        <v>0</v>
      </c>
      <c r="D150">
        <f>IF('Items sous domaines Maths '!H154=1,'Items sous domaines Maths '!D154,0)</f>
        <v>0</v>
      </c>
      <c r="E150">
        <f>IF('Items sous domaines Maths '!H154=1,'Items sous domaines Maths '!E154,0)</f>
        <v>0</v>
      </c>
      <c r="F150">
        <f>IF('Items sous domaines Maths '!H154=1,'Items sous domaines Maths '!F154,0)</f>
        <v>0</v>
      </c>
      <c r="G150">
        <f>IF('Items sous domaines Maths '!H154=1,'Items sous domaines Maths '!G154,0)</f>
        <v>0</v>
      </c>
    </row>
    <row r="151" spans="1:9" customFormat="1" ht="17.7" hidden="1" customHeight="1" x14ac:dyDescent="0.25">
      <c r="B151">
        <f>IF('Items sous domaines Maths '!H155=1,'Items sous domaines Maths '!B155,0)</f>
        <v>0</v>
      </c>
      <c r="C151">
        <f>IF('Items sous domaines Maths '!H155=1,'Items sous domaines Maths '!C155,0)</f>
        <v>0</v>
      </c>
      <c r="D151">
        <f>IF('Items sous domaines Maths '!H155=1,'Items sous domaines Maths '!D155,0)</f>
        <v>0</v>
      </c>
      <c r="E151">
        <f>IF('Items sous domaines Maths '!H155=1,'Items sous domaines Maths '!E155,0)</f>
        <v>0</v>
      </c>
      <c r="F151">
        <f>IF('Items sous domaines Maths '!H155=1,'Items sous domaines Maths '!F155,0)</f>
        <v>0</v>
      </c>
      <c r="G151">
        <f>IF('Items sous domaines Maths '!H155=1,'Items sous domaines Maths '!G155,0)</f>
        <v>0</v>
      </c>
    </row>
    <row r="152" spans="1:9" customFormat="1" ht="17.7" hidden="1" customHeight="1" x14ac:dyDescent="0.25">
      <c r="B152">
        <f>IF('Items sous domaines Maths '!H156=1,'Items sous domaines Maths '!B156,0)</f>
        <v>0</v>
      </c>
      <c r="C152">
        <f>IF('Items sous domaines Maths '!H156=1,'Items sous domaines Maths '!C156,0)</f>
        <v>0</v>
      </c>
      <c r="D152">
        <f>IF('Items sous domaines Maths '!H156=1,'Items sous domaines Maths '!D156,0)</f>
        <v>0</v>
      </c>
      <c r="E152">
        <f>IF('Items sous domaines Maths '!H156=1,'Items sous domaines Maths '!E156,0)</f>
        <v>0</v>
      </c>
      <c r="F152">
        <f>IF('Items sous domaines Maths '!H156=1,'Items sous domaines Maths '!F156,0)</f>
        <v>0</v>
      </c>
      <c r="G152">
        <f>IF('Items sous domaines Maths '!H156=1,'Items sous domaines Maths '!G156,0)</f>
        <v>0</v>
      </c>
    </row>
    <row r="153" spans="1:9" customFormat="1" ht="17.7" hidden="1" customHeight="1" thickBot="1" x14ac:dyDescent="0.3">
      <c r="B153">
        <f>IF('Items sous domaines Maths '!H157=1,'Items sous domaines Maths '!B157,0)</f>
        <v>0</v>
      </c>
      <c r="C153">
        <f>IF('Items sous domaines Maths '!H157=1,'Items sous domaines Maths '!C157,0)</f>
        <v>0</v>
      </c>
      <c r="D153">
        <f>IF('Items sous domaines Maths '!H157=1,'Items sous domaines Maths '!D157,0)</f>
        <v>0</v>
      </c>
      <c r="E153">
        <f>IF('Items sous domaines Maths '!H157=1,'Items sous domaines Maths '!E157,0)</f>
        <v>0</v>
      </c>
      <c r="F153">
        <f>IF('Items sous domaines Maths '!H157=1,'Items sous domaines Maths '!F157,0)</f>
        <v>0</v>
      </c>
      <c r="G153">
        <f>IF('Items sous domaines Maths '!H157=1,'Items sous domaines Maths '!G157,0)</f>
        <v>0</v>
      </c>
    </row>
    <row r="154" spans="1:9" ht="19.95" customHeight="1" thickTop="1" x14ac:dyDescent="0.25">
      <c r="A154" s="619" t="s">
        <v>533</v>
      </c>
      <c r="B154" s="223" t="str">
        <f>IF('Items sous domaines Maths '!$H$158=1,'Items sous domaines Maths '!$B$158,0)</f>
        <v>Géométrie</v>
      </c>
      <c r="C154" s="224" t="str">
        <f>IF('Items sous domaines Maths '!$H$158=1,'Items sous domaines Maths '!$C$158,0)</f>
        <v>Géometrie</v>
      </c>
      <c r="D154" s="224" t="str">
        <f>IF('Items sous domaines Maths '!H158=1,'Items sous domaines Maths '!D158,0)</f>
        <v>Géometrie du plan</v>
      </c>
      <c r="E154" s="224" t="str">
        <f>IF('Items sous domaines Maths '!H158=1,'Items sous domaines Maths '!E158,0)</f>
        <v xml:space="preserve">Repérage du plan  </v>
      </c>
      <c r="F154" s="225" t="str">
        <f>IF('Items sous domaines Maths '!H158=1,'Items sous domaines Maths '!F158,0)</f>
        <v>Repère cartésien.</v>
      </c>
      <c r="G154" s="589" t="s">
        <v>446</v>
      </c>
      <c r="H154" s="577" t="s">
        <v>179</v>
      </c>
      <c r="I154" s="231" t="s">
        <v>22</v>
      </c>
    </row>
    <row r="155" spans="1:9" ht="19.95" customHeight="1" thickBot="1" x14ac:dyDescent="0.3">
      <c r="A155" s="620"/>
      <c r="B155" s="127" t="str">
        <f>IF('Items sous domaines Maths '!$H$159=1,'Items sous domaines Maths '!$B$159,0)</f>
        <v>Géométrie</v>
      </c>
      <c r="C155" s="128" t="str">
        <f>IF('Items sous domaines Maths '!H159=1,'Items sous domaines Maths '!$C$159,0)</f>
        <v>Géometrie</v>
      </c>
      <c r="D155" s="128">
        <f>IF('Items sous domaines Maths '!H159=1,'Items sous domaines Maths '!D159,0)</f>
        <v>0</v>
      </c>
      <c r="E155" s="128">
        <f>IF('Items sous domaines Maths '!H159=1,'Items sous domaines Maths '!E159,0)</f>
        <v>0</v>
      </c>
      <c r="F155" s="129" t="str">
        <f>IF('Items sous domaines Maths '!H159=1,'Items sous domaines Maths '!F159,0)</f>
        <v>Repère polaire.</v>
      </c>
      <c r="G155" s="590"/>
      <c r="H155" s="578"/>
      <c r="I155" s="214"/>
    </row>
    <row r="156" spans="1:9" ht="19.95" customHeight="1" x14ac:dyDescent="0.25">
      <c r="A156" s="621" t="s">
        <v>536</v>
      </c>
      <c r="B156" s="127" t="str">
        <f>IF('Items sous domaines Maths '!H160=1,'Items sous domaines Maths '!B160,0)</f>
        <v>Géométrie</v>
      </c>
      <c r="C156" s="128" t="str">
        <f>IF('Items sous domaines Maths '!H160=1,'Items sous domaines Maths '!C160,0)</f>
        <v>Géometrie</v>
      </c>
      <c r="D156" s="128">
        <f>IF('Items sous domaines Maths '!H160=1,'Items sous domaines Maths '!D160,0)</f>
        <v>0</v>
      </c>
      <c r="E156" s="128" t="str">
        <f>IF('Items sous domaines Maths '!H160=1,'Items sous domaines Maths '!E160,0)</f>
        <v xml:space="preserve">Produit scalaire </v>
      </c>
      <c r="F156" s="129" t="str">
        <f>IF('Items sous domaines Maths '!H160=1,'Items sous domaines Maths '!F160,0)</f>
        <v>Définition et propriétés.</v>
      </c>
      <c r="G156" s="590" t="s">
        <v>450</v>
      </c>
      <c r="H156" s="167" t="s">
        <v>181</v>
      </c>
      <c r="I156" s="214"/>
    </row>
    <row r="157" spans="1:9" ht="19.95" customHeight="1" thickBot="1" x14ac:dyDescent="0.3">
      <c r="A157" s="620"/>
      <c r="B157" s="127" t="str">
        <f>IF('Items sous domaines Maths '!H161=1,'Items sous domaines Maths '!B161,0)</f>
        <v>Géométrie</v>
      </c>
      <c r="C157" s="128" t="str">
        <f>IF('Items sous domaines Maths '!H161=1,'Items sous domaines Maths '!C161,0)</f>
        <v>Géometrie</v>
      </c>
      <c r="D157" s="128">
        <f>IF('Items sous domaines Maths '!H161=1,'Items sous domaines Maths '!D161,0)</f>
        <v>0</v>
      </c>
      <c r="E157" s="128">
        <f>IF('Items sous domaines Maths '!H161=1,'Items sous domaines Maths '!E161,0)</f>
        <v>0</v>
      </c>
      <c r="F157" s="129" t="str">
        <f>IF('Items sous domaines Maths '!H161=1,'Items sous domaines Maths '!F161,0)</f>
        <v>Calculs du produit scalaire.</v>
      </c>
      <c r="G157" s="590"/>
      <c r="H157" s="578" t="s">
        <v>179</v>
      </c>
      <c r="I157" s="214"/>
    </row>
    <row r="158" spans="1:9" ht="19.95" customHeight="1" x14ac:dyDescent="0.25">
      <c r="A158" s="621" t="s">
        <v>533</v>
      </c>
      <c r="B158" s="127" t="str">
        <f>IF('Items sous domaines Maths '!H162=1,'Items sous domaines Maths '!B162,0)</f>
        <v>Géométrie</v>
      </c>
      <c r="C158" s="128" t="str">
        <f>IF('Items sous domaines Maths '!H162=1,'Items sous domaines Maths '!C162,0)</f>
        <v>Géometrie</v>
      </c>
      <c r="D158" s="128">
        <f>IF('Items sous domaines Maths '!H162=1,'Items sous domaines Maths '!D162,0)</f>
        <v>0</v>
      </c>
      <c r="E158" s="128" t="str">
        <f>IF('Items sous domaines Maths '!H162=1,'Items sous domaines Maths '!E162,0)</f>
        <v xml:space="preserve">Déterminant  </v>
      </c>
      <c r="F158" s="129" t="str">
        <f>IF('Items sous domaines Maths '!H162=1,'Items sous domaines Maths '!F162,0)</f>
        <v>Définition et propriétés = condition de colinéarité.</v>
      </c>
      <c r="G158" s="590" t="s">
        <v>446</v>
      </c>
      <c r="H158" s="578"/>
      <c r="I158" s="214"/>
    </row>
    <row r="159" spans="1:9" ht="19.95" customHeight="1" x14ac:dyDescent="0.25">
      <c r="A159" s="620"/>
      <c r="B159" s="127" t="str">
        <f>IF('Items sous domaines Maths '!H163=1,'Items sous domaines Maths '!B163,0)</f>
        <v>Géométrie</v>
      </c>
      <c r="C159" s="128" t="str">
        <f>IF('Items sous domaines Maths '!H163=1,'Items sous domaines Maths '!C163,0)</f>
        <v>Géometrie</v>
      </c>
      <c r="D159" s="128">
        <f>IF('Items sous domaines Maths '!H163=1,'Items sous domaines Maths '!D163,0)</f>
        <v>0</v>
      </c>
      <c r="E159" s="128">
        <f>IF('Items sous domaines Maths '!H163=1,'Items sous domaines Maths '!E163,0)</f>
        <v>0</v>
      </c>
      <c r="F159" s="129" t="str">
        <f>IF('Items sous domaines Maths '!H163=1,'Items sous domaines Maths '!F163,0)</f>
        <v>Calculs du déterminant.</v>
      </c>
      <c r="G159" s="590"/>
      <c r="H159" s="578"/>
      <c r="I159" s="214"/>
    </row>
    <row r="160" spans="1:9" ht="19.95" customHeight="1" x14ac:dyDescent="0.25">
      <c r="A160" s="620"/>
      <c r="B160" s="127" t="str">
        <f>IF('Items sous domaines Maths '!H164=1,'Items sous domaines Maths '!B164,0)</f>
        <v>Géométrie</v>
      </c>
      <c r="C160" s="128" t="str">
        <f>IF('Items sous domaines Maths '!H164=1,'Items sous domaines Maths '!C164,0)</f>
        <v>Géometrie</v>
      </c>
      <c r="D160" s="128">
        <f>IF('Items sous domaines Maths '!H164=1,'Items sous domaines Maths '!D164,0)</f>
        <v>0</v>
      </c>
      <c r="E160" s="128" t="str">
        <f>IF('Items sous domaines Maths '!H164=1,'Items sous domaines Maths '!E164,0)</f>
        <v>Droites du plan</v>
      </c>
      <c r="F160" s="129" t="str">
        <f>IF('Items sous domaines Maths '!H164=1,'Items sous domaines Maths '!F164,0)</f>
        <v>Définitions.</v>
      </c>
      <c r="G160" s="590"/>
      <c r="H160" s="578"/>
      <c r="I160" s="214"/>
    </row>
    <row r="161" spans="1:9" ht="19.95" customHeight="1" x14ac:dyDescent="0.25">
      <c r="A161" s="620"/>
      <c r="B161" s="127" t="str">
        <f>IF('Items sous domaines Maths '!H165=1,'Items sous domaines Maths '!B165,0)</f>
        <v>Géométrie</v>
      </c>
      <c r="C161" s="128" t="str">
        <f>IF('Items sous domaines Maths '!H165=1,'Items sous domaines Maths '!C165,0)</f>
        <v>Géometrie</v>
      </c>
      <c r="D161" s="128">
        <f>IF('Items sous domaines Maths '!H165=1,'Items sous domaines Maths '!D165,0)</f>
        <v>0</v>
      </c>
      <c r="E161" s="128">
        <f>IF('Items sous domaines Maths '!H165=1,'Items sous domaines Maths '!E165,0)</f>
        <v>0</v>
      </c>
      <c r="F161" s="129" t="str">
        <f>IF('Items sous domaines Maths '!H165=1,'Items sous domaines Maths '!F165,0)</f>
        <v>Équations.</v>
      </c>
      <c r="G161" s="590"/>
      <c r="H161" s="578"/>
      <c r="I161" s="214"/>
    </row>
    <row r="162" spans="1:9" ht="19.95" customHeight="1" x14ac:dyDescent="0.25">
      <c r="A162" s="620"/>
      <c r="B162" s="127" t="str">
        <f>IF('Items sous domaines Maths '!H166=1,'Items sous domaines Maths '!B166,0)</f>
        <v>Géométrie</v>
      </c>
      <c r="C162" s="128" t="str">
        <f>IF('Items sous domaines Maths '!H166=1,'Items sous domaines Maths '!C166,0)</f>
        <v>Géometrie</v>
      </c>
      <c r="D162" s="128">
        <f>IF('Items sous domaines Maths '!H166=1,'Items sous domaines Maths '!D166,0)</f>
        <v>0</v>
      </c>
      <c r="E162" s="128">
        <f>IF('Items sous domaines Maths '!H166=1,'Items sous domaines Maths '!E166,0)</f>
        <v>0</v>
      </c>
      <c r="F162" s="129" t="str">
        <f>IF('Items sous domaines Maths '!H166=1,'Items sous domaines Maths '!F166,0)</f>
        <v>Intersections et distances d'un point à une droite.</v>
      </c>
      <c r="G162" s="590"/>
      <c r="H162" s="578"/>
      <c r="I162" s="214"/>
    </row>
    <row r="163" spans="1:9" ht="19.95" customHeight="1" x14ac:dyDescent="0.25">
      <c r="A163" s="620"/>
      <c r="B163" s="127" t="str">
        <f>IF('Items sous domaines Maths '!H167=1,'Items sous domaines Maths '!B167,0)</f>
        <v>Géométrie</v>
      </c>
      <c r="C163" s="128" t="str">
        <f>IF('Items sous domaines Maths '!H167=1,'Items sous domaines Maths '!C167,0)</f>
        <v>Géometrie</v>
      </c>
      <c r="D163" s="128">
        <f>IF('Items sous domaines Maths '!H167=1,'Items sous domaines Maths '!D167,0)</f>
        <v>0</v>
      </c>
      <c r="E163" s="128" t="str">
        <f>IF('Items sous domaines Maths '!H167=1,'Items sous domaines Maths '!E167,0)</f>
        <v xml:space="preserve">Cercles du plan </v>
      </c>
      <c r="F163" s="129" t="str">
        <f>IF('Items sous domaines Maths '!H167=1,'Items sous domaines Maths '!F167,0)</f>
        <v>Définition.</v>
      </c>
      <c r="G163" s="590"/>
      <c r="H163" s="578"/>
      <c r="I163" s="214"/>
    </row>
    <row r="164" spans="1:9" ht="19.95" customHeight="1" x14ac:dyDescent="0.25">
      <c r="A164" s="620"/>
      <c r="B164" s="127" t="str">
        <f>IF('Items sous domaines Maths '!H168=1,'Items sous domaines Maths '!B168,0)</f>
        <v>Géométrie</v>
      </c>
      <c r="C164" s="128" t="str">
        <f>IF('Items sous domaines Maths '!H168=1,'Items sous domaines Maths '!C168,0)</f>
        <v>Géometrie</v>
      </c>
      <c r="D164" s="128">
        <f>IF('Items sous domaines Maths '!H168=1,'Items sous domaines Maths '!D168,0)</f>
        <v>0</v>
      </c>
      <c r="E164" s="128">
        <f>IF('Items sous domaines Maths '!H168=1,'Items sous domaines Maths '!E168,0)</f>
        <v>0</v>
      </c>
      <c r="F164" s="129" t="str">
        <f>IF('Items sous domaines Maths '!H168=1,'Items sous domaines Maths '!F168,0)</f>
        <v>Équations.</v>
      </c>
      <c r="G164" s="590"/>
      <c r="H164" s="578"/>
      <c r="I164" s="214"/>
    </row>
    <row r="165" spans="1:9" ht="19.95" customHeight="1" x14ac:dyDescent="0.25">
      <c r="A165" s="620"/>
      <c r="B165" s="127" t="str">
        <f>IF('Items sous domaines Maths '!H169=1,'Items sous domaines Maths '!B169,0)</f>
        <v>Géométrie</v>
      </c>
      <c r="C165" s="128" t="str">
        <f>IF('Items sous domaines Maths '!H169=1,'Items sous domaines Maths '!C169,0)</f>
        <v>Géometrie</v>
      </c>
      <c r="D165" s="128">
        <f>IF('Items sous domaines Maths '!H169=1,'Items sous domaines Maths '!D169,0)</f>
        <v>0</v>
      </c>
      <c r="E165" s="128">
        <f>IF('Items sous domaines Maths '!H169=1,'Items sous domaines Maths '!E169,0)</f>
        <v>0</v>
      </c>
      <c r="F165" s="129" t="str">
        <f>IF('Items sous domaines Maths '!H169=1,'Items sous domaines Maths '!F169,0)</f>
        <v>Intersection entre cercles et droites.</v>
      </c>
      <c r="G165" s="590"/>
      <c r="H165" s="578"/>
      <c r="I165" s="214"/>
    </row>
    <row r="166" spans="1:9" ht="19.95" customHeight="1" x14ac:dyDescent="0.25">
      <c r="A166" s="620"/>
      <c r="B166" s="127" t="str">
        <f>IF('Items sous domaines Maths '!H170=1,'Items sous domaines Maths '!B170,0)</f>
        <v>Géométrie</v>
      </c>
      <c r="C166" s="128" t="str">
        <f>IF('Items sous domaines Maths '!H170=1,'Items sous domaines Maths '!C170,0)</f>
        <v>Géometrie</v>
      </c>
      <c r="D166" s="128" t="str">
        <f>IF('Items sous domaines Maths '!H170=1,'Items sous domaines Maths '!D170,0)</f>
        <v xml:space="preserve">Géométrie dans l’espace </v>
      </c>
      <c r="E166" s="128" t="str">
        <f>IF('Items sous domaines Maths '!H170=1,'Items sous domaines Maths '!E170,0)</f>
        <v>Repérage de l’espace</v>
      </c>
      <c r="F166" s="129" t="str">
        <f>IF('Items sous domaines Maths '!H170=1,'Items sous domaines Maths '!F170,0)</f>
        <v>Repère cartésien.</v>
      </c>
      <c r="G166" s="590"/>
      <c r="H166" s="578"/>
      <c r="I166" s="214"/>
    </row>
    <row r="167" spans="1:9" ht="19.95" customHeight="1" thickBot="1" x14ac:dyDescent="0.3">
      <c r="A167" s="622"/>
      <c r="B167" s="127" t="str">
        <f>IF('Items sous domaines Maths '!H171=1,'Items sous domaines Maths '!B171,0)</f>
        <v>Géométrie</v>
      </c>
      <c r="C167" s="128" t="str">
        <f>IF('Items sous domaines Maths '!H171=1,'Items sous domaines Maths '!C171,0)</f>
        <v>Géometrie</v>
      </c>
      <c r="D167" s="128">
        <f>IF('Items sous domaines Maths '!H171=1,'Items sous domaines Maths '!D171,0)</f>
        <v>0</v>
      </c>
      <c r="E167" s="128">
        <f>IF('Items sous domaines Maths '!H171=1,'Items sous domaines Maths '!E171,0)</f>
        <v>0</v>
      </c>
      <c r="F167" s="129" t="str">
        <f>IF('Items sous domaines Maths '!H171=1,'Items sous domaines Maths '!F171,0)</f>
        <v>Repères cylindrique et sphérique.</v>
      </c>
      <c r="G167" s="590"/>
      <c r="H167" s="578"/>
      <c r="I167" s="214"/>
    </row>
    <row r="168" spans="1:9" ht="19.95" customHeight="1" x14ac:dyDescent="0.25">
      <c r="A168" s="621" t="s">
        <v>534</v>
      </c>
      <c r="B168" s="127" t="str">
        <f>IF('Items sous domaines Maths '!H172=1,'Items sous domaines Maths '!B172,0)</f>
        <v>Géométrie</v>
      </c>
      <c r="C168" s="128" t="str">
        <f>IF('Items sous domaines Maths '!H172=1,'Items sous domaines Maths '!C172,0)</f>
        <v>Géometrie</v>
      </c>
      <c r="D168" s="128">
        <f>IF('Items sous domaines Maths '!H172=1,'Items sous domaines Maths '!D172,0)</f>
        <v>0</v>
      </c>
      <c r="E168" s="128" t="str">
        <f>IF('Items sous domaines Maths '!H172=1,'Items sous domaines Maths '!E172,0)</f>
        <v xml:space="preserve">Produit scalaire  </v>
      </c>
      <c r="F168" s="129" t="str">
        <f>IF('Items sous domaines Maths '!H172=1,'Items sous domaines Maths '!F172,0)</f>
        <v>Définition et propriétés.</v>
      </c>
      <c r="G168" s="590" t="s">
        <v>450</v>
      </c>
      <c r="H168" s="578" t="s">
        <v>181</v>
      </c>
      <c r="I168" s="214"/>
    </row>
    <row r="169" spans="1:9" ht="19.95" customHeight="1" x14ac:dyDescent="0.25">
      <c r="A169" s="620"/>
      <c r="B169" s="127" t="str">
        <f>IF('Items sous domaines Maths '!H173=1,'Items sous domaines Maths '!B173,0)</f>
        <v>Géométrie</v>
      </c>
      <c r="C169" s="128" t="str">
        <f>IF('Items sous domaines Maths '!H173=1,'Items sous domaines Maths '!C173,0)</f>
        <v>Géometrie</v>
      </c>
      <c r="D169" s="128">
        <f>IF('Items sous domaines Maths '!H173=1,'Items sous domaines Maths '!D173,0)</f>
        <v>0</v>
      </c>
      <c r="E169" s="128">
        <f>IF('Items sous domaines Maths '!H173=1,'Items sous domaines Maths '!E173,0)</f>
        <v>0</v>
      </c>
      <c r="F169" s="129" t="str">
        <f>IF('Items sous domaines Maths '!H173=1,'Items sous domaines Maths '!F173,0)</f>
        <v>Calculs du produit scalaire - Interprétation géométrique.</v>
      </c>
      <c r="G169" s="590"/>
      <c r="H169" s="578"/>
      <c r="I169" s="214"/>
    </row>
    <row r="170" spans="1:9" ht="19.95" customHeight="1" x14ac:dyDescent="0.25">
      <c r="A170" s="620"/>
      <c r="B170" s="127" t="str">
        <f>IF('Items sous domaines Maths '!H174=1,'Items sous domaines Maths '!B174,0)</f>
        <v>Géométrie</v>
      </c>
      <c r="C170" s="128" t="str">
        <f>IF('Items sous domaines Maths '!H174=1,'Items sous domaines Maths '!C174,0)</f>
        <v>Géometrie</v>
      </c>
      <c r="D170" s="128">
        <f>IF('Items sous domaines Maths '!H174=1,'Items sous domaines Maths '!D174,0)</f>
        <v>0</v>
      </c>
      <c r="E170" s="128" t="str">
        <f>IF('Items sous domaines Maths '!H174=1,'Items sous domaines Maths '!E174,0)</f>
        <v xml:space="preserve">Produit vectoriel </v>
      </c>
      <c r="F170" s="129" t="str">
        <f>IF('Items sous domaines Maths '!H174=1,'Items sous domaines Maths '!F174,0)</f>
        <v>Définition et propriétés.</v>
      </c>
      <c r="G170" s="590"/>
      <c r="H170" s="578"/>
      <c r="I170" s="214"/>
    </row>
    <row r="171" spans="1:9" ht="19.95" customHeight="1" x14ac:dyDescent="0.25">
      <c r="A171" s="620"/>
      <c r="B171" s="127" t="str">
        <f>IF('Items sous domaines Maths '!H175=1,'Items sous domaines Maths '!B175,0)</f>
        <v>Géométrie</v>
      </c>
      <c r="C171" s="128" t="str">
        <f>IF('Items sous domaines Maths '!H175=1,'Items sous domaines Maths '!C175,0)</f>
        <v>Géometrie</v>
      </c>
      <c r="D171" s="128">
        <f>IF('Items sous domaines Maths '!H175=1,'Items sous domaines Maths '!D175,0)</f>
        <v>0</v>
      </c>
      <c r="E171" s="128">
        <f>IF('Items sous domaines Maths '!H175=1,'Items sous domaines Maths '!E175,0)</f>
        <v>0</v>
      </c>
      <c r="F171" s="129" t="str">
        <f>IF('Items sous domaines Maths '!H175=1,'Items sous domaines Maths '!F175,0)</f>
        <v>Calculs du produit vectoriel - Interprétation géométrique.</v>
      </c>
      <c r="G171" s="590"/>
      <c r="H171" s="578"/>
      <c r="I171" s="214"/>
    </row>
    <row r="172" spans="1:9" ht="19.95" customHeight="1" thickBot="1" x14ac:dyDescent="0.3">
      <c r="A172" s="620"/>
      <c r="B172" s="127" t="str">
        <f>IF('Items sous domaines Maths '!H176=1,'Items sous domaines Maths '!B176,0)</f>
        <v>Géométrie</v>
      </c>
      <c r="C172" s="128" t="str">
        <f>IF('Items sous domaines Maths '!H176=1,'Items sous domaines Maths '!C176,0)</f>
        <v>Géometrie</v>
      </c>
      <c r="D172" s="128">
        <f>IF('Items sous domaines Maths '!H176=1,'Items sous domaines Maths '!D176,0)</f>
        <v>0</v>
      </c>
      <c r="E172" s="128" t="str">
        <f>IF('Items sous domaines Maths '!H176=1,'Items sous domaines Maths '!E176,0)</f>
        <v>Produit mixte</v>
      </c>
      <c r="F172" s="129" t="str">
        <f>IF('Items sous domaines Maths '!H176=1,'Items sous domaines Maths '!F176,0)</f>
        <v>Définition et propriétés.</v>
      </c>
      <c r="G172" s="590"/>
      <c r="H172" s="578"/>
      <c r="I172" s="214"/>
    </row>
    <row r="173" spans="1:9" ht="19.95" customHeight="1" x14ac:dyDescent="0.25">
      <c r="A173" s="621" t="s">
        <v>533</v>
      </c>
      <c r="B173" s="127" t="str">
        <f>IF('Items sous domaines Maths '!H177=1,'Items sous domaines Maths '!B177,0)</f>
        <v>Géométrie</v>
      </c>
      <c r="C173" s="128" t="str">
        <f>IF('Items sous domaines Maths '!H177=1,'Items sous domaines Maths '!C177,0)</f>
        <v>Géometrie</v>
      </c>
      <c r="D173" s="128">
        <f>IF('Items sous domaines Maths '!H177=1,'Items sous domaines Maths '!D177,0)</f>
        <v>0</v>
      </c>
      <c r="E173" s="128">
        <f>IF('Items sous domaines Maths '!H177=1,'Items sous domaines Maths '!E177,0)</f>
        <v>0</v>
      </c>
      <c r="F173" s="129" t="str">
        <f>IF('Items sous domaines Maths '!H177=1,'Items sous domaines Maths '!F177,0)</f>
        <v>Calculs du produit mixte - Interprétation géométrique.</v>
      </c>
      <c r="G173" s="590" t="s">
        <v>446</v>
      </c>
      <c r="H173" s="578" t="s">
        <v>179</v>
      </c>
      <c r="I173" s="214"/>
    </row>
    <row r="174" spans="1:9" ht="19.95" customHeight="1" x14ac:dyDescent="0.25">
      <c r="A174" s="620"/>
      <c r="B174" s="127" t="str">
        <f>IF('Items sous domaines Maths '!H178=1,'Items sous domaines Maths '!B178,0)</f>
        <v>Géométrie</v>
      </c>
      <c r="C174" s="128" t="str">
        <f>IF('Items sous domaines Maths '!H178=1,'Items sous domaines Maths '!C178,0)</f>
        <v>Géometrie</v>
      </c>
      <c r="D174" s="128">
        <f>IF('Items sous domaines Maths '!H178=1,'Items sous domaines Maths '!D178,0)</f>
        <v>0</v>
      </c>
      <c r="E174" s="128" t="str">
        <f>IF('Items sous domaines Maths '!H178=1,'Items sous domaines Maths '!E178,0)</f>
        <v>Plans de l'éspace</v>
      </c>
      <c r="F174" s="129" t="str">
        <f>IF('Items sous domaines Maths '!H178=1,'Items sous domaines Maths '!F178,0)</f>
        <v>Définition et équation.</v>
      </c>
      <c r="G174" s="590"/>
      <c r="H174" s="578"/>
      <c r="I174" s="214"/>
    </row>
    <row r="175" spans="1:9" ht="19.95" customHeight="1" x14ac:dyDescent="0.25">
      <c r="A175" s="620"/>
      <c r="B175" s="127" t="str">
        <f>IF('Items sous domaines Maths '!H179=1,'Items sous domaines Maths '!B179,0)</f>
        <v>Géométrie</v>
      </c>
      <c r="C175" s="128" t="str">
        <f>IF('Items sous domaines Maths '!H179=1,'Items sous domaines Maths '!C179,0)</f>
        <v>Géometrie</v>
      </c>
      <c r="D175" s="128">
        <f>IF('Items sous domaines Maths '!H179=1,'Items sous domaines Maths '!D179,0)</f>
        <v>0</v>
      </c>
      <c r="E175" s="128">
        <f>IF('Items sous domaines Maths '!H179=1,'Items sous domaines Maths '!E179,0)</f>
        <v>0</v>
      </c>
      <c r="F175" s="129" t="str">
        <f>IF('Items sous domaines Maths '!H179=1,'Items sous domaines Maths '!F179,0)</f>
        <v>Intersection de plans.</v>
      </c>
      <c r="G175" s="590"/>
      <c r="H175" s="578"/>
      <c r="I175" s="214"/>
    </row>
    <row r="176" spans="1:9" ht="19.95" customHeight="1" x14ac:dyDescent="0.25">
      <c r="A176" s="620"/>
      <c r="B176" s="127" t="str">
        <f>IF('Items sous domaines Maths '!H180=1,'Items sous domaines Maths '!B180,0)</f>
        <v>Géométrie</v>
      </c>
      <c r="C176" s="128" t="str">
        <f>IF('Items sous domaines Maths '!H180=1,'Items sous domaines Maths '!C180,0)</f>
        <v>Géometrie</v>
      </c>
      <c r="D176" s="128">
        <f>IF('Items sous domaines Maths '!H180=1,'Items sous domaines Maths '!D180,0)</f>
        <v>0</v>
      </c>
      <c r="E176" s="128">
        <f>IF('Items sous domaines Maths '!H180=1,'Items sous domaines Maths '!E180,0)</f>
        <v>0</v>
      </c>
      <c r="F176" s="129" t="str">
        <f>IF('Items sous domaines Maths '!H180=1,'Items sous domaines Maths '!F180,0)</f>
        <v>Distance d'un point à un plan.</v>
      </c>
      <c r="G176" s="590"/>
      <c r="H176" s="578"/>
      <c r="I176" s="214"/>
    </row>
    <row r="177" spans="1:9" ht="19.95" customHeight="1" x14ac:dyDescent="0.25">
      <c r="A177" s="620"/>
      <c r="B177" s="127" t="str">
        <f>IF('Items sous domaines Maths '!H181=1,'Items sous domaines Maths '!B181,0)</f>
        <v>Géométrie</v>
      </c>
      <c r="C177" s="128" t="str">
        <f>IF('Items sous domaines Maths '!H181=1,'Items sous domaines Maths '!C181,0)</f>
        <v>Géometrie</v>
      </c>
      <c r="D177" s="128">
        <f>IF('Items sous domaines Maths '!H181=1,'Items sous domaines Maths '!D181,0)</f>
        <v>0</v>
      </c>
      <c r="E177" s="128" t="str">
        <f>IF('Items sous domaines Maths '!H181=1,'Items sous domaines Maths '!E181,0)</f>
        <v>Droites de l'espace</v>
      </c>
      <c r="F177" s="129" t="str">
        <f>IF('Items sous domaines Maths '!H181=1,'Items sous domaines Maths '!F181,0)</f>
        <v>Définition et équation.</v>
      </c>
      <c r="G177" s="590"/>
      <c r="H177" s="578"/>
      <c r="I177" s="214"/>
    </row>
    <row r="178" spans="1:9" ht="19.95" customHeight="1" x14ac:dyDescent="0.25">
      <c r="A178" s="620"/>
      <c r="B178" s="127" t="str">
        <f>IF('Items sous domaines Maths '!H182=1,'Items sous domaines Maths '!B182,0)</f>
        <v>Géométrie</v>
      </c>
      <c r="C178" s="128" t="str">
        <f>IF('Items sous domaines Maths '!H182=1,'Items sous domaines Maths '!C182,0)</f>
        <v>Géometrie</v>
      </c>
      <c r="D178" s="128">
        <f>IF('Items sous domaines Maths '!H182=1,'Items sous domaines Maths '!D182,0)</f>
        <v>0</v>
      </c>
      <c r="E178" s="128">
        <f>IF('Items sous domaines Maths '!H182=1,'Items sous domaines Maths '!E182,0)</f>
        <v>0</v>
      </c>
      <c r="F178" s="129" t="str">
        <f>IF('Items sous domaines Maths '!H182=1,'Items sous domaines Maths '!F182,0)</f>
        <v>Intersection de droites et intersections de droites et de plans.</v>
      </c>
      <c r="G178" s="590"/>
      <c r="H178" s="578"/>
      <c r="I178" s="214"/>
    </row>
    <row r="179" spans="1:9" ht="19.95" customHeight="1" x14ac:dyDescent="0.25">
      <c r="A179" s="620"/>
      <c r="B179" s="127" t="str">
        <f>IF('Items sous domaines Maths '!H183=1,'Items sous domaines Maths '!B183,0)</f>
        <v>Géométrie</v>
      </c>
      <c r="C179" s="128" t="str">
        <f>IF('Items sous domaines Maths '!H183=1,'Items sous domaines Maths '!C183,0)</f>
        <v>Géometrie</v>
      </c>
      <c r="D179" s="128">
        <f>IF('Items sous domaines Maths '!H183=1,'Items sous domaines Maths '!D183,0)</f>
        <v>0</v>
      </c>
      <c r="E179" s="128" t="str">
        <f>IF('Items sous domaines Maths '!H183=1,'Items sous domaines Maths '!E183,0)</f>
        <v>Sphères</v>
      </c>
      <c r="F179" s="129" t="str">
        <f>IF('Items sous domaines Maths '!H183=1,'Items sous domaines Maths '!F183,0)</f>
        <v>Définition et équation.</v>
      </c>
      <c r="G179" s="590"/>
      <c r="H179" s="578"/>
      <c r="I179" s="214"/>
    </row>
    <row r="180" spans="1:9" ht="19.95" customHeight="1" x14ac:dyDescent="0.25">
      <c r="A180" s="620"/>
      <c r="B180" s="127" t="str">
        <f>IF('Items sous domaines Maths '!H184=1,'Items sous domaines Maths '!B184,0)</f>
        <v>Géométrie</v>
      </c>
      <c r="C180" s="128" t="str">
        <f>IF('Items sous domaines Maths '!H184=1,'Items sous domaines Maths '!C184,0)</f>
        <v>Géometrie</v>
      </c>
      <c r="D180" s="128">
        <f>IF('Items sous domaines Maths '!H184=1,'Items sous domaines Maths '!D184,0)</f>
        <v>0</v>
      </c>
      <c r="E180" s="128">
        <f>IF('Items sous domaines Maths '!H184=1,'Items sous domaines Maths '!E184,0)</f>
        <v>0</v>
      </c>
      <c r="F180" s="129" t="str">
        <f>IF('Items sous domaines Maths '!H184=1,'Items sous domaines Maths '!F184,0)</f>
        <v>Intersection d'une sphère et d'un plan.</v>
      </c>
      <c r="G180" s="590"/>
      <c r="H180" s="578"/>
      <c r="I180" s="214"/>
    </row>
    <row r="181" spans="1:9" ht="19.95" customHeight="1" x14ac:dyDescent="0.25">
      <c r="A181" s="620"/>
      <c r="B181" s="127" t="str">
        <f>IF('Items sous domaines Maths '!H185=1,'Items sous domaines Maths '!B185,0)</f>
        <v>Géométrie</v>
      </c>
      <c r="C181" s="128" t="str">
        <f>IF('Items sous domaines Maths '!H185=1,'Items sous domaines Maths '!C185,0)</f>
        <v>Géometrie</v>
      </c>
      <c r="D181" s="128" t="str">
        <f>IF('Items sous domaines Maths '!H185=1,'Items sous domaines Maths '!D185,0)</f>
        <v>Barycentres</v>
      </c>
      <c r="E181" s="128" t="str">
        <f>IF('Items sous domaines Maths '!H185=1,'Items sous domaines Maths '!E185,0)</f>
        <v>Fonction vectorielle de Leibniz</v>
      </c>
      <c r="F181" s="129" t="str">
        <f>IF('Items sous domaines Maths '!H185=1,'Items sous domaines Maths '!F185,0)</f>
        <v>Définition et propriété.</v>
      </c>
      <c r="G181" s="590"/>
      <c r="H181" s="578"/>
      <c r="I181" s="214"/>
    </row>
    <row r="182" spans="1:9" ht="19.95" customHeight="1" x14ac:dyDescent="0.25">
      <c r="A182" s="620"/>
      <c r="B182" s="127" t="str">
        <f>IF('Items sous domaines Maths '!H186=1,'Items sous domaines Maths '!B186,0)</f>
        <v>Géométrie</v>
      </c>
      <c r="C182" s="128" t="str">
        <f>IF('Items sous domaines Maths '!H186=1,'Items sous domaines Maths '!C186,0)</f>
        <v>Géometrie</v>
      </c>
      <c r="D182" s="128">
        <f>IF('Items sous domaines Maths '!H186=1,'Items sous domaines Maths '!D186,0)</f>
        <v>0</v>
      </c>
      <c r="E182" s="128" t="str">
        <f>IF('Items sous domaines Maths '!H186=1,'Items sous domaines Maths '!E186,0)</f>
        <v xml:space="preserve">Barycentre </v>
      </c>
      <c r="F182" s="129" t="str">
        <f>IF('Items sous domaines Maths '!H186=1,'Items sous domaines Maths '!F186,0)</f>
        <v>Définition et existence.</v>
      </c>
      <c r="G182" s="590"/>
      <c r="H182" s="578"/>
      <c r="I182" s="214"/>
    </row>
    <row r="183" spans="1:9" ht="19.95" customHeight="1" x14ac:dyDescent="0.25">
      <c r="A183" s="620"/>
      <c r="B183" s="127" t="str">
        <f>IF('Items sous domaines Maths '!H187=1,'Items sous domaines Maths '!B187,0)</f>
        <v>Géométrie</v>
      </c>
      <c r="C183" s="128" t="str">
        <f>IF('Items sous domaines Maths '!H187=1,'Items sous domaines Maths '!C187,0)</f>
        <v>Géometrie</v>
      </c>
      <c r="D183" s="128">
        <f>IF('Items sous domaines Maths '!H187=1,'Items sous domaines Maths '!D187,0)</f>
        <v>0</v>
      </c>
      <c r="E183" s="128">
        <f>IF('Items sous domaines Maths '!H187=1,'Items sous domaines Maths '!E187,0)</f>
        <v>0</v>
      </c>
      <c r="F183" s="129" t="str">
        <f>IF('Items sous domaines Maths '!H187=1,'Items sous domaines Maths '!F187,0)</f>
        <v>Construction géométrique.</v>
      </c>
      <c r="G183" s="590"/>
      <c r="H183" s="578"/>
      <c r="I183" s="214"/>
    </row>
    <row r="184" spans="1:9" ht="19.95" customHeight="1" x14ac:dyDescent="0.25">
      <c r="A184" s="620"/>
      <c r="B184" s="127" t="str">
        <f>IF('Items sous domaines Maths '!H188=1,'Items sous domaines Maths '!B188,0)</f>
        <v>Géométrie</v>
      </c>
      <c r="C184" s="128" t="str">
        <f>IF('Items sous domaines Maths '!H188=1,'Items sous domaines Maths '!C188,0)</f>
        <v>Géometrie</v>
      </c>
      <c r="D184" s="128">
        <f>IF('Items sous domaines Maths '!H188=1,'Items sous domaines Maths '!D188,0)</f>
        <v>0</v>
      </c>
      <c r="E184" s="128">
        <f>IF('Items sous domaines Maths '!H188=1,'Items sous domaines Maths '!E188,0)</f>
        <v>0</v>
      </c>
      <c r="F184" s="129" t="str">
        <f>IF('Items sous domaines Maths '!H188=1,'Items sous domaines Maths '!F188,0)</f>
        <v>Utilisation pour le recherche d'ensembles de points.</v>
      </c>
      <c r="G184" s="590"/>
      <c r="H184" s="578"/>
      <c r="I184" s="214"/>
    </row>
    <row r="185" spans="1:9" ht="19.95" customHeight="1" thickBot="1" x14ac:dyDescent="0.3">
      <c r="A185" s="623"/>
      <c r="B185" s="136" t="str">
        <f>IF('Items sous domaines Maths '!H189=1,'Items sous domaines Maths '!B189,0)</f>
        <v>Géométrie</v>
      </c>
      <c r="C185" s="137" t="str">
        <f>IF('Items sous domaines Maths '!H189=1,'Items sous domaines Maths '!C189,0)</f>
        <v>Géometrie</v>
      </c>
      <c r="D185" s="137">
        <f>IF('Items sous domaines Maths '!H189=1,'Items sous domaines Maths '!D189,0)</f>
        <v>0</v>
      </c>
      <c r="E185" s="137">
        <f>IF('Items sous domaines Maths '!H189=1,'Items sous domaines Maths '!E189,0)</f>
        <v>0</v>
      </c>
      <c r="F185" s="138" t="str">
        <f>IF('Items sous domaines Maths '!H189=1,'Items sous domaines Maths '!F189,0)</f>
        <v>Systèmes pondérés, moyenne pondérée.</v>
      </c>
      <c r="G185" s="591"/>
      <c r="H185" s="579"/>
      <c r="I185" s="218"/>
    </row>
    <row r="186" spans="1:9" customFormat="1" ht="17.399999999999999" hidden="1" customHeight="1" thickTop="1" thickBot="1" x14ac:dyDescent="0.3">
      <c r="B186">
        <f>IF('Items sous domaines Maths '!H190=1,'Items sous domaines Maths '!B190,0)</f>
        <v>0</v>
      </c>
      <c r="C186">
        <f>IF('Items sous domaines Maths '!H190=1,'Items sous domaines Maths '!C190,0)</f>
        <v>0</v>
      </c>
      <c r="D186">
        <f>IF('Items sous domaines Maths '!H190=1,'Items sous domaines Maths '!D190,0)</f>
        <v>0</v>
      </c>
      <c r="E186">
        <f>IF('Items sous domaines Maths '!H190=1,'Items sous domaines Maths '!E190,0)</f>
        <v>0</v>
      </c>
      <c r="F186">
        <f>IF('Items sous domaines Maths '!H190=1,'Items sous domaines Maths '!F190,0)</f>
        <v>0</v>
      </c>
      <c r="G186">
        <f>IF('Items sous domaines Maths '!H190=1,'Items sous domaines Maths '!G190,0)</f>
        <v>0</v>
      </c>
    </row>
    <row r="187" spans="1:9" ht="19.95" customHeight="1" thickTop="1" x14ac:dyDescent="0.25">
      <c r="A187" s="629" t="s">
        <v>525</v>
      </c>
      <c r="B187" s="210" t="str">
        <f>IF('Items sous domaines Maths '!H191=1,'Items sous domaines Maths '!B191,0)</f>
        <v>Analyse</v>
      </c>
      <c r="C187" s="211" t="str">
        <f>IF('Items sous domaines Maths '!H191=1,'Items sous domaines Maths '!C191,0)</f>
        <v>Fonctions d'une variable</v>
      </c>
      <c r="D187" s="211" t="str">
        <f>IF('Items sous domaines Maths '!H191=1,'Items sous domaines Maths '!D191,0)</f>
        <v>Géneralités sur les fonctions</v>
      </c>
      <c r="E187" s="211" t="str">
        <f>IF('Items sous domaines Maths '!H191=1,'Items sous domaines Maths '!E191,0)</f>
        <v>Définition</v>
      </c>
      <c r="F187" s="212" t="str">
        <f>IF('Items sous domaines Maths '!H191=1,'Items sous domaines Maths '!F191,0)</f>
        <v>Savoir les définitions d'antécédent, d'image.</v>
      </c>
      <c r="G187" s="589" t="s">
        <v>451</v>
      </c>
      <c r="H187" s="577" t="s">
        <v>202</v>
      </c>
      <c r="I187" s="213"/>
    </row>
    <row r="188" spans="1:9" ht="19.95" customHeight="1" thickBot="1" x14ac:dyDescent="0.3">
      <c r="A188" s="632"/>
      <c r="B188" s="127" t="str">
        <f>IF('Items sous domaines Maths '!H192=1,'Items sous domaines Maths '!B192,0)</f>
        <v>Analyse</v>
      </c>
      <c r="C188" s="128" t="str">
        <f>IF('Items sous domaines Maths '!H192=1,'Items sous domaines Maths '!C192,0)</f>
        <v>Fonctions d'une variable</v>
      </c>
      <c r="D188" s="128">
        <f>IF('Items sous domaines Maths '!H192=1,'Items sous domaines Maths '!D192,0)</f>
        <v>0</v>
      </c>
      <c r="E188" s="128" t="str">
        <f>IF('Items sous domaines Maths '!H192=1,'Items sous domaines Maths '!E192,0)</f>
        <v>Propriétés</v>
      </c>
      <c r="F188" s="129" t="str">
        <f>IF('Items sous domaines Maths '!H192=1,'Items sous domaines Maths '!F192,0)</f>
        <v>Etudier la parité, la périodicité, réduction d'intervalles d'étude et étudier une fonction.</v>
      </c>
      <c r="G188" s="590"/>
      <c r="H188" s="578"/>
      <c r="I188" s="214"/>
    </row>
    <row r="189" spans="1:9" ht="19.95" customHeight="1" x14ac:dyDescent="0.25">
      <c r="A189" s="630" t="s">
        <v>539</v>
      </c>
      <c r="B189" s="133" t="str">
        <f>IF('Items sous domaines Maths '!H193=1,'Items sous domaines Maths '!B193,0)</f>
        <v>Analyse</v>
      </c>
      <c r="C189" s="134" t="str">
        <f>IF('Items sous domaines Maths '!H193=1,'Items sous domaines Maths '!C193,0)</f>
        <v>Fonctions d'une variable</v>
      </c>
      <c r="D189" s="134" t="str">
        <f>IF('Items sous domaines Maths '!H193=1,'Items sous domaines Maths '!D193,0)</f>
        <v xml:space="preserve">Limites </v>
      </c>
      <c r="E189" s="134" t="str">
        <f>IF('Items sous domaines Maths '!H193=1,'Items sous domaines Maths '!E193,0)</f>
        <v>Limites finies et infinies en un réel fini et en l'infini</v>
      </c>
      <c r="F189" s="135">
        <f>IF('Items sous domaines Maths '!H193=1,'Items sous domaines Maths '!F193,0)</f>
        <v>0</v>
      </c>
      <c r="G189" s="590" t="s">
        <v>452</v>
      </c>
      <c r="H189" s="578"/>
      <c r="I189" s="214"/>
    </row>
    <row r="190" spans="1:9" ht="19.95" customHeight="1" x14ac:dyDescent="0.25">
      <c r="A190" s="630"/>
      <c r="B190" s="127" t="str">
        <f>IF('Items sous domaines Maths '!H194=1,'Items sous domaines Maths '!B194,0)</f>
        <v>Analyse</v>
      </c>
      <c r="C190" s="128" t="str">
        <f>IF('Items sous domaines Maths '!H194=1,'Items sous domaines Maths '!C194,0)</f>
        <v>Fonctions d'une variable</v>
      </c>
      <c r="D190" s="128">
        <f>IF('Items sous domaines Maths '!H194=1,'Items sous domaines Maths '!D194,0)</f>
        <v>0</v>
      </c>
      <c r="E190" s="128" t="str">
        <f>IF('Items sous domaines Maths '!H194=1,'Items sous domaines Maths '!E194,0)</f>
        <v>Limites des fonctions usuelles</v>
      </c>
      <c r="F190" s="129">
        <f>IF('Items sous domaines Maths '!H194=1,'Items sous domaines Maths '!F194,0)</f>
        <v>0</v>
      </c>
      <c r="G190" s="590"/>
      <c r="H190" s="578"/>
      <c r="I190" s="214"/>
    </row>
    <row r="191" spans="1:9" ht="19.95" customHeight="1" x14ac:dyDescent="0.25">
      <c r="A191" s="630"/>
      <c r="B191" s="133" t="str">
        <f>IF('Items sous domaines Maths '!H195=1,'Items sous domaines Maths '!B195,0)</f>
        <v>Analyse</v>
      </c>
      <c r="C191" s="134" t="str">
        <f>IF('Items sous domaines Maths '!H195=1,'Items sous domaines Maths '!C195,0)</f>
        <v>Fonctions d'une variable</v>
      </c>
      <c r="D191" s="134">
        <f>IF('Items sous domaines Maths '!H195=1,'Items sous domaines Maths '!D195,0)</f>
        <v>0</v>
      </c>
      <c r="E191" s="134" t="str">
        <f>IF('Items sous domaines Maths '!H195=1,'Items sous domaines Maths '!E195,0)</f>
        <v>Opérations sur les limites et formes indéterminées</v>
      </c>
      <c r="F191" s="135">
        <f>IF('Items sous domaines Maths '!H195=1,'Items sous domaines Maths '!F195,0)</f>
        <v>0</v>
      </c>
      <c r="G191" s="590"/>
      <c r="H191" s="578"/>
      <c r="I191" s="214"/>
    </row>
    <row r="192" spans="1:9" ht="19.95" customHeight="1" x14ac:dyDescent="0.25">
      <c r="A192" s="630"/>
      <c r="B192" s="127" t="str">
        <f>IF('Items sous domaines Maths '!H196=1,'Items sous domaines Maths '!B196,0)</f>
        <v>Analyse</v>
      </c>
      <c r="C192" s="128" t="str">
        <f>IF('Items sous domaines Maths '!H196=1,'Items sous domaines Maths '!C196,0)</f>
        <v>Fonctions d'une variable</v>
      </c>
      <c r="D192" s="128">
        <f>IF('Items sous domaines Maths '!H196=1,'Items sous domaines Maths '!D196,0)</f>
        <v>0</v>
      </c>
      <c r="E192" s="128" t="str">
        <f>IF('Items sous domaines Maths '!H196=1,'Items sous domaines Maths '!E196,0)</f>
        <v xml:space="preserve">Techniques de calculs de limites </v>
      </c>
      <c r="F192" s="129" t="str">
        <f>IF('Items sous domaines Maths '!H196=1,'Items sous domaines Maths '!F196,0)</f>
        <v>Levées d'indeterminations.</v>
      </c>
      <c r="G192" s="590"/>
      <c r="H192" s="578"/>
      <c r="I192" s="214"/>
    </row>
    <row r="193" spans="1:9" ht="19.95" customHeight="1" x14ac:dyDescent="0.25">
      <c r="A193" s="630"/>
      <c r="B193" s="133" t="str">
        <f>IF('Items sous domaines Maths '!H197=1,'Items sous domaines Maths '!B197,0)</f>
        <v>Analyse</v>
      </c>
      <c r="C193" s="134" t="str">
        <f>IF('Items sous domaines Maths '!H197=1,'Items sous domaines Maths '!C197,0)</f>
        <v>Fonctions d'une variable</v>
      </c>
      <c r="D193" s="134">
        <f>IF('Items sous domaines Maths '!H197=1,'Items sous domaines Maths '!D197,0)</f>
        <v>0</v>
      </c>
      <c r="E193" s="134" t="str">
        <f>IF('Items sous domaines Maths '!H197=1,'Items sous domaines Maths '!E197,0)</f>
        <v>Interprétation graphique et asymptotes</v>
      </c>
      <c r="F193" s="135">
        <f>IF('Items sous domaines Maths '!H197=1,'Items sous domaines Maths '!F197,0)</f>
        <v>0</v>
      </c>
      <c r="G193" s="590"/>
      <c r="H193" s="578"/>
      <c r="I193" s="214"/>
    </row>
    <row r="194" spans="1:9" ht="19.95" customHeight="1" x14ac:dyDescent="0.25">
      <c r="A194" s="630"/>
      <c r="B194" s="127" t="str">
        <f>IF('Items sous domaines Maths '!H198=1,'Items sous domaines Maths '!B198,0)</f>
        <v>Analyse</v>
      </c>
      <c r="C194" s="128" t="str">
        <f>IF('Items sous domaines Maths '!H198=1,'Items sous domaines Maths '!C198,0)</f>
        <v>Fonctions d'une variable</v>
      </c>
      <c r="D194" s="128" t="str">
        <f>IF('Items sous domaines Maths '!H198=1,'Items sous domaines Maths '!D198,0)</f>
        <v>Continuité</v>
      </c>
      <c r="E194" s="128" t="str">
        <f>IF('Items sous domaines Maths '!H198=1,'Items sous domaines Maths '!E198,0)</f>
        <v>Continuité en un point</v>
      </c>
      <c r="F194" s="129">
        <f>IF('Items sous domaines Maths '!H198=1,'Items sous domaines Maths '!F198,0)</f>
        <v>0</v>
      </c>
      <c r="G194" s="590"/>
      <c r="H194" s="578"/>
      <c r="I194" s="214"/>
    </row>
    <row r="195" spans="1:9" ht="19.95" customHeight="1" x14ac:dyDescent="0.25">
      <c r="A195" s="630"/>
      <c r="B195" s="133" t="str">
        <f>IF('Items sous domaines Maths '!H199=1,'Items sous domaines Maths '!B199,0)</f>
        <v>Analyse</v>
      </c>
      <c r="C195" s="134" t="str">
        <f>IF('Items sous domaines Maths '!H199=1,'Items sous domaines Maths '!C199,0)</f>
        <v>Fonctions d'une variable</v>
      </c>
      <c r="D195" s="134">
        <f>IF('Items sous domaines Maths '!H199=1,'Items sous domaines Maths '!D199,0)</f>
        <v>0</v>
      </c>
      <c r="E195" s="134" t="str">
        <f>IF('Items sous domaines Maths '!H199=1,'Items sous domaines Maths '!E199,0)</f>
        <v>Continuité sur un intervalle</v>
      </c>
      <c r="F195" s="135">
        <f>IF('Items sous domaines Maths '!H199=1,'Items sous domaines Maths '!F199,0)</f>
        <v>0</v>
      </c>
      <c r="G195" s="590"/>
      <c r="H195" s="578"/>
      <c r="I195" s="214"/>
    </row>
    <row r="196" spans="1:9" ht="19.95" customHeight="1" x14ac:dyDescent="0.25">
      <c r="A196" s="630"/>
      <c r="B196" s="127" t="str">
        <f>IF('Items sous domaines Maths '!H200=1,'Items sous domaines Maths '!B200,0)</f>
        <v>Analyse</v>
      </c>
      <c r="C196" s="128" t="str">
        <f>IF('Items sous domaines Maths '!H200=1,'Items sous domaines Maths '!C200,0)</f>
        <v>Fonctions d'une variable</v>
      </c>
      <c r="D196" s="128" t="str">
        <f>IF('Items sous domaines Maths '!H200=1,'Items sous domaines Maths '!D200,0)</f>
        <v>Derivation</v>
      </c>
      <c r="E196" s="128" t="str">
        <f>IF('Items sous domaines Maths '!H200=1,'Items sous domaines Maths '!E200,0)</f>
        <v>Dérivabilité en un point</v>
      </c>
      <c r="F196" s="129" t="str">
        <f>IF('Items sous domaines Maths '!H200=1,'Items sous domaines Maths '!F200,0)</f>
        <v>Notion de nombre dérivé et interprétation géométrique. Taux de variation.</v>
      </c>
      <c r="G196" s="590"/>
      <c r="H196" s="578" t="s">
        <v>214</v>
      </c>
      <c r="I196" s="214"/>
    </row>
    <row r="197" spans="1:9" ht="19.95" customHeight="1" x14ac:dyDescent="0.25">
      <c r="A197" s="630"/>
      <c r="B197" s="133" t="str">
        <f>IF('Items sous domaines Maths '!H201=1,'Items sous domaines Maths '!B201,0)</f>
        <v>Analyse</v>
      </c>
      <c r="C197" s="134" t="str">
        <f>IF('Items sous domaines Maths '!H201=1,'Items sous domaines Maths '!C201,0)</f>
        <v>Fonctions d'une variable</v>
      </c>
      <c r="D197" s="134">
        <f>IF('Items sous domaines Maths '!H201=1,'Items sous domaines Maths '!D201,0)</f>
        <v>0</v>
      </c>
      <c r="E197" s="134">
        <f>IF('Items sous domaines Maths '!H201=1,'Items sous domaines Maths '!E201,0)</f>
        <v>0</v>
      </c>
      <c r="F197" s="135" t="str">
        <f>IF('Items sous domaines Maths '!H201=1,'Items sous domaines Maths '!F201,0)</f>
        <v>Existence et équation de la tangente en un point.</v>
      </c>
      <c r="G197" s="590"/>
      <c r="H197" s="578"/>
      <c r="I197" s="214"/>
    </row>
    <row r="198" spans="1:9" ht="19.95" customHeight="1" x14ac:dyDescent="0.25">
      <c r="A198" s="630"/>
      <c r="B198" s="127" t="str">
        <f>IF('Items sous domaines Maths '!H202=1,'Items sous domaines Maths '!B202,0)</f>
        <v>Analyse</v>
      </c>
      <c r="C198" s="128" t="str">
        <f>IF('Items sous domaines Maths '!H202=1,'Items sous domaines Maths '!C202,0)</f>
        <v>Fonctions d'une variable</v>
      </c>
      <c r="D198" s="128">
        <f>IF('Items sous domaines Maths '!H202=1,'Items sous domaines Maths '!D202,0)</f>
        <v>0</v>
      </c>
      <c r="E198" s="128" t="str">
        <f>IF('Items sous domaines Maths '!H202=1,'Items sous domaines Maths '!E202,0)</f>
        <v>Dérivabilité sur un intervalle</v>
      </c>
      <c r="F198" s="129" t="str">
        <f>IF('Items sous domaines Maths '!H202=1,'Items sous domaines Maths '!F202,0)</f>
        <v>Formules des dérivées usuelles et domaines d'existence.</v>
      </c>
      <c r="G198" s="590"/>
      <c r="H198" s="578"/>
      <c r="I198" s="214"/>
    </row>
    <row r="199" spans="1:9" ht="19.95" customHeight="1" x14ac:dyDescent="0.25">
      <c r="A199" s="630"/>
      <c r="B199" s="133" t="str">
        <f>IF('Items sous domaines Maths '!H203=1,'Items sous domaines Maths '!B203,0)</f>
        <v>Analyse</v>
      </c>
      <c r="C199" s="134" t="str">
        <f>IF('Items sous domaines Maths '!H203=1,'Items sous domaines Maths '!C203,0)</f>
        <v>Fonctions d'une variable</v>
      </c>
      <c r="D199" s="134">
        <f>IF('Items sous domaines Maths '!H203=1,'Items sous domaines Maths '!D203,0)</f>
        <v>0</v>
      </c>
      <c r="E199" s="134" t="str">
        <f>IF('Items sous domaines Maths '!H203=1,'Items sous domaines Maths '!E203,0)</f>
        <v>Application de la dérivée</v>
      </c>
      <c r="F199" s="135" t="str">
        <f>IF('Items sous domaines Maths '!H203=1,'Items sous domaines Maths '!F203,0)</f>
        <v>Signe de la dérivée d'ordre un et variation.</v>
      </c>
      <c r="G199" s="590"/>
      <c r="H199" s="578"/>
      <c r="I199" s="214"/>
    </row>
    <row r="200" spans="1:9" ht="19.95" customHeight="1" x14ac:dyDescent="0.25">
      <c r="A200" s="630"/>
      <c r="B200" s="127" t="str">
        <f>IF('Items sous domaines Maths '!H204=1,'Items sous domaines Maths '!B204,0)</f>
        <v>Analyse</v>
      </c>
      <c r="C200" s="128" t="str">
        <f>IF('Items sous domaines Maths '!H204=1,'Items sous domaines Maths '!C204,0)</f>
        <v>Fonctions d'une variable</v>
      </c>
      <c r="D200" s="128">
        <f>IF('Items sous domaines Maths '!H204=1,'Items sous domaines Maths '!D204,0)</f>
        <v>0</v>
      </c>
      <c r="E200" s="128">
        <f>IF('Items sous domaines Maths '!H204=1,'Items sous domaines Maths '!E204,0)</f>
        <v>0</v>
      </c>
      <c r="F200" s="129" t="str">
        <f>IF('Items sous domaines Maths '!H204=1,'Items sous domaines Maths '!F204,0)</f>
        <v>Extremum local et global.</v>
      </c>
      <c r="G200" s="590"/>
      <c r="H200" s="578"/>
      <c r="I200" s="214"/>
    </row>
    <row r="201" spans="1:9" ht="19.95" customHeight="1" x14ac:dyDescent="0.25">
      <c r="A201" s="630"/>
      <c r="B201" s="133" t="str">
        <f>IF('Items sous domaines Maths '!H205=1,'Items sous domaines Maths '!B205,0)</f>
        <v>Analyse</v>
      </c>
      <c r="C201" s="134" t="str">
        <f>IF('Items sous domaines Maths '!H205=1,'Items sous domaines Maths '!C205,0)</f>
        <v>Fonctions d'une variable</v>
      </c>
      <c r="D201" s="134">
        <f>IF('Items sous domaines Maths '!H205=1,'Items sous domaines Maths '!D205,0)</f>
        <v>0</v>
      </c>
      <c r="E201" s="134">
        <f>IF('Items sous domaines Maths '!H205=1,'Items sous domaines Maths '!E205,0)</f>
        <v>0</v>
      </c>
      <c r="F201" s="135" t="str">
        <f>IF('Items sous domaines Maths '!H205=1,'Items sous domaines Maths '!F205,0)</f>
        <v>Signe de la dérivée d'ordre deux et convexité.</v>
      </c>
      <c r="G201" s="590"/>
      <c r="H201" s="578"/>
      <c r="I201" s="214"/>
    </row>
    <row r="202" spans="1:9" ht="19.95" customHeight="1" x14ac:dyDescent="0.25">
      <c r="A202" s="630"/>
      <c r="B202" s="127" t="str">
        <f>IF('Items sous domaines Maths '!H206=1,'Items sous domaines Maths '!B206,0)</f>
        <v>Analyse</v>
      </c>
      <c r="C202" s="128" t="str">
        <f>IF('Items sous domaines Maths '!H206=1,'Items sous domaines Maths '!C206,0)</f>
        <v>Fonctions d'une variable</v>
      </c>
      <c r="D202" s="128">
        <f>IF('Items sous domaines Maths '!H206=1,'Items sous domaines Maths '!D206,0)</f>
        <v>0</v>
      </c>
      <c r="E202" s="128">
        <f>IF('Items sous domaines Maths '!H206=1,'Items sous domaines Maths '!E206,0)</f>
        <v>0</v>
      </c>
      <c r="F202" s="129" t="str">
        <f>IF('Items sous domaines Maths '!H206=1,'Items sous domaines Maths '!F206,0)</f>
        <v>Dérivées d'ordre supérieur, formule de la dérivée n-ième d'un produit de fonctions dérivables.</v>
      </c>
      <c r="G202" s="590"/>
      <c r="H202" s="578"/>
      <c r="I202" s="214"/>
    </row>
    <row r="203" spans="1:9" ht="19.95" customHeight="1" x14ac:dyDescent="0.25">
      <c r="A203" s="630"/>
      <c r="B203" s="133" t="str">
        <f>IF('Items sous domaines Maths '!H207=1,'Items sous domaines Maths '!B207,0)</f>
        <v>Analyse</v>
      </c>
      <c r="C203" s="134" t="str">
        <f>IF('Items sous domaines Maths '!H207=1,'Items sous domaines Maths '!C207,0)</f>
        <v>Fonctions d'une variable</v>
      </c>
      <c r="D203" s="134">
        <f>IF('Items sous domaines Maths '!H207=1,'Items sous domaines Maths '!D207,0)</f>
        <v>0</v>
      </c>
      <c r="E203" s="134">
        <f>IF('Items sous domaines Maths '!H207=1,'Items sous domaines Maths '!E207,0)</f>
        <v>0</v>
      </c>
      <c r="F203" s="135" t="str">
        <f>IF('Items sous domaines Maths '!H207=1,'Items sous domaines Maths '!F207,0)</f>
        <v>Fonctions de classe Cn.</v>
      </c>
      <c r="G203" s="590"/>
      <c r="H203" s="578"/>
      <c r="I203" s="214"/>
    </row>
    <row r="204" spans="1:9" ht="19.95" customHeight="1" x14ac:dyDescent="0.25">
      <c r="A204" s="630"/>
      <c r="B204" s="127" t="str">
        <f>IF('Items sous domaines Maths '!H208=1,'Items sous domaines Maths '!B208,0)</f>
        <v>Analyse</v>
      </c>
      <c r="C204" s="128" t="str">
        <f>IF('Items sous domaines Maths '!H208=1,'Items sous domaines Maths '!C208,0)</f>
        <v>Fonctions d'une variable</v>
      </c>
      <c r="D204" s="128">
        <f>IF('Items sous domaines Maths '!H208=1,'Items sous domaines Maths '!D208,0)</f>
        <v>0</v>
      </c>
      <c r="E204" s="128" t="str">
        <f>IF('Items sous domaines Maths '!H208=1,'Items sous domaines Maths '!E208,0)</f>
        <v>Théorèmes</v>
      </c>
      <c r="F204" s="129" t="str">
        <f>IF('Items sous domaines Maths '!H208=1,'Items sous domaines Maths '!F208,0)</f>
        <v>Théorème de Rolle.</v>
      </c>
      <c r="G204" s="590"/>
      <c r="H204" s="578"/>
      <c r="I204" s="214"/>
    </row>
    <row r="205" spans="1:9" ht="19.95" customHeight="1" x14ac:dyDescent="0.25">
      <c r="A205" s="630"/>
      <c r="B205" s="133" t="str">
        <f>IF('Items sous domaines Maths '!H209=1,'Items sous domaines Maths '!B209,0)</f>
        <v>Analyse</v>
      </c>
      <c r="C205" s="134" t="str">
        <f>IF('Items sous domaines Maths '!H209=1,'Items sous domaines Maths '!C209,0)</f>
        <v>Fonctions d'une variable</v>
      </c>
      <c r="D205" s="134">
        <f>IF('Items sous domaines Maths '!H209=1,'Items sous domaines Maths '!D209,0)</f>
        <v>0</v>
      </c>
      <c r="E205" s="134">
        <f>IF('Items sous domaines Maths '!H209=1,'Items sous domaines Maths '!E209,0)</f>
        <v>0</v>
      </c>
      <c r="F205" s="135" t="str">
        <f>IF('Items sous domaines Maths '!H209=1,'Items sous domaines Maths '!F209,0)</f>
        <v>Inégalité et théorème des accroissements finis.</v>
      </c>
      <c r="G205" s="590"/>
      <c r="H205" s="578"/>
      <c r="I205" s="214"/>
    </row>
    <row r="206" spans="1:9" ht="19.95" customHeight="1" thickBot="1" x14ac:dyDescent="0.3">
      <c r="A206" s="631"/>
      <c r="B206" s="136" t="str">
        <f>IF('Items sous domaines Maths '!H210=1,'Items sous domaines Maths '!B210,0)</f>
        <v>Analyse</v>
      </c>
      <c r="C206" s="137" t="str">
        <f>IF('Items sous domaines Maths '!H210=1,'Items sous domaines Maths '!C210,0)</f>
        <v>Fonctions d'une variable</v>
      </c>
      <c r="D206" s="137">
        <f>IF('Items sous domaines Maths '!H210=1,'Items sous domaines Maths '!D210,0)</f>
        <v>0</v>
      </c>
      <c r="E206" s="137">
        <f>IF('Items sous domaines Maths '!H210=1,'Items sous domaines Maths '!E210,0)</f>
        <v>0</v>
      </c>
      <c r="F206" s="138" t="str">
        <f>IF('Items sous domaines Maths '!H210=1,'Items sous domaines Maths '!F210,0)</f>
        <v>Théorème des valeurs intermédiaires, théorème de la bijection.</v>
      </c>
      <c r="G206" s="591"/>
      <c r="H206" s="579"/>
      <c r="I206" s="218"/>
    </row>
    <row r="207" spans="1:9" customFormat="1" ht="17.399999999999999" hidden="1" customHeight="1" thickTop="1" x14ac:dyDescent="0.25">
      <c r="B207">
        <f>IF('Items sous domaines Maths '!H211=1,'Items sous domaines Maths '!B211,0)</f>
        <v>0</v>
      </c>
      <c r="C207">
        <f>IF('Items sous domaines Maths '!H211=1,'Items sous domaines Maths '!C211,0)</f>
        <v>0</v>
      </c>
      <c r="D207">
        <f>IF('Items sous domaines Maths '!H211=1,'Items sous domaines Maths '!D211,0)</f>
        <v>0</v>
      </c>
      <c r="E207">
        <f>IF('Items sous domaines Maths '!H211=1,'Items sous domaines Maths '!E211,0)</f>
        <v>0</v>
      </c>
      <c r="F207">
        <f>IF('Items sous domaines Maths '!H211=1,'Items sous domaines Maths '!F211,0)</f>
        <v>0</v>
      </c>
      <c r="G207">
        <f>IF('Items sous domaines Maths '!H211=1,'Items sous domaines Maths '!G211,0)</f>
        <v>0</v>
      </c>
    </row>
    <row r="208" spans="1:9" customFormat="1" ht="17.399999999999999" hidden="1" customHeight="1" x14ac:dyDescent="0.25">
      <c r="B208">
        <f>IF('Items sous domaines Maths '!H212=1,'Items sous domaines Maths '!B212,0)</f>
        <v>0</v>
      </c>
      <c r="C208">
        <f>IF('Items sous domaines Maths '!H212=1,'Items sous domaines Maths '!C212,0)</f>
        <v>0</v>
      </c>
      <c r="D208">
        <f>IF('Items sous domaines Maths '!H212=1,'Items sous domaines Maths '!D212,0)</f>
        <v>0</v>
      </c>
      <c r="E208">
        <f>IF('Items sous domaines Maths '!H212=1,'Items sous domaines Maths '!E212,0)</f>
        <v>0</v>
      </c>
      <c r="F208">
        <f>IF('Items sous domaines Maths '!H212=1,'Items sous domaines Maths '!F212,0)</f>
        <v>0</v>
      </c>
      <c r="G208">
        <f>IF('Items sous domaines Maths '!H212=1,'Items sous domaines Maths '!G212,0)</f>
        <v>0</v>
      </c>
    </row>
    <row r="209" spans="2:7" customFormat="1" ht="17.399999999999999" hidden="1" customHeight="1" x14ac:dyDescent="0.25">
      <c r="B209">
        <f>IF('Items sous domaines Maths '!H213=1,'Items sous domaines Maths '!B213,0)</f>
        <v>0</v>
      </c>
      <c r="C209">
        <f>IF('Items sous domaines Maths '!H213=1,'Items sous domaines Maths '!C213,0)</f>
        <v>0</v>
      </c>
      <c r="D209">
        <f>IF('Items sous domaines Maths '!H213=1,'Items sous domaines Maths '!D213,0)</f>
        <v>0</v>
      </c>
      <c r="E209">
        <f>IF('Items sous domaines Maths '!H213=1,'Items sous domaines Maths '!E213,0)</f>
        <v>0</v>
      </c>
      <c r="F209">
        <f>IF('Items sous domaines Maths '!H213=1,'Items sous domaines Maths '!F213,0)</f>
        <v>0</v>
      </c>
      <c r="G209">
        <f>IF('Items sous domaines Maths '!H213=1,'Items sous domaines Maths '!G213,0)</f>
        <v>0</v>
      </c>
    </row>
    <row r="210" spans="2:7" customFormat="1" ht="17.399999999999999" hidden="1" customHeight="1" x14ac:dyDescent="0.25">
      <c r="B210">
        <f>IF('Items sous domaines Maths '!H214=1,'Items sous domaines Maths '!B214,0)</f>
        <v>0</v>
      </c>
      <c r="C210">
        <f>IF('Items sous domaines Maths '!H214=1,'Items sous domaines Maths '!C214,0)</f>
        <v>0</v>
      </c>
      <c r="D210">
        <f>IF('Items sous domaines Maths '!H214=1,'Items sous domaines Maths '!D214,0)</f>
        <v>0</v>
      </c>
      <c r="E210">
        <f>IF('Items sous domaines Maths '!H214=1,'Items sous domaines Maths '!E214,0)</f>
        <v>0</v>
      </c>
      <c r="F210">
        <f>IF('Items sous domaines Maths '!H214=1,'Items sous domaines Maths '!F214,0)</f>
        <v>0</v>
      </c>
      <c r="G210">
        <f>IF('Items sous domaines Maths '!H214=1,'Items sous domaines Maths '!G214,0)</f>
        <v>0</v>
      </c>
    </row>
    <row r="211" spans="2:7" customFormat="1" ht="17.399999999999999" hidden="1" customHeight="1" x14ac:dyDescent="0.25">
      <c r="B211">
        <f>IF('Items sous domaines Maths '!H215=1,'Items sous domaines Maths '!B215,0)</f>
        <v>0</v>
      </c>
      <c r="C211">
        <f>IF('Items sous domaines Maths '!H215=1,'Items sous domaines Maths '!C215,0)</f>
        <v>0</v>
      </c>
      <c r="D211">
        <f>IF('Items sous domaines Maths '!H215=1,'Items sous domaines Maths '!D215,0)</f>
        <v>0</v>
      </c>
      <c r="E211">
        <f>IF('Items sous domaines Maths '!H215=1,'Items sous domaines Maths '!E215,0)</f>
        <v>0</v>
      </c>
      <c r="F211">
        <f>IF('Items sous domaines Maths '!H215=1,'Items sous domaines Maths '!F215,0)</f>
        <v>0</v>
      </c>
      <c r="G211">
        <f>IF('Items sous domaines Maths '!H215=1,'Items sous domaines Maths '!G215,0)</f>
        <v>0</v>
      </c>
    </row>
    <row r="212" spans="2:7" customFormat="1" ht="17.399999999999999" hidden="1" customHeight="1" x14ac:dyDescent="0.25">
      <c r="B212">
        <f>IF('Items sous domaines Maths '!H216=1,'Items sous domaines Maths '!B216,0)</f>
        <v>0</v>
      </c>
      <c r="C212">
        <f>IF('Items sous domaines Maths '!H216=1,'Items sous domaines Maths '!C216,0)</f>
        <v>0</v>
      </c>
      <c r="D212">
        <f>IF('Items sous domaines Maths '!H216=1,'Items sous domaines Maths '!D216,0)</f>
        <v>0</v>
      </c>
      <c r="E212">
        <f>IF('Items sous domaines Maths '!H216=1,'Items sous domaines Maths '!E216,0)</f>
        <v>0</v>
      </c>
      <c r="F212">
        <f>IF('Items sous domaines Maths '!H216=1,'Items sous domaines Maths '!F216,0)</f>
        <v>0</v>
      </c>
      <c r="G212">
        <f>IF('Items sous domaines Maths '!H216=1,'Items sous domaines Maths '!G216,0)</f>
        <v>0</v>
      </c>
    </row>
    <row r="213" spans="2:7" customFormat="1" ht="17.399999999999999" hidden="1" customHeight="1" x14ac:dyDescent="0.25">
      <c r="B213">
        <f>IF('Items sous domaines Maths '!H217=1,'Items sous domaines Maths '!B217,0)</f>
        <v>0</v>
      </c>
      <c r="C213">
        <f>IF('Items sous domaines Maths '!H217=1,'Items sous domaines Maths '!C217,0)</f>
        <v>0</v>
      </c>
      <c r="D213">
        <f>IF('Items sous domaines Maths '!H217=1,'Items sous domaines Maths '!D217,0)</f>
        <v>0</v>
      </c>
      <c r="E213">
        <f>IF('Items sous domaines Maths '!H217=1,'Items sous domaines Maths '!E217,0)</f>
        <v>0</v>
      </c>
      <c r="F213">
        <f>IF('Items sous domaines Maths '!H217=1,'Items sous domaines Maths '!F217,0)</f>
        <v>0</v>
      </c>
      <c r="G213">
        <f>IF('Items sous domaines Maths '!H217=1,'Items sous domaines Maths '!G217,0)</f>
        <v>0</v>
      </c>
    </row>
    <row r="214" spans="2:7" customFormat="1" ht="17.399999999999999" hidden="1" customHeight="1" x14ac:dyDescent="0.25">
      <c r="B214">
        <f>IF('Items sous domaines Maths '!H218=1,'Items sous domaines Maths '!B218,0)</f>
        <v>0</v>
      </c>
      <c r="C214">
        <f>IF('Items sous domaines Maths '!H218=1,'Items sous domaines Maths '!C218,0)</f>
        <v>0</v>
      </c>
      <c r="D214">
        <f>IF('Items sous domaines Maths '!H218=1,'Items sous domaines Maths '!D218,0)</f>
        <v>0</v>
      </c>
      <c r="E214">
        <f>IF('Items sous domaines Maths '!H218=1,'Items sous domaines Maths '!E218,0)</f>
        <v>0</v>
      </c>
      <c r="F214">
        <f>IF('Items sous domaines Maths '!H218=1,'Items sous domaines Maths '!F218,0)</f>
        <v>0</v>
      </c>
      <c r="G214">
        <f>IF('Items sous domaines Maths '!H218=1,'Items sous domaines Maths '!G218,0)</f>
        <v>0</v>
      </c>
    </row>
    <row r="215" spans="2:7" customFormat="1" ht="17.399999999999999" hidden="1" customHeight="1" x14ac:dyDescent="0.25">
      <c r="B215">
        <f>IF('Items sous domaines Maths '!H219=1,'Items sous domaines Maths '!B219,0)</f>
        <v>0</v>
      </c>
      <c r="C215">
        <f>IF('Items sous domaines Maths '!H219=1,'Items sous domaines Maths '!C219,0)</f>
        <v>0</v>
      </c>
      <c r="D215">
        <f>IF('Items sous domaines Maths '!H219=1,'Items sous domaines Maths '!D219,0)</f>
        <v>0</v>
      </c>
      <c r="E215">
        <f>IF('Items sous domaines Maths '!H219=1,'Items sous domaines Maths '!E219,0)</f>
        <v>0</v>
      </c>
      <c r="F215">
        <f>IF('Items sous domaines Maths '!H219=1,'Items sous domaines Maths '!F219,0)</f>
        <v>0</v>
      </c>
      <c r="G215">
        <f>IF('Items sous domaines Maths '!H219=1,'Items sous domaines Maths '!G219,0)</f>
        <v>0</v>
      </c>
    </row>
    <row r="216" spans="2:7" customFormat="1" ht="17.399999999999999" hidden="1" customHeight="1" x14ac:dyDescent="0.25">
      <c r="B216">
        <f>IF('Items sous domaines Maths '!H220=1,'Items sous domaines Maths '!B220,0)</f>
        <v>0</v>
      </c>
      <c r="C216">
        <f>IF('Items sous domaines Maths '!H220=1,'Items sous domaines Maths '!C220,0)</f>
        <v>0</v>
      </c>
      <c r="D216">
        <f>IF('Items sous domaines Maths '!H220=1,'Items sous domaines Maths '!D220,0)</f>
        <v>0</v>
      </c>
      <c r="E216">
        <f>IF('Items sous domaines Maths '!H220=1,'Items sous domaines Maths '!E220,0)</f>
        <v>0</v>
      </c>
      <c r="F216">
        <f>IF('Items sous domaines Maths '!H220=1,'Items sous domaines Maths '!F220,0)</f>
        <v>0</v>
      </c>
      <c r="G216">
        <f>IF('Items sous domaines Maths '!H220=1,'Items sous domaines Maths '!G220,0)</f>
        <v>0</v>
      </c>
    </row>
    <row r="217" spans="2:7" customFormat="1" ht="17.399999999999999" hidden="1" customHeight="1" x14ac:dyDescent="0.25">
      <c r="B217">
        <f>IF('Items sous domaines Maths '!H221=1,'Items sous domaines Maths '!B221,0)</f>
        <v>0</v>
      </c>
      <c r="C217">
        <f>IF('Items sous domaines Maths '!H221=1,'Items sous domaines Maths '!C221,0)</f>
        <v>0</v>
      </c>
      <c r="D217">
        <f>IF('Items sous domaines Maths '!H221=1,'Items sous domaines Maths '!D221,0)</f>
        <v>0</v>
      </c>
      <c r="E217">
        <f>IF('Items sous domaines Maths '!H221=1,'Items sous domaines Maths '!E221,0)</f>
        <v>0</v>
      </c>
      <c r="F217">
        <f>IF('Items sous domaines Maths '!H221=1,'Items sous domaines Maths '!F221,0)</f>
        <v>0</v>
      </c>
      <c r="G217">
        <f>IF('Items sous domaines Maths '!H221=1,'Items sous domaines Maths '!G221,0)</f>
        <v>0</v>
      </c>
    </row>
    <row r="218" spans="2:7" customFormat="1" ht="17.399999999999999" hidden="1" customHeight="1" x14ac:dyDescent="0.25">
      <c r="B218">
        <f>IF('Items sous domaines Maths '!H222=1,'Items sous domaines Maths '!B222,0)</f>
        <v>0</v>
      </c>
      <c r="C218">
        <f>IF('Items sous domaines Maths '!H222=1,'Items sous domaines Maths '!C222,0)</f>
        <v>0</v>
      </c>
      <c r="D218">
        <f>IF('Items sous domaines Maths '!H222=1,'Items sous domaines Maths '!D222,0)</f>
        <v>0</v>
      </c>
      <c r="E218">
        <f>IF('Items sous domaines Maths '!H222=1,'Items sous domaines Maths '!E222,0)</f>
        <v>0</v>
      </c>
      <c r="F218">
        <f>IF('Items sous domaines Maths '!H222=1,'Items sous domaines Maths '!F222,0)</f>
        <v>0</v>
      </c>
      <c r="G218">
        <f>IF('Items sous domaines Maths '!H222=1,'Items sous domaines Maths '!G222,0)</f>
        <v>0</v>
      </c>
    </row>
    <row r="219" spans="2:7" customFormat="1" ht="17.399999999999999" hidden="1" customHeight="1" x14ac:dyDescent="0.25">
      <c r="B219">
        <f>IF('Items sous domaines Maths '!H223=1,'Items sous domaines Maths '!B223,0)</f>
        <v>0</v>
      </c>
      <c r="C219">
        <f>IF('Items sous domaines Maths '!H223=1,'Items sous domaines Maths '!C223,0)</f>
        <v>0</v>
      </c>
      <c r="D219">
        <f>IF('Items sous domaines Maths '!H223=1,'Items sous domaines Maths '!D223,0)</f>
        <v>0</v>
      </c>
      <c r="E219">
        <f>IF('Items sous domaines Maths '!H223=1,'Items sous domaines Maths '!E223,0)</f>
        <v>0</v>
      </c>
      <c r="F219">
        <f>IF('Items sous domaines Maths '!H223=1,'Items sous domaines Maths '!F223,0)</f>
        <v>0</v>
      </c>
      <c r="G219">
        <f>IF('Items sous domaines Maths '!H223=1,'Items sous domaines Maths '!G223,0)</f>
        <v>0</v>
      </c>
    </row>
    <row r="220" spans="2:7" customFormat="1" ht="17.399999999999999" hidden="1" customHeight="1" x14ac:dyDescent="0.25">
      <c r="B220">
        <f>IF('Items sous domaines Maths '!H224=1,'Items sous domaines Maths '!B224,0)</f>
        <v>0</v>
      </c>
      <c r="C220">
        <f>IF('Items sous domaines Maths '!H224=1,'Items sous domaines Maths '!C224,0)</f>
        <v>0</v>
      </c>
      <c r="D220">
        <f>IF('Items sous domaines Maths '!H224=1,'Items sous domaines Maths '!D224,0)</f>
        <v>0</v>
      </c>
      <c r="E220">
        <f>IF('Items sous domaines Maths '!H224=1,'Items sous domaines Maths '!E224,0)</f>
        <v>0</v>
      </c>
      <c r="F220">
        <f>IF('Items sous domaines Maths '!H224=1,'Items sous domaines Maths '!F224,0)</f>
        <v>0</v>
      </c>
      <c r="G220">
        <f>IF('Items sous domaines Maths '!H224=1,'Items sous domaines Maths '!G224,0)</f>
        <v>0</v>
      </c>
    </row>
    <row r="221" spans="2:7" customFormat="1" ht="17.399999999999999" hidden="1" customHeight="1" x14ac:dyDescent="0.25">
      <c r="B221">
        <f>IF('Items sous domaines Maths '!H225=1,'Items sous domaines Maths '!B225,0)</f>
        <v>0</v>
      </c>
      <c r="C221">
        <f>IF('Items sous domaines Maths '!H225=1,'Items sous domaines Maths '!C225,0)</f>
        <v>0</v>
      </c>
      <c r="D221">
        <f>IF('Items sous domaines Maths '!H225=1,'Items sous domaines Maths '!D225,0)</f>
        <v>0</v>
      </c>
      <c r="E221">
        <f>IF('Items sous domaines Maths '!H225=1,'Items sous domaines Maths '!E225,0)</f>
        <v>0</v>
      </c>
      <c r="F221">
        <f>IF('Items sous domaines Maths '!H225=1,'Items sous domaines Maths '!F225,0)</f>
        <v>0</v>
      </c>
      <c r="G221">
        <f>IF('Items sous domaines Maths '!H225=1,'Items sous domaines Maths '!G225,0)</f>
        <v>0</v>
      </c>
    </row>
    <row r="222" spans="2:7" customFormat="1" ht="17.399999999999999" hidden="1" customHeight="1" x14ac:dyDescent="0.25">
      <c r="B222">
        <f>IF('Items sous domaines Maths '!H226=1,'Items sous domaines Maths '!B226,0)</f>
        <v>0</v>
      </c>
      <c r="C222">
        <f>IF('Items sous domaines Maths '!H226=1,'Items sous domaines Maths '!C226,0)</f>
        <v>0</v>
      </c>
      <c r="D222">
        <f>IF('Items sous domaines Maths '!H226=1,'Items sous domaines Maths '!D226,0)</f>
        <v>0</v>
      </c>
      <c r="E222">
        <f>IF('Items sous domaines Maths '!H226=1,'Items sous domaines Maths '!E226,0)</f>
        <v>0</v>
      </c>
      <c r="F222">
        <f>IF('Items sous domaines Maths '!H226=1,'Items sous domaines Maths '!F226,0)</f>
        <v>0</v>
      </c>
      <c r="G222">
        <f>IF('Items sous domaines Maths '!H226=1,'Items sous domaines Maths '!G226,0)</f>
        <v>0</v>
      </c>
    </row>
    <row r="223" spans="2:7" customFormat="1" ht="17.399999999999999" hidden="1" customHeight="1" x14ac:dyDescent="0.25">
      <c r="B223">
        <f>IF('Items sous domaines Maths '!H227=1,'Items sous domaines Maths '!B227,0)</f>
        <v>0</v>
      </c>
      <c r="C223">
        <f>IF('Items sous domaines Maths '!H227=1,'Items sous domaines Maths '!C227,0)</f>
        <v>0</v>
      </c>
      <c r="D223">
        <f>IF('Items sous domaines Maths '!H227=1,'Items sous domaines Maths '!D227,0)</f>
        <v>0</v>
      </c>
      <c r="E223">
        <f>IF('Items sous domaines Maths '!H227=1,'Items sous domaines Maths '!E227,0)</f>
        <v>0</v>
      </c>
      <c r="F223">
        <f>IF('Items sous domaines Maths '!H227=1,'Items sous domaines Maths '!F227,0)</f>
        <v>0</v>
      </c>
      <c r="G223">
        <f>IF('Items sous domaines Maths '!H227=1,'Items sous domaines Maths '!G227,0)</f>
        <v>0</v>
      </c>
    </row>
    <row r="224" spans="2:7" customFormat="1" ht="17.399999999999999" hidden="1" customHeight="1" x14ac:dyDescent="0.25">
      <c r="B224">
        <f>IF('Items sous domaines Maths '!H228=1,'Items sous domaines Maths '!B228,0)</f>
        <v>0</v>
      </c>
      <c r="C224">
        <f>IF('Items sous domaines Maths '!H228=1,'Items sous domaines Maths '!C228,0)</f>
        <v>0</v>
      </c>
      <c r="D224">
        <f>IF('Items sous domaines Maths '!H228=1,'Items sous domaines Maths '!D228,0)</f>
        <v>0</v>
      </c>
      <c r="E224">
        <f>IF('Items sous domaines Maths '!H228=1,'Items sous domaines Maths '!E228,0)</f>
        <v>0</v>
      </c>
      <c r="F224">
        <f>IF('Items sous domaines Maths '!H228=1,'Items sous domaines Maths '!F228,0)</f>
        <v>0</v>
      </c>
      <c r="G224">
        <f>IF('Items sous domaines Maths '!H228=1,'Items sous domaines Maths '!G228,0)</f>
        <v>0</v>
      </c>
    </row>
    <row r="225" spans="1:7" customFormat="1" ht="17.399999999999999" hidden="1" customHeight="1" x14ac:dyDescent="0.25">
      <c r="B225">
        <f>IF('Items sous domaines Maths '!H229=1,'Items sous domaines Maths '!B229,0)</f>
        <v>0</v>
      </c>
      <c r="C225">
        <f>IF('Items sous domaines Maths '!H229=1,'Items sous domaines Maths '!C229,0)</f>
        <v>0</v>
      </c>
      <c r="D225">
        <f>IF('Items sous domaines Maths '!H229=1,'Items sous domaines Maths '!D229,0)</f>
        <v>0</v>
      </c>
      <c r="E225">
        <f>IF('Items sous domaines Maths '!H229=1,'Items sous domaines Maths '!E229,0)</f>
        <v>0</v>
      </c>
      <c r="F225">
        <f>IF('Items sous domaines Maths '!H229=1,'Items sous domaines Maths '!F229,0)</f>
        <v>0</v>
      </c>
      <c r="G225">
        <f>IF('Items sous domaines Maths '!H229=1,'Items sous domaines Maths '!G229,0)</f>
        <v>0</v>
      </c>
    </row>
    <row r="226" spans="1:7" customFormat="1" ht="17.399999999999999" hidden="1" customHeight="1" x14ac:dyDescent="0.25">
      <c r="B226">
        <f>IF('Items sous domaines Maths '!H230=1,'Items sous domaines Maths '!B230,0)</f>
        <v>0</v>
      </c>
      <c r="C226">
        <f>IF('Items sous domaines Maths '!H230=1,'Items sous domaines Maths '!C230,0)</f>
        <v>0</v>
      </c>
      <c r="D226">
        <f>IF('Items sous domaines Maths '!H230=1,'Items sous domaines Maths '!D230,0)</f>
        <v>0</v>
      </c>
      <c r="E226">
        <f>IF('Items sous domaines Maths '!H230=1,'Items sous domaines Maths '!E230,0)</f>
        <v>0</v>
      </c>
      <c r="F226">
        <f>IF('Items sous domaines Maths '!H230=1,'Items sous domaines Maths '!F230,0)</f>
        <v>0</v>
      </c>
      <c r="G226">
        <f>IF('Items sous domaines Maths '!H230=1,'Items sous domaines Maths '!G230,0)</f>
        <v>0</v>
      </c>
    </row>
    <row r="227" spans="1:7" customFormat="1" ht="17.399999999999999" hidden="1" customHeight="1" x14ac:dyDescent="0.25">
      <c r="B227">
        <f>IF('Items sous domaines Maths '!H231=1,'Items sous domaines Maths '!B231,0)</f>
        <v>0</v>
      </c>
      <c r="C227">
        <f>IF('Items sous domaines Maths '!H231=1,'Items sous domaines Maths '!C231,0)</f>
        <v>0</v>
      </c>
      <c r="D227">
        <f>IF('Items sous domaines Maths '!H231=1,'Items sous domaines Maths '!D231,0)</f>
        <v>0</v>
      </c>
      <c r="E227">
        <f>IF('Items sous domaines Maths '!H231=1,'Items sous domaines Maths '!E231,0)</f>
        <v>0</v>
      </c>
      <c r="F227">
        <f>IF('Items sous domaines Maths '!H231=1,'Items sous domaines Maths '!F231,0)</f>
        <v>0</v>
      </c>
      <c r="G227">
        <f>IF('Items sous domaines Maths '!H231=1,'Items sous domaines Maths '!G231,0)</f>
        <v>0</v>
      </c>
    </row>
    <row r="228" spans="1:7" customFormat="1" ht="17.399999999999999" hidden="1" customHeight="1" x14ac:dyDescent="0.25">
      <c r="B228">
        <f>IF('Items sous domaines Maths '!H232=1,'Items sous domaines Maths '!B232,0)</f>
        <v>0</v>
      </c>
      <c r="C228">
        <f>IF('Items sous domaines Maths '!H232=1,'Items sous domaines Maths '!C232,0)</f>
        <v>0</v>
      </c>
      <c r="D228">
        <f>IF('Items sous domaines Maths '!H232=1,'Items sous domaines Maths '!D232,0)</f>
        <v>0</v>
      </c>
      <c r="E228">
        <f>IF('Items sous domaines Maths '!H232=1,'Items sous domaines Maths '!E232,0)</f>
        <v>0</v>
      </c>
      <c r="F228">
        <f>IF('Items sous domaines Maths '!H232=1,'Items sous domaines Maths '!F232,0)</f>
        <v>0</v>
      </c>
      <c r="G228">
        <f>IF('Items sous domaines Maths '!H232=1,'Items sous domaines Maths '!G232,0)</f>
        <v>0</v>
      </c>
    </row>
    <row r="229" spans="1:7" customFormat="1" ht="17.399999999999999" hidden="1" customHeight="1" thickBot="1" x14ac:dyDescent="0.3">
      <c r="B229">
        <f>IF('Items sous domaines Maths '!H233=1,'Items sous domaines Maths '!B233,0)</f>
        <v>0</v>
      </c>
      <c r="C229">
        <f>IF('Items sous domaines Maths '!H233=1,'Items sous domaines Maths '!C233,0)</f>
        <v>0</v>
      </c>
      <c r="D229">
        <f>IF('Items sous domaines Maths '!H233=1,'Items sous domaines Maths '!D233,0)</f>
        <v>0</v>
      </c>
      <c r="E229">
        <f>IF('Items sous domaines Maths '!H233=1,'Items sous domaines Maths '!E233,0)</f>
        <v>0</v>
      </c>
      <c r="F229">
        <f>IF('Items sous domaines Maths '!H233=1,'Items sous domaines Maths '!F233,0)</f>
        <v>0</v>
      </c>
      <c r="G229">
        <f>IF('Items sous domaines Maths '!H233=1,'Items sous domaines Maths '!G233,0)</f>
        <v>0</v>
      </c>
    </row>
    <row r="230" spans="1:7" customFormat="1" ht="17.399999999999999" customHeight="1" thickTop="1" x14ac:dyDescent="0.25">
      <c r="A230" s="633" t="s">
        <v>429</v>
      </c>
      <c r="B230" s="8" t="str">
        <f>IF('Items sous domaines Maths '!H234=1,'Items sous domaines Maths '!B234,0)</f>
        <v>Analyse</v>
      </c>
      <c r="C230" s="8" t="str">
        <f>IF('Items sous domaines Maths '!H234=1,'Items sous domaines Maths '!C234,0)</f>
        <v>Développements limités</v>
      </c>
      <c r="D230" s="8" t="str">
        <f>IF('Items sous domaines Maths '!H234=1,'Items sous domaines Maths '!D234,0)</f>
        <v xml:space="preserve">Développements limités </v>
      </c>
      <c r="E230" s="8" t="str">
        <f>IF('Items sous domaines Maths '!H234=1,'Items sous domaines Maths '!E234,0)</f>
        <v xml:space="preserve">Définitions </v>
      </c>
      <c r="F230" s="9" t="str">
        <f>IF('Items sous domaines Maths '!H234=1,'Items sous domaines Maths '!F234,0)</f>
        <v>Connaissance du principe, unicité, partie régulière du DL, ordre du DL. Lien entre DL d'ordre 1 et tangente en un point.</v>
      </c>
      <c r="G230">
        <f>IF('Items sous domaines Maths '!H234=1,'Items sous domaines Maths '!G234,0)</f>
        <v>0</v>
      </c>
    </row>
    <row r="231" spans="1:7" customFormat="1" ht="17.399999999999999" customHeight="1" x14ac:dyDescent="0.25">
      <c r="A231" s="627"/>
      <c r="B231" t="str">
        <f>IF('Items sous domaines Maths '!H235=1,'Items sous domaines Maths '!B235,0)</f>
        <v>Analyse</v>
      </c>
      <c r="C231" t="str">
        <f>IF('Items sous domaines Maths '!H235=1,'Items sous domaines Maths '!C235,0)</f>
        <v>Développements limités</v>
      </c>
      <c r="D231">
        <f>IF('Items sous domaines Maths '!H235=1,'Items sous domaines Maths '!D235,0)</f>
        <v>0</v>
      </c>
      <c r="E231" t="str">
        <f>IF('Items sous domaines Maths '!H235=1,'Items sous domaines Maths '!E235,0)</f>
        <v xml:space="preserve">Propriétés </v>
      </c>
      <c r="F231" s="10" t="str">
        <f>IF('Items sous domaines Maths '!H235=1,'Items sous domaines Maths '!F235,0)</f>
        <v>Opérations, troncature et parité.</v>
      </c>
      <c r="G231">
        <f>IF('Items sous domaines Maths '!H235=1,'Items sous domaines Maths '!G235,0)</f>
        <v>0</v>
      </c>
    </row>
    <row r="232" spans="1:7" customFormat="1" ht="17.399999999999999" customHeight="1" x14ac:dyDescent="0.25">
      <c r="A232" s="627"/>
      <c r="B232" t="str">
        <f>IF('Items sous domaines Maths '!H236=1,'Items sous domaines Maths '!B236,0)</f>
        <v>Analyse</v>
      </c>
      <c r="C232" t="str">
        <f>IF('Items sous domaines Maths '!H236=1,'Items sous domaines Maths '!C236,0)</f>
        <v>Développements limités</v>
      </c>
      <c r="D232">
        <f>IF('Items sous domaines Maths '!H236=1,'Items sous domaines Maths '!D236,0)</f>
        <v>0</v>
      </c>
      <c r="E232" t="str">
        <f>IF('Items sous domaines Maths '!H236=1,'Items sous domaines Maths '!E236,0)</f>
        <v>Formules de Taylor Young</v>
      </c>
      <c r="F232" s="10" t="str">
        <f>IF('Items sous domaines Maths '!H236=1,'Items sous domaines Maths '!F236,0)</f>
        <v>Exemples.</v>
      </c>
      <c r="G232">
        <f>IF('Items sous domaines Maths '!H236=1,'Items sous domaines Maths '!G236,0)</f>
        <v>0</v>
      </c>
    </row>
    <row r="233" spans="1:7" customFormat="1" ht="17.399999999999999" customHeight="1" x14ac:dyDescent="0.25">
      <c r="A233" s="627"/>
      <c r="B233" t="str">
        <f>IF('Items sous domaines Maths '!H237=1,'Items sous domaines Maths '!B237,0)</f>
        <v>Analyse</v>
      </c>
      <c r="C233" t="str">
        <f>IF('Items sous domaines Maths '!H237=1,'Items sous domaines Maths '!C237,0)</f>
        <v>Développements limités</v>
      </c>
      <c r="D233" t="str">
        <f>IF('Items sous domaines Maths '!H237=1,'Items sous domaines Maths '!D237,0)</f>
        <v xml:space="preserve">Développements limités usuels </v>
      </c>
      <c r="E233" t="str">
        <f>IF('Items sous domaines Maths '!H237=1,'Items sous domaines Maths '!E237,0)</f>
        <v>1-x, 1+x, ,exp(x), cos(x), sin(x), (1+x)¨α</v>
      </c>
      <c r="F233" s="10">
        <f>IF('Items sous domaines Maths '!H237=1,'Items sous domaines Maths '!F237,0)</f>
        <v>0</v>
      </c>
      <c r="G233">
        <f>IF('Items sous domaines Maths '!H237=1,'Items sous domaines Maths '!G237,0)</f>
        <v>0</v>
      </c>
    </row>
    <row r="234" spans="1:7" customFormat="1" ht="17.399999999999999" customHeight="1" x14ac:dyDescent="0.25">
      <c r="A234" s="627"/>
      <c r="B234" t="str">
        <f>IF('Items sous domaines Maths '!H238=1,'Items sous domaines Maths '!B238,0)</f>
        <v>Analyse</v>
      </c>
      <c r="C234" t="str">
        <f>IF('Items sous domaines Maths '!H238=1,'Items sous domaines Maths '!C238,0)</f>
        <v>Développements limités</v>
      </c>
      <c r="D234" t="str">
        <f>IF('Items sous domaines Maths '!H238=1,'Items sous domaines Maths '!D238,0)</f>
        <v xml:space="preserve"> Opérations sur les DL</v>
      </c>
      <c r="E234" t="str">
        <f>IF('Items sous domaines Maths '!H238=1,'Items sous domaines Maths '!E238,0)</f>
        <v xml:space="preserve">Somme et produit </v>
      </c>
      <c r="F234" s="10">
        <f>IF('Items sous domaines Maths '!H238=1,'Items sous domaines Maths '!F238,0)</f>
        <v>0</v>
      </c>
      <c r="G234">
        <f>IF('Items sous domaines Maths '!H238=1,'Items sous domaines Maths '!G238,0)</f>
        <v>0</v>
      </c>
    </row>
    <row r="235" spans="1:7" customFormat="1" ht="17.399999999999999" customHeight="1" x14ac:dyDescent="0.25">
      <c r="A235" s="627"/>
      <c r="B235" t="str">
        <f>IF('Items sous domaines Maths '!H239=1,'Items sous domaines Maths '!B239,0)</f>
        <v>Analyse</v>
      </c>
      <c r="C235" t="str">
        <f>IF('Items sous domaines Maths '!H239=1,'Items sous domaines Maths '!C239,0)</f>
        <v>Développements limités</v>
      </c>
      <c r="D235">
        <f>IF('Items sous domaines Maths '!H239=1,'Items sous domaines Maths '!D239,0)</f>
        <v>0</v>
      </c>
      <c r="E235" t="str">
        <f>IF('Items sous domaines Maths '!H239=1,'Items sous domaines Maths '!E239,0)</f>
        <v>Composée</v>
      </c>
      <c r="F235" s="10" t="str">
        <f>IF('Items sous domaines Maths '!H239=1,'Items sous domaines Maths '!F239,0)</f>
        <v>Utilisation des ces formules pour obtenir les DL d'autres fonctions usuelles type.</v>
      </c>
      <c r="G235">
        <f>IF('Items sous domaines Maths '!H239=1,'Items sous domaines Maths '!G239,0)</f>
        <v>0</v>
      </c>
    </row>
    <row r="236" spans="1:7" customFormat="1" ht="17.399999999999999" customHeight="1" x14ac:dyDescent="0.25">
      <c r="A236" s="627"/>
      <c r="B236" t="str">
        <f>IF('Items sous domaines Maths '!H240=1,'Items sous domaines Maths '!B240,0)</f>
        <v>Analyse</v>
      </c>
      <c r="C236" t="str">
        <f>IF('Items sous domaines Maths '!H240=1,'Items sous domaines Maths '!C240,0)</f>
        <v>Développements limités</v>
      </c>
      <c r="D236">
        <f>IF('Items sous domaines Maths '!H240=1,'Items sous domaines Maths '!D240,0)</f>
        <v>0</v>
      </c>
      <c r="E236" t="str">
        <f>IF('Items sous domaines Maths '!H240=1,'Items sous domaines Maths '!E240,0)</f>
        <v xml:space="preserve">Quotient </v>
      </c>
      <c r="F236" s="10" t="str">
        <f>IF('Items sous domaines Maths '!H240=1,'Items sous domaines Maths '!F240,0)</f>
        <v>Utilisation des ces formules pour obtenir les DL d'autres fonctions usuelles type 1/1+x, 1/1+x² et tanx.</v>
      </c>
      <c r="G236">
        <f>IF('Items sous domaines Maths '!H240=1,'Items sous domaines Maths '!G240,0)</f>
        <v>0</v>
      </c>
    </row>
    <row r="237" spans="1:7" customFormat="1" ht="17.399999999999999" customHeight="1" x14ac:dyDescent="0.25">
      <c r="A237" s="627"/>
      <c r="B237" t="str">
        <f>IF('Items sous domaines Maths '!H241=1,'Items sous domaines Maths '!B241,0)</f>
        <v>Analyse</v>
      </c>
      <c r="C237" t="str">
        <f>IF('Items sous domaines Maths '!H241=1,'Items sous domaines Maths '!C241,0)</f>
        <v>Développements limités</v>
      </c>
      <c r="D237">
        <f>IF('Items sous domaines Maths '!H241=1,'Items sous domaines Maths '!D241,0)</f>
        <v>0</v>
      </c>
      <c r="E237" t="str">
        <f>IF('Items sous domaines Maths '!H241=1,'Items sous domaines Maths '!E241,0)</f>
        <v xml:space="preserve">Primitive </v>
      </c>
      <c r="F237" s="10" t="str">
        <f>IF('Items sous domaines Maths '!H241=1,'Items sous domaines Maths '!F241,0)</f>
        <v>Utilisation des ces formules pour obtenir les DL d'autres fonctions usuelles type ln(1+x), etc…</v>
      </c>
      <c r="G237">
        <f>IF('Items sous domaines Maths '!H241=1,'Items sous domaines Maths '!G241,0)</f>
        <v>0</v>
      </c>
    </row>
    <row r="238" spans="1:7" customFormat="1" ht="17.399999999999999" customHeight="1" x14ac:dyDescent="0.25">
      <c r="A238" s="627"/>
      <c r="B238" t="str">
        <f>IF('Items sous domaines Maths '!H242=1,'Items sous domaines Maths '!B242,0)</f>
        <v>Analyse</v>
      </c>
      <c r="C238" t="str">
        <f>IF('Items sous domaines Maths '!H242=1,'Items sous domaines Maths '!C242,0)</f>
        <v>Développements limités</v>
      </c>
      <c r="D238">
        <f>IF('Items sous domaines Maths '!H242=1,'Items sous domaines Maths '!D242,0)</f>
        <v>0</v>
      </c>
      <c r="E238" t="str">
        <f>IF('Items sous domaines Maths '!H242=1,'Items sous domaines Maths '!E242,0)</f>
        <v>Dérivée</v>
      </c>
      <c r="F238" s="10" t="str">
        <f>IF('Items sous domaines Maths '!H242=1,'Items sous domaines Maths '!F242,0)</f>
        <v>Utilisation des ces formules pour obtenir les DL d'autres fonctions usuelles type 1/(1+x)², etc…</v>
      </c>
      <c r="G238">
        <f>IF('Items sous domaines Maths '!H242=1,'Items sous domaines Maths '!G242,0)</f>
        <v>0</v>
      </c>
    </row>
    <row r="239" spans="1:7" customFormat="1" ht="17.399999999999999" customHeight="1" x14ac:dyDescent="0.25">
      <c r="A239" s="627"/>
      <c r="B239" t="str">
        <f>IF('Items sous domaines Maths '!H243=1,'Items sous domaines Maths '!B243,0)</f>
        <v>Analyse</v>
      </c>
      <c r="C239" t="str">
        <f>IF('Items sous domaines Maths '!H243=1,'Items sous domaines Maths '!C243,0)</f>
        <v>Développements limités</v>
      </c>
      <c r="D239" t="str">
        <f>IF('Items sous domaines Maths '!H243=1,'Items sous domaines Maths '!D243,0)</f>
        <v>Développements limités ailleurs qu’en 0</v>
      </c>
      <c r="E239" t="str">
        <f>IF('Items sous domaines Maths '!H243=1,'Items sous domaines Maths '!E243,0)</f>
        <v xml:space="preserve">DL en a </v>
      </c>
      <c r="F239" s="10" t="str">
        <f>IF('Items sous domaines Maths '!H243=1,'Items sous domaines Maths '!F243,0)</f>
        <v>Savoir faire un changement de variable x = h + a.</v>
      </c>
      <c r="G239">
        <f>IF('Items sous domaines Maths '!H243=1,'Items sous domaines Maths '!G243,0)</f>
        <v>0</v>
      </c>
    </row>
    <row r="240" spans="1:7" customFormat="1" ht="13.2" x14ac:dyDescent="0.25">
      <c r="A240" s="627"/>
      <c r="B240" t="str">
        <f>IF('Items sous domaines Maths '!H244=1,'Items sous domaines Maths '!B244,0)</f>
        <v>Analyse</v>
      </c>
      <c r="C240" t="str">
        <f>IF('Items sous domaines Maths '!H244=1,'Items sous domaines Maths '!C244,0)</f>
        <v>Développements limités</v>
      </c>
      <c r="D240">
        <f>IF('Items sous domaines Maths '!H244=1,'Items sous domaines Maths '!D244,0)</f>
        <v>0</v>
      </c>
      <c r="E240" t="str">
        <f>IF('Items sous domaines Maths '!H244=1,'Items sous domaines Maths '!E244,0)</f>
        <v>DL en ±∞</v>
      </c>
      <c r="F240" s="10" t="str">
        <f>IF('Items sous domaines Maths '!H244=1,'Items sous domaines Maths '!F244,0)</f>
        <v>Savoir faire un changement de variable x = 1/h.</v>
      </c>
      <c r="G240">
        <f>IF('Items sous domaines Maths '!H244=1,'Items sous domaines Maths '!G244,0)</f>
        <v>0</v>
      </c>
    </row>
    <row r="241" spans="1:9" customFormat="1" ht="13.2" x14ac:dyDescent="0.25">
      <c r="A241" s="627"/>
      <c r="B241" t="str">
        <f>IF('Items sous domaines Maths '!H245=1,'Items sous domaines Maths '!B245,0)</f>
        <v>Analyse</v>
      </c>
      <c r="C241" t="str">
        <f>IF('Items sous domaines Maths '!H245=1,'Items sous domaines Maths '!C245,0)</f>
        <v>Développements limités</v>
      </c>
      <c r="D241" t="str">
        <f>IF('Items sous domaines Maths '!H245=1,'Items sous domaines Maths '!D245,0)</f>
        <v xml:space="preserve">Applications </v>
      </c>
      <c r="E241" t="str">
        <f>IF('Items sous domaines Maths '!H245=1,'Items sous domaines Maths '!E245,0)</f>
        <v>Étude locale</v>
      </c>
      <c r="F241" s="10" t="str">
        <f>IF('Items sous domaines Maths '!H245=1,'Items sous domaines Maths '!F245,0)</f>
        <v>Savoir que le développement limité d’une fonction f en un point x0 nous permet de comprendre le comportement de f en x0.</v>
      </c>
      <c r="G241">
        <f>IF('Items sous domaines Maths '!H245=1,'Items sous domaines Maths '!G245,0)</f>
        <v>0</v>
      </c>
    </row>
    <row r="242" spans="1:9" customFormat="1" ht="13.2" x14ac:dyDescent="0.25">
      <c r="A242" s="627"/>
      <c r="B242" t="str">
        <f>IF('Items sous domaines Maths '!H246=1,'Items sous domaines Maths '!B246,0)</f>
        <v>Analyse</v>
      </c>
      <c r="C242" t="str">
        <f>IF('Items sous domaines Maths '!H246=1,'Items sous domaines Maths '!C246,0)</f>
        <v>Développements limités</v>
      </c>
      <c r="D242">
        <f>IF('Items sous domaines Maths '!H246=1,'Items sous domaines Maths '!D246,0)</f>
        <v>0</v>
      </c>
      <c r="E242">
        <f>IF('Items sous domaines Maths '!H246=1,'Items sous domaines Maths '!E246,0)</f>
        <v>0</v>
      </c>
      <c r="F242" s="10" t="str">
        <f>IF('Items sous domaines Maths '!H246=1,'Items sous domaines Maths '!F246,0)</f>
        <v>Tangente application au calcul de limites et levées de formes indéterminées / équivalents.</v>
      </c>
      <c r="G242">
        <f>IF('Items sous domaines Maths '!H246=1,'Items sous domaines Maths '!G246,0)</f>
        <v>0</v>
      </c>
    </row>
    <row r="243" spans="1:9" customFormat="1" ht="13.8" thickBot="1" x14ac:dyDescent="0.3">
      <c r="A243" s="611"/>
      <c r="B243" s="11" t="str">
        <f>IF('Items sous domaines Maths '!H247=1,'Items sous domaines Maths '!B247,0)</f>
        <v>Analyse</v>
      </c>
      <c r="C243" s="11" t="str">
        <f>IF('Items sous domaines Maths '!H247=1,'Items sous domaines Maths '!C247,0)</f>
        <v>Développements limités</v>
      </c>
      <c r="D243" s="11">
        <f>IF('Items sous domaines Maths '!H247=1,'Items sous domaines Maths '!D247,0)</f>
        <v>0</v>
      </c>
      <c r="E243" s="11">
        <f>IF('Items sous domaines Maths '!H247=1,'Items sous domaines Maths '!E247,0)</f>
        <v>0</v>
      </c>
      <c r="F243" s="12" t="str">
        <f>IF('Items sous domaines Maths '!H247=1,'Items sous domaines Maths '!F247,0)</f>
        <v>Application à la détermination de la position par rapport à la tangente.</v>
      </c>
      <c r="G243">
        <f>IF('Items sous domaines Maths '!H247=1,'Items sous domaines Maths '!G247,0)</f>
        <v>0</v>
      </c>
    </row>
    <row r="244" spans="1:9" customFormat="1" ht="13.8" hidden="1" thickBot="1" x14ac:dyDescent="0.3">
      <c r="B244">
        <f>IF('Items sous domaines Maths '!H248=1,'Items sous domaines Maths '!B248,0)</f>
        <v>0</v>
      </c>
      <c r="C244">
        <f>IF('Items sous domaines Maths '!H248=1,'Items sous domaines Maths '!C248,0)</f>
        <v>0</v>
      </c>
      <c r="D244">
        <f>IF('Items sous domaines Maths '!H248=1,'Items sous domaines Maths '!D248,0)</f>
        <v>0</v>
      </c>
      <c r="E244">
        <f>IF('Items sous domaines Maths '!H248=1,'Items sous domaines Maths '!E248,0)</f>
        <v>0</v>
      </c>
      <c r="F244">
        <f>IF('Items sous domaines Maths '!H248=1,'Items sous domaines Maths '!F248,0)</f>
        <v>0</v>
      </c>
      <c r="G244">
        <f>IF('Items sous domaines Maths '!H248=1,'Items sous domaines Maths '!G248,0)</f>
        <v>0</v>
      </c>
    </row>
    <row r="245" spans="1:9" ht="19.95" customHeight="1" thickTop="1" x14ac:dyDescent="0.25">
      <c r="A245" s="629" t="s">
        <v>524</v>
      </c>
      <c r="B245" s="210" t="str">
        <f>IF('Items sous domaines Maths '!H249=1,'Items sous domaines Maths '!B249,0)</f>
        <v>Analyse</v>
      </c>
      <c r="C245" s="211" t="str">
        <f>IF('Items sous domaines Maths '!H249=1,'Items sous domaines Maths '!C249,0)</f>
        <v>Integrales simples</v>
      </c>
      <c r="D245" s="211" t="str">
        <f>IF('Items sous domaines Maths '!H249=1,'Items sous domaines Maths '!D249,0)</f>
        <v>Primitive</v>
      </c>
      <c r="E245" s="211" t="str">
        <f>IF('Items sous domaines Maths '!H249=1,'Items sous domaines Maths '!E249,0)</f>
        <v>Définition et existence</v>
      </c>
      <c r="F245" s="212" t="str">
        <f>IF('Items sous domaines Maths '!H249=1,'Items sous domaines Maths '!F249,0)</f>
        <v>Connaître la relation entre les primitives d'une même fonction. Unicité de la primitive avec la donnée d'une condition initiale.</v>
      </c>
      <c r="G245" s="589" t="s">
        <v>453</v>
      </c>
      <c r="H245" s="577" t="s">
        <v>251</v>
      </c>
      <c r="I245" s="213"/>
    </row>
    <row r="246" spans="1:9" ht="19.95" customHeight="1" x14ac:dyDescent="0.25">
      <c r="A246" s="630"/>
      <c r="B246" s="127" t="str">
        <f>IF('Items sous domaines Maths '!H250=1,'Items sous domaines Maths '!B250,0)</f>
        <v>Analyse</v>
      </c>
      <c r="C246" s="128" t="str">
        <f>IF('Items sous domaines Maths '!H250=1,'Items sous domaines Maths '!C250,0)</f>
        <v>Integrales simples</v>
      </c>
      <c r="D246" s="128">
        <f>IF('Items sous domaines Maths '!H250=1,'Items sous domaines Maths '!D250,0)</f>
        <v>0</v>
      </c>
      <c r="E246" s="128" t="str">
        <f>IF('Items sous domaines Maths '!H250=1,'Items sous domaines Maths '!E250,0)</f>
        <v>Primitives des fonctions usuelles</v>
      </c>
      <c r="F246" s="129" t="str">
        <f>IF('Items sous domaines Maths '!H250=1,'Items sous domaines Maths '!F250,0)</f>
        <v>Connaître les formules et être capable de les appliquer.</v>
      </c>
      <c r="G246" s="590"/>
      <c r="H246" s="578"/>
      <c r="I246" s="230" t="s">
        <v>22</v>
      </c>
    </row>
    <row r="247" spans="1:9" ht="19.95" customHeight="1" x14ac:dyDescent="0.25">
      <c r="A247" s="630"/>
      <c r="B247" s="133" t="str">
        <f>IF('Items sous domaines Maths '!H251=1,'Items sous domaines Maths '!B251,0)</f>
        <v>Analyse</v>
      </c>
      <c r="C247" s="134" t="str">
        <f>IF('Items sous domaines Maths '!H251=1,'Items sous domaines Maths '!C251,0)</f>
        <v>Integrales simples</v>
      </c>
      <c r="D247" s="134">
        <f>IF('Items sous domaines Maths '!H251=1,'Items sous domaines Maths '!D251,0)</f>
        <v>0</v>
      </c>
      <c r="E247" s="134" t="str">
        <f>IF('Items sous domaines Maths '!H251=1,'Items sous domaines Maths '!E251,0)</f>
        <v>Primitives des fonctions composées</v>
      </c>
      <c r="F247" s="135" t="str">
        <f>IF('Items sous domaines Maths '!H251=1,'Items sous domaines Maths '!F251,0)</f>
        <v>Connaître les formules et être capable de les appliquer.</v>
      </c>
      <c r="G247" s="590"/>
      <c r="H247" s="578"/>
      <c r="I247" s="214"/>
    </row>
    <row r="248" spans="1:9" ht="19.95" customHeight="1" x14ac:dyDescent="0.25">
      <c r="A248" s="630"/>
      <c r="B248" s="127" t="str">
        <f>IF('Items sous domaines Maths '!H252=1,'Items sous domaines Maths '!B252,0)</f>
        <v>Analyse</v>
      </c>
      <c r="C248" s="128" t="str">
        <f>IF('Items sous domaines Maths '!H252=1,'Items sous domaines Maths '!C252,0)</f>
        <v>Integrales simples</v>
      </c>
      <c r="D248" s="128" t="str">
        <f>IF('Items sous domaines Maths '!H252=1,'Items sous domaines Maths '!D252,0)</f>
        <v xml:space="preserve">Intégrale d’une fonction continue </v>
      </c>
      <c r="E248" s="128" t="str">
        <f>IF('Items sous domaines Maths '!H252=1,'Items sous domaines Maths '!E252,0)</f>
        <v>Définition et existence</v>
      </c>
      <c r="F248" s="129">
        <f>IF('Items sous domaines Maths '!H252=1,'Items sous domaines Maths '!F252,0)</f>
        <v>0</v>
      </c>
      <c r="G248" s="590"/>
      <c r="H248" s="578"/>
      <c r="I248" s="214"/>
    </row>
    <row r="249" spans="1:9" ht="19.95" customHeight="1" x14ac:dyDescent="0.25">
      <c r="A249" s="630"/>
      <c r="B249" s="133" t="str">
        <f>IF('Items sous domaines Maths '!H253=1,'Items sous domaines Maths '!B253,0)</f>
        <v>Analyse</v>
      </c>
      <c r="C249" s="134" t="str">
        <f>IF('Items sous domaines Maths '!H253=1,'Items sous domaines Maths '!C253,0)</f>
        <v>Integrales simples</v>
      </c>
      <c r="D249" s="134">
        <f>IF('Items sous domaines Maths '!H253=1,'Items sous domaines Maths '!D253,0)</f>
        <v>0</v>
      </c>
      <c r="E249" s="134" t="str">
        <f>IF('Items sous domaines Maths '!H253=1,'Items sous domaines Maths '!E253,0)</f>
        <v>Propriété de l'intégrale</v>
      </c>
      <c r="F249" s="135" t="str">
        <f>IF('Items sous domaines Maths '!H253=1,'Items sous domaines Maths '!F253,0)</f>
        <v>Linéarité, positivité, relation de Chasles, Valeur moyenne d'une fonction.</v>
      </c>
      <c r="G249" s="590"/>
      <c r="H249" s="578"/>
      <c r="I249" s="214"/>
    </row>
    <row r="250" spans="1:9" ht="19.95" customHeight="1" x14ac:dyDescent="0.25">
      <c r="A250" s="630"/>
      <c r="B250" s="127" t="str">
        <f>IF('Items sous domaines Maths '!H254=1,'Items sous domaines Maths '!B254,0)</f>
        <v>Analyse</v>
      </c>
      <c r="C250" s="128" t="str">
        <f>IF('Items sous domaines Maths '!H254=1,'Items sous domaines Maths '!C254,0)</f>
        <v>Integrales simples</v>
      </c>
      <c r="D250" s="128">
        <f>IF('Items sous domaines Maths '!H254=1,'Items sous domaines Maths '!D254,0)</f>
        <v>0</v>
      </c>
      <c r="E250" s="128">
        <f>IF('Items sous domaines Maths '!H254=1,'Items sous domaines Maths '!E254,0)</f>
        <v>0</v>
      </c>
      <c r="F250" s="129" t="str">
        <f>IF('Items sous domaines Maths '!H254=1,'Items sous domaines Maths '!F254,0)</f>
        <v>Intégrales dont une borne dépend d'un paramètre : comprendre la notation, savoir la dérivée et l'étudier.</v>
      </c>
      <c r="G250" s="590"/>
      <c r="H250" s="578"/>
      <c r="I250" s="214"/>
    </row>
    <row r="251" spans="1:9" ht="19.95" customHeight="1" thickBot="1" x14ac:dyDescent="0.3">
      <c r="A251" s="631"/>
      <c r="B251" s="130" t="str">
        <f>IF('Items sous domaines Maths '!H255=1,'Items sous domaines Maths '!B255,0)</f>
        <v>Analyse</v>
      </c>
      <c r="C251" s="131" t="str">
        <f>IF('Items sous domaines Maths '!H255=1,'Items sous domaines Maths '!C255,0)</f>
        <v>Integrales simples</v>
      </c>
      <c r="D251" s="131">
        <f>IF('Items sous domaines Maths '!H255=1,'Items sous domaines Maths '!D255,0)</f>
        <v>0</v>
      </c>
      <c r="E251" s="131">
        <f>IF('Items sous domaines Maths '!H255=1,'Items sous domaines Maths '!E255,0)</f>
        <v>0</v>
      </c>
      <c r="F251" s="132" t="str">
        <f>IF('Items sous domaines Maths '!H255=1,'Items sous domaines Maths '!F255,0)</f>
        <v>Connaître l'écriture d'une primitive sous forme intégrale (notation sans borme).</v>
      </c>
      <c r="G251" s="591"/>
      <c r="H251" s="579"/>
      <c r="I251" s="218"/>
    </row>
    <row r="252" spans="1:9" customFormat="1" ht="12.75" hidden="1" customHeight="1" thickTop="1" x14ac:dyDescent="0.25">
      <c r="A252" s="597"/>
      <c r="B252">
        <f>IF('Items sous domaines Maths '!H256=1,'Items sous domaines Maths '!B256,0)</f>
        <v>0</v>
      </c>
      <c r="C252">
        <f>IF('Items sous domaines Maths '!H256=1,'Items sous domaines Maths '!C256,0)</f>
        <v>0</v>
      </c>
      <c r="D252">
        <f>IF('Items sous domaines Maths '!H256=1,'Items sous domaines Maths '!D256,0)</f>
        <v>0</v>
      </c>
      <c r="E252">
        <f>IF('Items sous domaines Maths '!H256=1,'Items sous domaines Maths '!E256,0)</f>
        <v>0</v>
      </c>
      <c r="F252">
        <f>IF('Items sous domaines Maths '!H256=1,'Items sous domaines Maths '!F256,0)</f>
        <v>0</v>
      </c>
      <c r="G252" s="602"/>
      <c r="H252" s="580"/>
    </row>
    <row r="253" spans="1:9" customFormat="1" ht="16.95" hidden="1" customHeight="1" thickBot="1" x14ac:dyDescent="0.3">
      <c r="A253" s="597"/>
      <c r="B253">
        <f>IF('Items sous domaines Maths '!H257=1,'Items sous domaines Maths '!B257,0)</f>
        <v>0</v>
      </c>
      <c r="C253">
        <f>IF('Items sous domaines Maths '!H257=1,'Items sous domaines Maths '!C257,0)</f>
        <v>0</v>
      </c>
      <c r="D253">
        <f>IF('Items sous domaines Maths '!H257=1,'Items sous domaines Maths '!D257,0)</f>
        <v>0</v>
      </c>
      <c r="E253">
        <f>IF('Items sous domaines Maths '!H257=1,'Items sous domaines Maths '!E257,0)</f>
        <v>0</v>
      </c>
      <c r="F253">
        <f>IF('Items sous domaines Maths '!H257=1,'Items sous domaines Maths '!F257,0)</f>
        <v>0</v>
      </c>
      <c r="G253" s="602"/>
      <c r="H253" s="580"/>
    </row>
    <row r="254" spans="1:9" ht="19.95" customHeight="1" thickTop="1" x14ac:dyDescent="0.25">
      <c r="A254" s="629"/>
      <c r="B254" s="223" t="str">
        <f>IF('Items sous domaines Maths '!H258=1,'Items sous domaines Maths '!B258,0)</f>
        <v>Analyse</v>
      </c>
      <c r="C254" s="224" t="str">
        <f>IF('Items sous domaines Maths '!H258=1,'Items sous domaines Maths '!C258,0)</f>
        <v>Integrales simples</v>
      </c>
      <c r="D254" s="224" t="str">
        <f>IF('Items sous domaines Maths '!H258=1,'Items sous domaines Maths '!D258,0)</f>
        <v>Interprétation géométrique de l'intégrale</v>
      </c>
      <c r="E254" s="224" t="str">
        <f>IF('Items sous domaines Maths '!H258=1,'Items sous domaines Maths '!E258,0)</f>
        <v>Calculs de l'aire sous la courbe à l'aide de l'intégrale</v>
      </c>
      <c r="F254" s="225">
        <f>IF('Items sous domaines Maths '!H258=1,'Items sous domaines Maths '!F258,0)</f>
        <v>0</v>
      </c>
      <c r="G254" s="589"/>
      <c r="H254" s="577"/>
      <c r="I254" s="213"/>
    </row>
    <row r="255" spans="1:9" ht="19.95" customHeight="1" thickBot="1" x14ac:dyDescent="0.3">
      <c r="A255" s="631"/>
      <c r="B255" s="130" t="str">
        <f>IF('Items sous domaines Maths '!H259=1,'Items sous domaines Maths '!B259,0)</f>
        <v>Analyse</v>
      </c>
      <c r="C255" s="131" t="str">
        <f>IF('Items sous domaines Maths '!H259=1,'Items sous domaines Maths '!C259,0)</f>
        <v>Integrales simples</v>
      </c>
      <c r="D255" s="131">
        <f>IF('Items sous domaines Maths '!H259=1,'Items sous domaines Maths '!D259,0)</f>
        <v>0</v>
      </c>
      <c r="E255" s="131" t="str">
        <f>IF('Items sous domaines Maths '!H259=1,'Items sous domaines Maths '!E259,0)</f>
        <v>Calculs de l'aire entre deux courbes à l'aide de l'intégrale</v>
      </c>
      <c r="F255" s="132">
        <f>IF('Items sous domaines Maths '!H259=1,'Items sous domaines Maths '!F259,0)</f>
        <v>0</v>
      </c>
      <c r="G255" s="591"/>
      <c r="H255" s="579"/>
      <c r="I255" s="218"/>
    </row>
    <row r="256" spans="1:9" customFormat="1" ht="14.4" hidden="1" thickTop="1" thickBot="1" x14ac:dyDescent="0.3">
      <c r="B256">
        <f>IF('Items sous domaines Maths '!H260=1,'Items sous domaines Maths '!B260,0)</f>
        <v>0</v>
      </c>
      <c r="C256">
        <f>IF('Items sous domaines Maths '!H260=1,'Items sous domaines Maths '!C260,0)</f>
        <v>0</v>
      </c>
      <c r="D256">
        <f>IF('Items sous domaines Maths '!H260=1,'Items sous domaines Maths '!D260,0)</f>
        <v>0</v>
      </c>
      <c r="E256">
        <f>IF('Items sous domaines Maths '!H260=1,'Items sous domaines Maths '!E260,0)</f>
        <v>0</v>
      </c>
      <c r="F256">
        <f>IF('Items sous domaines Maths '!H260=1,'Items sous domaines Maths '!F260,0)</f>
        <v>0</v>
      </c>
      <c r="G256">
        <f>IF('Items sous domaines Maths '!H260=1,'Items sous domaines Maths '!G260,0)</f>
        <v>0</v>
      </c>
    </row>
    <row r="257" spans="2:7" customFormat="1" ht="14.4" hidden="1" thickTop="1" thickBot="1" x14ac:dyDescent="0.3">
      <c r="B257">
        <f>IF('Items sous domaines Maths '!H261=1,'Items sous domaines Maths '!B261,0)</f>
        <v>0</v>
      </c>
      <c r="C257">
        <f>IF('Items sous domaines Maths '!H261=1,'Items sous domaines Maths '!C261,0)</f>
        <v>0</v>
      </c>
      <c r="D257">
        <f>IF('Items sous domaines Maths '!H261=1,'Items sous domaines Maths '!D261,0)</f>
        <v>0</v>
      </c>
      <c r="E257">
        <f>IF('Items sous domaines Maths '!H261=1,'Items sous domaines Maths '!E261,0)</f>
        <v>0</v>
      </c>
      <c r="F257">
        <f>IF('Items sous domaines Maths '!H261=1,'Items sous domaines Maths '!F261,0)</f>
        <v>0</v>
      </c>
      <c r="G257">
        <f>IF('Items sous domaines Maths '!H261=1,'Items sous domaines Maths '!G261,0)</f>
        <v>0</v>
      </c>
    </row>
    <row r="258" spans="2:7" customFormat="1" ht="14.4" hidden="1" thickTop="1" thickBot="1" x14ac:dyDescent="0.3">
      <c r="B258">
        <f>IF('Items sous domaines Maths '!H262=1,'Items sous domaines Maths '!B262,0)</f>
        <v>0</v>
      </c>
      <c r="C258">
        <f>IF('Items sous domaines Maths '!H262=1,'Items sous domaines Maths '!C262,0)</f>
        <v>0</v>
      </c>
      <c r="D258">
        <f>IF('Items sous domaines Maths '!H262=1,'Items sous domaines Maths '!D262,0)</f>
        <v>0</v>
      </c>
      <c r="E258">
        <f>IF('Items sous domaines Maths '!H262=1,'Items sous domaines Maths '!E262,0)</f>
        <v>0</v>
      </c>
      <c r="F258">
        <f>IF('Items sous domaines Maths '!H262=1,'Items sous domaines Maths '!F262,0)</f>
        <v>0</v>
      </c>
      <c r="G258">
        <f>IF('Items sous domaines Maths '!H262=1,'Items sous domaines Maths '!G262,0)</f>
        <v>0</v>
      </c>
    </row>
    <row r="259" spans="2:7" customFormat="1" ht="14.4" hidden="1" thickTop="1" thickBot="1" x14ac:dyDescent="0.3">
      <c r="B259">
        <f>IF('Items sous domaines Maths '!H263=1,'Items sous domaines Maths '!B263,0)</f>
        <v>0</v>
      </c>
      <c r="C259">
        <f>IF('Items sous domaines Maths '!H263=1,'Items sous domaines Maths '!C263,0)</f>
        <v>0</v>
      </c>
      <c r="D259">
        <f>IF('Items sous domaines Maths '!H263=1,'Items sous domaines Maths '!D263,0)</f>
        <v>0</v>
      </c>
      <c r="E259">
        <f>IF('Items sous domaines Maths '!H263=1,'Items sous domaines Maths '!E263,0)</f>
        <v>0</v>
      </c>
      <c r="F259">
        <f>IF('Items sous domaines Maths '!H263=1,'Items sous domaines Maths '!F263,0)</f>
        <v>0</v>
      </c>
      <c r="G259">
        <f>IF('Items sous domaines Maths '!H263=1,'Items sous domaines Maths '!G263,0)</f>
        <v>0</v>
      </c>
    </row>
    <row r="260" spans="2:7" customFormat="1" ht="14.4" hidden="1" thickTop="1" thickBot="1" x14ac:dyDescent="0.3">
      <c r="B260">
        <f>IF('Items sous domaines Maths '!H264=1,'Items sous domaines Maths '!B264,0)</f>
        <v>0</v>
      </c>
      <c r="C260">
        <f>IF('Items sous domaines Maths '!H264=1,'Items sous domaines Maths '!C264,0)</f>
        <v>0</v>
      </c>
      <c r="D260">
        <f>IF('Items sous domaines Maths '!H264=1,'Items sous domaines Maths '!D264,0)</f>
        <v>0</v>
      </c>
      <c r="E260">
        <f>IF('Items sous domaines Maths '!H264=1,'Items sous domaines Maths '!E264,0)</f>
        <v>0</v>
      </c>
      <c r="F260">
        <f>IF('Items sous domaines Maths '!H264=1,'Items sous domaines Maths '!F264,0)</f>
        <v>0</v>
      </c>
      <c r="G260">
        <f>IF('Items sous domaines Maths '!H264=1,'Items sous domaines Maths '!G264,0)</f>
        <v>0</v>
      </c>
    </row>
    <row r="261" spans="2:7" customFormat="1" ht="14.4" hidden="1" thickTop="1" thickBot="1" x14ac:dyDescent="0.3">
      <c r="B261">
        <f>IF('Items sous domaines Maths '!H265=1,'Items sous domaines Maths '!B265,0)</f>
        <v>0</v>
      </c>
      <c r="C261">
        <f>IF('Items sous domaines Maths '!H265=1,'Items sous domaines Maths '!C265,0)</f>
        <v>0</v>
      </c>
      <c r="D261">
        <f>IF('Items sous domaines Maths '!H265=1,'Items sous domaines Maths '!D265,0)</f>
        <v>0</v>
      </c>
      <c r="E261">
        <f>IF('Items sous domaines Maths '!H265=1,'Items sous domaines Maths '!E265,0)</f>
        <v>0</v>
      </c>
      <c r="F261">
        <f>IF('Items sous domaines Maths '!H265=1,'Items sous domaines Maths '!F265,0)</f>
        <v>0</v>
      </c>
      <c r="G261">
        <f>IF('Items sous domaines Maths '!H265=1,'Items sous domaines Maths '!G265,0)</f>
        <v>0</v>
      </c>
    </row>
    <row r="262" spans="2:7" customFormat="1" ht="14.4" hidden="1" thickTop="1" thickBot="1" x14ac:dyDescent="0.3">
      <c r="B262">
        <f>IF('Items sous domaines Maths '!H266=1,'Items sous domaines Maths '!B266,0)</f>
        <v>0</v>
      </c>
      <c r="C262">
        <f>IF('Items sous domaines Maths '!H266=1,'Items sous domaines Maths '!C266,0)</f>
        <v>0</v>
      </c>
      <c r="D262">
        <f>IF('Items sous domaines Maths '!H266=1,'Items sous domaines Maths '!D266,0)</f>
        <v>0</v>
      </c>
      <c r="E262">
        <f>IF('Items sous domaines Maths '!H266=1,'Items sous domaines Maths '!E266,0)</f>
        <v>0</v>
      </c>
      <c r="F262">
        <f>IF('Items sous domaines Maths '!H266=1,'Items sous domaines Maths '!F266,0)</f>
        <v>0</v>
      </c>
      <c r="G262">
        <f>IF('Items sous domaines Maths '!H266=1,'Items sous domaines Maths '!G266,0)</f>
        <v>0</v>
      </c>
    </row>
    <row r="263" spans="2:7" customFormat="1" ht="14.4" hidden="1" thickTop="1" thickBot="1" x14ac:dyDescent="0.3">
      <c r="B263">
        <f>IF('Items sous domaines Maths '!H267=1,'Items sous domaines Maths '!B267,0)</f>
        <v>0</v>
      </c>
      <c r="C263">
        <f>IF('Items sous domaines Maths '!H267=1,'Items sous domaines Maths '!C267,0)</f>
        <v>0</v>
      </c>
      <c r="D263">
        <f>IF('Items sous domaines Maths '!H267=1,'Items sous domaines Maths '!D267,0)</f>
        <v>0</v>
      </c>
      <c r="E263">
        <f>IF('Items sous domaines Maths '!H267=1,'Items sous domaines Maths '!E267,0)</f>
        <v>0</v>
      </c>
      <c r="F263">
        <f>IF('Items sous domaines Maths '!H267=1,'Items sous domaines Maths '!F267,0)</f>
        <v>0</v>
      </c>
      <c r="G263">
        <f>IF('Items sous domaines Maths '!H267=1,'Items sous domaines Maths '!G267,0)</f>
        <v>0</v>
      </c>
    </row>
    <row r="264" spans="2:7" customFormat="1" ht="14.4" hidden="1" thickTop="1" thickBot="1" x14ac:dyDescent="0.3">
      <c r="B264">
        <f>IF('Items sous domaines Maths '!H268=1,'Items sous domaines Maths '!B268,0)</f>
        <v>0</v>
      </c>
      <c r="C264">
        <f>IF('Items sous domaines Maths '!H268=1,'Items sous domaines Maths '!C268,0)</f>
        <v>0</v>
      </c>
      <c r="D264">
        <f>IF('Items sous domaines Maths '!H268=1,'Items sous domaines Maths '!D268,0)</f>
        <v>0</v>
      </c>
      <c r="E264">
        <f>IF('Items sous domaines Maths '!H268=1,'Items sous domaines Maths '!E268,0)</f>
        <v>0</v>
      </c>
      <c r="F264">
        <f>IF('Items sous domaines Maths '!H268=1,'Items sous domaines Maths '!F268,0)</f>
        <v>0</v>
      </c>
      <c r="G264">
        <f>IF('Items sous domaines Maths '!H268=1,'Items sous domaines Maths '!G268,0)</f>
        <v>0</v>
      </c>
    </row>
    <row r="265" spans="2:7" customFormat="1" ht="14.4" hidden="1" thickTop="1" thickBot="1" x14ac:dyDescent="0.3">
      <c r="B265">
        <f>IF('Items sous domaines Maths '!H269=1,'Items sous domaines Maths '!B269,0)</f>
        <v>0</v>
      </c>
      <c r="C265">
        <f>IF('Items sous domaines Maths '!H269=1,'Items sous domaines Maths '!C269,0)</f>
        <v>0</v>
      </c>
      <c r="D265">
        <f>IF('Items sous domaines Maths '!H269=1,'Items sous domaines Maths '!D269,0)</f>
        <v>0</v>
      </c>
      <c r="E265">
        <f>IF('Items sous domaines Maths '!H269=1,'Items sous domaines Maths '!E269,0)</f>
        <v>0</v>
      </c>
      <c r="F265">
        <f>IF('Items sous domaines Maths '!H269=1,'Items sous domaines Maths '!F269,0)</f>
        <v>0</v>
      </c>
      <c r="G265">
        <f>IF('Items sous domaines Maths '!H269=1,'Items sous domaines Maths '!G269,0)</f>
        <v>0</v>
      </c>
    </row>
    <row r="266" spans="2:7" customFormat="1" ht="14.4" hidden="1" thickTop="1" thickBot="1" x14ac:dyDescent="0.3">
      <c r="B266">
        <f>IF('Items sous domaines Maths '!H270=1,'Items sous domaines Maths '!B270,0)</f>
        <v>0</v>
      </c>
      <c r="C266">
        <f>IF('Items sous domaines Maths '!H270=1,'Items sous domaines Maths '!C270,0)</f>
        <v>0</v>
      </c>
      <c r="D266">
        <f>IF('Items sous domaines Maths '!H270=1,'Items sous domaines Maths '!D270,0)</f>
        <v>0</v>
      </c>
      <c r="E266">
        <f>IF('Items sous domaines Maths '!H270=1,'Items sous domaines Maths '!E270,0)</f>
        <v>0</v>
      </c>
      <c r="F266">
        <f>IF('Items sous domaines Maths '!H270=1,'Items sous domaines Maths '!F270,0)</f>
        <v>0</v>
      </c>
      <c r="G266">
        <f>IF('Items sous domaines Maths '!H270=1,'Items sous domaines Maths '!G270,0)</f>
        <v>0</v>
      </c>
    </row>
    <row r="267" spans="2:7" customFormat="1" ht="14.4" hidden="1" thickTop="1" thickBot="1" x14ac:dyDescent="0.3">
      <c r="B267">
        <f>IF('Items sous domaines Maths '!H271=1,'Items sous domaines Maths '!B271,0)</f>
        <v>0</v>
      </c>
      <c r="C267">
        <f>IF('Items sous domaines Maths '!H271=1,'Items sous domaines Maths '!C271,0)</f>
        <v>0</v>
      </c>
      <c r="D267">
        <f>IF('Items sous domaines Maths '!H271=1,'Items sous domaines Maths '!D271,0)</f>
        <v>0</v>
      </c>
      <c r="E267">
        <f>IF('Items sous domaines Maths '!H271=1,'Items sous domaines Maths '!E271,0)</f>
        <v>0</v>
      </c>
      <c r="F267">
        <f>IF('Items sous domaines Maths '!H271=1,'Items sous domaines Maths '!F271,0)</f>
        <v>0</v>
      </c>
      <c r="G267">
        <f>IF('Items sous domaines Maths '!H271=1,'Items sous domaines Maths '!G271,0)</f>
        <v>0</v>
      </c>
    </row>
    <row r="268" spans="2:7" customFormat="1" ht="14.4" hidden="1" thickTop="1" thickBot="1" x14ac:dyDescent="0.3">
      <c r="B268">
        <f>IF('Items sous domaines Maths '!H272=1,'Items sous domaines Maths '!B272,0)</f>
        <v>0</v>
      </c>
      <c r="C268">
        <f>IF('Items sous domaines Maths '!H272=1,'Items sous domaines Maths '!C272,0)</f>
        <v>0</v>
      </c>
      <c r="D268">
        <f>IF('Items sous domaines Maths '!H272=1,'Items sous domaines Maths '!D272,0)</f>
        <v>0</v>
      </c>
      <c r="E268">
        <f>IF('Items sous domaines Maths '!H272=1,'Items sous domaines Maths '!E272,0)</f>
        <v>0</v>
      </c>
      <c r="F268">
        <f>IF('Items sous domaines Maths '!H272=1,'Items sous domaines Maths '!F272,0)</f>
        <v>0</v>
      </c>
      <c r="G268">
        <f>IF('Items sous domaines Maths '!H272=1,'Items sous domaines Maths '!G272,0)</f>
        <v>0</v>
      </c>
    </row>
    <row r="269" spans="2:7" customFormat="1" ht="14.4" hidden="1" thickTop="1" thickBot="1" x14ac:dyDescent="0.3">
      <c r="B269">
        <f>IF('Items sous domaines Maths '!H273=1,'Items sous domaines Maths '!B273,0)</f>
        <v>0</v>
      </c>
      <c r="C269">
        <f>IF('Items sous domaines Maths '!H273=1,'Items sous domaines Maths '!C273,0)</f>
        <v>0</v>
      </c>
      <c r="D269">
        <f>IF('Items sous domaines Maths '!H273=1,'Items sous domaines Maths '!D273,0)</f>
        <v>0</v>
      </c>
      <c r="E269">
        <f>IF('Items sous domaines Maths '!H273=1,'Items sous domaines Maths '!E273,0)</f>
        <v>0</v>
      </c>
      <c r="F269">
        <f>IF('Items sous domaines Maths '!H273=1,'Items sous domaines Maths '!F273,0)</f>
        <v>0</v>
      </c>
      <c r="G269">
        <f>IF('Items sous domaines Maths '!H273=1,'Items sous domaines Maths '!G273,0)</f>
        <v>0</v>
      </c>
    </row>
    <row r="270" spans="2:7" customFormat="1" ht="14.4" hidden="1" thickTop="1" thickBot="1" x14ac:dyDescent="0.3">
      <c r="B270">
        <f>IF('Items sous domaines Maths '!H274=1,'Items sous domaines Maths '!B274,0)</f>
        <v>0</v>
      </c>
      <c r="C270">
        <f>IF('Items sous domaines Maths '!H274=1,'Items sous domaines Maths '!C274,0)</f>
        <v>0</v>
      </c>
      <c r="D270">
        <f>IF('Items sous domaines Maths '!H274=1,'Items sous domaines Maths '!D274,0)</f>
        <v>0</v>
      </c>
      <c r="E270">
        <f>IF('Items sous domaines Maths '!H274=1,'Items sous domaines Maths '!E274,0)</f>
        <v>0</v>
      </c>
      <c r="F270">
        <f>IF('Items sous domaines Maths '!H274=1,'Items sous domaines Maths '!F274,0)</f>
        <v>0</v>
      </c>
      <c r="G270">
        <f>IF('Items sous domaines Maths '!H274=1,'Items sous domaines Maths '!G274,0)</f>
        <v>0</v>
      </c>
    </row>
    <row r="271" spans="2:7" customFormat="1" ht="14.4" hidden="1" thickTop="1" thickBot="1" x14ac:dyDescent="0.3">
      <c r="B271">
        <f>IF('Items sous domaines Maths '!H275=1,'Items sous domaines Maths '!B275,0)</f>
        <v>0</v>
      </c>
      <c r="C271">
        <f>IF('Items sous domaines Maths '!H275=1,'Items sous domaines Maths '!C275,0)</f>
        <v>0</v>
      </c>
      <c r="D271">
        <f>IF('Items sous domaines Maths '!H275=1,'Items sous domaines Maths '!D275,0)</f>
        <v>0</v>
      </c>
      <c r="E271">
        <f>IF('Items sous domaines Maths '!H275=1,'Items sous domaines Maths '!E275,0)</f>
        <v>0</v>
      </c>
      <c r="F271">
        <f>IF('Items sous domaines Maths '!H275=1,'Items sous domaines Maths '!F275,0)</f>
        <v>0</v>
      </c>
      <c r="G271">
        <f>IF('Items sous domaines Maths '!H275=1,'Items sous domaines Maths '!G275,0)</f>
        <v>0</v>
      </c>
    </row>
    <row r="272" spans="2:7" customFormat="1" ht="14.4" hidden="1" thickTop="1" thickBot="1" x14ac:dyDescent="0.3">
      <c r="B272">
        <f>IF('Items sous domaines Maths '!H276=1,'Items sous domaines Maths '!B276,0)</f>
        <v>0</v>
      </c>
      <c r="C272">
        <f>IF('Items sous domaines Maths '!H276=1,'Items sous domaines Maths '!C276,0)</f>
        <v>0</v>
      </c>
      <c r="D272">
        <f>IF('Items sous domaines Maths '!H276=1,'Items sous domaines Maths '!D276,0)</f>
        <v>0</v>
      </c>
      <c r="E272">
        <f>IF('Items sous domaines Maths '!H276=1,'Items sous domaines Maths '!E276,0)</f>
        <v>0</v>
      </c>
      <c r="F272">
        <f>IF('Items sous domaines Maths '!H276=1,'Items sous domaines Maths '!F276,0)</f>
        <v>0</v>
      </c>
      <c r="G272">
        <f>IF('Items sous domaines Maths '!H276=1,'Items sous domaines Maths '!G276,0)</f>
        <v>0</v>
      </c>
    </row>
    <row r="273" spans="1:9" customFormat="1" ht="14.4" hidden="1" thickTop="1" thickBot="1" x14ac:dyDescent="0.3">
      <c r="B273">
        <f>IF('Items sous domaines Maths '!H277=1,'Items sous domaines Maths '!B277,0)</f>
        <v>0</v>
      </c>
      <c r="C273">
        <f>IF('Items sous domaines Maths '!H277=1,'Items sous domaines Maths '!C277,0)</f>
        <v>0</v>
      </c>
      <c r="D273">
        <f>IF('Items sous domaines Maths '!H277=1,'Items sous domaines Maths '!D277,0)</f>
        <v>0</v>
      </c>
      <c r="E273">
        <f>IF('Items sous domaines Maths '!H277=1,'Items sous domaines Maths '!E277,0)</f>
        <v>0</v>
      </c>
      <c r="F273">
        <f>IF('Items sous domaines Maths '!H277=1,'Items sous domaines Maths '!F277,0)</f>
        <v>0</v>
      </c>
      <c r="G273">
        <f>IF('Items sous domaines Maths '!H277=1,'Items sous domaines Maths '!G277,0)</f>
        <v>0</v>
      </c>
    </row>
    <row r="274" spans="1:9" customFormat="1" ht="14.4" hidden="1" thickTop="1" thickBot="1" x14ac:dyDescent="0.3">
      <c r="B274">
        <f>IF('Items sous domaines Maths '!H278=1,'Items sous domaines Maths '!B278,0)</f>
        <v>0</v>
      </c>
      <c r="C274">
        <f>IF('Items sous domaines Maths '!H278=1,'Items sous domaines Maths '!C278,0)</f>
        <v>0</v>
      </c>
      <c r="D274">
        <f>IF('Items sous domaines Maths '!H278=1,'Items sous domaines Maths '!D278,0)</f>
        <v>0</v>
      </c>
      <c r="E274">
        <f>IF('Items sous domaines Maths '!H278=1,'Items sous domaines Maths '!E278,0)</f>
        <v>0</v>
      </c>
      <c r="F274">
        <f>IF('Items sous domaines Maths '!H278=1,'Items sous domaines Maths '!F278,0)</f>
        <v>0</v>
      </c>
      <c r="G274">
        <f>IF('Items sous domaines Maths '!H278=1,'Items sous domaines Maths '!G278,0)</f>
        <v>0</v>
      </c>
    </row>
    <row r="275" spans="1:9" customFormat="1" ht="14.4" hidden="1" thickTop="1" thickBot="1" x14ac:dyDescent="0.3">
      <c r="B275">
        <f>IF('Items sous domaines Maths '!H279=1,'Items sous domaines Maths '!B279,0)</f>
        <v>0</v>
      </c>
      <c r="C275">
        <f>IF('Items sous domaines Maths '!H279=1,'Items sous domaines Maths '!C279,0)</f>
        <v>0</v>
      </c>
      <c r="D275">
        <f>IF('Items sous domaines Maths '!H279=1,'Items sous domaines Maths '!D279,0)</f>
        <v>0</v>
      </c>
      <c r="E275">
        <f>IF('Items sous domaines Maths '!H279=1,'Items sous domaines Maths '!E279,0)</f>
        <v>0</v>
      </c>
      <c r="F275">
        <f>IF('Items sous domaines Maths '!H279=1,'Items sous domaines Maths '!F279,0)</f>
        <v>0</v>
      </c>
      <c r="G275">
        <f>IF('Items sous domaines Maths '!H279=1,'Items sous domaines Maths '!G279,0)</f>
        <v>0</v>
      </c>
    </row>
    <row r="276" spans="1:9" customFormat="1" ht="14.4" hidden="1" thickTop="1" thickBot="1" x14ac:dyDescent="0.3">
      <c r="B276">
        <f>IF('Items sous domaines Maths '!H280=1,'Items sous domaines Maths '!B280,0)</f>
        <v>0</v>
      </c>
      <c r="C276">
        <f>IF('Items sous domaines Maths '!H280=1,'Items sous domaines Maths '!C280,0)</f>
        <v>0</v>
      </c>
      <c r="D276">
        <f>IF('Items sous domaines Maths '!H280=1,'Items sous domaines Maths '!D280,0)</f>
        <v>0</v>
      </c>
      <c r="E276">
        <f>IF('Items sous domaines Maths '!H280=1,'Items sous domaines Maths '!E280,0)</f>
        <v>0</v>
      </c>
      <c r="F276">
        <f>IF('Items sous domaines Maths '!H280=1,'Items sous domaines Maths '!F280,0)</f>
        <v>0</v>
      </c>
      <c r="G276">
        <f>IF('Items sous domaines Maths '!H280=1,'Items sous domaines Maths '!G280,0)</f>
        <v>0</v>
      </c>
    </row>
    <row r="277" spans="1:9" customFormat="1" ht="14.4" hidden="1" thickTop="1" thickBot="1" x14ac:dyDescent="0.3">
      <c r="B277">
        <f>IF('Items sous domaines Maths '!H281=1,'Items sous domaines Maths '!B281,0)</f>
        <v>0</v>
      </c>
      <c r="C277">
        <f>IF('Items sous domaines Maths '!H281=1,'Items sous domaines Maths '!C281,0)</f>
        <v>0</v>
      </c>
      <c r="D277">
        <f>IF('Items sous domaines Maths '!H281=1,'Items sous domaines Maths '!D281,0)</f>
        <v>0</v>
      </c>
      <c r="E277">
        <f>IF('Items sous domaines Maths '!H281=1,'Items sous domaines Maths '!E281,0)</f>
        <v>0</v>
      </c>
      <c r="F277">
        <f>IF('Items sous domaines Maths '!H281=1,'Items sous domaines Maths '!F281,0)</f>
        <v>0</v>
      </c>
      <c r="G277">
        <f>IF('Items sous domaines Maths '!H281=1,'Items sous domaines Maths '!G281,0)</f>
        <v>0</v>
      </c>
    </row>
    <row r="278" spans="1:9" customFormat="1" ht="14.4" hidden="1" thickTop="1" thickBot="1" x14ac:dyDescent="0.3">
      <c r="B278">
        <f>IF('Items sous domaines Maths '!H282=1,'Items sous domaines Maths '!B282,0)</f>
        <v>0</v>
      </c>
      <c r="C278">
        <f>IF('Items sous domaines Maths '!H282=1,'Items sous domaines Maths '!C282,0)</f>
        <v>0</v>
      </c>
      <c r="D278">
        <f>IF('Items sous domaines Maths '!H282=1,'Items sous domaines Maths '!D282,0)</f>
        <v>0</v>
      </c>
      <c r="E278">
        <f>IF('Items sous domaines Maths '!H282=1,'Items sous domaines Maths '!E282,0)</f>
        <v>0</v>
      </c>
      <c r="F278">
        <f>IF('Items sous domaines Maths '!H282=1,'Items sous domaines Maths '!F282,0)</f>
        <v>0</v>
      </c>
      <c r="G278">
        <f>IF('Items sous domaines Maths '!H282=1,'Items sous domaines Maths '!G282,0)</f>
        <v>0</v>
      </c>
    </row>
    <row r="279" spans="1:9" ht="19.95" customHeight="1" thickTop="1" x14ac:dyDescent="0.25">
      <c r="A279" s="629" t="s">
        <v>521</v>
      </c>
      <c r="B279" s="210" t="str">
        <f>IF('Items sous domaines Maths '!H283=1,'Items sous domaines Maths '!B283,0)</f>
        <v>Analyse</v>
      </c>
      <c r="C279" s="211" t="str">
        <f>IF('Items sous domaines Maths '!H283=1,'Items sous domaines Maths '!C283,0)</f>
        <v>Les équations différentielles</v>
      </c>
      <c r="D279" s="211" t="str">
        <f>IF('Items sous domaines Maths '!H283=1,'Items sous domaines Maths '!D283,0)</f>
        <v>Équations différentielles linéaires du premier orde</v>
      </c>
      <c r="E279" s="211" t="str">
        <f>IF('Items sous domaines Maths '!H283=1,'Items sous domaines Maths '!E283,0)</f>
        <v>Généralités</v>
      </c>
      <c r="F279" s="212">
        <f>IF('Items sous domaines Maths '!H283=1,'Items sous domaines Maths '!F283,0)</f>
        <v>0</v>
      </c>
      <c r="G279" s="589" t="s">
        <v>450</v>
      </c>
      <c r="H279" s="577" t="s">
        <v>288</v>
      </c>
      <c r="I279" s="213"/>
    </row>
    <row r="280" spans="1:9" ht="19.95" customHeight="1" x14ac:dyDescent="0.25">
      <c r="A280" s="630"/>
      <c r="B280" s="127" t="str">
        <f>IF('Items sous domaines Maths '!H284=1,'Items sous domaines Maths '!B284,0)</f>
        <v>Analyse</v>
      </c>
      <c r="C280" s="128" t="str">
        <f>IF('Items sous domaines Maths '!H284=1,'Items sous domaines Maths '!C284,0)</f>
        <v>Les équations différentielles</v>
      </c>
      <c r="D280" s="128">
        <f>IF('Items sous domaines Maths '!H284=1,'Items sous domaines Maths '!D284,0)</f>
        <v>0</v>
      </c>
      <c r="E280" s="128" t="str">
        <f>IF('Items sous domaines Maths '!H284=1,'Items sous domaines Maths '!E284,0)</f>
        <v>Solutions de l’équation homogène</v>
      </c>
      <c r="F280" s="129">
        <f>IF('Items sous domaines Maths '!H284=1,'Items sous domaines Maths '!F284,0)</f>
        <v>0</v>
      </c>
      <c r="G280" s="590"/>
      <c r="H280" s="578"/>
      <c r="I280" s="214"/>
    </row>
    <row r="281" spans="1:9" ht="19.95" customHeight="1" x14ac:dyDescent="0.25">
      <c r="A281" s="630"/>
      <c r="B281" s="133" t="str">
        <f>IF('Items sous domaines Maths '!H285=1,'Items sous domaines Maths '!B285,0)</f>
        <v>Analyse</v>
      </c>
      <c r="C281" s="134" t="str">
        <f>IF('Items sous domaines Maths '!H285=1,'Items sous domaines Maths '!C285,0)</f>
        <v>Les équations différentielles</v>
      </c>
      <c r="D281" s="134">
        <f>IF('Items sous domaines Maths '!H285=1,'Items sous domaines Maths '!D285,0)</f>
        <v>0</v>
      </c>
      <c r="E281" s="134" t="str">
        <f>IF('Items sous domaines Maths '!H285=1,'Items sous domaines Maths '!E285,0)</f>
        <v xml:space="preserve">Solutions générales de l’équation avec second membre </v>
      </c>
      <c r="F281" s="135" t="str">
        <f>IF('Items sous domaines Maths '!H285=1,'Items sous domaines Maths '!F285,0)</f>
        <v>Solutions particulières de l’équation avec second membre.</v>
      </c>
      <c r="G281" s="590"/>
      <c r="H281" s="578"/>
      <c r="I281" s="214"/>
    </row>
    <row r="282" spans="1:9" ht="19.95" customHeight="1" x14ac:dyDescent="0.25">
      <c r="A282" s="630"/>
      <c r="B282" s="127" t="str">
        <f>IF('Items sous domaines Maths '!H286=1,'Items sous domaines Maths '!B286,0)</f>
        <v>Analyse</v>
      </c>
      <c r="C282" s="128" t="str">
        <f>IF('Items sous domaines Maths '!H286=1,'Items sous domaines Maths '!C286,0)</f>
        <v>Les équations différentielles</v>
      </c>
      <c r="D282" s="128">
        <f>IF('Items sous domaines Maths '!H286=1,'Items sous domaines Maths '!D286,0)</f>
        <v>0</v>
      </c>
      <c r="E282" s="128">
        <f>IF('Items sous domaines Maths '!H286=1,'Items sous domaines Maths '!E286,0)</f>
        <v>0</v>
      </c>
      <c r="F282" s="129" t="str">
        <f>IF('Items sous domaines Maths '!H286=1,'Items sous domaines Maths '!F286,0)</f>
        <v>Principe de superposition.</v>
      </c>
      <c r="G282" s="590"/>
      <c r="H282" s="578"/>
      <c r="I282" s="214"/>
    </row>
    <row r="283" spans="1:9" ht="19.95" customHeight="1" x14ac:dyDescent="0.25">
      <c r="A283" s="630"/>
      <c r="B283" s="133" t="str">
        <f>IF('Items sous domaines Maths '!H287=1,'Items sous domaines Maths '!B287,0)</f>
        <v>Analyse</v>
      </c>
      <c r="C283" s="134" t="str">
        <f>IF('Items sous domaines Maths '!H287=1,'Items sous domaines Maths '!C287,0)</f>
        <v>Les équations différentielles</v>
      </c>
      <c r="D283" s="134">
        <f>IF('Items sous domaines Maths '!H287=1,'Items sous domaines Maths '!D287,0)</f>
        <v>0</v>
      </c>
      <c r="E283" s="134">
        <f>IF('Items sous domaines Maths '!H287=1,'Items sous domaines Maths '!E287,0)</f>
        <v>0</v>
      </c>
      <c r="F283" s="135" t="str">
        <f>IF('Items sous domaines Maths '!H287=1,'Items sous domaines Maths '!F287,0)</f>
        <v>Équations de la forme y′ +a(x)y = p(x)</v>
      </c>
      <c r="G283" s="590"/>
      <c r="H283" s="578"/>
      <c r="I283" s="214"/>
    </row>
    <row r="284" spans="1:9" ht="19.95" customHeight="1" x14ac:dyDescent="0.25">
      <c r="A284" s="630"/>
      <c r="B284" s="127" t="str">
        <f>IF('Items sous domaines Maths '!H288=1,'Items sous domaines Maths '!B288,0)</f>
        <v>Analyse</v>
      </c>
      <c r="C284" s="128" t="str">
        <f>IF('Items sous domaines Maths '!H288=1,'Items sous domaines Maths '!C288,0)</f>
        <v>Les équations différentielles</v>
      </c>
      <c r="D284" s="128">
        <f>IF('Items sous domaines Maths '!H288=1,'Items sous domaines Maths '!D288,0)</f>
        <v>0</v>
      </c>
      <c r="E284" s="128">
        <f>IF('Items sous domaines Maths '!H288=1,'Items sous domaines Maths '!E288,0)</f>
        <v>0</v>
      </c>
      <c r="F284" s="129" t="str">
        <f>IF('Items sous domaines Maths '!H288=1,'Items sous domaines Maths '!F288,0)</f>
        <v>Équations de la forme y′ +ay = p(x)exp(αx)</v>
      </c>
      <c r="G284" s="590"/>
      <c r="H284" s="578"/>
      <c r="I284" s="214"/>
    </row>
    <row r="285" spans="1:9" ht="19.95" customHeight="1" x14ac:dyDescent="0.25">
      <c r="A285" s="630"/>
      <c r="B285" s="133" t="str">
        <f>IF('Items sous domaines Maths '!H289=1,'Items sous domaines Maths '!B289,0)</f>
        <v>Analyse</v>
      </c>
      <c r="C285" s="134" t="str">
        <f>IF('Items sous domaines Maths '!H289=1,'Items sous domaines Maths '!C289,0)</f>
        <v>Les équations différentielles</v>
      </c>
      <c r="D285" s="134">
        <f>IF('Items sous domaines Maths '!H289=1,'Items sous domaines Maths '!D289,0)</f>
        <v>0</v>
      </c>
      <c r="E285" s="134">
        <f>IF('Items sous domaines Maths '!H289=1,'Items sous domaines Maths '!E289,0)</f>
        <v>0</v>
      </c>
      <c r="F285" s="135" t="str">
        <f>IF('Items sous domaines Maths '!H289=1,'Items sous domaines Maths '!F289,0)</f>
        <v>Équations de la forme y′ +ay = bcos(ωx) +csin(ωx)</v>
      </c>
      <c r="G285" s="590"/>
      <c r="H285" s="578"/>
      <c r="I285" s="214"/>
    </row>
    <row r="286" spans="1:9" ht="19.95" customHeight="1" thickBot="1" x14ac:dyDescent="0.3">
      <c r="A286" s="631"/>
      <c r="B286" s="136" t="str">
        <f>IF('Items sous domaines Maths '!H290=1,'Items sous domaines Maths '!B290,0)</f>
        <v>Analyse</v>
      </c>
      <c r="C286" s="137" t="str">
        <f>IF('Items sous domaines Maths '!H290=1,'Items sous domaines Maths '!C290,0)</f>
        <v>Les équations différentielles</v>
      </c>
      <c r="D286" s="137">
        <f>IF('Items sous domaines Maths '!H290=1,'Items sous domaines Maths '!D290,0)</f>
        <v>0</v>
      </c>
      <c r="E286" s="137">
        <f>IF('Items sous domaines Maths '!H290=1,'Items sous domaines Maths '!E290,0)</f>
        <v>0</v>
      </c>
      <c r="F286" s="138" t="str">
        <f>IF('Items sous domaines Maths '!H290=1,'Items sous domaines Maths '!F290,0)</f>
        <v>Équations de la forme y′ +ay = p(x)(bcos(ω1x) +csin(ω2x))</v>
      </c>
      <c r="G286" s="591"/>
      <c r="H286" s="579"/>
      <c r="I286" s="218"/>
    </row>
    <row r="287" spans="1:9" customFormat="1" ht="17.399999999999999" hidden="1" customHeight="1" thickTop="1" x14ac:dyDescent="0.25">
      <c r="B287">
        <f>IF('Items sous domaines Maths '!H291=1,'Items sous domaines Maths '!B291,0)</f>
        <v>0</v>
      </c>
      <c r="C287">
        <f>IF('Items sous domaines Maths '!H291=1,'Items sous domaines Maths '!C291,0)</f>
        <v>0</v>
      </c>
      <c r="D287">
        <f>IF('Items sous domaines Maths '!H291=1,'Items sous domaines Maths '!D291,0)</f>
        <v>0</v>
      </c>
      <c r="E287">
        <f>IF('Items sous domaines Maths '!H291=1,'Items sous domaines Maths '!E291,0)</f>
        <v>0</v>
      </c>
      <c r="F287">
        <f>IF('Items sous domaines Maths '!H291=1,'Items sous domaines Maths '!F291,0)</f>
        <v>0</v>
      </c>
      <c r="G287">
        <f>IF('Items sous domaines Maths '!H291=1,'Items sous domaines Maths '!G291,0)</f>
        <v>0</v>
      </c>
    </row>
    <row r="288" spans="1:9" customFormat="1" ht="17.399999999999999" hidden="1" customHeight="1" x14ac:dyDescent="0.25">
      <c r="B288">
        <f>IF('Items sous domaines Maths '!H292=1,'Items sous domaines Maths '!B292,0)</f>
        <v>0</v>
      </c>
      <c r="C288">
        <f>IF('Items sous domaines Maths '!H292=1,'Items sous domaines Maths '!C292,0)</f>
        <v>0</v>
      </c>
      <c r="D288">
        <f>IF('Items sous domaines Maths '!H292=1,'Items sous domaines Maths '!D292,0)</f>
        <v>0</v>
      </c>
      <c r="E288">
        <f>IF('Items sous domaines Maths '!H292=1,'Items sous domaines Maths '!E292,0)</f>
        <v>0</v>
      </c>
      <c r="F288">
        <f>IF('Items sous domaines Maths '!H292=1,'Items sous domaines Maths '!F292,0)</f>
        <v>0</v>
      </c>
      <c r="G288">
        <f>IF('Items sous domaines Maths '!H292=1,'Items sous domaines Maths '!G292,0)</f>
        <v>0</v>
      </c>
    </row>
    <row r="289" spans="2:7" customFormat="1" ht="17.399999999999999" hidden="1" customHeight="1" x14ac:dyDescent="0.25">
      <c r="B289">
        <f>IF('Items sous domaines Maths '!H293=1,'Items sous domaines Maths '!B293,0)</f>
        <v>0</v>
      </c>
      <c r="C289">
        <f>IF('Items sous domaines Maths '!H293=1,'Items sous domaines Maths '!C293,0)</f>
        <v>0</v>
      </c>
      <c r="D289">
        <f>IF('Items sous domaines Maths '!H293=1,'Items sous domaines Maths '!D293,0)</f>
        <v>0</v>
      </c>
      <c r="E289">
        <f>IF('Items sous domaines Maths '!H293=1,'Items sous domaines Maths '!E293,0)</f>
        <v>0</v>
      </c>
      <c r="F289">
        <f>IF('Items sous domaines Maths '!H293=1,'Items sous domaines Maths '!F293,0)</f>
        <v>0</v>
      </c>
      <c r="G289">
        <f>IF('Items sous domaines Maths '!H293=1,'Items sous domaines Maths '!G293,0)</f>
        <v>0</v>
      </c>
    </row>
    <row r="290" spans="2:7" customFormat="1" ht="17.399999999999999" hidden="1" customHeight="1" x14ac:dyDescent="0.25">
      <c r="B290">
        <f>IF('Items sous domaines Maths '!H294=1,'Items sous domaines Maths '!B294,0)</f>
        <v>0</v>
      </c>
      <c r="C290">
        <f>IF('Items sous domaines Maths '!H294=1,'Items sous domaines Maths '!C294,0)</f>
        <v>0</v>
      </c>
      <c r="D290">
        <f>IF('Items sous domaines Maths '!H294=1,'Items sous domaines Maths '!D294,0)</f>
        <v>0</v>
      </c>
      <c r="E290">
        <f>IF('Items sous domaines Maths '!H294=1,'Items sous domaines Maths '!E294,0)</f>
        <v>0</v>
      </c>
      <c r="F290">
        <f>IF('Items sous domaines Maths '!H294=1,'Items sous domaines Maths '!F294,0)</f>
        <v>0</v>
      </c>
      <c r="G290">
        <f>IF('Items sous domaines Maths '!H294=1,'Items sous domaines Maths '!G294,0)</f>
        <v>0</v>
      </c>
    </row>
    <row r="291" spans="2:7" customFormat="1" ht="17.399999999999999" hidden="1" customHeight="1" x14ac:dyDescent="0.25">
      <c r="B291">
        <f>IF('Items sous domaines Maths '!H295=1,'Items sous domaines Maths '!B295,0)</f>
        <v>0</v>
      </c>
      <c r="C291">
        <f>IF('Items sous domaines Maths '!H295=1,'Items sous domaines Maths '!C295,0)</f>
        <v>0</v>
      </c>
      <c r="D291">
        <f>IF('Items sous domaines Maths '!H295=1,'Items sous domaines Maths '!D295,0)</f>
        <v>0</v>
      </c>
      <c r="E291">
        <f>IF('Items sous domaines Maths '!H295=1,'Items sous domaines Maths '!E295,0)</f>
        <v>0</v>
      </c>
      <c r="F291">
        <f>IF('Items sous domaines Maths '!H295=1,'Items sous domaines Maths '!F295,0)</f>
        <v>0</v>
      </c>
      <c r="G291">
        <f>IF('Items sous domaines Maths '!H295=1,'Items sous domaines Maths '!G295,0)</f>
        <v>0</v>
      </c>
    </row>
    <row r="292" spans="2:7" customFormat="1" ht="17.399999999999999" hidden="1" customHeight="1" x14ac:dyDescent="0.25">
      <c r="B292">
        <f>IF('Items sous domaines Maths '!H296=1,'Items sous domaines Maths '!B296,0)</f>
        <v>0</v>
      </c>
      <c r="C292">
        <f>IF('Items sous domaines Maths '!H296=1,'Items sous domaines Maths '!C296,0)</f>
        <v>0</v>
      </c>
      <c r="D292">
        <f>IF('Items sous domaines Maths '!H296=1,'Items sous domaines Maths '!D296,0)</f>
        <v>0</v>
      </c>
      <c r="E292">
        <f>IF('Items sous domaines Maths '!H296=1,'Items sous domaines Maths '!E296,0)</f>
        <v>0</v>
      </c>
      <c r="F292">
        <f>IF('Items sous domaines Maths '!H296=1,'Items sous domaines Maths '!F296,0)</f>
        <v>0</v>
      </c>
      <c r="G292">
        <f>IF('Items sous domaines Maths '!H296=1,'Items sous domaines Maths '!G296,0)</f>
        <v>0</v>
      </c>
    </row>
    <row r="293" spans="2:7" customFormat="1" ht="17.399999999999999" hidden="1" customHeight="1" x14ac:dyDescent="0.25">
      <c r="B293">
        <f>IF('Items sous domaines Maths '!H297=1,'Items sous domaines Maths '!B297,0)</f>
        <v>0</v>
      </c>
      <c r="C293">
        <f>IF('Items sous domaines Maths '!H297=1,'Items sous domaines Maths '!C297,0)</f>
        <v>0</v>
      </c>
      <c r="D293">
        <f>IF('Items sous domaines Maths '!H297=1,'Items sous domaines Maths '!D297,0)</f>
        <v>0</v>
      </c>
      <c r="E293">
        <f>IF('Items sous domaines Maths '!H297=1,'Items sous domaines Maths '!E297,0)</f>
        <v>0</v>
      </c>
      <c r="F293">
        <f>IF('Items sous domaines Maths '!H297=1,'Items sous domaines Maths '!F297,0)</f>
        <v>0</v>
      </c>
      <c r="G293">
        <f>IF('Items sous domaines Maths '!H297=1,'Items sous domaines Maths '!G297,0)</f>
        <v>0</v>
      </c>
    </row>
    <row r="294" spans="2:7" customFormat="1" ht="17.399999999999999" hidden="1" customHeight="1" x14ac:dyDescent="0.25">
      <c r="B294">
        <f>IF('Items sous domaines Maths '!H298=1,'Items sous domaines Maths '!B298,0)</f>
        <v>0</v>
      </c>
      <c r="C294">
        <f>IF('Items sous domaines Maths '!H298=1,'Items sous domaines Maths '!C298,0)</f>
        <v>0</v>
      </c>
      <c r="D294">
        <f>IF('Items sous domaines Maths '!H298=1,'Items sous domaines Maths '!D298,0)</f>
        <v>0</v>
      </c>
      <c r="E294">
        <f>IF('Items sous domaines Maths '!H298=1,'Items sous domaines Maths '!E298,0)</f>
        <v>0</v>
      </c>
      <c r="F294">
        <f>IF('Items sous domaines Maths '!H298=1,'Items sous domaines Maths '!F298,0)</f>
        <v>0</v>
      </c>
      <c r="G294">
        <f>IF('Items sous domaines Maths '!H298=1,'Items sous domaines Maths '!G298,0)</f>
        <v>0</v>
      </c>
    </row>
    <row r="295" spans="2:7" customFormat="1" ht="17.399999999999999" hidden="1" customHeight="1" x14ac:dyDescent="0.25">
      <c r="B295">
        <f>IF('Items sous domaines Maths '!H299=1,'Items sous domaines Maths '!B299,0)</f>
        <v>0</v>
      </c>
      <c r="C295">
        <f>IF('Items sous domaines Maths '!H299=1,'Items sous domaines Maths '!C299,0)</f>
        <v>0</v>
      </c>
      <c r="D295">
        <f>IF('Items sous domaines Maths '!H299=1,'Items sous domaines Maths '!D299,0)</f>
        <v>0</v>
      </c>
      <c r="E295">
        <f>IF('Items sous domaines Maths '!H299=1,'Items sous domaines Maths '!E299,0)</f>
        <v>0</v>
      </c>
      <c r="F295">
        <f>IF('Items sous domaines Maths '!H299=1,'Items sous domaines Maths '!F299,0)</f>
        <v>0</v>
      </c>
      <c r="G295">
        <f>IF('Items sous domaines Maths '!H299=1,'Items sous domaines Maths '!G299,0)</f>
        <v>0</v>
      </c>
    </row>
    <row r="296" spans="2:7" customFormat="1" ht="17.399999999999999" hidden="1" customHeight="1" x14ac:dyDescent="0.25">
      <c r="B296">
        <f>IF('Items sous domaines Maths '!H300=1,'Items sous domaines Maths '!B300,0)</f>
        <v>0</v>
      </c>
      <c r="C296">
        <f>IF('Items sous domaines Maths '!H300=1,'Items sous domaines Maths '!C300,0)</f>
        <v>0</v>
      </c>
      <c r="D296">
        <f>IF('Items sous domaines Maths '!H300=1,'Items sous domaines Maths '!D300,0)</f>
        <v>0</v>
      </c>
      <c r="E296">
        <f>IF('Items sous domaines Maths '!H300=1,'Items sous domaines Maths '!E300,0)</f>
        <v>0</v>
      </c>
      <c r="F296">
        <f>IF('Items sous domaines Maths '!H300=1,'Items sous domaines Maths '!F300,0)</f>
        <v>0</v>
      </c>
      <c r="G296">
        <f>IF('Items sous domaines Maths '!H300=1,'Items sous domaines Maths '!G300,0)</f>
        <v>0</v>
      </c>
    </row>
    <row r="297" spans="2:7" customFormat="1" ht="17.399999999999999" hidden="1" customHeight="1" x14ac:dyDescent="0.25">
      <c r="B297">
        <f>IF('Items sous domaines Maths '!H301=1,'Items sous domaines Maths '!B301,0)</f>
        <v>0</v>
      </c>
      <c r="C297">
        <f>IF('Items sous domaines Maths '!H301=1,'Items sous domaines Maths '!C301,0)</f>
        <v>0</v>
      </c>
      <c r="D297">
        <f>IF('Items sous domaines Maths '!H301=1,'Items sous domaines Maths '!D301,0)</f>
        <v>0</v>
      </c>
      <c r="E297">
        <f>IF('Items sous domaines Maths '!H301=1,'Items sous domaines Maths '!E301,0)</f>
        <v>0</v>
      </c>
      <c r="F297">
        <f>IF('Items sous domaines Maths '!H301=1,'Items sous domaines Maths '!F301,0)</f>
        <v>0</v>
      </c>
      <c r="G297">
        <f>IF('Items sous domaines Maths '!H301=1,'Items sous domaines Maths '!G301,0)</f>
        <v>0</v>
      </c>
    </row>
    <row r="298" spans="2:7" customFormat="1" ht="17.399999999999999" hidden="1" customHeight="1" x14ac:dyDescent="0.25">
      <c r="B298">
        <f>IF('Items sous domaines Maths '!H302=1,'Items sous domaines Maths '!B302,0)</f>
        <v>0</v>
      </c>
      <c r="C298">
        <f>IF('Items sous domaines Maths '!H302=1,'Items sous domaines Maths '!C302,0)</f>
        <v>0</v>
      </c>
      <c r="D298">
        <f>IF('Items sous domaines Maths '!H302=1,'Items sous domaines Maths '!D302,0)</f>
        <v>0</v>
      </c>
      <c r="E298">
        <f>IF('Items sous domaines Maths '!H302=1,'Items sous domaines Maths '!E302,0)</f>
        <v>0</v>
      </c>
      <c r="F298">
        <f>IF('Items sous domaines Maths '!H302=1,'Items sous domaines Maths '!F302,0)</f>
        <v>0</v>
      </c>
      <c r="G298">
        <f>IF('Items sous domaines Maths '!H302=1,'Items sous domaines Maths '!G302,0)</f>
        <v>0</v>
      </c>
    </row>
    <row r="299" spans="2:7" customFormat="1" ht="17.399999999999999" hidden="1" customHeight="1" x14ac:dyDescent="0.25">
      <c r="B299">
        <f>IF('Items sous domaines Maths '!H303=1,'Items sous domaines Maths '!B303,0)</f>
        <v>0</v>
      </c>
      <c r="C299">
        <f>IF('Items sous domaines Maths '!H303=1,'Items sous domaines Maths '!C303,0)</f>
        <v>0</v>
      </c>
      <c r="D299">
        <f>IF('Items sous domaines Maths '!H303=1,'Items sous domaines Maths '!D303,0)</f>
        <v>0</v>
      </c>
      <c r="E299">
        <f>IF('Items sous domaines Maths '!H303=1,'Items sous domaines Maths '!E303,0)</f>
        <v>0</v>
      </c>
      <c r="F299">
        <f>IF('Items sous domaines Maths '!H303=1,'Items sous domaines Maths '!F303,0)</f>
        <v>0</v>
      </c>
      <c r="G299">
        <f>IF('Items sous domaines Maths '!H303=1,'Items sous domaines Maths '!G303,0)</f>
        <v>0</v>
      </c>
    </row>
    <row r="300" spans="2:7" customFormat="1" ht="17.399999999999999" hidden="1" customHeight="1" x14ac:dyDescent="0.25">
      <c r="B300">
        <f>IF('Items sous domaines Maths '!H304=1,'Items sous domaines Maths '!B304,0)</f>
        <v>0</v>
      </c>
      <c r="C300">
        <f>IF('Items sous domaines Maths '!H304=1,'Items sous domaines Maths '!C304,0)</f>
        <v>0</v>
      </c>
      <c r="D300">
        <f>IF('Items sous domaines Maths '!H304=1,'Items sous domaines Maths '!D304,0)</f>
        <v>0</v>
      </c>
      <c r="E300">
        <f>IF('Items sous domaines Maths '!H304=1,'Items sous domaines Maths '!E304,0)</f>
        <v>0</v>
      </c>
      <c r="F300">
        <f>IF('Items sous domaines Maths '!H304=1,'Items sous domaines Maths '!F304,0)</f>
        <v>0</v>
      </c>
      <c r="G300">
        <f>IF('Items sous domaines Maths '!H304=1,'Items sous domaines Maths '!G304,0)</f>
        <v>0</v>
      </c>
    </row>
    <row r="301" spans="2:7" customFormat="1" ht="17.399999999999999" hidden="1" customHeight="1" x14ac:dyDescent="0.25">
      <c r="B301">
        <f>IF('Items sous domaines Maths '!H305=1,'Items sous domaines Maths '!B305,0)</f>
        <v>0</v>
      </c>
      <c r="C301">
        <f>IF('Items sous domaines Maths '!H305=1,'Items sous domaines Maths '!C305,0)</f>
        <v>0</v>
      </c>
      <c r="D301">
        <f>IF('Items sous domaines Maths '!H305=1,'Items sous domaines Maths '!D305,0)</f>
        <v>0</v>
      </c>
      <c r="E301">
        <f>IF('Items sous domaines Maths '!H305=1,'Items sous domaines Maths '!E305,0)</f>
        <v>0</v>
      </c>
      <c r="F301">
        <f>IF('Items sous domaines Maths '!H305=1,'Items sous domaines Maths '!F305,0)</f>
        <v>0</v>
      </c>
      <c r="G301">
        <f>IF('Items sous domaines Maths '!H305=1,'Items sous domaines Maths '!G305,0)</f>
        <v>0</v>
      </c>
    </row>
    <row r="302" spans="2:7" customFormat="1" ht="17.399999999999999" hidden="1" customHeight="1" x14ac:dyDescent="0.25">
      <c r="B302">
        <f>IF('Items sous domaines Maths '!H306=1,'Items sous domaines Maths '!B306,0)</f>
        <v>0</v>
      </c>
      <c r="C302">
        <f>IF('Items sous domaines Maths '!H306=1,'Items sous domaines Maths '!C306,0)</f>
        <v>0</v>
      </c>
      <c r="D302">
        <f>IF('Items sous domaines Maths '!H306=1,'Items sous domaines Maths '!D306,0)</f>
        <v>0</v>
      </c>
      <c r="E302">
        <f>IF('Items sous domaines Maths '!H306=1,'Items sous domaines Maths '!E306,0)</f>
        <v>0</v>
      </c>
      <c r="F302">
        <f>IF('Items sous domaines Maths '!H306=1,'Items sous domaines Maths '!F306,0)</f>
        <v>0</v>
      </c>
      <c r="G302">
        <f>IF('Items sous domaines Maths '!H306=1,'Items sous domaines Maths '!G306,0)</f>
        <v>0</v>
      </c>
    </row>
    <row r="303" spans="2:7" customFormat="1" ht="17.399999999999999" hidden="1" customHeight="1" x14ac:dyDescent="0.25">
      <c r="B303">
        <f>IF('Items sous domaines Maths '!H307=1,'Items sous domaines Maths '!B307,0)</f>
        <v>0</v>
      </c>
      <c r="C303">
        <f>IF('Items sous domaines Maths '!H307=1,'Items sous domaines Maths '!C307,0)</f>
        <v>0</v>
      </c>
      <c r="D303">
        <f>IF('Items sous domaines Maths '!H307=1,'Items sous domaines Maths '!D307,0)</f>
        <v>0</v>
      </c>
      <c r="E303">
        <f>IF('Items sous domaines Maths '!H307=1,'Items sous domaines Maths '!E307,0)</f>
        <v>0</v>
      </c>
      <c r="F303">
        <f>IF('Items sous domaines Maths '!H307=1,'Items sous domaines Maths '!F307,0)</f>
        <v>0</v>
      </c>
      <c r="G303">
        <f>IF('Items sous domaines Maths '!H307=1,'Items sous domaines Maths '!G307,0)</f>
        <v>0</v>
      </c>
    </row>
    <row r="304" spans="2:7" customFormat="1" ht="14.4" hidden="1" thickTop="1" thickBot="1" x14ac:dyDescent="0.3">
      <c r="B304">
        <f>IF('Items sous domaines Maths '!H308=1,'Items sous domaines Maths '!B308,0)</f>
        <v>0</v>
      </c>
      <c r="C304">
        <f>IF('Items sous domaines Maths '!H308=1,'Items sous domaines Maths '!C308,0)</f>
        <v>0</v>
      </c>
      <c r="D304">
        <f>IF('Items sous domaines Maths '!H308=1,'Items sous domaines Maths '!D308,0)</f>
        <v>0</v>
      </c>
      <c r="E304">
        <f>IF('Items sous domaines Maths '!H308=1,'Items sous domaines Maths '!E308,0)</f>
        <v>0</v>
      </c>
      <c r="F304">
        <f>IF('Items sous domaines Maths '!H308=1,'Items sous domaines Maths '!F308,0)</f>
        <v>0</v>
      </c>
      <c r="G304">
        <f>IF('Items sous domaines Maths '!H308=1,'Items sous domaines Maths '!G308,0)</f>
        <v>0</v>
      </c>
    </row>
    <row r="305" spans="1:9" customFormat="1" ht="14.4" hidden="1" thickTop="1" thickBot="1" x14ac:dyDescent="0.3">
      <c r="B305">
        <f>IF('Items sous domaines Maths '!H312=1,'Items sous domaines Maths '!B312,0)</f>
        <v>0</v>
      </c>
      <c r="C305">
        <f>IF('Items sous domaines Maths '!H312=1,'Items sous domaines Maths '!C312,0)</f>
        <v>0</v>
      </c>
      <c r="D305">
        <f>IF('Items sous domaines Maths '!H312=1,'Items sous domaines Maths '!D312,0)</f>
        <v>0</v>
      </c>
      <c r="E305">
        <f>IF('Items sous domaines Maths '!H312=1,'Items sous domaines Maths '!E312,0)</f>
        <v>0</v>
      </c>
      <c r="F305">
        <f>IF('Items sous domaines Maths '!H312=1,'Items sous domaines Maths '!F312,0)</f>
        <v>0</v>
      </c>
      <c r="G305">
        <f>IF('Items sous domaines Maths '!H312=1,'Items sous domaines Maths '!G312,0)</f>
        <v>0</v>
      </c>
    </row>
    <row r="306" spans="1:9" customFormat="1" ht="14.4" hidden="1" thickTop="1" thickBot="1" x14ac:dyDescent="0.3">
      <c r="B306">
        <f>IF('Items sous domaines Maths '!H313=1,'Items sous domaines Maths '!B313,0)</f>
        <v>0</v>
      </c>
      <c r="C306">
        <f>IF('Items sous domaines Maths '!H313=1,'Items sous domaines Maths '!C313,0)</f>
        <v>0</v>
      </c>
      <c r="D306">
        <f>IF('Items sous domaines Maths '!H313=1,'Items sous domaines Maths '!D313,0)</f>
        <v>0</v>
      </c>
      <c r="E306">
        <f>IF('Items sous domaines Maths '!H313=1,'Items sous domaines Maths '!E313,0)</f>
        <v>0</v>
      </c>
      <c r="F306">
        <f>IF('Items sous domaines Maths '!H313=1,'Items sous domaines Maths '!F313,0)</f>
        <v>0</v>
      </c>
      <c r="G306">
        <f>IF('Items sous domaines Maths '!H313=1,'Items sous domaines Maths '!G313,0)</f>
        <v>0</v>
      </c>
    </row>
    <row r="307" spans="1:9" ht="19.95" customHeight="1" thickTop="1" x14ac:dyDescent="0.25">
      <c r="A307" s="629" t="s">
        <v>522</v>
      </c>
      <c r="B307" s="210" t="str">
        <f>IF('Items sous domaines Maths '!H314=1,'Items sous domaines Maths '!B314,0)</f>
        <v>Analyse</v>
      </c>
      <c r="C307" s="211" t="str">
        <f>IF('Items sous domaines Maths '!H314=1,'Items sous domaines Maths '!C314,0)</f>
        <v>Suites</v>
      </c>
      <c r="D307" s="211" t="str">
        <f>IF('Items sous domaines Maths '!H314=1,'Items sous domaines Maths '!D314,0)</f>
        <v>Géneralités</v>
      </c>
      <c r="E307" s="211" t="str">
        <f>IF('Items sous domaines Maths '!H314=1,'Items sous domaines Maths '!E314,0)</f>
        <v>Mode de génération d'une suite : explicite ou récurrente</v>
      </c>
      <c r="F307" s="212">
        <f>IF('Items sous domaines Maths '!H314=1,'Items sous domaines Maths '!F314,0)</f>
        <v>0</v>
      </c>
      <c r="G307" s="589" t="s">
        <v>446</v>
      </c>
      <c r="H307" s="577" t="s">
        <v>312</v>
      </c>
      <c r="I307" s="232" t="s">
        <v>22</v>
      </c>
    </row>
    <row r="308" spans="1:9" ht="19.95" customHeight="1" x14ac:dyDescent="0.25">
      <c r="A308" s="630"/>
      <c r="B308" s="127" t="str">
        <f>IF('Items sous domaines Maths '!H315=1,'Items sous domaines Maths '!B315,0)</f>
        <v>Analyse</v>
      </c>
      <c r="C308" s="128" t="str">
        <f>IF('Items sous domaines Maths '!H315=1,'Items sous domaines Maths '!C315,0)</f>
        <v>Suites</v>
      </c>
      <c r="D308" s="128">
        <f>IF('Items sous domaines Maths '!H315=1,'Items sous domaines Maths '!D315,0)</f>
        <v>0</v>
      </c>
      <c r="E308" s="128" t="str">
        <f>IF('Items sous domaines Maths '!H315=1,'Items sous domaines Maths '!E315,0)</f>
        <v>Variations d'une suite</v>
      </c>
      <c r="F308" s="129" t="str">
        <f>IF('Items sous domaines Maths '!H315=1,'Items sous domaines Maths '!F315,0)</f>
        <v>Méthode un+1-Un, Un+1/Un, Un+1=f(Un)</v>
      </c>
      <c r="G308" s="590"/>
      <c r="H308" s="578"/>
      <c r="I308" s="214"/>
    </row>
    <row r="309" spans="1:9" ht="19.95" customHeight="1" x14ac:dyDescent="0.25">
      <c r="A309" s="630"/>
      <c r="B309" s="133" t="str">
        <f>IF('Items sous domaines Maths '!H316=1,'Items sous domaines Maths '!B316,0)</f>
        <v>Analyse</v>
      </c>
      <c r="C309" s="134" t="str">
        <f>IF('Items sous domaines Maths '!H316=1,'Items sous domaines Maths '!C316,0)</f>
        <v>Suites</v>
      </c>
      <c r="D309" s="134">
        <f>IF('Items sous domaines Maths '!H316=1,'Items sous domaines Maths '!D316,0)</f>
        <v>0</v>
      </c>
      <c r="E309" s="134" t="str">
        <f>IF('Items sous domaines Maths '!H316=1,'Items sous domaines Maths '!E316,0)</f>
        <v xml:space="preserve">Suites majorées, minorées, bormées </v>
      </c>
      <c r="F309" s="135">
        <f>IF('Items sous domaines Maths '!H316=1,'Items sous domaines Maths '!F316,0)</f>
        <v>0</v>
      </c>
      <c r="G309" s="590"/>
      <c r="H309" s="578"/>
      <c r="I309" s="214"/>
    </row>
    <row r="310" spans="1:9" ht="19.95" customHeight="1" x14ac:dyDescent="0.25">
      <c r="A310" s="630"/>
      <c r="B310" s="127" t="str">
        <f>IF('Items sous domaines Maths '!H317=1,'Items sous domaines Maths '!B317,0)</f>
        <v>Analyse</v>
      </c>
      <c r="C310" s="128" t="str">
        <f>IF('Items sous domaines Maths '!H317=1,'Items sous domaines Maths '!C317,0)</f>
        <v>Suites</v>
      </c>
      <c r="D310" s="128">
        <f>IF('Items sous domaines Maths '!H317=1,'Items sous domaines Maths '!D317,0)</f>
        <v>0</v>
      </c>
      <c r="E310" s="128" t="str">
        <f>IF('Items sous domaines Maths '!H317=1,'Items sous domaines Maths '!E317,0)</f>
        <v>Convergence d'une suite</v>
      </c>
      <c r="F310" s="129" t="str">
        <f>IF('Items sous domaines Maths '!H317=1,'Items sous domaines Maths '!F317,0)</f>
        <v>Convergence des suites majorées, calculs de limites, point fixe</v>
      </c>
      <c r="G310" s="590"/>
      <c r="H310" s="578"/>
      <c r="I310" s="214"/>
    </row>
    <row r="311" spans="1:9" ht="19.95" customHeight="1" x14ac:dyDescent="0.25">
      <c r="A311" s="630"/>
      <c r="B311" s="133" t="str">
        <f>IF('Items sous domaines Maths '!H318=1,'Items sous domaines Maths '!B318,0)</f>
        <v>Analyse</v>
      </c>
      <c r="C311" s="134" t="str">
        <f>IF('Items sous domaines Maths '!H318=1,'Items sous domaines Maths '!C318,0)</f>
        <v>Suites</v>
      </c>
      <c r="D311" s="134">
        <f>IF('Items sous domaines Maths '!H318=1,'Items sous domaines Maths '!D318,0)</f>
        <v>0</v>
      </c>
      <c r="E311" s="134" t="str">
        <f>IF('Items sous domaines Maths '!H318=1,'Items sous domaines Maths '!E318,0)</f>
        <v>Représentation graphique des suites</v>
      </c>
      <c r="F311" s="135" t="str">
        <f>IF('Items sous domaines Maths '!H318=1,'Items sous domaines Maths '!F318,0)</f>
        <v>Point fixe</v>
      </c>
      <c r="G311" s="590"/>
      <c r="H311" s="578"/>
      <c r="I311" s="214"/>
    </row>
    <row r="312" spans="1:9" ht="19.95" customHeight="1" x14ac:dyDescent="0.25">
      <c r="A312" s="630"/>
      <c r="B312" s="127" t="str">
        <f>IF('Items sous domaines Maths '!H319=1,'Items sous domaines Maths '!B319,0)</f>
        <v>Analyse</v>
      </c>
      <c r="C312" s="128" t="str">
        <f>IF('Items sous domaines Maths '!H319=1,'Items sous domaines Maths '!C319,0)</f>
        <v>Suites</v>
      </c>
      <c r="D312" s="128" t="str">
        <f>IF('Items sous domaines Maths '!H319=1,'Items sous domaines Maths '!D319,0)</f>
        <v>Sutes de référence</v>
      </c>
      <c r="E312" s="128" t="str">
        <f>IF('Items sous domaines Maths '!H319=1,'Items sous domaines Maths '!E319,0)</f>
        <v>Suites Arithmétiques</v>
      </c>
      <c r="F312" s="129" t="str">
        <f>IF('Items sous domaines Maths '!H319=1,'Items sous domaines Maths '!F319,0)</f>
        <v>Définition, terme géberal, somme des termes consécutifs</v>
      </c>
      <c r="G312" s="590"/>
      <c r="H312" s="578"/>
      <c r="I312" s="214"/>
    </row>
    <row r="313" spans="1:9" ht="19.95" customHeight="1" x14ac:dyDescent="0.25">
      <c r="A313" s="630"/>
      <c r="B313" s="133" t="str">
        <f>IF('Items sous domaines Maths '!H320=1,'Items sous domaines Maths '!B320,0)</f>
        <v>Analyse</v>
      </c>
      <c r="C313" s="134" t="str">
        <f>IF('Items sous domaines Maths '!H320=1,'Items sous domaines Maths '!C320,0)</f>
        <v>Suites</v>
      </c>
      <c r="D313" s="134">
        <f>IF('Items sous domaines Maths '!H320=1,'Items sous domaines Maths '!D320,0)</f>
        <v>0</v>
      </c>
      <c r="E313" s="134" t="str">
        <f>IF('Items sous domaines Maths '!H320=1,'Items sous domaines Maths '!E320,0)</f>
        <v>Suites Géometriques</v>
      </c>
      <c r="F313" s="135" t="str">
        <f>IF('Items sous domaines Maths '!H320=1,'Items sous domaines Maths '!F320,0)</f>
        <v>Définition, terme géberal, somme des termes consécutifs</v>
      </c>
      <c r="G313" s="590"/>
      <c r="H313" s="578"/>
      <c r="I313" s="214"/>
    </row>
    <row r="314" spans="1:9" ht="19.95" customHeight="1" x14ac:dyDescent="0.25">
      <c r="A314" s="630"/>
      <c r="B314" s="127" t="str">
        <f>IF('Items sous domaines Maths '!H321=1,'Items sous domaines Maths '!B321,0)</f>
        <v>Analyse</v>
      </c>
      <c r="C314" s="128" t="str">
        <f>IF('Items sous domaines Maths '!H321=1,'Items sous domaines Maths '!C321,0)</f>
        <v>Suites</v>
      </c>
      <c r="D314" s="128">
        <f>IF('Items sous domaines Maths '!H321=1,'Items sous domaines Maths '!D321,0)</f>
        <v>0</v>
      </c>
      <c r="E314" s="128" t="str">
        <f>IF('Items sous domaines Maths '!H321=1,'Items sous domaines Maths '!E321,0)</f>
        <v>Suites arithmético-géométriques</v>
      </c>
      <c r="F314" s="129">
        <f>IF('Items sous domaines Maths '!H321=1,'Items sous domaines Maths '!F321,0)</f>
        <v>0</v>
      </c>
      <c r="G314" s="590"/>
      <c r="H314" s="578"/>
      <c r="I314" s="214"/>
    </row>
    <row r="315" spans="1:9" ht="19.95" customHeight="1" x14ac:dyDescent="0.25">
      <c r="A315" s="630"/>
      <c r="B315" s="133" t="str">
        <f>IF('Items sous domaines Maths '!H322=1,'Items sous domaines Maths '!B322,0)</f>
        <v>Analyse</v>
      </c>
      <c r="C315" s="134" t="str">
        <f>IF('Items sous domaines Maths '!H322=1,'Items sous domaines Maths '!C322,0)</f>
        <v>Suites</v>
      </c>
      <c r="D315" s="134" t="str">
        <f>IF('Items sous domaines Maths '!H322=1,'Items sous domaines Maths '!D322,0)</f>
        <v>Methodes d'étude de suites</v>
      </c>
      <c r="E315" s="134" t="str">
        <f>IF('Items sous domaines Maths '!H322=1,'Items sous domaines Maths '!E322,0)</f>
        <v>Représentation graphique, conjecture, démonstration / récurrence</v>
      </c>
      <c r="F315" s="135">
        <f>IF('Items sous domaines Maths '!H322=1,'Items sous domaines Maths '!F322,0)</f>
        <v>0</v>
      </c>
      <c r="G315" s="590"/>
      <c r="H315" s="578"/>
      <c r="I315" s="214"/>
    </row>
    <row r="316" spans="1:9" ht="19.95" customHeight="1" x14ac:dyDescent="0.25">
      <c r="A316" s="630"/>
      <c r="B316" s="127" t="str">
        <f>IF('Items sous domaines Maths '!H323=1,'Items sous domaines Maths '!B323,0)</f>
        <v>Analyse</v>
      </c>
      <c r="C316" s="128" t="str">
        <f>IF('Items sous domaines Maths '!H323=1,'Items sous domaines Maths '!C323,0)</f>
        <v>Suites</v>
      </c>
      <c r="D316" s="128">
        <f>IF('Items sous domaines Maths '!H323=1,'Items sous domaines Maths '!D323,0)</f>
        <v>0</v>
      </c>
      <c r="E316" s="128" t="str">
        <f>IF('Items sous domaines Maths '!H323=1,'Items sous domaines Maths '!E323,0)</f>
        <v>Sommes partielles et convergence des sommes partielles</v>
      </c>
      <c r="F316" s="129" t="str">
        <f>IF('Items sous domaines Maths '!H323=1,'Items sous domaines Maths '!F323,0)</f>
        <v>S(n+1) - S(n) = u(n+1) =&gt; la série converge seulement si u -&gt; 0</v>
      </c>
      <c r="G316" s="590"/>
      <c r="H316" s="578"/>
      <c r="I316" s="214"/>
    </row>
    <row r="317" spans="1:9" ht="19.95" customHeight="1" thickBot="1" x14ac:dyDescent="0.3">
      <c r="A317" s="631"/>
      <c r="B317" s="130" t="str">
        <f>IF('Items sous domaines Maths '!H324=1,'Items sous domaines Maths '!B324,0)</f>
        <v>Analyse</v>
      </c>
      <c r="C317" s="131" t="str">
        <f>IF('Items sous domaines Maths '!H324=1,'Items sous domaines Maths '!C324,0)</f>
        <v>Suites</v>
      </c>
      <c r="D317" s="131">
        <f>IF('Items sous domaines Maths '!H324=1,'Items sous domaines Maths '!D324,0)</f>
        <v>0</v>
      </c>
      <c r="E317" s="131" t="str">
        <f>IF('Items sous domaines Maths '!H324=1,'Items sous domaines Maths '!E324,0)</f>
        <v>Définition d'une série</v>
      </c>
      <c r="F317" s="132" t="str">
        <f>IF('Items sous domaines Maths '!H324=1,'Items sous domaines Maths '!F324,0)</f>
        <v>Critères de convergence de Riemann pour les séries géométriques, exemples classiques (harmonique…)</v>
      </c>
      <c r="G317" s="591"/>
      <c r="H317" s="579"/>
      <c r="I317" s="218"/>
    </row>
    <row r="318" spans="1:9" customFormat="1" ht="14.4" hidden="1" thickTop="1" thickBot="1" x14ac:dyDescent="0.3">
      <c r="B318">
        <f>IF('Items sous domaines Maths '!H325=1,'Items sous domaines Maths '!B325,0)</f>
        <v>0</v>
      </c>
      <c r="C318">
        <f>IF('Items sous domaines Maths '!H325=1,'Items sous domaines Maths '!C325,0)</f>
        <v>0</v>
      </c>
      <c r="D318">
        <f>IF('Items sous domaines Maths '!H325=1,'Items sous domaines Maths '!D325,0)</f>
        <v>0</v>
      </c>
      <c r="E318">
        <f>IF('Items sous domaines Maths '!H325=1,'Items sous domaines Maths '!E325,0)</f>
        <v>0</v>
      </c>
      <c r="F318">
        <f>IF('Items sous domaines Maths '!H325=1,'Items sous domaines Maths '!F325,0)</f>
        <v>0</v>
      </c>
      <c r="G318">
        <f>IF('Items sous domaines Maths '!H325=1,'Items sous domaines Maths '!G325,0)</f>
        <v>0</v>
      </c>
    </row>
    <row r="319" spans="1:9" customFormat="1" ht="14.4" hidden="1" thickTop="1" thickBot="1" x14ac:dyDescent="0.3">
      <c r="B319">
        <f>IF('Items sous domaines Maths '!H326=1,'Items sous domaines Maths '!B326,0)</f>
        <v>0</v>
      </c>
      <c r="C319">
        <f>IF('Items sous domaines Maths '!H326=1,'Items sous domaines Maths '!C326,0)</f>
        <v>0</v>
      </c>
      <c r="D319">
        <f>IF('Items sous domaines Maths '!H326=1,'Items sous domaines Maths '!D326,0)</f>
        <v>0</v>
      </c>
      <c r="E319">
        <f>IF('Items sous domaines Maths '!H326=1,'Items sous domaines Maths '!E326,0)</f>
        <v>0</v>
      </c>
      <c r="F319">
        <f>IF('Items sous domaines Maths '!H326=1,'Items sous domaines Maths '!F326,0)</f>
        <v>0</v>
      </c>
      <c r="G319">
        <f>IF('Items sous domaines Maths '!H326=1,'Items sous domaines Maths '!G326,0)</f>
        <v>0</v>
      </c>
    </row>
    <row r="320" spans="1:9" customFormat="1" ht="14.4" hidden="1" thickTop="1" thickBot="1" x14ac:dyDescent="0.3">
      <c r="B320">
        <f>IF('Items sous domaines Maths '!H327=1,'Items sous domaines Maths '!B327,0)</f>
        <v>0</v>
      </c>
      <c r="C320">
        <f>IF('Items sous domaines Maths '!H327=1,'Items sous domaines Maths '!C327,0)</f>
        <v>0</v>
      </c>
      <c r="D320">
        <f>IF('Items sous domaines Maths '!H327=1,'Items sous domaines Maths '!D327,0)</f>
        <v>0</v>
      </c>
      <c r="E320">
        <f>IF('Items sous domaines Maths '!H327=1,'Items sous domaines Maths '!E327,0)</f>
        <v>0</v>
      </c>
      <c r="F320">
        <f>IF('Items sous domaines Maths '!H327=1,'Items sous domaines Maths '!F327,0)</f>
        <v>0</v>
      </c>
      <c r="G320">
        <f>IF('Items sous domaines Maths '!H327=1,'Items sous domaines Maths '!G327,0)</f>
        <v>0</v>
      </c>
    </row>
    <row r="321" spans="2:7" customFormat="1" ht="14.4" hidden="1" thickTop="1" thickBot="1" x14ac:dyDescent="0.3">
      <c r="B321">
        <f>IF('Items sous domaines Maths '!H328=1,'Items sous domaines Maths '!B328,0)</f>
        <v>0</v>
      </c>
      <c r="C321">
        <f>IF('Items sous domaines Maths '!H328=1,'Items sous domaines Maths '!C328,0)</f>
        <v>0</v>
      </c>
      <c r="D321">
        <f>IF('Items sous domaines Maths '!H328=1,'Items sous domaines Maths '!D328,0)</f>
        <v>0</v>
      </c>
      <c r="E321">
        <f>IF('Items sous domaines Maths '!H328=1,'Items sous domaines Maths '!E328,0)</f>
        <v>0</v>
      </c>
      <c r="F321">
        <f>IF('Items sous domaines Maths '!H328=1,'Items sous domaines Maths '!F328,0)</f>
        <v>0</v>
      </c>
      <c r="G321">
        <f>IF('Items sous domaines Maths '!H328=1,'Items sous domaines Maths '!G328,0)</f>
        <v>0</v>
      </c>
    </row>
    <row r="322" spans="2:7" customFormat="1" ht="14.4" hidden="1" thickTop="1" thickBot="1" x14ac:dyDescent="0.3">
      <c r="B322">
        <f>IF('Items sous domaines Maths '!H329=1,'Items sous domaines Maths '!B329,0)</f>
        <v>0</v>
      </c>
      <c r="C322">
        <f>IF('Items sous domaines Maths '!H329=1,'Items sous domaines Maths '!C329,0)</f>
        <v>0</v>
      </c>
      <c r="D322">
        <f>IF('Items sous domaines Maths '!H329=1,'Items sous domaines Maths '!D329,0)</f>
        <v>0</v>
      </c>
      <c r="E322">
        <f>IF('Items sous domaines Maths '!H329=1,'Items sous domaines Maths '!E329,0)</f>
        <v>0</v>
      </c>
      <c r="F322">
        <f>IF('Items sous domaines Maths '!H329=1,'Items sous domaines Maths '!F329,0)</f>
        <v>0</v>
      </c>
      <c r="G322">
        <f>IF('Items sous domaines Maths '!H329=1,'Items sous domaines Maths '!G329,0)</f>
        <v>0</v>
      </c>
    </row>
    <row r="323" spans="2:7" customFormat="1" ht="14.4" hidden="1" thickTop="1" thickBot="1" x14ac:dyDescent="0.3">
      <c r="B323">
        <f>IF('Items sous domaines Maths '!H330=1,'Items sous domaines Maths '!B330,0)</f>
        <v>0</v>
      </c>
      <c r="C323">
        <f>IF('Items sous domaines Maths '!H330=1,'Items sous domaines Maths '!C330,0)</f>
        <v>0</v>
      </c>
      <c r="D323">
        <f>IF('Items sous domaines Maths '!H330=1,'Items sous domaines Maths '!D330,0)</f>
        <v>0</v>
      </c>
      <c r="E323">
        <f>IF('Items sous domaines Maths '!H330=1,'Items sous domaines Maths '!E330,0)</f>
        <v>0</v>
      </c>
      <c r="F323">
        <f>IF('Items sous domaines Maths '!H330=1,'Items sous domaines Maths '!F330,0)</f>
        <v>0</v>
      </c>
      <c r="G323">
        <f>IF('Items sous domaines Maths '!H330=1,'Items sous domaines Maths '!G330,0)</f>
        <v>0</v>
      </c>
    </row>
    <row r="324" spans="2:7" customFormat="1" ht="14.4" hidden="1" thickTop="1" thickBot="1" x14ac:dyDescent="0.3">
      <c r="B324">
        <f>IF('Items sous domaines Maths '!H331=1,'Items sous domaines Maths '!B331,0)</f>
        <v>0</v>
      </c>
      <c r="C324">
        <f>IF('Items sous domaines Maths '!H331=1,'Items sous domaines Maths '!C331,0)</f>
        <v>0</v>
      </c>
      <c r="D324">
        <f>IF('Items sous domaines Maths '!H331=1,'Items sous domaines Maths '!D331,0)</f>
        <v>0</v>
      </c>
      <c r="E324">
        <f>IF('Items sous domaines Maths '!H331=1,'Items sous domaines Maths '!E331,0)</f>
        <v>0</v>
      </c>
      <c r="F324">
        <f>IF('Items sous domaines Maths '!H331=1,'Items sous domaines Maths '!F331,0)</f>
        <v>0</v>
      </c>
      <c r="G324">
        <f>IF('Items sous domaines Maths '!H331=1,'Items sous domaines Maths '!G331,0)</f>
        <v>0</v>
      </c>
    </row>
    <row r="325" spans="2:7" customFormat="1" ht="14.4" hidden="1" thickTop="1" thickBot="1" x14ac:dyDescent="0.3">
      <c r="B325">
        <f>IF('Items sous domaines Maths '!H332=1,'Items sous domaines Maths '!B332,0)</f>
        <v>0</v>
      </c>
      <c r="C325">
        <f>IF('Items sous domaines Maths '!H332=1,'Items sous domaines Maths '!C332,0)</f>
        <v>0</v>
      </c>
      <c r="D325">
        <f>IF('Items sous domaines Maths '!H332=1,'Items sous domaines Maths '!D332,0)</f>
        <v>0</v>
      </c>
      <c r="E325">
        <f>IF('Items sous domaines Maths '!H332=1,'Items sous domaines Maths '!E332,0)</f>
        <v>0</v>
      </c>
      <c r="F325">
        <f>IF('Items sous domaines Maths '!H332=1,'Items sous domaines Maths '!F332,0)</f>
        <v>0</v>
      </c>
      <c r="G325">
        <f>IF('Items sous domaines Maths '!H332=1,'Items sous domaines Maths '!G332,0)</f>
        <v>0</v>
      </c>
    </row>
    <row r="326" spans="2:7" customFormat="1" ht="14.4" hidden="1" thickTop="1" thickBot="1" x14ac:dyDescent="0.3">
      <c r="B326">
        <f>IF('Items sous domaines Maths '!H333=1,'Items sous domaines Maths '!B333,0)</f>
        <v>0</v>
      </c>
      <c r="C326">
        <f>IF('Items sous domaines Maths '!H333=1,'Items sous domaines Maths '!C333,0)</f>
        <v>0</v>
      </c>
      <c r="D326">
        <f>IF('Items sous domaines Maths '!H333=1,'Items sous domaines Maths '!D333,0)</f>
        <v>0</v>
      </c>
      <c r="E326">
        <f>IF('Items sous domaines Maths '!H333=1,'Items sous domaines Maths '!E333,0)</f>
        <v>0</v>
      </c>
      <c r="F326">
        <f>IF('Items sous domaines Maths '!H333=1,'Items sous domaines Maths '!F333,0)</f>
        <v>0</v>
      </c>
      <c r="G326">
        <f>IF('Items sous domaines Maths '!H333=1,'Items sous domaines Maths '!G333,0)</f>
        <v>0</v>
      </c>
    </row>
    <row r="327" spans="2:7" customFormat="1" ht="14.4" hidden="1" thickTop="1" thickBot="1" x14ac:dyDescent="0.3">
      <c r="B327">
        <f>IF('Items sous domaines Maths '!H334=1,'Items sous domaines Maths '!B334,0)</f>
        <v>0</v>
      </c>
      <c r="C327">
        <f>IF('Items sous domaines Maths '!H334=1,'Items sous domaines Maths '!C334,0)</f>
        <v>0</v>
      </c>
      <c r="D327">
        <f>IF('Items sous domaines Maths '!H334=1,'Items sous domaines Maths '!D334,0)</f>
        <v>0</v>
      </c>
      <c r="E327">
        <f>IF('Items sous domaines Maths '!H334=1,'Items sous domaines Maths '!E334,0)</f>
        <v>0</v>
      </c>
      <c r="F327">
        <f>IF('Items sous domaines Maths '!H334=1,'Items sous domaines Maths '!F334,0)</f>
        <v>0</v>
      </c>
      <c r="G327">
        <f>IF('Items sous domaines Maths '!H334=1,'Items sous domaines Maths '!G334,0)</f>
        <v>0</v>
      </c>
    </row>
    <row r="328" spans="2:7" customFormat="1" ht="14.4" hidden="1" thickTop="1" thickBot="1" x14ac:dyDescent="0.3">
      <c r="B328">
        <f>IF('Items sous domaines Maths '!H335=1,'Items sous domaines Maths '!B335,0)</f>
        <v>0</v>
      </c>
      <c r="C328">
        <f>IF('Items sous domaines Maths '!H335=1,'Items sous domaines Maths '!C335,0)</f>
        <v>0</v>
      </c>
      <c r="D328">
        <f>IF('Items sous domaines Maths '!H335=1,'Items sous domaines Maths '!D335,0)</f>
        <v>0</v>
      </c>
      <c r="E328">
        <f>IF('Items sous domaines Maths '!H335=1,'Items sous domaines Maths '!E335,0)</f>
        <v>0</v>
      </c>
      <c r="F328">
        <f>IF('Items sous domaines Maths '!H335=1,'Items sous domaines Maths '!F335,0)</f>
        <v>0</v>
      </c>
      <c r="G328">
        <f>IF('Items sous domaines Maths '!H335=1,'Items sous domaines Maths '!G335,0)</f>
        <v>0</v>
      </c>
    </row>
    <row r="329" spans="2:7" customFormat="1" ht="14.4" hidden="1" thickTop="1" thickBot="1" x14ac:dyDescent="0.3">
      <c r="B329">
        <f>IF('Items sous domaines Maths '!H336=1,'Items sous domaines Maths '!B336,0)</f>
        <v>0</v>
      </c>
      <c r="C329">
        <f>IF('Items sous domaines Maths '!H336=1,'Items sous domaines Maths '!C336,0)</f>
        <v>0</v>
      </c>
      <c r="D329">
        <f>IF('Items sous domaines Maths '!H336=1,'Items sous domaines Maths '!D336,0)</f>
        <v>0</v>
      </c>
      <c r="E329">
        <f>IF('Items sous domaines Maths '!H336=1,'Items sous domaines Maths '!E336,0)</f>
        <v>0</v>
      </c>
      <c r="F329">
        <f>IF('Items sous domaines Maths '!H336=1,'Items sous domaines Maths '!F336,0)</f>
        <v>0</v>
      </c>
      <c r="G329">
        <f>IF('Items sous domaines Maths '!H336=1,'Items sous domaines Maths '!G336,0)</f>
        <v>0</v>
      </c>
    </row>
    <row r="330" spans="2:7" customFormat="1" ht="14.4" hidden="1" thickTop="1" thickBot="1" x14ac:dyDescent="0.3">
      <c r="B330">
        <f>IF('Items sous domaines Maths '!H337=1,'Items sous domaines Maths '!B337,0)</f>
        <v>0</v>
      </c>
      <c r="C330">
        <f>IF('Items sous domaines Maths '!H337=1,'Items sous domaines Maths '!C337,0)</f>
        <v>0</v>
      </c>
      <c r="D330">
        <f>IF('Items sous domaines Maths '!H337=1,'Items sous domaines Maths '!D337,0)</f>
        <v>0</v>
      </c>
      <c r="E330">
        <f>IF('Items sous domaines Maths '!H337=1,'Items sous domaines Maths '!E337,0)</f>
        <v>0</v>
      </c>
      <c r="F330">
        <f>IF('Items sous domaines Maths '!H337=1,'Items sous domaines Maths '!F337,0)</f>
        <v>0</v>
      </c>
      <c r="G330">
        <f>IF('Items sous domaines Maths '!H337=1,'Items sous domaines Maths '!G337,0)</f>
        <v>0</v>
      </c>
    </row>
    <row r="331" spans="2:7" customFormat="1" ht="14.4" hidden="1" thickTop="1" thickBot="1" x14ac:dyDescent="0.3">
      <c r="B331">
        <f>IF('Items sous domaines Maths '!H338=1,'Items sous domaines Maths '!B338,0)</f>
        <v>0</v>
      </c>
      <c r="C331">
        <f>IF('Items sous domaines Maths '!H338=1,'Items sous domaines Maths '!C338,0)</f>
        <v>0</v>
      </c>
      <c r="D331">
        <f>IF('Items sous domaines Maths '!H338=1,'Items sous domaines Maths '!D338,0)</f>
        <v>0</v>
      </c>
      <c r="E331">
        <f>IF('Items sous domaines Maths '!H338=1,'Items sous domaines Maths '!E338,0)</f>
        <v>0</v>
      </c>
      <c r="F331">
        <f>IF('Items sous domaines Maths '!H338=1,'Items sous domaines Maths '!F338,0)</f>
        <v>0</v>
      </c>
      <c r="G331">
        <f>IF('Items sous domaines Maths '!H338=1,'Items sous domaines Maths '!G338,0)</f>
        <v>0</v>
      </c>
    </row>
    <row r="332" spans="2:7" customFormat="1" ht="14.4" hidden="1" thickTop="1" thickBot="1" x14ac:dyDescent="0.3">
      <c r="B332">
        <f>IF('Items sous domaines Maths '!H339=1,'Items sous domaines Maths '!B339,0)</f>
        <v>0</v>
      </c>
      <c r="C332">
        <f>IF('Items sous domaines Maths '!H339=1,'Items sous domaines Maths '!C339,0)</f>
        <v>0</v>
      </c>
      <c r="D332">
        <f>IF('Items sous domaines Maths '!H339=1,'Items sous domaines Maths '!D339,0)</f>
        <v>0</v>
      </c>
      <c r="E332">
        <f>IF('Items sous domaines Maths '!H339=1,'Items sous domaines Maths '!E339,0)</f>
        <v>0</v>
      </c>
      <c r="F332">
        <f>IF('Items sous domaines Maths '!H339=1,'Items sous domaines Maths '!F339,0)</f>
        <v>0</v>
      </c>
      <c r="G332">
        <f>IF('Items sous domaines Maths '!H339=1,'Items sous domaines Maths '!G339,0)</f>
        <v>0</v>
      </c>
    </row>
    <row r="333" spans="2:7" customFormat="1" ht="17.399999999999999" hidden="1" customHeight="1" x14ac:dyDescent="0.25">
      <c r="B333">
        <f>IF('Items sous domaines Maths '!H340=1,'Items sous domaines Maths '!B340,0)</f>
        <v>0</v>
      </c>
      <c r="C333">
        <f>IF('Items sous domaines Maths '!H340=1,'Items sous domaines Maths '!C340,0)</f>
        <v>0</v>
      </c>
      <c r="D333">
        <f>IF('Items sous domaines Maths '!H340=1,'Items sous domaines Maths '!D340,0)</f>
        <v>0</v>
      </c>
      <c r="E333">
        <f>IF('Items sous domaines Maths '!H340=1,'Items sous domaines Maths '!E340,0)</f>
        <v>0</v>
      </c>
      <c r="F333">
        <f>IF('Items sous domaines Maths '!H340=1,'Items sous domaines Maths '!F340,0)</f>
        <v>0</v>
      </c>
      <c r="G333">
        <f>IF('Items sous domaines Maths '!H340=1,'Items sous domaines Maths '!G340,0)</f>
        <v>0</v>
      </c>
    </row>
    <row r="334" spans="2:7" customFormat="1" ht="17.399999999999999" hidden="1" customHeight="1" x14ac:dyDescent="0.25">
      <c r="B334">
        <f>IF('Items sous domaines Maths '!H341=1,'Items sous domaines Maths '!B341,0)</f>
        <v>0</v>
      </c>
      <c r="C334">
        <f>IF('Items sous domaines Maths '!H341=1,'Items sous domaines Maths '!C341,0)</f>
        <v>0</v>
      </c>
      <c r="D334">
        <f>IF('Items sous domaines Maths '!H341=1,'Items sous domaines Maths '!D341,0)</f>
        <v>0</v>
      </c>
      <c r="E334">
        <f>IF('Items sous domaines Maths '!H341=1,'Items sous domaines Maths '!E341,0)</f>
        <v>0</v>
      </c>
      <c r="F334">
        <f>IF('Items sous domaines Maths '!H341=1,'Items sous domaines Maths '!F341,0)</f>
        <v>0</v>
      </c>
      <c r="G334">
        <f>IF('Items sous domaines Maths '!H341=1,'Items sous domaines Maths '!G341,0)</f>
        <v>0</v>
      </c>
    </row>
    <row r="335" spans="2:7" customFormat="1" ht="17.399999999999999" hidden="1" customHeight="1" x14ac:dyDescent="0.25">
      <c r="B335">
        <f>IF('Items sous domaines Maths '!H342=1,'Items sous domaines Maths '!B342,0)</f>
        <v>0</v>
      </c>
      <c r="C335">
        <f>IF('Items sous domaines Maths '!H342=1,'Items sous domaines Maths '!C342,0)</f>
        <v>0</v>
      </c>
      <c r="D335">
        <f>IF('Items sous domaines Maths '!H342=1,'Items sous domaines Maths '!D342,0)</f>
        <v>0</v>
      </c>
      <c r="E335">
        <f>IF('Items sous domaines Maths '!H342=1,'Items sous domaines Maths '!E342,0)</f>
        <v>0</v>
      </c>
      <c r="F335">
        <f>IF('Items sous domaines Maths '!H342=1,'Items sous domaines Maths '!F342,0)</f>
        <v>0</v>
      </c>
      <c r="G335">
        <f>IF('Items sous domaines Maths '!H342=1,'Items sous domaines Maths '!G342,0)</f>
        <v>0</v>
      </c>
    </row>
    <row r="336" spans="2:7" customFormat="1" ht="17.399999999999999" hidden="1" customHeight="1" x14ac:dyDescent="0.25">
      <c r="B336">
        <f>IF('Items sous domaines Maths '!H343=1,'Items sous domaines Maths '!B343,0)</f>
        <v>0</v>
      </c>
      <c r="C336">
        <f>IF('Items sous domaines Maths '!H343=1,'Items sous domaines Maths '!C343,0)</f>
        <v>0</v>
      </c>
      <c r="D336">
        <f>IF('Items sous domaines Maths '!H343=1,'Items sous domaines Maths '!D343,0)</f>
        <v>0</v>
      </c>
      <c r="E336">
        <f>IF('Items sous domaines Maths '!H343=1,'Items sous domaines Maths '!E343,0)</f>
        <v>0</v>
      </c>
      <c r="F336">
        <f>IF('Items sous domaines Maths '!H343=1,'Items sous domaines Maths '!F343,0)</f>
        <v>0</v>
      </c>
      <c r="G336">
        <f>IF('Items sous domaines Maths '!H343=1,'Items sous domaines Maths '!G343,0)</f>
        <v>0</v>
      </c>
    </row>
    <row r="337" spans="1:9" customFormat="1" ht="17.399999999999999" hidden="1" customHeight="1" x14ac:dyDescent="0.25">
      <c r="B337">
        <f>IF('Items sous domaines Maths '!H344=1,'Items sous domaines Maths '!B344,0)</f>
        <v>0</v>
      </c>
      <c r="C337">
        <f>IF('Items sous domaines Maths '!H344=1,'Items sous domaines Maths '!C344,0)</f>
        <v>0</v>
      </c>
      <c r="D337">
        <f>IF('Items sous domaines Maths '!H344=1,'Items sous domaines Maths '!D344,0)</f>
        <v>0</v>
      </c>
      <c r="E337">
        <f>IF('Items sous domaines Maths '!H344=1,'Items sous domaines Maths '!E344,0)</f>
        <v>0</v>
      </c>
      <c r="F337">
        <f>IF('Items sous domaines Maths '!H344=1,'Items sous domaines Maths '!F344,0)</f>
        <v>0</v>
      </c>
      <c r="G337">
        <f>IF('Items sous domaines Maths '!H344=1,'Items sous domaines Maths '!G344,0)</f>
        <v>0</v>
      </c>
    </row>
    <row r="338" spans="1:9" customFormat="1" ht="17.399999999999999" hidden="1" customHeight="1" thickBot="1" x14ac:dyDescent="0.3">
      <c r="B338">
        <f>IF('Items sous domaines Maths '!H345=1,'Items sous domaines Maths '!B345,0)</f>
        <v>0</v>
      </c>
      <c r="C338">
        <f>IF('Items sous domaines Maths '!H345=1,'Items sous domaines Maths '!C345,0)</f>
        <v>0</v>
      </c>
      <c r="D338">
        <f>IF('Items sous domaines Maths '!H345=1,'Items sous domaines Maths '!D345,0)</f>
        <v>0</v>
      </c>
      <c r="E338">
        <f>IF('Items sous domaines Maths '!H345=1,'Items sous domaines Maths '!E345,0)</f>
        <v>0</v>
      </c>
      <c r="F338">
        <f>IF('Items sous domaines Maths '!H345=1,'Items sous domaines Maths '!F345,0)</f>
        <v>0</v>
      </c>
      <c r="G338">
        <f>IF('Items sous domaines Maths '!H345=1,'Items sous domaines Maths '!G345,0)</f>
        <v>0</v>
      </c>
    </row>
    <row r="339" spans="1:9" ht="19.95" customHeight="1" thickTop="1" x14ac:dyDescent="0.25">
      <c r="A339" s="624" t="s">
        <v>523</v>
      </c>
      <c r="B339" s="210" t="str">
        <f>IF('Items sous domaines Maths '!H346=1,'Items sous domaines Maths '!B346,0)</f>
        <v>Probabilité et statistiques</v>
      </c>
      <c r="C339" s="211" t="str">
        <f>IF('Items sous domaines Maths '!H346=1,'Items sous domaines Maths '!C346,0)</f>
        <v>Les probabilités</v>
      </c>
      <c r="D339" s="211" t="str">
        <f>IF('Items sous domaines Maths '!H346=1,'Items sous domaines Maths '!D346,0)</f>
        <v>Dénombrement</v>
      </c>
      <c r="E339" s="211" t="str">
        <f>IF('Items sous domaines Maths '!H346=1,'Items sous domaines Maths '!E346,0)</f>
        <v>Liste : tirages successifs avec remise</v>
      </c>
      <c r="F339" s="212">
        <f>IF('Items sous domaines Maths '!H346=1,'Items sous domaines Maths '!F346,0)</f>
        <v>0</v>
      </c>
      <c r="G339" s="589" t="s">
        <v>446</v>
      </c>
      <c r="H339" s="577" t="s">
        <v>350</v>
      </c>
      <c r="I339" s="231" t="s">
        <v>22</v>
      </c>
    </row>
    <row r="340" spans="1:9" ht="19.95" customHeight="1" x14ac:dyDescent="0.25">
      <c r="A340" s="625"/>
      <c r="B340" s="127" t="str">
        <f>IF('Items sous domaines Maths '!H347=1,'Items sous domaines Maths '!B347,0)</f>
        <v>Probabilité et statistiques</v>
      </c>
      <c r="C340" s="128" t="str">
        <f>IF('Items sous domaines Maths '!H347=1,'Items sous domaines Maths '!C347,0)</f>
        <v>Les probabilités</v>
      </c>
      <c r="D340" s="128">
        <f>IF('Items sous domaines Maths '!H347=1,'Items sous domaines Maths '!D347,0)</f>
        <v>0</v>
      </c>
      <c r="E340" s="128" t="str">
        <f>IF('Items sous domaines Maths '!H347=1,'Items sous domaines Maths '!E347,0)</f>
        <v>Arrangement : tirages successifs sans remise - Permutations</v>
      </c>
      <c r="F340" s="129" t="str">
        <f>IF('Items sous domaines Maths '!H347=1,'Items sous domaines Maths '!F347,0)</f>
        <v>Définition de la notation factorielle n! et propriétés.</v>
      </c>
      <c r="G340" s="590"/>
      <c r="H340" s="578"/>
      <c r="I340" s="214"/>
    </row>
    <row r="341" spans="1:9" ht="19.95" customHeight="1" x14ac:dyDescent="0.25">
      <c r="A341" s="625"/>
      <c r="B341" s="133" t="str">
        <f>IF('Items sous domaines Maths '!H348=1,'Items sous domaines Maths '!B348,0)</f>
        <v>Probabilité et statistiques</v>
      </c>
      <c r="C341" s="134" t="str">
        <f>IF('Items sous domaines Maths '!H348=1,'Items sous domaines Maths '!C348,0)</f>
        <v>Les probabilités</v>
      </c>
      <c r="D341" s="134">
        <f>IF('Items sous domaines Maths '!H348=1,'Items sous domaines Maths '!D348,0)</f>
        <v>0</v>
      </c>
      <c r="E341" s="134" t="str">
        <f>IF('Items sous domaines Maths '!H348=1,'Items sous domaines Maths '!E348,0)</f>
        <v>Combinaison : tirages simultannés</v>
      </c>
      <c r="F341" s="135" t="str">
        <f>IF('Items sous domaines Maths '!H348=1,'Items sous domaines Maths '!F348,0)</f>
        <v>Propriétés des combinaisons, formule du binôme.</v>
      </c>
      <c r="G341" s="590"/>
      <c r="H341" s="578"/>
      <c r="I341" s="230" t="s">
        <v>126</v>
      </c>
    </row>
    <row r="342" spans="1:9" ht="19.95" customHeight="1" x14ac:dyDescent="0.25">
      <c r="A342" s="625"/>
      <c r="B342" s="127" t="str">
        <f>IF('Items sous domaines Maths '!H349=1,'Items sous domaines Maths '!B349,0)</f>
        <v>Probabilité et statistiques</v>
      </c>
      <c r="C342" s="128" t="str">
        <f>IF('Items sous domaines Maths '!H349=1,'Items sous domaines Maths '!C349,0)</f>
        <v>Les probabilités</v>
      </c>
      <c r="D342" s="128" t="str">
        <f>IF('Items sous domaines Maths '!H349=1,'Items sous domaines Maths '!D349,0)</f>
        <v>Probabilités sur un univers fini</v>
      </c>
      <c r="E342" s="128" t="str">
        <f>IF('Items sous domaines Maths '!H349=1,'Items sous domaines Maths '!E349,0)</f>
        <v>Vocabulaire des événements</v>
      </c>
      <c r="F342" s="129" t="str">
        <f>IF('Items sous domaines Maths '!H349=1,'Items sous domaines Maths '!F349,0)</f>
        <v>Univers, évènements élémentaires, évènements contraires, certains et impossibles. Loi de Morgan. Diagrammes de Venn</v>
      </c>
      <c r="G342" s="590"/>
      <c r="H342" s="578"/>
      <c r="I342" s="230" t="s">
        <v>355</v>
      </c>
    </row>
    <row r="343" spans="1:9" ht="19.95" customHeight="1" x14ac:dyDescent="0.25">
      <c r="A343" s="625"/>
      <c r="B343" s="133" t="str">
        <f>IF('Items sous domaines Maths '!H350=1,'Items sous domaines Maths '!B350,0)</f>
        <v>Probabilité et statistiques</v>
      </c>
      <c r="C343" s="134" t="str">
        <f>IF('Items sous domaines Maths '!H350=1,'Items sous domaines Maths '!C350,0)</f>
        <v>Les probabilités</v>
      </c>
      <c r="D343" s="134">
        <f>IF('Items sous domaines Maths '!H350=1,'Items sous domaines Maths '!D350,0)</f>
        <v>0</v>
      </c>
      <c r="E343" s="134" t="str">
        <f>IF('Items sous domaines Maths '!H350=1,'Items sous domaines Maths '!E350,0)</f>
        <v>Loi de probabilité</v>
      </c>
      <c r="F343" s="135" t="str">
        <f>IF('Items sous domaines Maths '!H350=1,'Items sous domaines Maths '!F350,0)</f>
        <v xml:space="preserve">Définr ce qu'est une expérience aléatoire et une probabilité. Evènements incompatibles. </v>
      </c>
      <c r="G343" s="590"/>
      <c r="H343" s="578"/>
      <c r="I343" s="230" t="s">
        <v>357</v>
      </c>
    </row>
    <row r="344" spans="1:9" ht="19.95" customHeight="1" x14ac:dyDescent="0.25">
      <c r="A344" s="625"/>
      <c r="B344" s="127" t="str">
        <f>IF('Items sous domaines Maths '!H351=1,'Items sous domaines Maths '!B351,0)</f>
        <v>Probabilité et statistiques</v>
      </c>
      <c r="C344" s="128" t="str">
        <f>IF('Items sous domaines Maths '!H351=1,'Items sous domaines Maths '!C351,0)</f>
        <v>Les probabilités</v>
      </c>
      <c r="D344" s="128">
        <f>IF('Items sous domaines Maths '!H351=1,'Items sous domaines Maths '!D351,0)</f>
        <v>0</v>
      </c>
      <c r="E344" s="128" t="str">
        <f>IF('Items sous domaines Maths '!H351=1,'Items sous domaines Maths '!E351,0)</f>
        <v>Calcul de probabilités</v>
      </c>
      <c r="F344" s="129" t="str">
        <f>IF('Items sous domaines Maths '!H351=1,'Items sous domaines Maths '!F351,0)</f>
        <v>Equiprobabilité et situations non équiprobables. Arbres de probabilité, tableaux.</v>
      </c>
      <c r="G344" s="590"/>
      <c r="H344" s="578"/>
      <c r="I344" s="214"/>
    </row>
    <row r="345" spans="1:9" ht="19.95" customHeight="1" x14ac:dyDescent="0.25">
      <c r="A345" s="625"/>
      <c r="B345" s="133" t="str">
        <f>IF('Items sous domaines Maths '!H352=1,'Items sous domaines Maths '!B352,0)</f>
        <v>Probabilité et statistiques</v>
      </c>
      <c r="C345" s="134" t="str">
        <f>IF('Items sous domaines Maths '!H352=1,'Items sous domaines Maths '!C352,0)</f>
        <v>Les probabilités</v>
      </c>
      <c r="D345" s="134">
        <f>IF('Items sous domaines Maths '!H352=1,'Items sous domaines Maths '!D352,0)</f>
        <v>0</v>
      </c>
      <c r="E345" s="134" t="str">
        <f>IF('Items sous domaines Maths '!H352=1,'Items sous domaines Maths '!E352,0)</f>
        <v>Probabilités conditionnelles et indépendance</v>
      </c>
      <c r="F345" s="135" t="str">
        <f>IF('Items sous domaines Maths '!H352=1,'Items sous domaines Maths '!F352,0)</f>
        <v>Baye.</v>
      </c>
      <c r="G345" s="590"/>
      <c r="H345" s="578"/>
      <c r="I345" s="214"/>
    </row>
    <row r="346" spans="1:9" ht="19.95" customHeight="1" x14ac:dyDescent="0.25">
      <c r="A346" s="625"/>
      <c r="B346" s="127" t="str">
        <f>IF('Items sous domaines Maths '!H353=1,'Items sous domaines Maths '!B353,0)</f>
        <v>Probabilité et statistiques</v>
      </c>
      <c r="C346" s="128" t="str">
        <f>IF('Items sous domaines Maths '!H353=1,'Items sous domaines Maths '!C353,0)</f>
        <v>Les probabilités</v>
      </c>
      <c r="D346" s="128">
        <f>IF('Items sous domaines Maths '!H353=1,'Items sous domaines Maths '!D353,0)</f>
        <v>0</v>
      </c>
      <c r="E346" s="128" t="str">
        <f>IF('Items sous domaines Maths '!H353=1,'Items sous domaines Maths '!E353,0)</f>
        <v>Notions de variables aléatoires</v>
      </c>
      <c r="F346" s="129" t="str">
        <f>IF('Items sous domaines Maths '!H353=1,'Items sous domaines Maths '!F353,0)</f>
        <v>Exemples simples.</v>
      </c>
      <c r="G346" s="590"/>
      <c r="H346" s="578"/>
      <c r="I346" s="214"/>
    </row>
    <row r="347" spans="1:9" ht="19.95" customHeight="1" thickBot="1" x14ac:dyDescent="0.3">
      <c r="A347" s="626"/>
      <c r="B347" s="130" t="str">
        <f>IF('Items sous domaines Maths '!H354=1,'Items sous domaines Maths '!B354,0)</f>
        <v>Probabilité et statistiques</v>
      </c>
      <c r="C347" s="131" t="str">
        <f>IF('Items sous domaines Maths '!H354=1,'Items sous domaines Maths '!C354,0)</f>
        <v>Les probabilités</v>
      </c>
      <c r="D347" s="131">
        <f>IF('Items sous domaines Maths '!H354=1,'Items sous domaines Maths '!D354,0)</f>
        <v>0</v>
      </c>
      <c r="E347" s="131" t="str">
        <f>IF('Items sous domaines Maths '!H354=1,'Items sous domaines Maths '!E354,0)</f>
        <v>Espérance, variance d'une variable aléatoire</v>
      </c>
      <c r="F347" s="132" t="str">
        <f>IF('Items sous domaines Maths '!H354=1,'Items sous domaines Maths '!F354,0)</f>
        <v>Lien avec les barycentres / systèmes pondérés.</v>
      </c>
      <c r="G347" s="591"/>
      <c r="H347" s="579"/>
      <c r="I347" s="218"/>
    </row>
    <row r="348" spans="1:9" customFormat="1" ht="13.5" hidden="1" customHeight="1" thickTop="1" x14ac:dyDescent="0.25">
      <c r="A348" s="627"/>
      <c r="B348">
        <f>IF('Items sous domaines Maths '!H355=1,'Items sous domaines Maths '!B355,0)</f>
        <v>0</v>
      </c>
      <c r="C348">
        <f>IF('Items sous domaines Maths '!H355=1,'Items sous domaines Maths '!C355,0)</f>
        <v>0</v>
      </c>
      <c r="D348">
        <f>IF('Items sous domaines Maths '!H355=1,'Items sous domaines Maths '!D355,0)</f>
        <v>0</v>
      </c>
      <c r="E348">
        <f>IF('Items sous domaines Maths '!H355=1,'Items sous domaines Maths '!E355,0)</f>
        <v>0</v>
      </c>
      <c r="F348" s="10">
        <f>IF('Items sous domaines Maths '!H355=1,'Items sous domaines Maths '!F355,0)</f>
        <v>0</v>
      </c>
      <c r="G348" s="597"/>
      <c r="H348" s="580"/>
    </row>
    <row r="349" spans="1:9" customFormat="1" ht="13.5" hidden="1" customHeight="1" x14ac:dyDescent="0.25">
      <c r="A349" s="627"/>
      <c r="B349">
        <f>IF('Items sous domaines Maths '!H356=1,'Items sous domaines Maths '!B356,0)</f>
        <v>0</v>
      </c>
      <c r="C349">
        <f>IF('Items sous domaines Maths '!H356=1,'Items sous domaines Maths '!C356,0)</f>
        <v>0</v>
      </c>
      <c r="D349">
        <f>IF('Items sous domaines Maths '!H356=1,'Items sous domaines Maths '!D356,0)</f>
        <v>0</v>
      </c>
      <c r="E349">
        <f>IF('Items sous domaines Maths '!H356=1,'Items sous domaines Maths '!E356,0)</f>
        <v>0</v>
      </c>
      <c r="F349" s="10">
        <f>IF('Items sous domaines Maths '!H356=1,'Items sous domaines Maths '!F356,0)</f>
        <v>0</v>
      </c>
      <c r="G349" s="597"/>
      <c r="H349" s="580"/>
    </row>
    <row r="350" spans="1:9" customFormat="1" ht="13.5" hidden="1" customHeight="1" x14ac:dyDescent="0.25">
      <c r="A350" s="627"/>
      <c r="B350">
        <f>IF('Items sous domaines Maths '!H357=1,'Items sous domaines Maths '!B357,0)</f>
        <v>0</v>
      </c>
      <c r="C350">
        <f>IF('Items sous domaines Maths '!H357=1,'Items sous domaines Maths '!C357,0)</f>
        <v>0</v>
      </c>
      <c r="D350">
        <f>IF('Items sous domaines Maths '!H357=1,'Items sous domaines Maths '!D357,0)</f>
        <v>0</v>
      </c>
      <c r="E350">
        <f>IF('Items sous domaines Maths '!H357=1,'Items sous domaines Maths '!E357,0)</f>
        <v>0</v>
      </c>
      <c r="F350" s="10">
        <f>IF('Items sous domaines Maths '!H357=1,'Items sous domaines Maths '!F357,0)</f>
        <v>0</v>
      </c>
      <c r="G350" s="597"/>
      <c r="H350" s="580"/>
    </row>
    <row r="351" spans="1:9" customFormat="1" ht="13.5" hidden="1" customHeight="1" x14ac:dyDescent="0.25">
      <c r="A351" s="627"/>
      <c r="B351">
        <f>IF('Items sous domaines Maths '!H358=1,'Items sous domaines Maths '!B358,0)</f>
        <v>0</v>
      </c>
      <c r="C351">
        <f>IF('Items sous domaines Maths '!H358=1,'Items sous domaines Maths '!C358,0)</f>
        <v>0</v>
      </c>
      <c r="D351">
        <f>IF('Items sous domaines Maths '!H358=1,'Items sous domaines Maths '!D358,0)</f>
        <v>0</v>
      </c>
      <c r="E351">
        <f>IF('Items sous domaines Maths '!H358=1,'Items sous domaines Maths '!E358,0)</f>
        <v>0</v>
      </c>
      <c r="F351" s="10">
        <f>IF('Items sous domaines Maths '!H358=1,'Items sous domaines Maths '!F358,0)</f>
        <v>0</v>
      </c>
      <c r="G351" s="597"/>
      <c r="H351" s="580"/>
    </row>
    <row r="352" spans="1:9" customFormat="1" ht="13.5" hidden="1" customHeight="1" x14ac:dyDescent="0.25">
      <c r="A352" s="627"/>
      <c r="B352">
        <f>IF('Items sous domaines Maths '!H359=1,'Items sous domaines Maths '!B359,0)</f>
        <v>0</v>
      </c>
      <c r="C352">
        <f>IF('Items sous domaines Maths '!H359=1,'Items sous domaines Maths '!C359,0)</f>
        <v>0</v>
      </c>
      <c r="D352">
        <f>IF('Items sous domaines Maths '!H359=1,'Items sous domaines Maths '!D359,0)</f>
        <v>0</v>
      </c>
      <c r="E352">
        <f>IF('Items sous domaines Maths '!H359=1,'Items sous domaines Maths '!E359,0)</f>
        <v>0</v>
      </c>
      <c r="F352" s="10">
        <f>IF('Items sous domaines Maths '!H359=1,'Items sous domaines Maths '!F359,0)</f>
        <v>0</v>
      </c>
      <c r="G352" s="597"/>
      <c r="H352" s="580"/>
    </row>
    <row r="353" spans="1:9" customFormat="1" ht="13.5" hidden="1" customHeight="1" x14ac:dyDescent="0.25">
      <c r="A353" s="627"/>
      <c r="B353">
        <f>IF('Items sous domaines Maths '!H360=1,'Items sous domaines Maths '!B360,0)</f>
        <v>0</v>
      </c>
      <c r="C353">
        <f>IF('Items sous domaines Maths '!H360=1,'Items sous domaines Maths '!C360,0)</f>
        <v>0</v>
      </c>
      <c r="D353">
        <f>IF('Items sous domaines Maths '!H360=1,'Items sous domaines Maths '!D360,0)</f>
        <v>0</v>
      </c>
      <c r="E353">
        <f>IF('Items sous domaines Maths '!H360=1,'Items sous domaines Maths '!E360,0)</f>
        <v>0</v>
      </c>
      <c r="F353" s="10">
        <f>IF('Items sous domaines Maths '!H360=1,'Items sous domaines Maths '!F360,0)</f>
        <v>0</v>
      </c>
      <c r="G353" s="597"/>
      <c r="H353" s="580"/>
    </row>
    <row r="354" spans="1:9" customFormat="1" ht="13.5" hidden="1" customHeight="1" x14ac:dyDescent="0.25">
      <c r="A354" s="627"/>
      <c r="B354">
        <f>IF('Items sous domaines Maths '!H361=1,'Items sous domaines Maths '!B361,0)</f>
        <v>0</v>
      </c>
      <c r="C354">
        <f>IF('Items sous domaines Maths '!H361=1,'Items sous domaines Maths '!C361,0)</f>
        <v>0</v>
      </c>
      <c r="D354">
        <f>IF('Items sous domaines Maths '!H361=1,'Items sous domaines Maths '!D361,0)</f>
        <v>0</v>
      </c>
      <c r="E354">
        <f>IF('Items sous domaines Maths '!H361=1,'Items sous domaines Maths '!E361,0)</f>
        <v>0</v>
      </c>
      <c r="F354" s="10">
        <f>IF('Items sous domaines Maths '!H361=1,'Items sous domaines Maths '!F361,0)</f>
        <v>0</v>
      </c>
      <c r="G354" s="597"/>
      <c r="H354" s="580"/>
    </row>
    <row r="355" spans="1:9" customFormat="1" ht="13.5" hidden="1" customHeight="1" x14ac:dyDescent="0.25">
      <c r="A355" s="627"/>
      <c r="B355">
        <f>IF('Items sous domaines Maths '!H362=1,'Items sous domaines Maths '!B362,0)</f>
        <v>0</v>
      </c>
      <c r="C355">
        <f>IF('Items sous domaines Maths '!H362=1,'Items sous domaines Maths '!C362,0)</f>
        <v>0</v>
      </c>
      <c r="D355">
        <f>IF('Items sous domaines Maths '!H362=1,'Items sous domaines Maths '!D362,0)</f>
        <v>0</v>
      </c>
      <c r="E355">
        <f>IF('Items sous domaines Maths '!H362=1,'Items sous domaines Maths '!E362,0)</f>
        <v>0</v>
      </c>
      <c r="F355" s="10">
        <f>IF('Items sous domaines Maths '!H362=1,'Items sous domaines Maths '!F362,0)</f>
        <v>0</v>
      </c>
      <c r="G355" s="597"/>
      <c r="H355" s="580"/>
    </row>
    <row r="356" spans="1:9" customFormat="1" ht="13.5" hidden="1" customHeight="1" x14ac:dyDescent="0.25">
      <c r="A356" s="627"/>
      <c r="B356">
        <f>IF('Items sous domaines Maths '!H363=1,'Items sous domaines Maths '!B363,0)</f>
        <v>0</v>
      </c>
      <c r="C356">
        <f>IF('Items sous domaines Maths '!H363=1,'Items sous domaines Maths '!C363,0)</f>
        <v>0</v>
      </c>
      <c r="D356">
        <f>IF('Items sous domaines Maths '!H363=1,'Items sous domaines Maths '!D363,0)</f>
        <v>0</v>
      </c>
      <c r="E356">
        <f>IF('Items sous domaines Maths '!H363=1,'Items sous domaines Maths '!E363,0)</f>
        <v>0</v>
      </c>
      <c r="F356" s="10">
        <f>IF('Items sous domaines Maths '!H363=1,'Items sous domaines Maths '!F363,0)</f>
        <v>0</v>
      </c>
      <c r="G356" s="597"/>
      <c r="H356" s="580"/>
    </row>
    <row r="357" spans="1:9" customFormat="1" ht="13.5" hidden="1" customHeight="1" thickBot="1" x14ac:dyDescent="0.3">
      <c r="A357" s="611"/>
      <c r="B357" s="11">
        <f>IF('Items sous domaines Maths '!H364=1,'Items sous domaines Maths '!B364,0)</f>
        <v>0</v>
      </c>
      <c r="C357" s="11">
        <f>IF('Items sous domaines Maths '!H364=1,'Items sous domaines Maths '!C364,0)</f>
        <v>0</v>
      </c>
      <c r="D357" s="11">
        <f>IF('Items sous domaines Maths '!H364=1,'Items sous domaines Maths '!D364,0)</f>
        <v>0</v>
      </c>
      <c r="E357" s="11">
        <f>IF('Items sous domaines Maths '!H364=1,'Items sous domaines Maths '!E364,0)</f>
        <v>0</v>
      </c>
      <c r="F357" s="12">
        <f>IF('Items sous domaines Maths '!H364=1,'Items sous domaines Maths '!F364,0)</f>
        <v>0</v>
      </c>
      <c r="G357" s="597"/>
      <c r="H357" s="580"/>
    </row>
    <row r="358" spans="1:9" customFormat="1" ht="12.75" hidden="1" customHeight="1" thickBot="1" x14ac:dyDescent="0.3">
      <c r="A358" s="597"/>
      <c r="B358">
        <f>IF('Items sous domaines Maths '!H366=1,'Items sous domaines Maths '!B366,0)</f>
        <v>0</v>
      </c>
      <c r="C358">
        <f>IF('Items sous domaines Maths '!H366=1,'Items sous domaines Maths '!C366,0)</f>
        <v>0</v>
      </c>
      <c r="D358">
        <f>IF('Items sous domaines Maths '!H366=1,'Items sous domaines Maths '!D366,0)</f>
        <v>0</v>
      </c>
      <c r="E358">
        <f>IF('Items sous domaines Maths '!H366=1,'Items sous domaines Maths '!E366,0)</f>
        <v>0</v>
      </c>
      <c r="F358">
        <f>IF('Items sous domaines Maths '!H366=1,'Items sous domaines Maths '!F366,0)</f>
        <v>0</v>
      </c>
      <c r="G358" s="597"/>
      <c r="H358" s="580"/>
    </row>
    <row r="359" spans="1:9" ht="19.95" customHeight="1" thickTop="1" x14ac:dyDescent="0.25">
      <c r="A359" s="624"/>
      <c r="B359" s="210" t="str">
        <f>IF('Items sous domaines Maths '!H367=1,'Items sous domaines Maths '!B367,0)</f>
        <v>Probabilité et statistiques</v>
      </c>
      <c r="C359" s="211" t="str">
        <f>IF('Items sous domaines Maths '!H367=1,'Items sous domaines Maths '!C367,0)</f>
        <v>Les statistiques</v>
      </c>
      <c r="D359" s="211" t="str">
        <f>IF('Items sous domaines Maths '!H367=1,'Items sous domaines Maths '!D367,0)</f>
        <v>Statistiques a une variable</v>
      </c>
      <c r="E359" s="211" t="str">
        <f>IF('Items sous domaines Maths '!H367=1,'Items sous domaines Maths '!E367,0)</f>
        <v>Méthodes de représentation</v>
      </c>
      <c r="F359" s="212" t="str">
        <f>IF('Items sous domaines Maths '!H367=1,'Items sous domaines Maths '!F367,0)</f>
        <v>Vocabulaire (variables quantitatives/qualitatives, discrètes/continues).</v>
      </c>
      <c r="G359" s="589"/>
      <c r="H359" s="577"/>
      <c r="I359" s="213"/>
    </row>
    <row r="360" spans="1:9" ht="19.95" customHeight="1" x14ac:dyDescent="0.25">
      <c r="A360" s="625"/>
      <c r="B360" s="127" t="str">
        <f>IF('Items sous domaines Maths '!H368=1,'Items sous domaines Maths '!B368,0)</f>
        <v>Probabilité et statistiques</v>
      </c>
      <c r="C360" s="128" t="str">
        <f>IF('Items sous domaines Maths '!H368=1,'Items sous domaines Maths '!C368,0)</f>
        <v>Les statistiques</v>
      </c>
      <c r="D360" s="128">
        <f>IF('Items sous domaines Maths '!H368=1,'Items sous domaines Maths '!D368,0)</f>
        <v>0</v>
      </c>
      <c r="E360" s="128">
        <f>IF('Items sous domaines Maths '!H368=1,'Items sous domaines Maths '!E368,0)</f>
        <v>0</v>
      </c>
      <c r="F360" s="129" t="str">
        <f>IF('Items sous domaines Maths '!H368=1,'Items sous domaines Maths '!F368,0)</f>
        <v>Tableaux statistiques et graphiques.</v>
      </c>
      <c r="G360" s="590"/>
      <c r="H360" s="578"/>
      <c r="I360" s="214"/>
    </row>
    <row r="361" spans="1:9" ht="19.95" customHeight="1" x14ac:dyDescent="0.25">
      <c r="A361" s="625"/>
      <c r="B361" s="133" t="str">
        <f>IF('Items sous domaines Maths '!H369=1,'Items sous domaines Maths '!B369,0)</f>
        <v>Probabilité et statistiques</v>
      </c>
      <c r="C361" s="134" t="str">
        <f>IF('Items sous domaines Maths '!H369=1,'Items sous domaines Maths '!C369,0)</f>
        <v>Les statistiques</v>
      </c>
      <c r="D361" s="134">
        <f>IF('Items sous domaines Maths '!H369=1,'Items sous domaines Maths '!D369,0)</f>
        <v>0</v>
      </c>
      <c r="E361" s="134" t="str">
        <f>IF('Items sous domaines Maths '!H369=1,'Items sous domaines Maths '!E369,0)</f>
        <v>Caractéristiques de position</v>
      </c>
      <c r="F361" s="135" t="str">
        <f>IF('Items sous domaines Maths '!H369=1,'Items sous domaines Maths '!F369,0)</f>
        <v>Mode.</v>
      </c>
      <c r="G361" s="590"/>
      <c r="H361" s="578"/>
      <c r="I361" s="214"/>
    </row>
    <row r="362" spans="1:9" ht="19.95" customHeight="1" x14ac:dyDescent="0.25">
      <c r="A362" s="625"/>
      <c r="B362" s="127" t="str">
        <f>IF('Items sous domaines Maths '!H370=1,'Items sous domaines Maths '!B370,0)</f>
        <v>Probabilité et statistiques</v>
      </c>
      <c r="C362" s="128" t="str">
        <f>IF('Items sous domaines Maths '!H370=1,'Items sous domaines Maths '!C370,0)</f>
        <v>Les statistiques</v>
      </c>
      <c r="D362" s="128">
        <f>IF('Items sous domaines Maths '!H370=1,'Items sous domaines Maths '!D370,0)</f>
        <v>0</v>
      </c>
      <c r="E362" s="128">
        <f>IF('Items sous domaines Maths '!H370=1,'Items sous domaines Maths '!E370,0)</f>
        <v>0</v>
      </c>
      <c r="F362" s="129" t="str">
        <f>IF('Items sous domaines Maths '!H370=1,'Items sous domaines Maths '!F370,0)</f>
        <v xml:space="preserve">Moyenne, médiane, quartiles, déciles. </v>
      </c>
      <c r="G362" s="590"/>
      <c r="H362" s="578"/>
      <c r="I362" s="214"/>
    </row>
    <row r="363" spans="1:9" ht="19.95" customHeight="1" x14ac:dyDescent="0.25">
      <c r="A363" s="625"/>
      <c r="B363" s="133" t="str">
        <f>IF('Items sous domaines Maths '!H371=1,'Items sous domaines Maths '!B371,0)</f>
        <v>Probabilité et statistiques</v>
      </c>
      <c r="C363" s="134" t="str">
        <f>IF('Items sous domaines Maths '!H371=1,'Items sous domaines Maths '!C371,0)</f>
        <v>Les statistiques</v>
      </c>
      <c r="D363" s="134">
        <f>IF('Items sous domaines Maths '!H371=1,'Items sous domaines Maths '!D371,0)</f>
        <v>0</v>
      </c>
      <c r="E363" s="134">
        <f>IF('Items sous domaines Maths '!H371=1,'Items sous domaines Maths '!E371,0)</f>
        <v>0</v>
      </c>
      <c r="F363" s="135" t="str">
        <f>IF('Items sous domaines Maths '!H371=1,'Items sous domaines Maths '!F371,0)</f>
        <v>Représentation à l'aide d'une boite à moustache.</v>
      </c>
      <c r="G363" s="590"/>
      <c r="H363" s="578"/>
      <c r="I363" s="214"/>
    </row>
    <row r="364" spans="1:9" ht="19.95" customHeight="1" x14ac:dyDescent="0.25">
      <c r="A364" s="625"/>
      <c r="B364" s="127" t="str">
        <f>IF('Items sous domaines Maths '!H372=1,'Items sous domaines Maths '!B372,0)</f>
        <v>Probabilité et statistiques</v>
      </c>
      <c r="C364" s="128" t="str">
        <f>IF('Items sous domaines Maths '!H372=1,'Items sous domaines Maths '!C372,0)</f>
        <v>Les statistiques</v>
      </c>
      <c r="D364" s="128">
        <f>IF('Items sous domaines Maths '!H372=1,'Items sous domaines Maths '!D372,0)</f>
        <v>0</v>
      </c>
      <c r="E364" s="128" t="str">
        <f>IF('Items sous domaines Maths '!H372=1,'Items sous domaines Maths '!E372,0)</f>
        <v>Caractéristiques de dispersion</v>
      </c>
      <c r="F364" s="129" t="str">
        <f>IF('Items sous domaines Maths '!H372=1,'Items sous domaines Maths '!F372,0)</f>
        <v>Etendue, Intervalles inter quartillles</v>
      </c>
      <c r="G364" s="590"/>
      <c r="H364" s="578"/>
      <c r="I364" s="214"/>
    </row>
    <row r="365" spans="1:9" ht="19.95" customHeight="1" thickBot="1" x14ac:dyDescent="0.3">
      <c r="A365" s="626"/>
      <c r="B365" s="130" t="str">
        <f>IF('Items sous domaines Maths '!H373=1,'Items sous domaines Maths '!B373,0)</f>
        <v>Probabilité et statistiques</v>
      </c>
      <c r="C365" s="131" t="str">
        <f>IF('Items sous domaines Maths '!H373=1,'Items sous domaines Maths '!C373,0)</f>
        <v>Les statistiques</v>
      </c>
      <c r="D365" s="131">
        <f>IF('Items sous domaines Maths '!H373=1,'Items sous domaines Maths '!D373,0)</f>
        <v>0</v>
      </c>
      <c r="E365" s="131">
        <f>IF('Items sous domaines Maths '!H373=1,'Items sous domaines Maths '!E373,0)</f>
        <v>0</v>
      </c>
      <c r="F365" s="132" t="str">
        <f>IF('Items sous domaines Maths '!H373=1,'Items sous domaines Maths '!F373,0)</f>
        <v xml:space="preserve">Variance, Ecart type. </v>
      </c>
      <c r="G365" s="591"/>
      <c r="H365" s="579"/>
      <c r="I365" s="218"/>
    </row>
    <row r="366" spans="1:9" customFormat="1" ht="13.8" hidden="1" thickTop="1" x14ac:dyDescent="0.25">
      <c r="A366" s="628"/>
      <c r="B366">
        <f>IF('Items sous domaines Maths '!H374=1,'Items sous domaines Maths '!B374,0)</f>
        <v>0</v>
      </c>
      <c r="C366">
        <f>IF('Items sous domaines Maths '!H374=1,'Items sous domaines Maths '!C374,0)</f>
        <v>0</v>
      </c>
      <c r="D366">
        <f>IF('Items sous domaines Maths '!H374=1,'Items sous domaines Maths '!D374,0)</f>
        <v>0</v>
      </c>
      <c r="E366">
        <f>IF('Items sous domaines Maths '!H374=1,'Items sous domaines Maths '!E374,0)</f>
        <v>0</v>
      </c>
      <c r="F366" s="10">
        <f>IF('Items sous domaines Maths '!H374=1,'Items sous domaines Maths '!F374,0)</f>
        <v>0</v>
      </c>
      <c r="G366">
        <f>IF('Items sous domaines Maths '!H374=1,'Items sous domaines Maths '!G374,0)</f>
        <v>0</v>
      </c>
    </row>
    <row r="367" spans="1:9" customFormat="1" ht="13.8" hidden="1" thickTop="1" x14ac:dyDescent="0.25">
      <c r="A367" s="627"/>
      <c r="B367">
        <f>IF('Items sous domaines Maths '!H375=1,'Items sous domaines Maths '!B375,0)</f>
        <v>0</v>
      </c>
      <c r="C367">
        <f>IF('Items sous domaines Maths '!H375=1,'Items sous domaines Maths '!C375,0)</f>
        <v>0</v>
      </c>
      <c r="D367">
        <f>IF('Items sous domaines Maths '!H375=1,'Items sous domaines Maths '!D375,0)</f>
        <v>0</v>
      </c>
      <c r="E367">
        <f>IF('Items sous domaines Maths '!H375=1,'Items sous domaines Maths '!E375,0)</f>
        <v>0</v>
      </c>
      <c r="F367" s="10">
        <f>IF('Items sous domaines Maths '!H375=1,'Items sous domaines Maths '!F375,0)</f>
        <v>0</v>
      </c>
      <c r="G367">
        <f>IF('Items sous domaines Maths '!H375=1,'Items sous domaines Maths '!G375,0)</f>
        <v>0</v>
      </c>
    </row>
    <row r="368" spans="1:9" customFormat="1" ht="13.8" hidden="1" thickTop="1" x14ac:dyDescent="0.25">
      <c r="A368" s="627"/>
      <c r="B368">
        <f>IF('Items sous domaines Maths '!H376=1,'Items sous domaines Maths '!B376,0)</f>
        <v>0</v>
      </c>
      <c r="C368">
        <f>IF('Items sous domaines Maths '!H376=1,'Items sous domaines Maths '!C376,0)</f>
        <v>0</v>
      </c>
      <c r="D368">
        <f>IF('Items sous domaines Maths '!H376=1,'Items sous domaines Maths '!D376,0)</f>
        <v>0</v>
      </c>
      <c r="E368">
        <f>IF('Items sous domaines Maths '!H376=1,'Items sous domaines Maths '!E376,0)</f>
        <v>0</v>
      </c>
      <c r="F368" s="10">
        <f>IF('Items sous domaines Maths '!H376=1,'Items sous domaines Maths '!F376,0)</f>
        <v>0</v>
      </c>
      <c r="G368">
        <f>IF('Items sous domaines Maths '!H376=1,'Items sous domaines Maths '!G376,0)</f>
        <v>0</v>
      </c>
    </row>
    <row r="369" spans="1:7" customFormat="1" ht="13.8" hidden="1" thickTop="1" x14ac:dyDescent="0.25">
      <c r="A369" s="627"/>
      <c r="B369">
        <f>IF('Items sous domaines Maths '!H377=1,'Items sous domaines Maths '!B377,0)</f>
        <v>0</v>
      </c>
      <c r="C369">
        <f>IF('Items sous domaines Maths '!H377=1,'Items sous domaines Maths '!C377,0)</f>
        <v>0</v>
      </c>
      <c r="D369">
        <f>IF('Items sous domaines Maths '!H377=1,'Items sous domaines Maths '!D377,0)</f>
        <v>0</v>
      </c>
      <c r="E369">
        <f>IF('Items sous domaines Maths '!H377=1,'Items sous domaines Maths '!E377,0)</f>
        <v>0</v>
      </c>
      <c r="F369" s="10">
        <f>IF('Items sous domaines Maths '!H377=1,'Items sous domaines Maths '!F377,0)</f>
        <v>0</v>
      </c>
      <c r="G369">
        <f>IF('Items sous domaines Maths '!H377=1,'Items sous domaines Maths '!G377,0)</f>
        <v>0</v>
      </c>
    </row>
    <row r="370" spans="1:7" customFormat="1" ht="13.8" hidden="1" thickTop="1" x14ac:dyDescent="0.25">
      <c r="A370" s="627"/>
      <c r="B370">
        <f>IF('Items sous domaines Maths '!H378=1,'Items sous domaines Maths '!B378,0)</f>
        <v>0</v>
      </c>
      <c r="C370">
        <f>IF('Items sous domaines Maths '!H378=1,'Items sous domaines Maths '!C378,0)</f>
        <v>0</v>
      </c>
      <c r="D370">
        <f>IF('Items sous domaines Maths '!H378=1,'Items sous domaines Maths '!D378,0)</f>
        <v>0</v>
      </c>
      <c r="E370">
        <f>IF('Items sous domaines Maths '!H378=1,'Items sous domaines Maths '!E378,0)</f>
        <v>0</v>
      </c>
      <c r="F370" s="10">
        <f>IF('Items sous domaines Maths '!H378=1,'Items sous domaines Maths '!F378,0)</f>
        <v>0</v>
      </c>
      <c r="G370">
        <f>IF('Items sous domaines Maths '!H378=1,'Items sous domaines Maths '!G378,0)</f>
        <v>0</v>
      </c>
    </row>
    <row r="371" spans="1:7" customFormat="1" ht="13.8" hidden="1" thickTop="1" x14ac:dyDescent="0.25">
      <c r="A371" s="627"/>
      <c r="B371">
        <f>IF('Items sous domaines Maths '!H379=1,'Items sous domaines Maths '!B379,0)</f>
        <v>0</v>
      </c>
      <c r="C371">
        <f>IF('Items sous domaines Maths '!H379=1,'Items sous domaines Maths '!C379,0)</f>
        <v>0</v>
      </c>
      <c r="D371">
        <f>IF('Items sous domaines Maths '!H379=1,'Items sous domaines Maths '!D379,0)</f>
        <v>0</v>
      </c>
      <c r="E371">
        <f>IF('Items sous domaines Maths '!H379=1,'Items sous domaines Maths '!E379,0)</f>
        <v>0</v>
      </c>
      <c r="F371" s="10">
        <f>IF('Items sous domaines Maths '!H379=1,'Items sous domaines Maths '!F379,0)</f>
        <v>0</v>
      </c>
      <c r="G371">
        <f>IF('Items sous domaines Maths '!H379=1,'Items sous domaines Maths '!G379,0)</f>
        <v>0</v>
      </c>
    </row>
    <row r="372" spans="1:7" customFormat="1" ht="13.8" hidden="1" thickTop="1" x14ac:dyDescent="0.25">
      <c r="A372" s="627"/>
      <c r="B372">
        <f>IF('Items sous domaines Maths '!H380=1,'Items sous domaines Maths '!B380,0)</f>
        <v>0</v>
      </c>
      <c r="C372">
        <f>IF('Items sous domaines Maths '!H380=1,'Items sous domaines Maths '!C380,0)</f>
        <v>0</v>
      </c>
      <c r="D372">
        <f>IF('Items sous domaines Maths '!H380=1,'Items sous domaines Maths '!D380,0)</f>
        <v>0</v>
      </c>
      <c r="E372">
        <f>IF('Items sous domaines Maths '!H380=1,'Items sous domaines Maths '!E380,0)</f>
        <v>0</v>
      </c>
      <c r="F372" s="10">
        <f>IF('Items sous domaines Maths '!H380=1,'Items sous domaines Maths '!F380,0)</f>
        <v>0</v>
      </c>
      <c r="G372">
        <f>IF('Items sous domaines Maths '!H380=1,'Items sous domaines Maths '!G380,0)</f>
        <v>0</v>
      </c>
    </row>
    <row r="373" spans="1:7" customFormat="1" ht="13.8" hidden="1" thickTop="1" x14ac:dyDescent="0.25">
      <c r="A373" s="627"/>
      <c r="B373">
        <f>IF('Items sous domaines Maths '!H381=1,'Items sous domaines Maths '!B381,0)</f>
        <v>0</v>
      </c>
      <c r="C373">
        <f>IF('Items sous domaines Maths '!H381=1,'Items sous domaines Maths '!C381,0)</f>
        <v>0</v>
      </c>
      <c r="D373">
        <f>IF('Items sous domaines Maths '!H381=1,'Items sous domaines Maths '!D381,0)</f>
        <v>0</v>
      </c>
      <c r="E373">
        <f>IF('Items sous domaines Maths '!H381=1,'Items sous domaines Maths '!E381,0)</f>
        <v>0</v>
      </c>
      <c r="F373" s="10">
        <f>IF('Items sous domaines Maths '!H381=1,'Items sous domaines Maths '!F381,0)</f>
        <v>0</v>
      </c>
      <c r="G373">
        <f>IF('Items sous domaines Maths '!H381=1,'Items sous domaines Maths '!G381,0)</f>
        <v>0</v>
      </c>
    </row>
    <row r="374" spans="1:7" customFormat="1" ht="13.8" hidden="1" thickTop="1" x14ac:dyDescent="0.25">
      <c r="A374" s="627"/>
      <c r="B374">
        <f>IF('Items sous domaines Maths '!H383=1,'Items sous domaines Maths '!B383,0)</f>
        <v>0</v>
      </c>
      <c r="C374">
        <f>IF('Items sous domaines Maths '!H383=1,'Items sous domaines Maths '!C383,0)</f>
        <v>0</v>
      </c>
      <c r="D374">
        <f>IF('Items sous domaines Maths '!H383=1,'Items sous domaines Maths '!D383,0)</f>
        <v>0</v>
      </c>
      <c r="E374">
        <f>IF('Items sous domaines Maths '!H383=1,'Items sous domaines Maths '!E383,0)</f>
        <v>0</v>
      </c>
      <c r="F374" s="10">
        <f>IF('Items sous domaines Maths '!H383=1,'Items sous domaines Maths '!F383,0)</f>
        <v>0</v>
      </c>
      <c r="G374">
        <f>IF('Items sous domaines Maths '!H383=1,'Items sous domaines Maths '!G383,0)</f>
        <v>0</v>
      </c>
    </row>
    <row r="375" spans="1:7" customFormat="1" ht="13.8" hidden="1" thickTop="1" x14ac:dyDescent="0.25">
      <c r="A375" s="627"/>
      <c r="B375">
        <f>IF('Items sous domaines Maths '!H384=1,'Items sous domaines Maths '!B384,0)</f>
        <v>0</v>
      </c>
      <c r="C375">
        <f>IF('Items sous domaines Maths '!H384=1,'Items sous domaines Maths '!C384,0)</f>
        <v>0</v>
      </c>
      <c r="D375">
        <f>IF('Items sous domaines Maths '!H384=1,'Items sous domaines Maths '!D384,0)</f>
        <v>0</v>
      </c>
      <c r="E375">
        <f>IF('Items sous domaines Maths '!H384=1,'Items sous domaines Maths '!E384,0)</f>
        <v>0</v>
      </c>
      <c r="F375" s="10">
        <f>IF('Items sous domaines Maths '!H384=1,'Items sous domaines Maths '!F384,0)</f>
        <v>0</v>
      </c>
      <c r="G375">
        <f>IF('Items sous domaines Maths '!H384=1,'Items sous domaines Maths '!G384,0)</f>
        <v>0</v>
      </c>
    </row>
    <row r="376" spans="1:7" customFormat="1" ht="13.8" hidden="1" thickTop="1" x14ac:dyDescent="0.25">
      <c r="A376" s="627"/>
      <c r="B376">
        <f>IF('Items sous domaines Maths '!H385=1,'Items sous domaines Maths '!B385,0)</f>
        <v>0</v>
      </c>
      <c r="C376">
        <f>IF('Items sous domaines Maths '!H385=1,'Items sous domaines Maths '!C385,0)</f>
        <v>0</v>
      </c>
      <c r="D376">
        <f>IF('Items sous domaines Maths '!H385=1,'Items sous domaines Maths '!D385,0)</f>
        <v>0</v>
      </c>
      <c r="E376">
        <f>IF('Items sous domaines Maths '!H385=1,'Items sous domaines Maths '!E385,0)</f>
        <v>0</v>
      </c>
      <c r="F376" s="10">
        <f>IF('Items sous domaines Maths '!H385=1,'Items sous domaines Maths '!F385,0)</f>
        <v>0</v>
      </c>
      <c r="G376">
        <f>IF('Items sous domaines Maths '!H385=1,'Items sous domaines Maths '!G385,0)</f>
        <v>0</v>
      </c>
    </row>
    <row r="377" spans="1:7" customFormat="1" ht="13.8" hidden="1" thickTop="1" x14ac:dyDescent="0.25">
      <c r="A377" s="627"/>
      <c r="B377">
        <f>IF('Items sous domaines Maths '!H386=1,'Items sous domaines Maths '!B386,0)</f>
        <v>0</v>
      </c>
      <c r="C377">
        <f>IF('Items sous domaines Maths '!H386=1,'Items sous domaines Maths '!C386,0)</f>
        <v>0</v>
      </c>
      <c r="D377">
        <f>IF('Items sous domaines Maths '!H386=1,'Items sous domaines Maths '!D386,0)</f>
        <v>0</v>
      </c>
      <c r="E377">
        <f>IF('Items sous domaines Maths '!H386=1,'Items sous domaines Maths '!E386,0)</f>
        <v>0</v>
      </c>
      <c r="F377" s="10">
        <f>IF('Items sous domaines Maths '!H386=1,'Items sous domaines Maths '!F386,0)</f>
        <v>0</v>
      </c>
      <c r="G377">
        <f>IF('Items sous domaines Maths '!H386=1,'Items sous domaines Maths '!G386,0)</f>
        <v>0</v>
      </c>
    </row>
    <row r="378" spans="1:7" customFormat="1" ht="13.8" hidden="1" thickTop="1" x14ac:dyDescent="0.25">
      <c r="A378" s="627"/>
      <c r="B378">
        <f>IF('Items sous domaines Maths '!H387=1,'Items sous domaines Maths '!B387,0)</f>
        <v>0</v>
      </c>
      <c r="C378">
        <f>IF('Items sous domaines Maths '!H387=1,'Items sous domaines Maths '!C387,0)</f>
        <v>0</v>
      </c>
      <c r="D378">
        <f>IF('Items sous domaines Maths '!H387=1,'Items sous domaines Maths '!D387,0)</f>
        <v>0</v>
      </c>
      <c r="E378">
        <f>IF('Items sous domaines Maths '!H387=1,'Items sous domaines Maths '!E387,0)</f>
        <v>0</v>
      </c>
      <c r="F378" s="10">
        <f>IF('Items sous domaines Maths '!H387=1,'Items sous domaines Maths '!F387,0)</f>
        <v>0</v>
      </c>
      <c r="G378">
        <f>IF('Items sous domaines Maths '!H387=1,'Items sous domaines Maths '!G387,0)</f>
        <v>0</v>
      </c>
    </row>
    <row r="379" spans="1:7" customFormat="1" ht="14.4" hidden="1" thickTop="1" thickBot="1" x14ac:dyDescent="0.3">
      <c r="A379" s="611"/>
      <c r="B379" s="11">
        <f>IF('Items sous domaines Maths '!H388=1,'Items sous domaines Maths '!B388,0)</f>
        <v>0</v>
      </c>
      <c r="C379" s="11">
        <f>IF('Items sous domaines Maths '!H388=1,'Items sous domaines Maths '!C388,0)</f>
        <v>0</v>
      </c>
      <c r="D379" s="11">
        <f>IF('Items sous domaines Maths '!H388=1,'Items sous domaines Maths '!D388,0)</f>
        <v>0</v>
      </c>
      <c r="E379" s="11">
        <f>IF('Items sous domaines Maths '!H388=1,'Items sous domaines Maths '!E388,0)</f>
        <v>0</v>
      </c>
      <c r="F379" s="12">
        <f>IF('Items sous domaines Maths '!H388=1,'Items sous domaines Maths '!F388,0)</f>
        <v>0</v>
      </c>
      <c r="G379">
        <f>IF('Items sous domaines Maths '!H388=1,'Items sous domaines Maths '!G388,0)</f>
        <v>0</v>
      </c>
    </row>
    <row r="380" spans="1:7" customFormat="1" ht="13.2" hidden="1" x14ac:dyDescent="0.25">
      <c r="B380">
        <f>IF('Items sous domaines Maths '!H389=1,'Items sous domaines Maths '!B389,0)</f>
        <v>0</v>
      </c>
      <c r="C380">
        <f>IF('Items sous domaines Maths '!H389=1,'Items sous domaines Maths '!C389,0)</f>
        <v>0</v>
      </c>
      <c r="D380">
        <f>IF('Items sous domaines Maths '!H389=1,'Items sous domaines Maths '!D389,0)</f>
        <v>0</v>
      </c>
      <c r="E380">
        <f>IF('Items sous domaines Maths '!H389=1,'Items sous domaines Maths '!E389,0)</f>
        <v>0</v>
      </c>
      <c r="F380">
        <f>IF('Items sous domaines Maths '!H389=1,'Items sous domaines Maths '!F389,0)</f>
        <v>0</v>
      </c>
      <c r="G380">
        <f>IF('Items sous domaines Maths '!H389=1,'Items sous domaines Maths '!G389,0)</f>
        <v>0</v>
      </c>
    </row>
    <row r="381" spans="1:7" customFormat="1" ht="13.2" hidden="1" x14ac:dyDescent="0.25">
      <c r="B381">
        <f>IF('Items sous domaines Maths '!H390=1,'Items sous domaines Maths '!B390,0)</f>
        <v>0</v>
      </c>
      <c r="C381">
        <f>IF('Items sous domaines Maths '!H390=1,'Items sous domaines Maths '!C390,0)</f>
        <v>0</v>
      </c>
      <c r="D381">
        <f>IF('Items sous domaines Maths '!H390=1,'Items sous domaines Maths '!D390,0)</f>
        <v>0</v>
      </c>
      <c r="E381">
        <f>IF('Items sous domaines Maths '!H390=1,'Items sous domaines Maths '!E390,0)</f>
        <v>0</v>
      </c>
      <c r="F381">
        <f>IF('Items sous domaines Maths '!H390=1,'Items sous domaines Maths '!F390,0)</f>
        <v>0</v>
      </c>
      <c r="G381">
        <f>IF('Items sous domaines Maths '!H390=1,'Items sous domaines Maths '!G390,0)</f>
        <v>0</v>
      </c>
    </row>
    <row r="382" spans="1:7" customFormat="1" ht="13.2" hidden="1" x14ac:dyDescent="0.25">
      <c r="B382">
        <f>IF('Items sous domaines Maths '!H391=1,'Items sous domaines Maths '!B391,0)</f>
        <v>0</v>
      </c>
      <c r="C382">
        <f>IF('Items sous domaines Maths '!H391=1,'Items sous domaines Maths '!C391,0)</f>
        <v>0</v>
      </c>
      <c r="D382">
        <f>IF('Items sous domaines Maths '!H391=1,'Items sous domaines Maths '!D391,0)</f>
        <v>0</v>
      </c>
      <c r="E382">
        <f>IF('Items sous domaines Maths '!H391=1,'Items sous domaines Maths '!E391,0)</f>
        <v>0</v>
      </c>
      <c r="F382">
        <f>IF('Items sous domaines Maths '!H391=1,'Items sous domaines Maths '!F391,0)</f>
        <v>0</v>
      </c>
      <c r="G382">
        <f>IF('Items sous domaines Maths '!H391=1,'Items sous domaines Maths '!G391,0)</f>
        <v>0</v>
      </c>
    </row>
    <row r="383" spans="1:7" customFormat="1" ht="13.2" hidden="1" x14ac:dyDescent="0.25">
      <c r="B383">
        <f>IF('Items sous domaines Maths '!H392=1,'Items sous domaines Maths '!B392,0)</f>
        <v>0</v>
      </c>
      <c r="C383">
        <f>IF('Items sous domaines Maths '!H392=1,'Items sous domaines Maths '!C392,0)</f>
        <v>0</v>
      </c>
      <c r="D383">
        <f>IF('Items sous domaines Maths '!H392=1,'Items sous domaines Maths '!D392,0)</f>
        <v>0</v>
      </c>
      <c r="E383">
        <f>IF('Items sous domaines Maths '!H392=1,'Items sous domaines Maths '!E392,0)</f>
        <v>0</v>
      </c>
      <c r="F383">
        <f>IF('Items sous domaines Maths '!H392=1,'Items sous domaines Maths '!F392,0)</f>
        <v>0</v>
      </c>
      <c r="G383">
        <f>IF('Items sous domaines Maths '!H392=1,'Items sous domaines Maths '!G392,0)</f>
        <v>0</v>
      </c>
    </row>
    <row r="384" spans="1:7" customFormat="1" ht="13.2" hidden="1" x14ac:dyDescent="0.25">
      <c r="B384">
        <f>IF('Items sous domaines Maths '!H393=1,'Items sous domaines Maths '!B393,0)</f>
        <v>0</v>
      </c>
      <c r="C384">
        <f>IF('Items sous domaines Maths '!H393=1,'Items sous domaines Maths '!C393,0)</f>
        <v>0</v>
      </c>
      <c r="D384">
        <f>IF('Items sous domaines Maths '!H393=1,'Items sous domaines Maths '!D393,0)</f>
        <v>0</v>
      </c>
      <c r="E384">
        <f>IF('Items sous domaines Maths '!H393=1,'Items sous domaines Maths '!E393,0)</f>
        <v>0</v>
      </c>
      <c r="F384">
        <f>IF('Items sous domaines Maths '!H393=1,'Items sous domaines Maths '!F393,0)</f>
        <v>0</v>
      </c>
      <c r="G384">
        <f>IF('Items sous domaines Maths '!H393=1,'Items sous domaines Maths '!G393,0)</f>
        <v>0</v>
      </c>
    </row>
    <row r="385" spans="2:8" customFormat="1" ht="13.2" hidden="1" x14ac:dyDescent="0.25">
      <c r="B385">
        <f>IF('Items sous domaines Maths '!H394=1,'Items sous domaines Maths '!B394,0)</f>
        <v>0</v>
      </c>
      <c r="C385">
        <f>IF('Items sous domaines Maths '!H394=1,'Items sous domaines Maths '!C394,0)</f>
        <v>0</v>
      </c>
      <c r="D385">
        <f>IF('Items sous domaines Maths '!H394=1,'Items sous domaines Maths '!D394,0)</f>
        <v>0</v>
      </c>
      <c r="E385">
        <f>IF('Items sous domaines Maths '!H394=1,'Items sous domaines Maths '!E394,0)</f>
        <v>0</v>
      </c>
      <c r="F385">
        <f>IF('Items sous domaines Maths '!H394=1,'Items sous domaines Maths '!F394,0)</f>
        <v>0</v>
      </c>
      <c r="G385">
        <f>IF('Items sous domaines Maths '!H394=1,'Items sous domaines Maths '!G394,0)</f>
        <v>0</v>
      </c>
    </row>
    <row r="386" spans="2:8" customFormat="1" ht="13.2" hidden="1" x14ac:dyDescent="0.25">
      <c r="B386">
        <f>IF('Items sous domaines Maths '!H395=1,'Items sous domaines Maths '!B395,0)</f>
        <v>0</v>
      </c>
      <c r="C386">
        <f>IF('Items sous domaines Maths '!H395=1,'Items sous domaines Maths '!C395,0)</f>
        <v>0</v>
      </c>
      <c r="D386">
        <f>IF('Items sous domaines Maths '!H395=1,'Items sous domaines Maths '!D395,0)</f>
        <v>0</v>
      </c>
      <c r="E386">
        <f>IF('Items sous domaines Maths '!H395=1,'Items sous domaines Maths '!E395,0)</f>
        <v>0</v>
      </c>
      <c r="F386">
        <f>IF('Items sous domaines Maths '!H395=1,'Items sous domaines Maths '!F395,0)</f>
        <v>0</v>
      </c>
      <c r="G386">
        <f>IF('Items sous domaines Maths '!H395=1,'Items sous domaines Maths '!G395,0)</f>
        <v>0</v>
      </c>
    </row>
    <row r="387" spans="2:8" customFormat="1" ht="13.2" hidden="1" x14ac:dyDescent="0.25">
      <c r="B387">
        <f>IF('Items sous domaines Maths '!H396=1,'Items sous domaines Maths '!B396,0)</f>
        <v>0</v>
      </c>
      <c r="C387">
        <f>IF('Items sous domaines Maths '!H396=1,'Items sous domaines Maths '!C396,0)</f>
        <v>0</v>
      </c>
      <c r="D387">
        <f>IF('Items sous domaines Maths '!H396=1,'Items sous domaines Maths '!D396,0)</f>
        <v>0</v>
      </c>
      <c r="E387">
        <f>IF('Items sous domaines Maths '!H396=1,'Items sous domaines Maths '!E396,0)</f>
        <v>0</v>
      </c>
      <c r="F387">
        <f>IF('Items sous domaines Maths '!H396=1,'Items sous domaines Maths '!F396,0)</f>
        <v>0</v>
      </c>
      <c r="G387">
        <f>IF('Items sous domaines Maths '!H396=1,'Items sous domaines Maths '!G396,0)</f>
        <v>0</v>
      </c>
    </row>
    <row r="388" spans="2:8" customFormat="1" ht="13.2" hidden="1" x14ac:dyDescent="0.25">
      <c r="B388">
        <f>IF('Items sous domaines Maths '!H397=1,'Items sous domaines Maths '!B397,0)</f>
        <v>0</v>
      </c>
      <c r="C388">
        <f>IF('Items sous domaines Maths '!H397=1,'Items sous domaines Maths '!C397,0)</f>
        <v>0</v>
      </c>
      <c r="D388">
        <f>IF('Items sous domaines Maths '!H397=1,'Items sous domaines Maths '!D397,0)</f>
        <v>0</v>
      </c>
      <c r="E388">
        <f>IF('Items sous domaines Maths '!H397=1,'Items sous domaines Maths '!E397,0)</f>
        <v>0</v>
      </c>
      <c r="F388">
        <f>IF('Items sous domaines Maths '!H397=1,'Items sous domaines Maths '!F397,0)</f>
        <v>0</v>
      </c>
      <c r="G388">
        <f>IF('Items sous domaines Maths '!H397=1,'Items sous domaines Maths '!G397,0)</f>
        <v>0</v>
      </c>
    </row>
    <row r="389" spans="2:8" customFormat="1" ht="13.2" hidden="1" x14ac:dyDescent="0.25">
      <c r="B389">
        <f>IF('Items sous domaines Maths '!H398=1,'Items sous domaines Maths '!B398,0)</f>
        <v>0</v>
      </c>
      <c r="C389">
        <f>IF('Items sous domaines Maths '!H398=1,'Items sous domaines Maths '!C398,0)</f>
        <v>0</v>
      </c>
      <c r="D389">
        <f>IF('Items sous domaines Maths '!H398=1,'Items sous domaines Maths '!D398,0)</f>
        <v>0</v>
      </c>
      <c r="E389">
        <f>IF('Items sous domaines Maths '!H398=1,'Items sous domaines Maths '!E398,0)</f>
        <v>0</v>
      </c>
      <c r="F389">
        <f>IF('Items sous domaines Maths '!H398=1,'Items sous domaines Maths '!F398,0)</f>
        <v>0</v>
      </c>
      <c r="G389">
        <f>IF('Items sous domaines Maths '!H398=1,'Items sous domaines Maths '!G398,0)</f>
        <v>0</v>
      </c>
    </row>
    <row r="390" spans="2:8" customFormat="1" ht="13.2" hidden="1" x14ac:dyDescent="0.25">
      <c r="B390">
        <f>IF('Items sous domaines Maths '!H399=1,'Items sous domaines Maths '!B399,0)</f>
        <v>0</v>
      </c>
      <c r="C390">
        <f>IF('Items sous domaines Maths '!H399=1,'Items sous domaines Maths '!C399,0)</f>
        <v>0</v>
      </c>
      <c r="D390">
        <f>IF('Items sous domaines Maths '!H399=1,'Items sous domaines Maths '!D399,0)</f>
        <v>0</v>
      </c>
      <c r="E390">
        <f>IF('Items sous domaines Maths '!H399=1,'Items sous domaines Maths '!E399,0)</f>
        <v>0</v>
      </c>
      <c r="F390">
        <f>IF('Items sous domaines Maths '!H399=1,'Items sous domaines Maths '!F399,0)</f>
        <v>0</v>
      </c>
      <c r="G390">
        <f>IF('Items sous domaines Maths '!H399=1,'Items sous domaines Maths '!G399,0)</f>
        <v>0</v>
      </c>
    </row>
    <row r="391" spans="2:8" customFormat="1" ht="13.2" hidden="1" x14ac:dyDescent="0.25">
      <c r="B391">
        <f>IF('Items sous domaines Maths '!H400=1,'Items sous domaines Maths '!B400,0)</f>
        <v>0</v>
      </c>
      <c r="C391">
        <f>IF('Items sous domaines Maths '!H400=1,'Items sous domaines Maths '!C400,0)</f>
        <v>0</v>
      </c>
      <c r="D391">
        <f>IF('Items sous domaines Maths '!H400=1,'Items sous domaines Maths '!D400,0)</f>
        <v>0</v>
      </c>
      <c r="E391">
        <f>IF('Items sous domaines Maths '!H400=1,'Items sous domaines Maths '!E400,0)</f>
        <v>0</v>
      </c>
      <c r="F391">
        <f>IF('Items sous domaines Maths '!H400=1,'Items sous domaines Maths '!F400,0)</f>
        <v>0</v>
      </c>
      <c r="G391">
        <f>IF('Items sous domaines Maths '!H400=1,'Items sous domaines Maths '!G400,0)</f>
        <v>0</v>
      </c>
      <c r="H391" s="3"/>
    </row>
    <row r="392" spans="2:8" customFormat="1" ht="13.2" hidden="1" x14ac:dyDescent="0.25">
      <c r="B392">
        <f>IF('Items sous domaines Maths '!H416=1,'Items sous domaines Maths '!B416,0)</f>
        <v>0</v>
      </c>
      <c r="C392">
        <f>IF('Items sous domaines Maths '!H416=1,'Items sous domaines Maths '!C416,0)</f>
        <v>0</v>
      </c>
      <c r="D392">
        <f>IF('Items sous domaines Maths '!H416=1,'Items sous domaines Maths '!D416,0)</f>
        <v>0</v>
      </c>
      <c r="E392">
        <f>IF('Items sous domaines Maths '!H416=1,'Items sous domaines Maths '!E416,0)</f>
        <v>0</v>
      </c>
      <c r="F392">
        <f>IF('Items sous domaines Maths '!H416=1,'Items sous domaines Maths '!F416,0)</f>
        <v>0</v>
      </c>
      <c r="G392">
        <f>IF('Items sous domaines Maths '!H416=1,'Items sous domaines Maths '!G416,0)</f>
        <v>0</v>
      </c>
      <c r="H392" s="3"/>
    </row>
    <row r="393" spans="2:8" customFormat="1" ht="13.2" hidden="1" x14ac:dyDescent="0.25">
      <c r="B393">
        <f>IF('Items sous domaines Maths '!H417=1,'Items sous domaines Maths '!B417,0)</f>
        <v>0</v>
      </c>
      <c r="C393">
        <f>IF('Items sous domaines Maths '!H417=1,'Items sous domaines Maths '!C417,0)</f>
        <v>0</v>
      </c>
      <c r="D393">
        <f>IF('Items sous domaines Maths '!H417=1,'Items sous domaines Maths '!D417,0)</f>
        <v>0</v>
      </c>
      <c r="E393">
        <f>IF('Items sous domaines Maths '!H417=1,'Items sous domaines Maths '!E417,0)</f>
        <v>0</v>
      </c>
      <c r="F393">
        <f>IF('Items sous domaines Maths '!H417=1,'Items sous domaines Maths '!#REF!,0)</f>
        <v>0</v>
      </c>
      <c r="G393">
        <f>IF('Items sous domaines Maths '!H417=1,'Items sous domaines Maths '!G417,0)</f>
        <v>0</v>
      </c>
      <c r="H393" s="3"/>
    </row>
    <row r="394" spans="2:8" customFormat="1" ht="13.2" hidden="1" x14ac:dyDescent="0.25">
      <c r="B394">
        <f>IF('Items sous domaines Maths '!H418=1,'Items sous domaines Maths '!B418,0)</f>
        <v>0</v>
      </c>
      <c r="C394">
        <f>IF('Items sous domaines Maths '!H418=1,'Items sous domaines Maths '!C418,0)</f>
        <v>0</v>
      </c>
      <c r="D394">
        <f>IF('Items sous domaines Maths '!H418=1,'Items sous domaines Maths '!D418,0)</f>
        <v>0</v>
      </c>
      <c r="E394">
        <f>IF('Items sous domaines Maths '!H418=1,'Items sous domaines Maths '!E418,0)</f>
        <v>0</v>
      </c>
      <c r="F394">
        <f>IF('Items sous domaines Maths '!H418=1,'Items sous domaines Maths '!F417,0)</f>
        <v>0</v>
      </c>
      <c r="G394">
        <f>IF('Items sous domaines Maths '!H418=1,'Items sous domaines Maths '!G418,0)</f>
        <v>0</v>
      </c>
      <c r="H394" s="3"/>
    </row>
    <row r="395" spans="2:8" customFormat="1" ht="13.2" hidden="1" x14ac:dyDescent="0.25">
      <c r="B395">
        <f>IF('Items sous domaines Maths '!H419=1,'Items sous domaines Maths '!B419,0)</f>
        <v>0</v>
      </c>
      <c r="C395">
        <f>IF('Items sous domaines Maths '!H419=1,'Items sous domaines Maths '!C419,0)</f>
        <v>0</v>
      </c>
      <c r="D395">
        <f>IF('Items sous domaines Maths '!H419=1,'Items sous domaines Maths '!D419,0)</f>
        <v>0</v>
      </c>
      <c r="E395">
        <f>IF('Items sous domaines Maths '!H419=1,'Items sous domaines Maths '!E419,0)</f>
        <v>0</v>
      </c>
      <c r="F395">
        <f>IF('Items sous domaines Maths '!H419=1,'Items sous domaines Maths '!F418,0)</f>
        <v>0</v>
      </c>
      <c r="G395">
        <f>IF('Items sous domaines Maths '!H419=1,'Items sous domaines Maths '!G419,0)</f>
        <v>0</v>
      </c>
      <c r="H395" s="3"/>
    </row>
    <row r="396" spans="2:8" customFormat="1" ht="13.2" hidden="1" x14ac:dyDescent="0.25">
      <c r="B396">
        <f>IF('Items sous domaines Maths '!H420=1,'Items sous domaines Maths '!B420,0)</f>
        <v>0</v>
      </c>
      <c r="C396">
        <f>IF('Items sous domaines Maths '!H420=1,'Items sous domaines Maths '!C420,0)</f>
        <v>0</v>
      </c>
      <c r="D396">
        <f>IF('Items sous domaines Maths '!H420=1,'Items sous domaines Maths '!D420,0)</f>
        <v>0</v>
      </c>
      <c r="E396">
        <f>IF('Items sous domaines Maths '!H420=1,'Items sous domaines Maths '!E420,0)</f>
        <v>0</v>
      </c>
      <c r="F396">
        <f>IF('Items sous domaines Maths '!H420=1,'Items sous domaines Maths '!F419,0)</f>
        <v>0</v>
      </c>
      <c r="G396">
        <f>IF('Items sous domaines Maths '!H420=1,'Items sous domaines Maths '!G420,0)</f>
        <v>0</v>
      </c>
      <c r="H396" s="3"/>
    </row>
    <row r="397" spans="2:8" customFormat="1" ht="13.2" hidden="1" x14ac:dyDescent="0.25">
      <c r="B397">
        <f>IF('Items sous domaines Maths '!H421=1,'Items sous domaines Maths '!B421,0)</f>
        <v>0</v>
      </c>
      <c r="C397">
        <f>IF('Items sous domaines Maths '!H421=1,'Items sous domaines Maths '!C421,0)</f>
        <v>0</v>
      </c>
      <c r="D397">
        <f>IF('Items sous domaines Maths '!H421=1,'Items sous domaines Maths '!D421,0)</f>
        <v>0</v>
      </c>
      <c r="E397">
        <f>IF('Items sous domaines Maths '!H421=1,'Items sous domaines Maths '!E421,0)</f>
        <v>0</v>
      </c>
      <c r="F397">
        <f>IF('Items sous domaines Maths '!H421=1,'Items sous domaines Maths '!F420,0)</f>
        <v>0</v>
      </c>
      <c r="G397">
        <f>IF('Items sous domaines Maths '!H421=1,'Items sous domaines Maths '!G421,0)</f>
        <v>0</v>
      </c>
      <c r="H397" s="3"/>
    </row>
    <row r="398" spans="2:8" customFormat="1" ht="13.2" hidden="1" x14ac:dyDescent="0.25">
      <c r="B398">
        <f>IF('Items sous domaines Maths '!H422=1,'Items sous domaines Maths '!B422,0)</f>
        <v>0</v>
      </c>
      <c r="C398">
        <f>IF('Items sous domaines Maths '!H422=1,'Items sous domaines Maths '!C422,0)</f>
        <v>0</v>
      </c>
      <c r="D398">
        <f>IF('Items sous domaines Maths '!H422=1,'Items sous domaines Maths '!D422,0)</f>
        <v>0</v>
      </c>
      <c r="E398">
        <f>IF('Items sous domaines Maths '!H422=1,'Items sous domaines Maths '!E422,0)</f>
        <v>0</v>
      </c>
      <c r="F398">
        <f>IF('Items sous domaines Maths '!H422=1,'Items sous domaines Maths '!F421,0)</f>
        <v>0</v>
      </c>
      <c r="G398">
        <f>IF('Items sous domaines Maths '!H422=1,'Items sous domaines Maths '!G422,0)</f>
        <v>0</v>
      </c>
      <c r="H398" s="3"/>
    </row>
    <row r="399" spans="2:8" customFormat="1" ht="13.2" hidden="1" x14ac:dyDescent="0.25">
      <c r="B399">
        <f>IF('Items sous domaines Maths '!H423=1,'Items sous domaines Maths '!B423,0)</f>
        <v>0</v>
      </c>
      <c r="C399">
        <f>IF('Items sous domaines Maths '!H423=1,'Items sous domaines Maths '!C423,0)</f>
        <v>0</v>
      </c>
      <c r="D399">
        <f>IF('Items sous domaines Maths '!H423=1,'Items sous domaines Maths '!D423,0)</f>
        <v>0</v>
      </c>
      <c r="E399">
        <f>IF('Items sous domaines Maths '!H423=1,'Items sous domaines Maths '!E423,0)</f>
        <v>0</v>
      </c>
      <c r="F399">
        <f>IF('Items sous domaines Maths '!H423=1,'Items sous domaines Maths '!F422,0)</f>
        <v>0</v>
      </c>
      <c r="G399">
        <f>IF('Items sous domaines Maths '!H423=1,'Items sous domaines Maths '!G423,0)</f>
        <v>0</v>
      </c>
      <c r="H399" s="3"/>
    </row>
    <row r="400" spans="2:8" customFormat="1" ht="13.2" hidden="1" x14ac:dyDescent="0.25">
      <c r="B400">
        <f>IF('Items sous domaines Maths '!H424=1,'Items sous domaines Maths '!B424,0)</f>
        <v>0</v>
      </c>
      <c r="C400">
        <f>IF('Items sous domaines Maths '!H424=1,'Items sous domaines Maths '!C424,0)</f>
        <v>0</v>
      </c>
      <c r="D400">
        <f>IF('Items sous domaines Maths '!H424=1,'Items sous domaines Maths '!D424,0)</f>
        <v>0</v>
      </c>
      <c r="E400">
        <f>IF('Items sous domaines Maths '!H424=1,'Items sous domaines Maths '!E424,0)</f>
        <v>0</v>
      </c>
      <c r="F400">
        <f>IF('Items sous domaines Maths '!H424=1,'Items sous domaines Maths '!F423,0)</f>
        <v>0</v>
      </c>
      <c r="G400">
        <f>IF('Items sous domaines Maths '!H424=1,'Items sous domaines Maths '!G424,0)</f>
        <v>0</v>
      </c>
      <c r="H400" s="3"/>
    </row>
    <row r="401" spans="2:8" customFormat="1" ht="13.2" hidden="1" x14ac:dyDescent="0.25">
      <c r="B401">
        <f>IF('Items sous domaines Maths '!H425=1,'Items sous domaines Maths '!B425,0)</f>
        <v>0</v>
      </c>
      <c r="C401">
        <f>IF('Items sous domaines Maths '!H425=1,'Items sous domaines Maths '!C425,0)</f>
        <v>0</v>
      </c>
      <c r="D401">
        <f>IF('Items sous domaines Maths '!H425=1,'Items sous domaines Maths '!D425,0)</f>
        <v>0</v>
      </c>
      <c r="E401">
        <f>IF('Items sous domaines Maths '!H425=1,'Items sous domaines Maths '!E425,0)</f>
        <v>0</v>
      </c>
      <c r="F401">
        <f>IF('Items sous domaines Maths '!H425=1,'Items sous domaines Maths '!F424,0)</f>
        <v>0</v>
      </c>
      <c r="G401">
        <f>IF('Items sous domaines Maths '!H425=1,'Items sous domaines Maths '!G425,0)</f>
        <v>0</v>
      </c>
      <c r="H401" s="3"/>
    </row>
    <row r="402" spans="2:8" customFormat="1" ht="13.2" hidden="1" x14ac:dyDescent="0.25">
      <c r="B402">
        <f>IF('Items sous domaines Maths '!H426=1,'Items sous domaines Maths '!B426,0)</f>
        <v>0</v>
      </c>
      <c r="C402">
        <f>IF('Items sous domaines Maths '!H426=1,'Items sous domaines Maths '!C426,0)</f>
        <v>0</v>
      </c>
      <c r="D402">
        <f>IF('Items sous domaines Maths '!H426=1,'Items sous domaines Maths '!D426,0)</f>
        <v>0</v>
      </c>
      <c r="E402">
        <f>IF('Items sous domaines Maths '!H426=1,'Items sous domaines Maths '!E426,0)</f>
        <v>0</v>
      </c>
      <c r="F402">
        <f>IF('Items sous domaines Maths '!H426=1,'Items sous domaines Maths '!F425,0)</f>
        <v>0</v>
      </c>
      <c r="G402">
        <f>IF('Items sous domaines Maths '!H426=1,'Items sous domaines Maths '!G426,0)</f>
        <v>0</v>
      </c>
      <c r="H402" s="3"/>
    </row>
    <row r="403" spans="2:8" customFormat="1" ht="13.2" hidden="1" x14ac:dyDescent="0.25">
      <c r="B403">
        <f>IF('Items sous domaines Maths '!H427=1,'Items sous domaines Maths '!B427,0)</f>
        <v>0</v>
      </c>
      <c r="C403">
        <f>IF('Items sous domaines Maths '!H427=1,'Items sous domaines Maths '!C427,0)</f>
        <v>0</v>
      </c>
      <c r="D403">
        <f>IF('Items sous domaines Maths '!H427=1,'Items sous domaines Maths '!D427,0)</f>
        <v>0</v>
      </c>
      <c r="E403">
        <f>IF('Items sous domaines Maths '!H427=1,'Items sous domaines Maths '!E427,0)</f>
        <v>0</v>
      </c>
      <c r="F403">
        <f>IF('Items sous domaines Maths '!H427=1,'Items sous domaines Maths '!F426,0)</f>
        <v>0</v>
      </c>
      <c r="G403">
        <f>IF('Items sous domaines Maths '!H427=1,'Items sous domaines Maths '!G427,0)</f>
        <v>0</v>
      </c>
      <c r="H403" s="3"/>
    </row>
    <row r="404" spans="2:8" customFormat="1" ht="13.2" hidden="1" x14ac:dyDescent="0.25">
      <c r="B404">
        <f>IF('Items sous domaines Maths '!H428=1,'Items sous domaines Maths '!B428,0)</f>
        <v>0</v>
      </c>
      <c r="C404">
        <f>IF('Items sous domaines Maths '!H428=1,'Items sous domaines Maths '!C428,0)</f>
        <v>0</v>
      </c>
      <c r="D404">
        <f>IF('Items sous domaines Maths '!H428=1,'Items sous domaines Maths '!D428,0)</f>
        <v>0</v>
      </c>
      <c r="E404">
        <f>IF('Items sous domaines Maths '!H428=1,'Items sous domaines Maths '!E428,0)</f>
        <v>0</v>
      </c>
      <c r="F404">
        <f>IF('Items sous domaines Maths '!H428=1,'Items sous domaines Maths '!#REF!,0)</f>
        <v>0</v>
      </c>
      <c r="G404">
        <f>IF('Items sous domaines Maths '!H428=1,'Items sous domaines Maths '!G428,0)</f>
        <v>0</v>
      </c>
      <c r="H404" s="3"/>
    </row>
    <row r="405" spans="2:8" customFormat="1" ht="13.2" hidden="1" x14ac:dyDescent="0.25">
      <c r="B405">
        <f>IF('Items sous domaines Maths '!H429=1,'Items sous domaines Maths '!B429,0)</f>
        <v>0</v>
      </c>
      <c r="C405">
        <f>IF('Items sous domaines Maths '!H429=1,'Items sous domaines Maths '!C429,0)</f>
        <v>0</v>
      </c>
      <c r="D405">
        <f>IF('Items sous domaines Maths '!H429=1,'Items sous domaines Maths '!D429,0)</f>
        <v>0</v>
      </c>
      <c r="E405">
        <f>IF('Items sous domaines Maths '!H429=1,'Items sous domaines Maths '!E429,0)</f>
        <v>0</v>
      </c>
      <c r="F405">
        <f>IF('Items sous domaines Maths '!H429=1,'Items sous domaines Maths '!#REF!,0)</f>
        <v>0</v>
      </c>
      <c r="G405">
        <f>IF('Items sous domaines Maths '!H429=1,'Items sous domaines Maths '!G429,0)</f>
        <v>0</v>
      </c>
      <c r="H405" s="3"/>
    </row>
    <row r="406" spans="2:8" customFormat="1" ht="13.2" hidden="1" x14ac:dyDescent="0.25">
      <c r="B406">
        <f>IF('Items sous domaines Maths '!G430=1,'Items sous domaines Maths '!B430,0)</f>
        <v>0</v>
      </c>
      <c r="C406">
        <f>IF('Items sous domaines Maths '!G430=1,'Items sous domaines Maths '!C430,0)</f>
        <v>0</v>
      </c>
      <c r="D406">
        <f>IF('Items sous domaines Maths '!G430=1,'Items sous domaines Maths '!D430,0)</f>
        <v>0</v>
      </c>
      <c r="E406">
        <f>IF('Items sous domaines Maths '!G430=1,'Items sous domaines Maths '!E430,0)</f>
        <v>0</v>
      </c>
      <c r="F406">
        <f>IF('Items sous domaines Maths '!G430=1,'Items sous domaines Maths '!#REF!,0)</f>
        <v>0</v>
      </c>
      <c r="G406">
        <f>IF('Items sous domaines Maths '!G430=1,'Items sous domaines Maths '!F430,0)</f>
        <v>0</v>
      </c>
      <c r="H406" s="3"/>
    </row>
    <row r="407" spans="2:8" customFormat="1" ht="13.2" hidden="1" x14ac:dyDescent="0.25">
      <c r="B407">
        <f>IF('Items sous domaines Maths '!G431=1,'Items sous domaines Maths '!B431,0)</f>
        <v>0</v>
      </c>
      <c r="C407">
        <f>IF('Items sous domaines Maths '!G431=1,'Items sous domaines Maths '!C431,0)</f>
        <v>0</v>
      </c>
      <c r="D407">
        <f>IF('Items sous domaines Maths '!G431=1,'Items sous domaines Maths '!D431,0)</f>
        <v>0</v>
      </c>
      <c r="E407">
        <f>IF('Items sous domaines Maths '!G431=1,'Items sous domaines Maths '!E431,0)</f>
        <v>0</v>
      </c>
      <c r="F407">
        <f>IF('Items sous domaines Maths '!G431=1,'Items sous domaines Maths '!F427,0)</f>
        <v>0</v>
      </c>
      <c r="G407">
        <f>IF('Items sous domaines Maths '!G431=1,'Items sous domaines Maths '!F431,0)</f>
        <v>0</v>
      </c>
      <c r="H407" s="3"/>
    </row>
    <row r="408" spans="2:8" customFormat="1" ht="13.2" hidden="1" x14ac:dyDescent="0.25">
      <c r="B408">
        <f>IF('Items sous domaines Maths '!G432=1,'Items sous domaines Maths '!B432,0)</f>
        <v>0</v>
      </c>
      <c r="C408">
        <f>IF('Items sous domaines Maths '!G432=1,'Items sous domaines Maths '!C432,0)</f>
        <v>0</v>
      </c>
      <c r="D408">
        <f>IF('Items sous domaines Maths '!G432=1,'Items sous domaines Maths '!D432,0)</f>
        <v>0</v>
      </c>
      <c r="E408">
        <f>IF('Items sous domaines Maths '!G432=1,'Items sous domaines Maths '!E432,0)</f>
        <v>0</v>
      </c>
      <c r="F408">
        <f>IF('Items sous domaines Maths '!G432=1,'Items sous domaines Maths '!#REF!,0)</f>
        <v>0</v>
      </c>
      <c r="G408">
        <f>IF('Items sous domaines Maths '!G432=1,'Items sous domaines Maths '!F432,0)</f>
        <v>0</v>
      </c>
      <c r="H408" s="3"/>
    </row>
    <row r="409" spans="2:8" customFormat="1" ht="13.2" hidden="1" x14ac:dyDescent="0.25">
      <c r="B409">
        <f>IF('Items sous domaines Maths '!G433=1,'Items sous domaines Maths '!B433,0)</f>
        <v>0</v>
      </c>
      <c r="C409">
        <f>IF('Items sous domaines Maths '!G433=1,'Items sous domaines Maths '!C433,0)</f>
        <v>0</v>
      </c>
      <c r="D409">
        <f>IF('Items sous domaines Maths '!G433=1,'Items sous domaines Maths '!D433,0)</f>
        <v>0</v>
      </c>
      <c r="E409">
        <f>IF('Items sous domaines Maths '!G433=1,'Items sous domaines Maths '!E433,0)</f>
        <v>0</v>
      </c>
      <c r="F409">
        <f>IF('Items sous domaines Maths '!G433=1,'Items sous domaines Maths '!F428,0)</f>
        <v>0</v>
      </c>
      <c r="G409">
        <f>IF('Items sous domaines Maths '!G433=1,'Items sous domaines Maths '!F433,0)</f>
        <v>0</v>
      </c>
      <c r="H409" s="3"/>
    </row>
    <row r="410" spans="2:8" customFormat="1" ht="13.2" hidden="1" x14ac:dyDescent="0.25">
      <c r="B410">
        <f>IF('Items sous domaines Maths '!G434=1,'Items sous domaines Maths '!B434,0)</f>
        <v>0</v>
      </c>
      <c r="C410">
        <f>IF('Items sous domaines Maths '!G434=1,'Items sous domaines Maths '!C434,0)</f>
        <v>0</v>
      </c>
      <c r="D410">
        <f>IF('Items sous domaines Maths '!G434=1,'Items sous domaines Maths '!D434,0)</f>
        <v>0</v>
      </c>
      <c r="E410">
        <f>IF('Items sous domaines Maths '!G434=1,'Items sous domaines Maths '!E434,0)</f>
        <v>0</v>
      </c>
      <c r="F410">
        <f>IF('Items sous domaines Maths '!G434=1,'Items sous domaines Maths '!#REF!,0)</f>
        <v>0</v>
      </c>
      <c r="G410">
        <f>IF('Items sous domaines Maths '!G434=1,'Items sous domaines Maths '!F434,0)</f>
        <v>0</v>
      </c>
      <c r="H410" s="3"/>
    </row>
    <row r="411" spans="2:8" customFormat="1" ht="13.2" hidden="1" x14ac:dyDescent="0.25">
      <c r="B411">
        <f>IF('Items sous domaines Maths '!G435=1,'Items sous domaines Maths '!B435,0)</f>
        <v>0</v>
      </c>
      <c r="C411">
        <f>IF('Items sous domaines Maths '!G435=1,'Items sous domaines Maths '!C435,0)</f>
        <v>0</v>
      </c>
      <c r="D411">
        <f>IF('Items sous domaines Maths '!G435=1,'Items sous domaines Maths '!D435,0)</f>
        <v>0</v>
      </c>
      <c r="E411">
        <f>IF('Items sous domaines Maths '!G435=1,'Items sous domaines Maths '!E435,0)</f>
        <v>0</v>
      </c>
      <c r="F411">
        <f>IF('Items sous domaines Maths '!G435=1,'Items sous domaines Maths '!F429,0)</f>
        <v>0</v>
      </c>
      <c r="G411">
        <f>IF('Items sous domaines Maths '!G435=1,'Items sous domaines Maths '!F435,0)</f>
        <v>0</v>
      </c>
      <c r="H411" s="3"/>
    </row>
    <row r="412" spans="2:8" customFormat="1" ht="13.2" hidden="1" x14ac:dyDescent="0.25">
      <c r="B412">
        <f>IF('Items sous domaines Maths '!G436=1,'Items sous domaines Maths '!B436,0)</f>
        <v>0</v>
      </c>
      <c r="C412">
        <f>IF('Items sous domaines Maths '!G436=1,'Items sous domaines Maths '!C436,0)</f>
        <v>0</v>
      </c>
      <c r="D412">
        <f>IF('Items sous domaines Maths '!G436=1,'Items sous domaines Maths '!D436,0)</f>
        <v>0</v>
      </c>
      <c r="E412">
        <f>IF('Items sous domaines Maths '!G436=1,'Items sous domaines Maths '!E436,0)</f>
        <v>0</v>
      </c>
      <c r="F412">
        <f>IF('Items sous domaines Maths '!G436=1,'Items sous domaines Maths '!#REF!,0)</f>
        <v>0</v>
      </c>
      <c r="G412">
        <f>IF('Items sous domaines Maths '!G436=1,'Items sous domaines Maths '!F436,0)</f>
        <v>0</v>
      </c>
      <c r="H412" s="3"/>
    </row>
    <row r="413" spans="2:8" customFormat="1" ht="13.2" hidden="1" x14ac:dyDescent="0.25">
      <c r="B413">
        <f>IF('Items sous domaines Maths '!G437=1,'Items sous domaines Maths '!B437,0)</f>
        <v>0</v>
      </c>
      <c r="C413">
        <f>IF('Items sous domaines Maths '!G437=1,'Items sous domaines Maths '!C437,0)</f>
        <v>0</v>
      </c>
      <c r="D413">
        <f>IF('Items sous domaines Maths '!G437=1,'Items sous domaines Maths '!D437,0)</f>
        <v>0</v>
      </c>
      <c r="E413">
        <f>IF('Items sous domaines Maths '!G437=1,'Items sous domaines Maths '!E437,0)</f>
        <v>0</v>
      </c>
      <c r="F413">
        <f>IF('Items sous domaines Maths '!G437=1,'Items sous domaines Maths '!#REF!,0)</f>
        <v>0</v>
      </c>
      <c r="G413">
        <f>IF('Items sous domaines Maths '!G437=1,'Items sous domaines Maths '!F437,0)</f>
        <v>0</v>
      </c>
      <c r="H413" s="3"/>
    </row>
    <row r="414" spans="2:8" customFormat="1" ht="13.2" hidden="1" x14ac:dyDescent="0.25">
      <c r="B414">
        <f>IF('Items sous domaines Maths '!G438=1,'Items sous domaines Maths '!B438,0)</f>
        <v>0</v>
      </c>
      <c r="C414">
        <f>IF('Items sous domaines Maths '!G438=1,'Items sous domaines Maths '!C438,0)</f>
        <v>0</v>
      </c>
      <c r="D414">
        <f>IF('Items sous domaines Maths '!G438=1,'Items sous domaines Maths '!D438,0)</f>
        <v>0</v>
      </c>
      <c r="E414">
        <f>IF('Items sous domaines Maths '!G438=1,'Items sous domaines Maths '!E438,0)</f>
        <v>0</v>
      </c>
      <c r="F414">
        <f>IF('Items sous domaines Maths '!G438=1,'Items sous domaines Maths '!#REF!,0)</f>
        <v>0</v>
      </c>
      <c r="G414">
        <f>IF('Items sous domaines Maths '!G438=1,'Items sous domaines Maths '!F438,0)</f>
        <v>0</v>
      </c>
      <c r="H414" s="3"/>
    </row>
    <row r="415" spans="2:8" customFormat="1" ht="13.2" hidden="1" x14ac:dyDescent="0.25">
      <c r="B415">
        <f>IF('Items sous domaines Maths '!G439=1,'Items sous domaines Maths '!B439,0)</f>
        <v>0</v>
      </c>
      <c r="C415">
        <f>IF('Items sous domaines Maths '!G439=1,'Items sous domaines Maths '!C439,0)</f>
        <v>0</v>
      </c>
      <c r="D415">
        <f>IF('Items sous domaines Maths '!G439=1,'Items sous domaines Maths '!D439,0)</f>
        <v>0</v>
      </c>
      <c r="E415">
        <f>IF('Items sous domaines Maths '!G439=1,'Items sous domaines Maths '!E439,0)</f>
        <v>0</v>
      </c>
      <c r="F415">
        <f>IF('Items sous domaines Maths '!G439=1,'Items sous domaines Maths '!#REF!,0)</f>
        <v>0</v>
      </c>
      <c r="G415">
        <f>IF('Items sous domaines Maths '!G439=1,'Items sous domaines Maths '!F439,0)</f>
        <v>0</v>
      </c>
      <c r="H415" s="3"/>
    </row>
    <row r="416" spans="2:8" customFormat="1" ht="13.2" hidden="1" x14ac:dyDescent="0.25">
      <c r="B416">
        <f>IF('Items sous domaines Maths '!G440=1,'Items sous domaines Maths '!B440,0)</f>
        <v>0</v>
      </c>
      <c r="C416">
        <f>IF('Items sous domaines Maths '!G440=1,'Items sous domaines Maths '!C440,0)</f>
        <v>0</v>
      </c>
      <c r="D416">
        <f>IF('Items sous domaines Maths '!G440=1,'Items sous domaines Maths '!D440,0)</f>
        <v>0</v>
      </c>
      <c r="E416">
        <f>IF('Items sous domaines Maths '!G440=1,'Items sous domaines Maths '!E440,0)</f>
        <v>0</v>
      </c>
      <c r="F416">
        <f>IF('Items sous domaines Maths '!G440=1,'Items sous domaines Maths '!#REF!,0)</f>
        <v>0</v>
      </c>
      <c r="G416">
        <f>IF('Items sous domaines Maths '!G440=1,'Items sous domaines Maths '!F440,0)</f>
        <v>0</v>
      </c>
      <c r="H416" s="3"/>
    </row>
    <row r="417" spans="2:8" customFormat="1" ht="13.2" hidden="1" x14ac:dyDescent="0.25">
      <c r="B417">
        <f>IF('Items sous domaines Maths '!G441=1,'Items sous domaines Maths '!B441,0)</f>
        <v>0</v>
      </c>
      <c r="C417">
        <f>IF('Items sous domaines Maths '!G441=1,'Items sous domaines Maths '!C441,0)</f>
        <v>0</v>
      </c>
      <c r="D417">
        <f>IF('Items sous domaines Maths '!G441=1,'Items sous domaines Maths '!D441,0)</f>
        <v>0</v>
      </c>
      <c r="E417">
        <f>IF('Items sous domaines Maths '!G441=1,'Items sous domaines Maths '!E441,0)</f>
        <v>0</v>
      </c>
      <c r="F417">
        <f>IF('Items sous domaines Maths '!G441=1,'Items sous domaines Maths '!#REF!,0)</f>
        <v>0</v>
      </c>
      <c r="G417">
        <f>IF('Items sous domaines Maths '!G441=1,'Items sous domaines Maths '!F441,0)</f>
        <v>0</v>
      </c>
      <c r="H417" s="3"/>
    </row>
    <row r="418" spans="2:8" customFormat="1" ht="13.2" hidden="1" x14ac:dyDescent="0.25">
      <c r="B418">
        <f>IF('Items sous domaines Maths '!G442=1,'Items sous domaines Maths '!B442,0)</f>
        <v>0</v>
      </c>
      <c r="C418">
        <f>IF('Items sous domaines Maths '!G442=1,'Items sous domaines Maths '!C442,0)</f>
        <v>0</v>
      </c>
      <c r="D418">
        <f>IF('Items sous domaines Maths '!G442=1,'Items sous domaines Maths '!D442,0)</f>
        <v>0</v>
      </c>
      <c r="E418">
        <f>IF('Items sous domaines Maths '!G442=1,'Items sous domaines Maths '!E442,0)</f>
        <v>0</v>
      </c>
      <c r="F418">
        <f>IF('Items sous domaines Maths '!G442=1,'Items sous domaines Maths '!#REF!,0)</f>
        <v>0</v>
      </c>
      <c r="G418">
        <f>IF('Items sous domaines Maths '!G442=1,'Items sous domaines Maths '!F442,0)</f>
        <v>0</v>
      </c>
      <c r="H418" s="3"/>
    </row>
    <row r="419" spans="2:8" customFormat="1" ht="13.2" hidden="1" x14ac:dyDescent="0.25">
      <c r="B419">
        <f>IF('Items sous domaines Maths '!G443=1,'Items sous domaines Maths '!B443,0)</f>
        <v>0</v>
      </c>
      <c r="C419">
        <f>IF('Items sous domaines Maths '!G443=1,'Items sous domaines Maths '!C443,0)</f>
        <v>0</v>
      </c>
      <c r="D419">
        <f>IF('Items sous domaines Maths '!G443=1,'Items sous domaines Maths '!D443,0)</f>
        <v>0</v>
      </c>
      <c r="E419">
        <f>IF('Items sous domaines Maths '!G443=1,'Items sous domaines Maths '!E443,0)</f>
        <v>0</v>
      </c>
      <c r="F419">
        <f>IF('Items sous domaines Maths '!G443=1,'Items sous domaines Maths '!#REF!,0)</f>
        <v>0</v>
      </c>
      <c r="G419">
        <f>IF('Items sous domaines Maths '!G443=1,'Items sous domaines Maths '!F443,0)</f>
        <v>0</v>
      </c>
      <c r="H419" s="3"/>
    </row>
    <row r="420" spans="2:8" customFormat="1" ht="13.2" hidden="1" x14ac:dyDescent="0.25">
      <c r="B420">
        <f>IF('Items sous domaines Maths '!G444=1,'Items sous domaines Maths '!B444,0)</f>
        <v>0</v>
      </c>
      <c r="C420">
        <f>IF('Items sous domaines Maths '!G444=1,'Items sous domaines Maths '!C444,0)</f>
        <v>0</v>
      </c>
      <c r="D420">
        <f>IF('Items sous domaines Maths '!G444=1,'Items sous domaines Maths '!D444,0)</f>
        <v>0</v>
      </c>
      <c r="E420">
        <f>IF('Items sous domaines Maths '!G444=1,'Items sous domaines Maths '!E444,0)</f>
        <v>0</v>
      </c>
      <c r="F420">
        <f>IF('Items sous domaines Maths '!G444=1,'Items sous domaines Maths '!#REF!,0)</f>
        <v>0</v>
      </c>
      <c r="G420">
        <f>IF('Items sous domaines Maths '!G444=1,'Items sous domaines Maths '!F444,0)</f>
        <v>0</v>
      </c>
      <c r="H420" s="3"/>
    </row>
    <row r="421" spans="2:8" customFormat="1" ht="13.2" hidden="1" x14ac:dyDescent="0.25">
      <c r="B421">
        <f>IF('Items sous domaines Maths '!G445=1,'Items sous domaines Maths '!B445,0)</f>
        <v>0</v>
      </c>
      <c r="C421">
        <f>IF('Items sous domaines Maths '!G445=1,'Items sous domaines Maths '!C445,0)</f>
        <v>0</v>
      </c>
      <c r="D421">
        <f>IF('Items sous domaines Maths '!G445=1,'Items sous domaines Maths '!D445,0)</f>
        <v>0</v>
      </c>
      <c r="E421">
        <f>IF('Items sous domaines Maths '!G445=1,'Items sous domaines Maths '!E445,0)</f>
        <v>0</v>
      </c>
      <c r="F421">
        <f>IF('Items sous domaines Maths '!G445=1,'Items sous domaines Maths '!#REF!,0)</f>
        <v>0</v>
      </c>
      <c r="G421">
        <f>IF('Items sous domaines Maths '!G445=1,'Items sous domaines Maths '!F445,0)</f>
        <v>0</v>
      </c>
      <c r="H421" s="3"/>
    </row>
    <row r="422" spans="2:8" customFormat="1" ht="13.2" hidden="1" x14ac:dyDescent="0.25">
      <c r="B422">
        <f>IF('Items sous domaines Maths '!G446=1,'Items sous domaines Maths '!B446,0)</f>
        <v>0</v>
      </c>
      <c r="C422">
        <f>IF('Items sous domaines Maths '!G446=1,'Items sous domaines Maths '!C446,0)</f>
        <v>0</v>
      </c>
      <c r="D422">
        <f>IF('Items sous domaines Maths '!G446=1,'Items sous domaines Maths '!D446,0)</f>
        <v>0</v>
      </c>
      <c r="E422">
        <f>IF('Items sous domaines Maths '!G446=1,'Items sous domaines Maths '!E446,0)</f>
        <v>0</v>
      </c>
      <c r="F422">
        <f>IF('Items sous domaines Maths '!G446=1,'Items sous domaines Maths '!#REF!,0)</f>
        <v>0</v>
      </c>
      <c r="G422">
        <f>IF('Items sous domaines Maths '!G446=1,'Items sous domaines Maths '!F446,0)</f>
        <v>0</v>
      </c>
      <c r="H422" s="3"/>
    </row>
    <row r="423" spans="2:8" customFormat="1" ht="13.2" hidden="1" x14ac:dyDescent="0.25">
      <c r="B423">
        <f>IF('Items sous domaines Maths '!G447=1,'Items sous domaines Maths '!B447,0)</f>
        <v>0</v>
      </c>
      <c r="C423">
        <f>IF('Items sous domaines Maths '!G447=1,'Items sous domaines Maths '!C447,0)</f>
        <v>0</v>
      </c>
      <c r="D423">
        <f>IF('Items sous domaines Maths '!G447=1,'Items sous domaines Maths '!D447,0)</f>
        <v>0</v>
      </c>
      <c r="E423">
        <f>IF('Items sous domaines Maths '!G447=1,'Items sous domaines Maths '!E447,0)</f>
        <v>0</v>
      </c>
      <c r="F423">
        <f>IF('Items sous domaines Maths '!G447=1,'Items sous domaines Maths '!#REF!,0)</f>
        <v>0</v>
      </c>
      <c r="G423">
        <f>IF('Items sous domaines Maths '!G447=1,'Items sous domaines Maths '!F447,0)</f>
        <v>0</v>
      </c>
      <c r="H423" s="3"/>
    </row>
    <row r="424" spans="2:8" customFormat="1" ht="13.2" hidden="1" x14ac:dyDescent="0.25">
      <c r="B424">
        <f>IF('Items sous domaines Maths '!G448=1,'Items sous domaines Maths '!B448,0)</f>
        <v>0</v>
      </c>
      <c r="C424">
        <f>IF('Items sous domaines Maths '!G448=1,'Items sous domaines Maths '!C448,0)</f>
        <v>0</v>
      </c>
      <c r="D424">
        <f>IF('Items sous domaines Maths '!G448=1,'Items sous domaines Maths '!D448,0)</f>
        <v>0</v>
      </c>
      <c r="E424">
        <f>IF('Items sous domaines Maths '!G448=1,'Items sous domaines Maths '!E448,0)</f>
        <v>0</v>
      </c>
      <c r="F424">
        <f>IF('Items sous domaines Maths '!G448=1,'Items sous domaines Maths '!#REF!,0)</f>
        <v>0</v>
      </c>
      <c r="G424">
        <f>IF('Items sous domaines Maths '!G448=1,'Items sous domaines Maths '!F448,0)</f>
        <v>0</v>
      </c>
      <c r="H424" s="3"/>
    </row>
    <row r="425" spans="2:8" customFormat="1" ht="13.2" hidden="1" x14ac:dyDescent="0.25">
      <c r="B425">
        <f>IF('Items sous domaines Maths '!G449=1,'Items sous domaines Maths '!B449,0)</f>
        <v>0</v>
      </c>
      <c r="C425">
        <f>IF('Items sous domaines Maths '!G449=1,'Items sous domaines Maths '!C449,0)</f>
        <v>0</v>
      </c>
      <c r="D425">
        <f>IF('Items sous domaines Maths '!G449=1,'Items sous domaines Maths '!D449,0)</f>
        <v>0</v>
      </c>
      <c r="E425">
        <f>IF('Items sous domaines Maths '!G449=1,'Items sous domaines Maths '!E449,0)</f>
        <v>0</v>
      </c>
      <c r="F425">
        <f>IF('Items sous domaines Maths '!G449=1,'Items sous domaines Maths '!#REF!,0)</f>
        <v>0</v>
      </c>
      <c r="G425">
        <f>IF('Items sous domaines Maths '!G449=1,'Items sous domaines Maths '!F449,0)</f>
        <v>0</v>
      </c>
      <c r="H425" s="3"/>
    </row>
    <row r="426" spans="2:8" customFormat="1" ht="13.2" hidden="1" x14ac:dyDescent="0.25">
      <c r="B426">
        <f>IF('Items sous domaines Maths '!G450=1,'Items sous domaines Maths '!B450,0)</f>
        <v>0</v>
      </c>
      <c r="C426">
        <f>IF('Items sous domaines Maths '!G450=1,'Items sous domaines Maths '!C450,0)</f>
        <v>0</v>
      </c>
      <c r="D426">
        <f>IF('Items sous domaines Maths '!G450=1,'Items sous domaines Maths '!D450,0)</f>
        <v>0</v>
      </c>
      <c r="E426">
        <f>IF('Items sous domaines Maths '!G450=1,'Items sous domaines Maths '!E450,0)</f>
        <v>0</v>
      </c>
      <c r="F426">
        <f>IF('Items sous domaines Maths '!G450=1,'Items sous domaines Maths '!#REF!,0)</f>
        <v>0</v>
      </c>
      <c r="G426">
        <f>IF('Items sous domaines Maths '!G450=1,'Items sous domaines Maths '!F450,0)</f>
        <v>0</v>
      </c>
      <c r="H426" s="3"/>
    </row>
    <row r="427" spans="2:8" customFormat="1" ht="13.2" hidden="1" x14ac:dyDescent="0.25">
      <c r="B427">
        <f>IF('Items sous domaines Maths '!G451=1,'Items sous domaines Maths '!B451,0)</f>
        <v>0</v>
      </c>
      <c r="C427">
        <f>IF('Items sous domaines Maths '!G451=1,'Items sous domaines Maths '!C451,0)</f>
        <v>0</v>
      </c>
      <c r="D427">
        <f>IF('Items sous domaines Maths '!G451=1,'Items sous domaines Maths '!D451,0)</f>
        <v>0</v>
      </c>
      <c r="E427">
        <f>IF('Items sous domaines Maths '!G451=1,'Items sous domaines Maths '!E451,0)</f>
        <v>0</v>
      </c>
      <c r="F427">
        <f>IF('Items sous domaines Maths '!G451=1,'Items sous domaines Maths '!#REF!,0)</f>
        <v>0</v>
      </c>
      <c r="G427">
        <f>IF('Items sous domaines Maths '!G451=1,'Items sous domaines Maths '!F451,0)</f>
        <v>0</v>
      </c>
      <c r="H427" s="3"/>
    </row>
    <row r="428" spans="2:8" customFormat="1" ht="13.2" hidden="1" x14ac:dyDescent="0.25">
      <c r="B428">
        <f>IF('Items sous domaines Maths '!H452=1,'Items sous domaines Maths '!B452,0)</f>
        <v>0</v>
      </c>
      <c r="C428">
        <f>IF('Items sous domaines Maths '!H452=1,'Items sous domaines Maths '!C452,0)</f>
        <v>0</v>
      </c>
      <c r="D428">
        <f>IF('Items sous domaines Maths '!H452=1,'Items sous domaines Maths '!D452,0)</f>
        <v>0</v>
      </c>
      <c r="E428">
        <f>IF('Items sous domaines Maths '!H452=1,'Items sous domaines Maths '!E452,0)</f>
        <v>0</v>
      </c>
      <c r="F428">
        <f>IF('Items sous domaines Maths '!H452=1,'Items sous domaines Maths '!#REF!,0)</f>
        <v>0</v>
      </c>
      <c r="G428">
        <f>IF('Items sous domaines Maths '!H452=1,'Items sous domaines Maths '!G452,0)</f>
        <v>0</v>
      </c>
      <c r="H428" s="3"/>
    </row>
    <row r="429" spans="2:8" customFormat="1" ht="13.2" hidden="1" x14ac:dyDescent="0.25">
      <c r="B429">
        <f>IF('Items sous domaines Maths '!H453=1,'Items sous domaines Maths '!B453,0)</f>
        <v>0</v>
      </c>
      <c r="C429">
        <f>IF('Items sous domaines Maths '!H453=1,'Items sous domaines Maths '!C453,0)</f>
        <v>0</v>
      </c>
      <c r="D429">
        <f>IF('Items sous domaines Maths '!H453=1,'Items sous domaines Maths '!D453,0)</f>
        <v>0</v>
      </c>
      <c r="E429">
        <f>IF('Items sous domaines Maths '!H453=1,'Items sous domaines Maths '!E453,0)</f>
        <v>0</v>
      </c>
      <c r="F429">
        <f>IF('Items sous domaines Maths '!H453=1,'Items sous domaines Maths '!#REF!,0)</f>
        <v>0</v>
      </c>
      <c r="G429">
        <f>IF('Items sous domaines Maths '!H453=1,'Items sous domaines Maths '!G453,0)</f>
        <v>0</v>
      </c>
      <c r="H429" s="3"/>
    </row>
    <row r="430" spans="2:8" customFormat="1" ht="13.2" hidden="1" x14ac:dyDescent="0.25">
      <c r="B430">
        <f>IF('Items sous domaines Maths '!H454=1,'Items sous domaines Maths '!B454,0)</f>
        <v>0</v>
      </c>
      <c r="C430">
        <f>IF('Items sous domaines Maths '!H454=1,'Items sous domaines Maths '!C454,0)</f>
        <v>0</v>
      </c>
      <c r="D430">
        <f>IF('Items sous domaines Maths '!H454=1,'Items sous domaines Maths '!D454,0)</f>
        <v>0</v>
      </c>
      <c r="E430">
        <f>IF('Items sous domaines Maths '!H454=1,'Items sous domaines Maths '!E454,0)</f>
        <v>0</v>
      </c>
      <c r="F430">
        <f>IF('Items sous domaines Maths '!H454=1,'Items sous domaines Maths '!#REF!,0)</f>
        <v>0</v>
      </c>
      <c r="G430">
        <f>IF('Items sous domaines Maths '!H454=1,'Items sous domaines Maths '!G454,0)</f>
        <v>0</v>
      </c>
      <c r="H430" s="3"/>
    </row>
    <row r="431" spans="2:8" customFormat="1" ht="13.2" hidden="1" x14ac:dyDescent="0.25">
      <c r="B431">
        <f>IF('Items sous domaines Maths '!H455=1,'Items sous domaines Maths '!B455,0)</f>
        <v>0</v>
      </c>
      <c r="C431">
        <f>IF('Items sous domaines Maths '!H455=1,'Items sous domaines Maths '!C455,0)</f>
        <v>0</v>
      </c>
      <c r="D431">
        <f>IF('Items sous domaines Maths '!H455=1,'Items sous domaines Maths '!D455,0)</f>
        <v>0</v>
      </c>
      <c r="E431">
        <f>IF('Items sous domaines Maths '!H455=1,'Items sous domaines Maths '!E455,0)</f>
        <v>0</v>
      </c>
      <c r="F431">
        <f>IF('Items sous domaines Maths '!H455=1,'Items sous domaines Maths '!#REF!,0)</f>
        <v>0</v>
      </c>
      <c r="G431">
        <f>IF('Items sous domaines Maths '!H455=1,'Items sous domaines Maths '!G455,0)</f>
        <v>0</v>
      </c>
      <c r="H431" s="3"/>
    </row>
    <row r="432" spans="2:8" customFormat="1" ht="13.2" hidden="1" x14ac:dyDescent="0.25">
      <c r="B432">
        <f>IF('Items sous domaines Maths '!H456=1,'Items sous domaines Maths '!B456,0)</f>
        <v>0</v>
      </c>
      <c r="C432">
        <f>IF('Items sous domaines Maths '!H456=1,'Items sous domaines Maths '!C456,0)</f>
        <v>0</v>
      </c>
      <c r="D432">
        <f>IF('Items sous domaines Maths '!H456=1,'Items sous domaines Maths '!D456,0)</f>
        <v>0</v>
      </c>
      <c r="E432">
        <f>IF('Items sous domaines Maths '!H456=1,'Items sous domaines Maths '!E456,0)</f>
        <v>0</v>
      </c>
      <c r="F432">
        <f>IF('Items sous domaines Maths '!H456=1,'Items sous domaines Maths '!#REF!,0)</f>
        <v>0</v>
      </c>
      <c r="G432">
        <f>IF('Items sous domaines Maths '!H456=1,'Items sous domaines Maths '!G456,0)</f>
        <v>0</v>
      </c>
      <c r="H432" s="3"/>
    </row>
    <row r="433" spans="2:8" customFormat="1" ht="13.2" hidden="1" x14ac:dyDescent="0.25">
      <c r="B433">
        <f>IF('Items sous domaines Maths '!H457=1,'Items sous domaines Maths '!B457,0)</f>
        <v>0</v>
      </c>
      <c r="C433">
        <f>IF('Items sous domaines Maths '!H457=1,'Items sous domaines Maths '!C457,0)</f>
        <v>0</v>
      </c>
      <c r="D433">
        <f>IF('Items sous domaines Maths '!H457=1,'Items sous domaines Maths '!D457,0)</f>
        <v>0</v>
      </c>
      <c r="E433">
        <f>IF('Items sous domaines Maths '!H457=1,'Items sous domaines Maths '!E457,0)</f>
        <v>0</v>
      </c>
      <c r="F433">
        <f>IF('Items sous domaines Maths '!H457=1,'Items sous domaines Maths '!#REF!,0)</f>
        <v>0</v>
      </c>
      <c r="G433">
        <f>IF('Items sous domaines Maths '!H457=1,'Items sous domaines Maths '!G457,0)</f>
        <v>0</v>
      </c>
      <c r="H433" s="3"/>
    </row>
    <row r="434" spans="2:8" customFormat="1" ht="13.2" hidden="1" x14ac:dyDescent="0.25">
      <c r="B434">
        <f>IF('Items sous domaines Maths '!H458=1,'Items sous domaines Maths '!B458,0)</f>
        <v>0</v>
      </c>
      <c r="C434">
        <f>IF('Items sous domaines Maths '!H458=1,'Items sous domaines Maths '!C458,0)</f>
        <v>0</v>
      </c>
      <c r="D434">
        <f>IF('Items sous domaines Maths '!H458=1,'Items sous domaines Maths '!D458,0)</f>
        <v>0</v>
      </c>
      <c r="E434">
        <f>IF('Items sous domaines Maths '!H458=1,'Items sous domaines Maths '!E458,0)</f>
        <v>0</v>
      </c>
      <c r="F434">
        <f>IF('Items sous domaines Maths '!H458=1,'Items sous domaines Maths '!F452,0)</f>
        <v>0</v>
      </c>
      <c r="G434">
        <f>IF('Items sous domaines Maths '!H458=1,'Items sous domaines Maths '!G458,0)</f>
        <v>0</v>
      </c>
      <c r="H434" s="3"/>
    </row>
    <row r="435" spans="2:8" customFormat="1" ht="13.2" hidden="1" x14ac:dyDescent="0.25">
      <c r="B435">
        <f>IF('Items sous domaines Maths '!H459=1,'Items sous domaines Maths '!B459,0)</f>
        <v>0</v>
      </c>
      <c r="C435">
        <f>IF('Items sous domaines Maths '!H459=1,'Items sous domaines Maths '!C459,0)</f>
        <v>0</v>
      </c>
      <c r="D435">
        <f>IF('Items sous domaines Maths '!H459=1,'Items sous domaines Maths '!D459,0)</f>
        <v>0</v>
      </c>
      <c r="E435">
        <f>IF('Items sous domaines Maths '!H459=1,'Items sous domaines Maths '!E459,0)</f>
        <v>0</v>
      </c>
      <c r="F435">
        <f>IF('Items sous domaines Maths '!H459=1,'Items sous domaines Maths '!F453,0)</f>
        <v>0</v>
      </c>
      <c r="G435">
        <f>IF('Items sous domaines Maths '!H459=1,'Items sous domaines Maths '!G459,0)</f>
        <v>0</v>
      </c>
      <c r="H435" s="3"/>
    </row>
    <row r="436" spans="2:8" customFormat="1" ht="13.2" hidden="1" x14ac:dyDescent="0.25">
      <c r="B436">
        <f>IF('Items sous domaines Maths '!H460=1,'Items sous domaines Maths '!B460,0)</f>
        <v>0</v>
      </c>
      <c r="C436">
        <f>IF('Items sous domaines Maths '!H460=1,'Items sous domaines Maths '!C460,0)</f>
        <v>0</v>
      </c>
      <c r="D436">
        <f>IF('Items sous domaines Maths '!H460=1,'Items sous domaines Maths '!D460,0)</f>
        <v>0</v>
      </c>
      <c r="E436">
        <f>IF('Items sous domaines Maths '!H460=1,'Items sous domaines Maths '!E460,0)</f>
        <v>0</v>
      </c>
      <c r="F436">
        <f>IF('Items sous domaines Maths '!H460=1,'Items sous domaines Maths '!F454,0)</f>
        <v>0</v>
      </c>
      <c r="G436">
        <f>IF('Items sous domaines Maths '!H460=1,'Items sous domaines Maths '!G460,0)</f>
        <v>0</v>
      </c>
      <c r="H436" s="3"/>
    </row>
    <row r="437" spans="2:8" customFormat="1" ht="13.2" hidden="1" x14ac:dyDescent="0.25">
      <c r="B437">
        <f>IF('Items sous domaines Maths '!H461=1,'Items sous domaines Maths '!B461,0)</f>
        <v>0</v>
      </c>
      <c r="C437">
        <f>IF('Items sous domaines Maths '!H461=1,'Items sous domaines Maths '!C461,0)</f>
        <v>0</v>
      </c>
      <c r="D437">
        <f>IF('Items sous domaines Maths '!H461=1,'Items sous domaines Maths '!D461,0)</f>
        <v>0</v>
      </c>
      <c r="E437">
        <f>IF('Items sous domaines Maths '!H461=1,'Items sous domaines Maths '!E461,0)</f>
        <v>0</v>
      </c>
      <c r="F437">
        <f>IF('Items sous domaines Maths '!H461=1,'Items sous domaines Maths '!F455,0)</f>
        <v>0</v>
      </c>
      <c r="G437">
        <f>IF('Items sous domaines Maths '!H461=1,'Items sous domaines Maths '!G461,0)</f>
        <v>0</v>
      </c>
      <c r="H437" s="3"/>
    </row>
    <row r="438" spans="2:8" customFormat="1" ht="13.2" hidden="1" x14ac:dyDescent="0.25">
      <c r="B438">
        <f>IF('Items sous domaines Maths '!H462=1,'Items sous domaines Maths '!B462,0)</f>
        <v>0</v>
      </c>
      <c r="C438">
        <f>IF('Items sous domaines Maths '!H462=1,'Items sous domaines Maths '!C462,0)</f>
        <v>0</v>
      </c>
      <c r="D438">
        <f>IF('Items sous domaines Maths '!H462=1,'Items sous domaines Maths '!D462,0)</f>
        <v>0</v>
      </c>
      <c r="E438">
        <f>IF('Items sous domaines Maths '!H462=1,'Items sous domaines Maths '!E462,0)</f>
        <v>0</v>
      </c>
      <c r="F438">
        <f>IF('Items sous domaines Maths '!H462=1,'Items sous domaines Maths '!F456,0)</f>
        <v>0</v>
      </c>
      <c r="G438">
        <f>IF('Items sous domaines Maths '!H462=1,'Items sous domaines Maths '!G462,0)</f>
        <v>0</v>
      </c>
      <c r="H438" s="3"/>
    </row>
    <row r="439" spans="2:8" customFormat="1" ht="13.2" hidden="1" x14ac:dyDescent="0.25">
      <c r="B439">
        <f>IF('Items sous domaines Maths '!H463=1,'Items sous domaines Maths '!B463,0)</f>
        <v>0</v>
      </c>
      <c r="C439">
        <f>IF('Items sous domaines Maths '!H463=1,'Items sous domaines Maths '!C463,0)</f>
        <v>0</v>
      </c>
      <c r="D439">
        <f>IF('Items sous domaines Maths '!H463=1,'Items sous domaines Maths '!D463,0)</f>
        <v>0</v>
      </c>
      <c r="E439">
        <f>IF('Items sous domaines Maths '!H463=1,'Items sous domaines Maths '!E463,0)</f>
        <v>0</v>
      </c>
      <c r="F439">
        <f>IF('Items sous domaines Maths '!H463=1,'Items sous domaines Maths '!F457,0)</f>
        <v>0</v>
      </c>
      <c r="G439">
        <f>IF('Items sous domaines Maths '!H463=1,'Items sous domaines Maths '!G463,0)</f>
        <v>0</v>
      </c>
      <c r="H439" s="3"/>
    </row>
    <row r="440" spans="2:8" customFormat="1" ht="13.2" hidden="1" x14ac:dyDescent="0.25">
      <c r="B440">
        <f>IF('Items sous domaines Maths '!H464=1,'Items sous domaines Maths '!B464,0)</f>
        <v>0</v>
      </c>
      <c r="C440">
        <f>IF('Items sous domaines Maths '!H464=1,'Items sous domaines Maths '!C464,0)</f>
        <v>0</v>
      </c>
      <c r="D440">
        <f>IF('Items sous domaines Maths '!H464=1,'Items sous domaines Maths '!D464,0)</f>
        <v>0</v>
      </c>
      <c r="E440">
        <f>IF('Items sous domaines Maths '!H464=1,'Items sous domaines Maths '!E464,0)</f>
        <v>0</v>
      </c>
      <c r="F440">
        <f>IF('Items sous domaines Maths '!H464=1,'Items sous domaines Maths '!F458,0)</f>
        <v>0</v>
      </c>
      <c r="G440">
        <f>IF('Items sous domaines Maths '!H464=1,'Items sous domaines Maths '!G464,0)</f>
        <v>0</v>
      </c>
      <c r="H440" s="3"/>
    </row>
    <row r="441" spans="2:8" customFormat="1" ht="13.2" hidden="1" x14ac:dyDescent="0.25">
      <c r="B441">
        <f>IF('Items sous domaines Maths '!H465=1,'Items sous domaines Maths '!B465,0)</f>
        <v>0</v>
      </c>
      <c r="C441">
        <f>IF('Items sous domaines Maths '!H465=1,'Items sous domaines Maths '!C465,0)</f>
        <v>0</v>
      </c>
      <c r="D441">
        <f>IF('Items sous domaines Maths '!H465=1,'Items sous domaines Maths '!D465,0)</f>
        <v>0</v>
      </c>
      <c r="E441">
        <f>IF('Items sous domaines Maths '!H465=1,'Items sous domaines Maths '!E465,0)</f>
        <v>0</v>
      </c>
      <c r="F441">
        <f>IF('Items sous domaines Maths '!H465=1,'Items sous domaines Maths '!F459,0)</f>
        <v>0</v>
      </c>
      <c r="G441">
        <f>IF('Items sous domaines Maths '!H465=1,'Items sous domaines Maths '!G465,0)</f>
        <v>0</v>
      </c>
      <c r="H441" s="3"/>
    </row>
    <row r="442" spans="2:8" customFormat="1" ht="13.2" hidden="1" x14ac:dyDescent="0.25">
      <c r="B442">
        <f>IF('Items sous domaines Maths '!H466=1,'Items sous domaines Maths '!B466,0)</f>
        <v>0</v>
      </c>
      <c r="C442">
        <f>IF('Items sous domaines Maths '!H466=1,'Items sous domaines Maths '!C466,0)</f>
        <v>0</v>
      </c>
      <c r="D442">
        <f>IF('Items sous domaines Maths '!H466=1,'Items sous domaines Maths '!D466,0)</f>
        <v>0</v>
      </c>
      <c r="E442">
        <f>IF('Items sous domaines Maths '!H466=1,'Items sous domaines Maths '!E466,0)</f>
        <v>0</v>
      </c>
      <c r="F442">
        <f>IF('Items sous domaines Maths '!H466=1,'Items sous domaines Maths '!F460,0)</f>
        <v>0</v>
      </c>
      <c r="G442">
        <f>IF('Items sous domaines Maths '!H466=1,'Items sous domaines Maths '!G466,0)</f>
        <v>0</v>
      </c>
      <c r="H442" s="3"/>
    </row>
    <row r="443" spans="2:8" customFormat="1" ht="13.2" hidden="1" x14ac:dyDescent="0.25">
      <c r="B443">
        <f>IF('Items sous domaines Maths '!H467=1,'Items sous domaines Maths '!B467,0)</f>
        <v>0</v>
      </c>
      <c r="C443">
        <f>IF('Items sous domaines Maths '!H467=1,'Items sous domaines Maths '!C467,0)</f>
        <v>0</v>
      </c>
      <c r="D443">
        <f>IF('Items sous domaines Maths '!H467=1,'Items sous domaines Maths '!D467,0)</f>
        <v>0</v>
      </c>
      <c r="E443">
        <f>IF('Items sous domaines Maths '!H467=1,'Items sous domaines Maths '!E467,0)</f>
        <v>0</v>
      </c>
      <c r="F443">
        <f>IF('Items sous domaines Maths '!H467=1,'Items sous domaines Maths '!F461,0)</f>
        <v>0</v>
      </c>
      <c r="G443">
        <f>IF('Items sous domaines Maths '!H467=1,'Items sous domaines Maths '!G467,0)</f>
        <v>0</v>
      </c>
      <c r="H443" s="3"/>
    </row>
    <row r="444" spans="2:8" customFormat="1" ht="13.2" hidden="1" x14ac:dyDescent="0.25">
      <c r="B444">
        <f>IF('Items sous domaines Maths '!H468=1,'Items sous domaines Maths '!B468,0)</f>
        <v>0</v>
      </c>
      <c r="C444">
        <f>IF('Items sous domaines Maths '!H468=1,'Items sous domaines Maths '!C468,0)</f>
        <v>0</v>
      </c>
      <c r="D444">
        <f>IF('Items sous domaines Maths '!H468=1,'Items sous domaines Maths '!D468,0)</f>
        <v>0</v>
      </c>
      <c r="E444">
        <f>IF('Items sous domaines Maths '!H468=1,'Items sous domaines Maths '!E468,0)</f>
        <v>0</v>
      </c>
      <c r="F444">
        <f>IF('Items sous domaines Maths '!H468=1,'Items sous domaines Maths '!F462,0)</f>
        <v>0</v>
      </c>
      <c r="G444">
        <f>IF('Items sous domaines Maths '!H468=1,'Items sous domaines Maths '!G468,0)</f>
        <v>0</v>
      </c>
      <c r="H444" s="3"/>
    </row>
    <row r="445" spans="2:8" customFormat="1" ht="13.2" hidden="1" x14ac:dyDescent="0.25">
      <c r="B445">
        <f>IF('Items sous domaines Maths '!H469=1,'Items sous domaines Maths '!B469,0)</f>
        <v>0</v>
      </c>
      <c r="C445">
        <f>IF('Items sous domaines Maths '!H469=1,'Items sous domaines Maths '!C469,0)</f>
        <v>0</v>
      </c>
      <c r="D445">
        <f>IF('Items sous domaines Maths '!H469=1,'Items sous domaines Maths '!D469,0)</f>
        <v>0</v>
      </c>
      <c r="E445">
        <f>IF('Items sous domaines Maths '!H469=1,'Items sous domaines Maths '!E469,0)</f>
        <v>0</v>
      </c>
      <c r="F445">
        <f>IF('Items sous domaines Maths '!H469=1,'Items sous domaines Maths '!F463,0)</f>
        <v>0</v>
      </c>
      <c r="G445">
        <f>IF('Items sous domaines Maths '!H469=1,'Items sous domaines Maths '!G469,0)</f>
        <v>0</v>
      </c>
      <c r="H445" s="3"/>
    </row>
    <row r="446" spans="2:8" customFormat="1" ht="13.2" hidden="1" x14ac:dyDescent="0.25">
      <c r="B446">
        <f>IF('Items sous domaines Maths '!H470=1,'Items sous domaines Maths '!B470,0)</f>
        <v>0</v>
      </c>
      <c r="C446">
        <f>IF('Items sous domaines Maths '!H470=1,'Items sous domaines Maths '!C470,0)</f>
        <v>0</v>
      </c>
      <c r="D446">
        <f>IF('Items sous domaines Maths '!H470=1,'Items sous domaines Maths '!D470,0)</f>
        <v>0</v>
      </c>
      <c r="E446">
        <f>IF('Items sous domaines Maths '!H470=1,'Items sous domaines Maths '!E470,0)</f>
        <v>0</v>
      </c>
      <c r="F446">
        <f>IF('Items sous domaines Maths '!H470=1,'Items sous domaines Maths '!F464,0)</f>
        <v>0</v>
      </c>
      <c r="G446">
        <f>IF('Items sous domaines Maths '!H470=1,'Items sous domaines Maths '!G470,0)</f>
        <v>0</v>
      </c>
      <c r="H446" s="3"/>
    </row>
    <row r="447" spans="2:8" customFormat="1" ht="13.2" hidden="1" x14ac:dyDescent="0.25">
      <c r="B447">
        <f>IF('Items sous domaines Maths '!H471=1,'Items sous domaines Maths '!B471,0)</f>
        <v>0</v>
      </c>
      <c r="C447">
        <f>IF('Items sous domaines Maths '!H471=1,'Items sous domaines Maths '!C471,0)</f>
        <v>0</v>
      </c>
      <c r="D447">
        <f>IF('Items sous domaines Maths '!H471=1,'Items sous domaines Maths '!D471,0)</f>
        <v>0</v>
      </c>
      <c r="E447">
        <f>IF('Items sous domaines Maths '!H471=1,'Items sous domaines Maths '!E471,0)</f>
        <v>0</v>
      </c>
      <c r="F447">
        <f>IF('Items sous domaines Maths '!H471=1,'Items sous domaines Maths '!F465,0)</f>
        <v>0</v>
      </c>
      <c r="G447">
        <f>IF('Items sous domaines Maths '!H471=1,'Items sous domaines Maths '!G471,0)</f>
        <v>0</v>
      </c>
      <c r="H447" s="3"/>
    </row>
    <row r="448" spans="2:8" customFormat="1" ht="13.2" hidden="1" x14ac:dyDescent="0.25">
      <c r="B448">
        <f>IF('Items sous domaines Maths '!H472=1,'Items sous domaines Maths '!B472,0)</f>
        <v>0</v>
      </c>
      <c r="C448">
        <f>IF('Items sous domaines Maths '!H472=1,'Items sous domaines Maths '!C472,0)</f>
        <v>0</v>
      </c>
      <c r="D448">
        <f>IF('Items sous domaines Maths '!H472=1,'Items sous domaines Maths '!D472,0)</f>
        <v>0</v>
      </c>
      <c r="E448">
        <f>IF('Items sous domaines Maths '!H472=1,'Items sous domaines Maths '!E472,0)</f>
        <v>0</v>
      </c>
      <c r="F448">
        <f>IF('Items sous domaines Maths '!H472=1,'Items sous domaines Maths '!F466,0)</f>
        <v>0</v>
      </c>
      <c r="G448">
        <f>IF('Items sous domaines Maths '!H472=1,'Items sous domaines Maths '!G472,0)</f>
        <v>0</v>
      </c>
      <c r="H448" s="3"/>
    </row>
    <row r="449" spans="2:8" customFormat="1" ht="13.2" hidden="1" x14ac:dyDescent="0.25">
      <c r="B449">
        <f>IF('Items sous domaines Maths '!H473=1,'Items sous domaines Maths '!B473,0)</f>
        <v>0</v>
      </c>
      <c r="C449">
        <f>IF('Items sous domaines Maths '!H473=1,'Items sous domaines Maths '!C473,0)</f>
        <v>0</v>
      </c>
      <c r="D449">
        <f>IF('Items sous domaines Maths '!H473=1,'Items sous domaines Maths '!D473,0)</f>
        <v>0</v>
      </c>
      <c r="E449">
        <f>IF('Items sous domaines Maths '!H473=1,'Items sous domaines Maths '!E473,0)</f>
        <v>0</v>
      </c>
      <c r="F449">
        <f>IF('Items sous domaines Maths '!H473=1,'Items sous domaines Maths '!F467,0)</f>
        <v>0</v>
      </c>
      <c r="G449">
        <f>IF('Items sous domaines Maths '!H473=1,'Items sous domaines Maths '!G473,0)</f>
        <v>0</v>
      </c>
      <c r="H449" s="3"/>
    </row>
    <row r="450" spans="2:8" customFormat="1" ht="13.2" hidden="1" x14ac:dyDescent="0.25">
      <c r="B450">
        <f>IF('Items sous domaines Maths '!H474=1,'Items sous domaines Maths '!B474,0)</f>
        <v>0</v>
      </c>
      <c r="C450">
        <f>IF('Items sous domaines Maths '!H474=1,'Items sous domaines Maths '!C474,0)</f>
        <v>0</v>
      </c>
      <c r="D450">
        <f>IF('Items sous domaines Maths '!H474=1,'Items sous domaines Maths '!D474,0)</f>
        <v>0</v>
      </c>
      <c r="E450">
        <f>IF('Items sous domaines Maths '!H474=1,'Items sous domaines Maths '!E474,0)</f>
        <v>0</v>
      </c>
      <c r="F450">
        <f>IF('Items sous domaines Maths '!H474=1,'Items sous domaines Maths '!F468,0)</f>
        <v>0</v>
      </c>
      <c r="G450">
        <f>IF('Items sous domaines Maths '!H474=1,'Items sous domaines Maths '!G474,0)</f>
        <v>0</v>
      </c>
      <c r="H450" s="3"/>
    </row>
    <row r="451" spans="2:8" customFormat="1" ht="13.2" hidden="1" x14ac:dyDescent="0.25">
      <c r="B451">
        <f>IF('Items sous domaines Maths '!H475=1,'Items sous domaines Maths '!B475,0)</f>
        <v>0</v>
      </c>
      <c r="C451">
        <f>IF('Items sous domaines Maths '!H475=1,'Items sous domaines Maths '!C475,0)</f>
        <v>0</v>
      </c>
      <c r="D451">
        <f>IF('Items sous domaines Maths '!H475=1,'Items sous domaines Maths '!D475,0)</f>
        <v>0</v>
      </c>
      <c r="E451">
        <f>IF('Items sous domaines Maths '!H475=1,'Items sous domaines Maths '!E475,0)</f>
        <v>0</v>
      </c>
      <c r="F451">
        <f>IF('Items sous domaines Maths '!H475=1,'Items sous domaines Maths '!F469,0)</f>
        <v>0</v>
      </c>
      <c r="G451">
        <f>IF('Items sous domaines Maths '!H475=1,'Items sous domaines Maths '!G475,0)</f>
        <v>0</v>
      </c>
      <c r="H451" s="3"/>
    </row>
    <row r="452" spans="2:8" customFormat="1" ht="13.2" hidden="1" x14ac:dyDescent="0.25">
      <c r="B452">
        <f>IF('Items sous domaines Maths '!H476=1,'Items sous domaines Maths '!B476,0)</f>
        <v>0</v>
      </c>
      <c r="C452">
        <f>IF('Items sous domaines Maths '!H476=1,'Items sous domaines Maths '!C476,0)</f>
        <v>0</v>
      </c>
      <c r="D452">
        <f>IF('Items sous domaines Maths '!H476=1,'Items sous domaines Maths '!D476,0)</f>
        <v>0</v>
      </c>
      <c r="E452">
        <f>IF('Items sous domaines Maths '!H476=1,'Items sous domaines Maths '!E476,0)</f>
        <v>0</v>
      </c>
      <c r="F452">
        <f>IF('Items sous domaines Maths '!H476=1,'Items sous domaines Maths '!F470,0)</f>
        <v>0</v>
      </c>
      <c r="G452">
        <f>IF('Items sous domaines Maths '!H476=1,'Items sous domaines Maths '!G476,0)</f>
        <v>0</v>
      </c>
      <c r="H452" s="3"/>
    </row>
    <row r="453" spans="2:8" customFormat="1" ht="13.2" hidden="1" x14ac:dyDescent="0.25">
      <c r="B453">
        <f>IF('Items sous domaines Maths '!H477=1,'Items sous domaines Maths '!B477,0)</f>
        <v>0</v>
      </c>
      <c r="C453">
        <f>IF('Items sous domaines Maths '!H477=1,'Items sous domaines Maths '!C477,0)</f>
        <v>0</v>
      </c>
      <c r="D453">
        <f>IF('Items sous domaines Maths '!H477=1,'Items sous domaines Maths '!D477,0)</f>
        <v>0</v>
      </c>
      <c r="E453">
        <f>IF('Items sous domaines Maths '!H477=1,'Items sous domaines Maths '!E477,0)</f>
        <v>0</v>
      </c>
      <c r="F453">
        <f>IF('Items sous domaines Maths '!H477=1,'Items sous domaines Maths '!F471,0)</f>
        <v>0</v>
      </c>
      <c r="G453">
        <f>IF('Items sous domaines Maths '!H477=1,'Items sous domaines Maths '!G477,0)</f>
        <v>0</v>
      </c>
      <c r="H453" s="3"/>
    </row>
    <row r="454" spans="2:8" customFormat="1" ht="13.2" hidden="1" x14ac:dyDescent="0.25">
      <c r="B454">
        <f>IF('Items sous domaines Maths '!H478=1,'Items sous domaines Maths '!B478,0)</f>
        <v>0</v>
      </c>
      <c r="C454">
        <f>IF('Items sous domaines Maths '!H478=1,'Items sous domaines Maths '!C478,0)</f>
        <v>0</v>
      </c>
      <c r="D454">
        <f>IF('Items sous domaines Maths '!H478=1,'Items sous domaines Maths '!D478,0)</f>
        <v>0</v>
      </c>
      <c r="E454">
        <f>IF('Items sous domaines Maths '!H478=1,'Items sous domaines Maths '!E478,0)</f>
        <v>0</v>
      </c>
      <c r="F454">
        <f>IF('Items sous domaines Maths '!H478=1,'Items sous domaines Maths '!F472,0)</f>
        <v>0</v>
      </c>
      <c r="G454">
        <f>IF('Items sous domaines Maths '!H478=1,'Items sous domaines Maths '!G478,0)</f>
        <v>0</v>
      </c>
      <c r="H454" s="3"/>
    </row>
    <row r="455" spans="2:8" customFormat="1" ht="13.2" hidden="1" x14ac:dyDescent="0.25">
      <c r="B455">
        <f>IF('Items sous domaines Maths '!H479=1,'Items sous domaines Maths '!B479,0)</f>
        <v>0</v>
      </c>
      <c r="C455">
        <f>IF('Items sous domaines Maths '!H479=1,'Items sous domaines Maths '!C479,0)</f>
        <v>0</v>
      </c>
      <c r="D455">
        <f>IF('Items sous domaines Maths '!H479=1,'Items sous domaines Maths '!D479,0)</f>
        <v>0</v>
      </c>
      <c r="E455">
        <f>IF('Items sous domaines Maths '!H479=1,'Items sous domaines Maths '!E479,0)</f>
        <v>0</v>
      </c>
      <c r="F455">
        <f>IF('Items sous domaines Maths '!H479=1,'Items sous domaines Maths '!F473,0)</f>
        <v>0</v>
      </c>
      <c r="G455">
        <f>IF('Items sous domaines Maths '!H479=1,'Items sous domaines Maths '!G479,0)</f>
        <v>0</v>
      </c>
      <c r="H455" s="3"/>
    </row>
    <row r="456" spans="2:8" customFormat="1" ht="13.2" hidden="1" x14ac:dyDescent="0.25">
      <c r="B456">
        <f>IF('Items sous domaines Maths '!H480=1,'Items sous domaines Maths '!B480,0)</f>
        <v>0</v>
      </c>
      <c r="C456">
        <f>IF('Items sous domaines Maths '!H480=1,'Items sous domaines Maths '!C480,0)</f>
        <v>0</v>
      </c>
      <c r="D456">
        <f>IF('Items sous domaines Maths '!H480=1,'Items sous domaines Maths '!D480,0)</f>
        <v>0</v>
      </c>
      <c r="E456">
        <f>IF('Items sous domaines Maths '!H480=1,'Items sous domaines Maths '!E480,0)</f>
        <v>0</v>
      </c>
      <c r="F456">
        <f>IF('Items sous domaines Maths '!H480=1,'Items sous domaines Maths '!F474,0)</f>
        <v>0</v>
      </c>
      <c r="G456">
        <f>IF('Items sous domaines Maths '!H480=1,'Items sous domaines Maths '!G480,0)</f>
        <v>0</v>
      </c>
      <c r="H456" s="3"/>
    </row>
    <row r="457" spans="2:8" customFormat="1" ht="13.2" hidden="1" x14ac:dyDescent="0.25">
      <c r="B457">
        <f>IF('Items sous domaines Maths '!H481=1,'Items sous domaines Maths '!B481,0)</f>
        <v>0</v>
      </c>
      <c r="C457">
        <f>IF('Items sous domaines Maths '!H481=1,'Items sous domaines Maths '!C481,0)</f>
        <v>0</v>
      </c>
      <c r="D457">
        <f>IF('Items sous domaines Maths '!H481=1,'Items sous domaines Maths '!D481,0)</f>
        <v>0</v>
      </c>
      <c r="E457">
        <f>IF('Items sous domaines Maths '!H481=1,'Items sous domaines Maths '!E481,0)</f>
        <v>0</v>
      </c>
      <c r="F457">
        <f>IF('Items sous domaines Maths '!H481=1,'Items sous domaines Maths '!F475,0)</f>
        <v>0</v>
      </c>
      <c r="G457">
        <f>IF('Items sous domaines Maths '!H481=1,'Items sous domaines Maths '!G481,0)</f>
        <v>0</v>
      </c>
      <c r="H457" s="3"/>
    </row>
    <row r="458" spans="2:8" customFormat="1" ht="13.2" hidden="1" x14ac:dyDescent="0.25">
      <c r="B458">
        <f>IF('Items sous domaines Maths '!H482=1,'Items sous domaines Maths '!B482,0)</f>
        <v>0</v>
      </c>
      <c r="C458">
        <f>IF('Items sous domaines Maths '!H482=1,'Items sous domaines Maths '!C482,0)</f>
        <v>0</v>
      </c>
      <c r="D458">
        <f>IF('Items sous domaines Maths '!H482=1,'Items sous domaines Maths '!D482,0)</f>
        <v>0</v>
      </c>
      <c r="E458">
        <f>IF('Items sous domaines Maths '!H482=1,'Items sous domaines Maths '!E482,0)</f>
        <v>0</v>
      </c>
      <c r="F458">
        <f>IF('Items sous domaines Maths '!H482=1,'Items sous domaines Maths '!F476,0)</f>
        <v>0</v>
      </c>
      <c r="G458">
        <f>IF('Items sous domaines Maths '!H482=1,'Items sous domaines Maths '!G482,0)</f>
        <v>0</v>
      </c>
      <c r="H458" s="3"/>
    </row>
    <row r="459" spans="2:8" customFormat="1" ht="13.2" hidden="1" x14ac:dyDescent="0.25">
      <c r="B459">
        <f>IF('Items sous domaines Maths '!H483=1,'Items sous domaines Maths '!B483,0)</f>
        <v>0</v>
      </c>
      <c r="C459">
        <f>IF('Items sous domaines Maths '!H483=1,'Items sous domaines Maths '!C483,0)</f>
        <v>0</v>
      </c>
      <c r="D459">
        <f>IF('Items sous domaines Maths '!H483=1,'Items sous domaines Maths '!D483,0)</f>
        <v>0</v>
      </c>
      <c r="E459">
        <f>IF('Items sous domaines Maths '!H483=1,'Items sous domaines Maths '!E483,0)</f>
        <v>0</v>
      </c>
      <c r="F459">
        <f>IF('Items sous domaines Maths '!H483=1,'Items sous domaines Maths '!F477,0)</f>
        <v>0</v>
      </c>
      <c r="G459">
        <f>IF('Items sous domaines Maths '!H483=1,'Items sous domaines Maths '!G483,0)</f>
        <v>0</v>
      </c>
      <c r="H459" s="3"/>
    </row>
    <row r="460" spans="2:8" customFormat="1" ht="13.2" hidden="1" x14ac:dyDescent="0.25">
      <c r="B460">
        <f>IF('Items sous domaines Maths '!H484=1,'Items sous domaines Maths '!B484,0)</f>
        <v>0</v>
      </c>
      <c r="C460">
        <f>IF('Items sous domaines Maths '!H484=1,'Items sous domaines Maths '!C484,0)</f>
        <v>0</v>
      </c>
      <c r="D460">
        <f>IF('Items sous domaines Maths '!H484=1,'Items sous domaines Maths '!D484,0)</f>
        <v>0</v>
      </c>
      <c r="E460">
        <f>IF('Items sous domaines Maths '!H484=1,'Items sous domaines Maths '!E484,0)</f>
        <v>0</v>
      </c>
      <c r="F460">
        <f>IF('Items sous domaines Maths '!H484=1,'Items sous domaines Maths '!F478,0)</f>
        <v>0</v>
      </c>
      <c r="G460">
        <f>IF('Items sous domaines Maths '!H484=1,'Items sous domaines Maths '!G484,0)</f>
        <v>0</v>
      </c>
      <c r="H460" s="3"/>
    </row>
    <row r="461" spans="2:8" customFormat="1" ht="13.2" hidden="1" x14ac:dyDescent="0.25">
      <c r="B461">
        <f>IF('Items sous domaines Maths '!H485=1,'Items sous domaines Maths '!B485,0)</f>
        <v>0</v>
      </c>
      <c r="C461">
        <f>IF('Items sous domaines Maths '!H485=1,'Items sous domaines Maths '!C485,0)</f>
        <v>0</v>
      </c>
      <c r="D461">
        <f>IF('Items sous domaines Maths '!H485=1,'Items sous domaines Maths '!D485,0)</f>
        <v>0</v>
      </c>
      <c r="E461">
        <f>IF('Items sous domaines Maths '!H485=1,'Items sous domaines Maths '!E485,0)</f>
        <v>0</v>
      </c>
      <c r="F461">
        <f>IF('Items sous domaines Maths '!H485=1,'Items sous domaines Maths '!F479,0)</f>
        <v>0</v>
      </c>
      <c r="G461">
        <f>IF('Items sous domaines Maths '!H485=1,'Items sous domaines Maths '!G485,0)</f>
        <v>0</v>
      </c>
      <c r="H461" s="3"/>
    </row>
    <row r="462" spans="2:8" customFormat="1" ht="13.2" hidden="1" x14ac:dyDescent="0.25">
      <c r="B462">
        <f>IF('Items sous domaines Maths '!H486=1,'Items sous domaines Maths '!B486,0)</f>
        <v>0</v>
      </c>
      <c r="C462">
        <f>IF('Items sous domaines Maths '!H486=1,'Items sous domaines Maths '!C486,0)</f>
        <v>0</v>
      </c>
      <c r="D462">
        <f>IF('Items sous domaines Maths '!H486=1,'Items sous domaines Maths '!D486,0)</f>
        <v>0</v>
      </c>
      <c r="E462">
        <f>IF('Items sous domaines Maths '!H486=1,'Items sous domaines Maths '!E486,0)</f>
        <v>0</v>
      </c>
      <c r="F462">
        <f>IF('Items sous domaines Maths '!H486=1,'Items sous domaines Maths '!F480,0)</f>
        <v>0</v>
      </c>
      <c r="G462">
        <f>IF('Items sous domaines Maths '!H486=1,'Items sous domaines Maths '!G486,0)</f>
        <v>0</v>
      </c>
      <c r="H462" s="3"/>
    </row>
    <row r="463" spans="2:8" customFormat="1" ht="13.2" hidden="1" x14ac:dyDescent="0.25">
      <c r="B463">
        <f>IF('Items sous domaines Maths '!H487=1,'Items sous domaines Maths '!B487,0)</f>
        <v>0</v>
      </c>
      <c r="C463">
        <f>IF('Items sous domaines Maths '!H487=1,'Items sous domaines Maths '!C487,0)</f>
        <v>0</v>
      </c>
      <c r="D463">
        <f>IF('Items sous domaines Maths '!H487=1,'Items sous domaines Maths '!D487,0)</f>
        <v>0</v>
      </c>
      <c r="E463">
        <f>IF('Items sous domaines Maths '!H487=1,'Items sous domaines Maths '!E487,0)</f>
        <v>0</v>
      </c>
      <c r="F463">
        <f>IF('Items sous domaines Maths '!H487=1,'Items sous domaines Maths '!F481,0)</f>
        <v>0</v>
      </c>
      <c r="G463">
        <f>IF('Items sous domaines Maths '!H487=1,'Items sous domaines Maths '!G487,0)</f>
        <v>0</v>
      </c>
      <c r="H463" s="3"/>
    </row>
    <row r="464" spans="2:8" customFormat="1" ht="13.2" hidden="1" x14ac:dyDescent="0.25">
      <c r="B464">
        <f>IF('Items sous domaines Maths '!H488=1,'Items sous domaines Maths '!B488,0)</f>
        <v>0</v>
      </c>
      <c r="C464">
        <f>IF('Items sous domaines Maths '!H488=1,'Items sous domaines Maths '!C488,0)</f>
        <v>0</v>
      </c>
      <c r="D464">
        <f>IF('Items sous domaines Maths '!H488=1,'Items sous domaines Maths '!D488,0)</f>
        <v>0</v>
      </c>
      <c r="E464">
        <f>IF('Items sous domaines Maths '!H488=1,'Items sous domaines Maths '!E488,0)</f>
        <v>0</v>
      </c>
      <c r="F464">
        <f>IF('Items sous domaines Maths '!H488=1,'Items sous domaines Maths '!F482,0)</f>
        <v>0</v>
      </c>
      <c r="G464">
        <f>IF('Items sous domaines Maths '!H488=1,'Items sous domaines Maths '!G488,0)</f>
        <v>0</v>
      </c>
      <c r="H464" s="3"/>
    </row>
    <row r="465" spans="2:8" customFormat="1" ht="13.2" hidden="1" x14ac:dyDescent="0.25">
      <c r="B465">
        <f>IF('Items sous domaines Maths '!H489=1,'Items sous domaines Maths '!B489,0)</f>
        <v>0</v>
      </c>
      <c r="C465">
        <f>IF('Items sous domaines Maths '!H489=1,'Items sous domaines Maths '!C489,0)</f>
        <v>0</v>
      </c>
      <c r="D465">
        <f>IF('Items sous domaines Maths '!H489=1,'Items sous domaines Maths '!D489,0)</f>
        <v>0</v>
      </c>
      <c r="E465">
        <f>IF('Items sous domaines Maths '!H489=1,'Items sous domaines Maths '!E489,0)</f>
        <v>0</v>
      </c>
      <c r="F465">
        <f>IF('Items sous domaines Maths '!H489=1,'Items sous domaines Maths '!F483,0)</f>
        <v>0</v>
      </c>
      <c r="G465">
        <f>IF('Items sous domaines Maths '!H489=1,'Items sous domaines Maths '!G489,0)</f>
        <v>0</v>
      </c>
      <c r="H465" s="3"/>
    </row>
    <row r="466" spans="2:8" customFormat="1" ht="13.2" hidden="1" x14ac:dyDescent="0.25">
      <c r="B466">
        <f>IF('Items sous domaines Maths '!H490=1,'Items sous domaines Maths '!B490,0)</f>
        <v>0</v>
      </c>
      <c r="C466">
        <f>IF('Items sous domaines Maths '!H490=1,'Items sous domaines Maths '!C490,0)</f>
        <v>0</v>
      </c>
      <c r="D466">
        <f>IF('Items sous domaines Maths '!H490=1,'Items sous domaines Maths '!D490,0)</f>
        <v>0</v>
      </c>
      <c r="E466">
        <f>IF('Items sous domaines Maths '!H490=1,'Items sous domaines Maths '!E490,0)</f>
        <v>0</v>
      </c>
      <c r="F466">
        <f>IF('Items sous domaines Maths '!H490=1,'Items sous domaines Maths '!F484,0)</f>
        <v>0</v>
      </c>
      <c r="G466">
        <f>IF('Items sous domaines Maths '!H490=1,'Items sous domaines Maths '!G490,0)</f>
        <v>0</v>
      </c>
      <c r="H466" s="3"/>
    </row>
    <row r="467" spans="2:8" customFormat="1" ht="13.2" hidden="1" x14ac:dyDescent="0.25">
      <c r="B467">
        <f>IF('Items sous domaines Maths '!H491=1,'Items sous domaines Maths '!B491,0)</f>
        <v>0</v>
      </c>
      <c r="C467">
        <f>IF('Items sous domaines Maths '!H491=1,'Items sous domaines Maths '!C491,0)</f>
        <v>0</v>
      </c>
      <c r="D467">
        <f>IF('Items sous domaines Maths '!H491=1,'Items sous domaines Maths '!D491,0)</f>
        <v>0</v>
      </c>
      <c r="E467">
        <f>IF('Items sous domaines Maths '!H491=1,'Items sous domaines Maths '!E491,0)</f>
        <v>0</v>
      </c>
      <c r="F467">
        <f>IF('Items sous domaines Maths '!H491=1,'Items sous domaines Maths '!F485,0)</f>
        <v>0</v>
      </c>
      <c r="G467">
        <f>IF('Items sous domaines Maths '!H491=1,'Items sous domaines Maths '!G491,0)</f>
        <v>0</v>
      </c>
      <c r="H467" s="3"/>
    </row>
    <row r="468" spans="2:8" customFormat="1" ht="13.2" hidden="1" x14ac:dyDescent="0.25">
      <c r="B468">
        <f>IF('Items sous domaines Maths '!H492=1,'Items sous domaines Maths '!B492,0)</f>
        <v>0</v>
      </c>
      <c r="C468">
        <f>IF('Items sous domaines Maths '!H492=1,'Items sous domaines Maths '!C492,0)</f>
        <v>0</v>
      </c>
      <c r="D468">
        <f>IF('Items sous domaines Maths '!H492=1,'Items sous domaines Maths '!D492,0)</f>
        <v>0</v>
      </c>
      <c r="E468">
        <f>IF('Items sous domaines Maths '!H492=1,'Items sous domaines Maths '!E492,0)</f>
        <v>0</v>
      </c>
      <c r="F468">
        <f>IF('Items sous domaines Maths '!H492=1,'Items sous domaines Maths '!F486,0)</f>
        <v>0</v>
      </c>
      <c r="G468">
        <f>IF('Items sous domaines Maths '!H492=1,'Items sous domaines Maths '!G492,0)</f>
        <v>0</v>
      </c>
      <c r="H468" s="3"/>
    </row>
    <row r="469" spans="2:8" customFormat="1" ht="13.2" hidden="1" x14ac:dyDescent="0.25">
      <c r="B469">
        <f>IF('Items sous domaines Maths '!H493=1,'Items sous domaines Maths '!B493,0)</f>
        <v>0</v>
      </c>
      <c r="C469">
        <f>IF('Items sous domaines Maths '!H493=1,'Items sous domaines Maths '!C493,0)</f>
        <v>0</v>
      </c>
      <c r="D469">
        <f>IF('Items sous domaines Maths '!H493=1,'Items sous domaines Maths '!D493,0)</f>
        <v>0</v>
      </c>
      <c r="E469">
        <f>IF('Items sous domaines Maths '!H493=1,'Items sous domaines Maths '!E493,0)</f>
        <v>0</v>
      </c>
      <c r="F469">
        <f>IF('Items sous domaines Maths '!H493=1,'Items sous domaines Maths '!F487,0)</f>
        <v>0</v>
      </c>
      <c r="G469">
        <f>IF('Items sous domaines Maths '!H493=1,'Items sous domaines Maths '!G493,0)</f>
        <v>0</v>
      </c>
      <c r="H469" s="3"/>
    </row>
    <row r="470" spans="2:8" customFormat="1" ht="13.2" hidden="1" x14ac:dyDescent="0.25">
      <c r="B470">
        <f>IF('Items sous domaines Maths '!H494=1,'Items sous domaines Maths '!B494,0)</f>
        <v>0</v>
      </c>
      <c r="C470">
        <f>IF('Items sous domaines Maths '!H494=1,'Items sous domaines Maths '!C494,0)</f>
        <v>0</v>
      </c>
      <c r="D470">
        <f>IF('Items sous domaines Maths '!H494=1,'Items sous domaines Maths '!D494,0)</f>
        <v>0</v>
      </c>
      <c r="E470">
        <f>IF('Items sous domaines Maths '!H494=1,'Items sous domaines Maths '!E494,0)</f>
        <v>0</v>
      </c>
      <c r="F470">
        <f>IF('Items sous domaines Maths '!H494=1,'Items sous domaines Maths '!F488,0)</f>
        <v>0</v>
      </c>
      <c r="G470">
        <f>IF('Items sous domaines Maths '!H494=1,'Items sous domaines Maths '!G494,0)</f>
        <v>0</v>
      </c>
      <c r="H470" s="3"/>
    </row>
    <row r="471" spans="2:8" customFormat="1" ht="13.2" hidden="1" x14ac:dyDescent="0.25">
      <c r="B471">
        <f>IF('Items sous domaines Maths '!H495=1,'Items sous domaines Maths '!B495,0)</f>
        <v>0</v>
      </c>
      <c r="C471">
        <f>IF('Items sous domaines Maths '!H495=1,'Items sous domaines Maths '!C495,0)</f>
        <v>0</v>
      </c>
      <c r="D471">
        <f>IF('Items sous domaines Maths '!H495=1,'Items sous domaines Maths '!D495,0)</f>
        <v>0</v>
      </c>
      <c r="E471">
        <f>IF('Items sous domaines Maths '!H495=1,'Items sous domaines Maths '!E495,0)</f>
        <v>0</v>
      </c>
      <c r="F471">
        <f>IF('Items sous domaines Maths '!H495=1,'Items sous domaines Maths '!F489,0)</f>
        <v>0</v>
      </c>
      <c r="G471">
        <f>IF('Items sous domaines Maths '!H495=1,'Items sous domaines Maths '!G495,0)</f>
        <v>0</v>
      </c>
      <c r="H471" s="3"/>
    </row>
    <row r="472" spans="2:8" customFormat="1" ht="13.2" hidden="1" x14ac:dyDescent="0.25">
      <c r="B472">
        <f>IF('Items sous domaines Maths '!H496=1,'Items sous domaines Maths '!B496,0)</f>
        <v>0</v>
      </c>
      <c r="C472">
        <f>IF('Items sous domaines Maths '!H496=1,'Items sous domaines Maths '!C496,0)</f>
        <v>0</v>
      </c>
      <c r="D472">
        <f>IF('Items sous domaines Maths '!H496=1,'Items sous domaines Maths '!D496,0)</f>
        <v>0</v>
      </c>
      <c r="E472">
        <f>IF('Items sous domaines Maths '!H496=1,'Items sous domaines Maths '!E496,0)</f>
        <v>0</v>
      </c>
      <c r="F472">
        <f>IF('Items sous domaines Maths '!H496=1,'Items sous domaines Maths '!F490,0)</f>
        <v>0</v>
      </c>
      <c r="G472">
        <f>IF('Items sous domaines Maths '!H496=1,'Items sous domaines Maths '!G496,0)</f>
        <v>0</v>
      </c>
      <c r="H472" s="3"/>
    </row>
    <row r="473" spans="2:8" customFormat="1" ht="13.2" hidden="1" x14ac:dyDescent="0.25">
      <c r="B473">
        <f>IF('Items sous domaines Maths '!H497=1,'Items sous domaines Maths '!B497,0)</f>
        <v>0</v>
      </c>
      <c r="C473">
        <f>IF('Items sous domaines Maths '!H497=1,'Items sous domaines Maths '!C497,0)</f>
        <v>0</v>
      </c>
      <c r="D473">
        <f>IF('Items sous domaines Maths '!H497=1,'Items sous domaines Maths '!D497,0)</f>
        <v>0</v>
      </c>
      <c r="E473">
        <f>IF('Items sous domaines Maths '!H497=1,'Items sous domaines Maths '!E497,0)</f>
        <v>0</v>
      </c>
      <c r="F473">
        <f>IF('Items sous domaines Maths '!H497=1,'Items sous domaines Maths '!F491,0)</f>
        <v>0</v>
      </c>
      <c r="G473">
        <f>IF('Items sous domaines Maths '!H497=1,'Items sous domaines Maths '!G497,0)</f>
        <v>0</v>
      </c>
      <c r="H473" s="3"/>
    </row>
    <row r="474" spans="2:8" customFormat="1" ht="13.2" hidden="1" x14ac:dyDescent="0.25">
      <c r="B474">
        <f>IF('Items sous domaines Maths '!H498=1,'Items sous domaines Maths '!B498,0)</f>
        <v>0</v>
      </c>
      <c r="C474">
        <f>IF('Items sous domaines Maths '!H498=1,'Items sous domaines Maths '!C498,0)</f>
        <v>0</v>
      </c>
      <c r="D474">
        <f>IF('Items sous domaines Maths '!H498=1,'Items sous domaines Maths '!D498,0)</f>
        <v>0</v>
      </c>
      <c r="E474">
        <f>IF('Items sous domaines Maths '!H498=1,'Items sous domaines Maths '!E498,0)</f>
        <v>0</v>
      </c>
      <c r="F474">
        <f>IF('Items sous domaines Maths '!H498=1,'Items sous domaines Maths '!F492,0)</f>
        <v>0</v>
      </c>
      <c r="G474">
        <f>IF('Items sous domaines Maths '!H498=1,'Items sous domaines Maths '!G498,0)</f>
        <v>0</v>
      </c>
      <c r="H474" s="3"/>
    </row>
    <row r="475" spans="2:8" customFormat="1" ht="13.2" hidden="1" x14ac:dyDescent="0.25">
      <c r="B475">
        <f>IF('Items sous domaines Maths '!H499=1,'Items sous domaines Maths '!B499,0)</f>
        <v>0</v>
      </c>
      <c r="C475">
        <f>IF('Items sous domaines Maths '!H499=1,'Items sous domaines Maths '!C499,0)</f>
        <v>0</v>
      </c>
      <c r="D475">
        <f>IF('Items sous domaines Maths '!H499=1,'Items sous domaines Maths '!D499,0)</f>
        <v>0</v>
      </c>
      <c r="E475">
        <f>IF('Items sous domaines Maths '!H499=1,'Items sous domaines Maths '!E499,0)</f>
        <v>0</v>
      </c>
      <c r="F475">
        <f>IF('Items sous domaines Maths '!H499=1,'Items sous domaines Maths '!F493,0)</f>
        <v>0</v>
      </c>
      <c r="G475">
        <f>IF('Items sous domaines Maths '!H499=1,'Items sous domaines Maths '!G499,0)</f>
        <v>0</v>
      </c>
      <c r="H475" s="3"/>
    </row>
    <row r="476" spans="2:8" customFormat="1" ht="13.2" hidden="1" x14ac:dyDescent="0.25">
      <c r="B476">
        <f>IF('Items sous domaines Maths '!H500=1,'Items sous domaines Maths '!B500,0)</f>
        <v>0</v>
      </c>
      <c r="C476">
        <f>IF('Items sous domaines Maths '!H500=1,'Items sous domaines Maths '!C500,0)</f>
        <v>0</v>
      </c>
      <c r="D476">
        <f>IF('Items sous domaines Maths '!H500=1,'Items sous domaines Maths '!D500,0)</f>
        <v>0</v>
      </c>
      <c r="E476">
        <f>IF('Items sous domaines Maths '!H500=1,'Items sous domaines Maths '!E500,0)</f>
        <v>0</v>
      </c>
      <c r="F476">
        <f>IF('Items sous domaines Maths '!H500=1,'Items sous domaines Maths '!F494,0)</f>
        <v>0</v>
      </c>
      <c r="G476">
        <f>IF('Items sous domaines Maths '!H500=1,'Items sous domaines Maths '!G500,0)</f>
        <v>0</v>
      </c>
      <c r="H476" s="3"/>
    </row>
    <row r="477" spans="2:8" customFormat="1" ht="13.2" hidden="1" x14ac:dyDescent="0.25">
      <c r="B477">
        <f>IF('Items sous domaines Maths '!H501=1,'Items sous domaines Maths '!B501,0)</f>
        <v>0</v>
      </c>
      <c r="C477">
        <f>IF('Items sous domaines Maths '!H501=1,'Items sous domaines Maths '!C501,0)</f>
        <v>0</v>
      </c>
      <c r="D477">
        <f>IF('Items sous domaines Maths '!H501=1,'Items sous domaines Maths '!D501,0)</f>
        <v>0</v>
      </c>
      <c r="E477">
        <f>IF('Items sous domaines Maths '!H501=1,'Items sous domaines Maths '!E501,0)</f>
        <v>0</v>
      </c>
      <c r="F477">
        <f>IF('Items sous domaines Maths '!H501=1,'Items sous domaines Maths '!F495,0)</f>
        <v>0</v>
      </c>
      <c r="G477">
        <f>IF('Items sous domaines Maths '!H501=1,'Items sous domaines Maths '!G501,0)</f>
        <v>0</v>
      </c>
      <c r="H477" s="3"/>
    </row>
    <row r="478" spans="2:8" customFormat="1" ht="13.2" hidden="1" x14ac:dyDescent="0.25">
      <c r="B478">
        <f>IF('Items sous domaines Maths '!H502=1,'Items sous domaines Maths '!B502,0)</f>
        <v>0</v>
      </c>
      <c r="C478">
        <f>IF('Items sous domaines Maths '!H502=1,'Items sous domaines Maths '!C502,0)</f>
        <v>0</v>
      </c>
      <c r="D478">
        <f>IF('Items sous domaines Maths '!H502=1,'Items sous domaines Maths '!D502,0)</f>
        <v>0</v>
      </c>
      <c r="E478">
        <f>IF('Items sous domaines Maths '!H502=1,'Items sous domaines Maths '!E502,0)</f>
        <v>0</v>
      </c>
      <c r="F478">
        <f>IF('Items sous domaines Maths '!H502=1,'Items sous domaines Maths '!F496,0)</f>
        <v>0</v>
      </c>
      <c r="G478">
        <f>IF('Items sous domaines Maths '!H502=1,'Items sous domaines Maths '!G502,0)</f>
        <v>0</v>
      </c>
      <c r="H478" s="3"/>
    </row>
    <row r="479" spans="2:8" customFormat="1" ht="13.2" hidden="1" x14ac:dyDescent="0.25">
      <c r="B479">
        <f>IF('Items sous domaines Maths '!H503=1,'Items sous domaines Maths '!B503,0)</f>
        <v>0</v>
      </c>
      <c r="C479">
        <f>IF('Items sous domaines Maths '!H503=1,'Items sous domaines Maths '!C503,0)</f>
        <v>0</v>
      </c>
      <c r="D479">
        <f>IF('Items sous domaines Maths '!H503=1,'Items sous domaines Maths '!D503,0)</f>
        <v>0</v>
      </c>
      <c r="E479">
        <f>IF('Items sous domaines Maths '!H503=1,'Items sous domaines Maths '!E503,0)</f>
        <v>0</v>
      </c>
      <c r="F479">
        <f>IF('Items sous domaines Maths '!H503=1,'Items sous domaines Maths '!F497,0)</f>
        <v>0</v>
      </c>
      <c r="G479">
        <f>IF('Items sous domaines Maths '!H503=1,'Items sous domaines Maths '!G503,0)</f>
        <v>0</v>
      </c>
      <c r="H479" s="3"/>
    </row>
    <row r="480" spans="2:8" customFormat="1" ht="13.2" hidden="1" x14ac:dyDescent="0.25">
      <c r="B480">
        <f>IF('Items sous domaines Maths '!H504=1,'Items sous domaines Maths '!B504,0)</f>
        <v>0</v>
      </c>
      <c r="C480">
        <f>IF('Items sous domaines Maths '!H504=1,'Items sous domaines Maths '!C504,0)</f>
        <v>0</v>
      </c>
      <c r="D480">
        <f>IF('Items sous domaines Maths '!H504=1,'Items sous domaines Maths '!D504,0)</f>
        <v>0</v>
      </c>
      <c r="E480">
        <f>IF('Items sous domaines Maths '!H504=1,'Items sous domaines Maths '!E504,0)</f>
        <v>0</v>
      </c>
      <c r="F480">
        <f>IF('Items sous domaines Maths '!H504=1,'Items sous domaines Maths '!F498,0)</f>
        <v>0</v>
      </c>
      <c r="G480">
        <f>IF('Items sous domaines Maths '!H504=1,'Items sous domaines Maths '!G504,0)</f>
        <v>0</v>
      </c>
      <c r="H480" s="3"/>
    </row>
    <row r="481" spans="2:8" customFormat="1" ht="13.2" hidden="1" x14ac:dyDescent="0.25">
      <c r="B481">
        <f>IF('Items sous domaines Maths '!H505=1,'Items sous domaines Maths '!B505,0)</f>
        <v>0</v>
      </c>
      <c r="C481">
        <f>IF('Items sous domaines Maths '!H505=1,'Items sous domaines Maths '!C505,0)</f>
        <v>0</v>
      </c>
      <c r="D481">
        <f>IF('Items sous domaines Maths '!H505=1,'Items sous domaines Maths '!D505,0)</f>
        <v>0</v>
      </c>
      <c r="E481">
        <f>IF('Items sous domaines Maths '!H505=1,'Items sous domaines Maths '!E505,0)</f>
        <v>0</v>
      </c>
      <c r="F481">
        <f>IF('Items sous domaines Maths '!H505=1,'Items sous domaines Maths '!F499,0)</f>
        <v>0</v>
      </c>
      <c r="G481">
        <f>IF('Items sous domaines Maths '!H505=1,'Items sous domaines Maths '!G505,0)</f>
        <v>0</v>
      </c>
      <c r="H481" s="3"/>
    </row>
    <row r="482" spans="2:8" customFormat="1" ht="13.2" hidden="1" x14ac:dyDescent="0.25">
      <c r="B482">
        <f>IF('Items sous domaines Maths '!H506=1,'Items sous domaines Maths '!B506,0)</f>
        <v>0</v>
      </c>
      <c r="C482">
        <f>IF('Items sous domaines Maths '!H506=1,'Items sous domaines Maths '!C506,0)</f>
        <v>0</v>
      </c>
      <c r="D482">
        <f>IF('Items sous domaines Maths '!H506=1,'Items sous domaines Maths '!D506,0)</f>
        <v>0</v>
      </c>
      <c r="E482">
        <f>IF('Items sous domaines Maths '!H506=1,'Items sous domaines Maths '!E506,0)</f>
        <v>0</v>
      </c>
      <c r="F482">
        <f>IF('Items sous domaines Maths '!H506=1,'Items sous domaines Maths '!F500,0)</f>
        <v>0</v>
      </c>
      <c r="G482">
        <f>IF('Items sous domaines Maths '!H506=1,'Items sous domaines Maths '!G506,0)</f>
        <v>0</v>
      </c>
      <c r="H482" s="3"/>
    </row>
    <row r="483" spans="2:8" customFormat="1" ht="13.2" hidden="1" x14ac:dyDescent="0.25">
      <c r="B483">
        <f>IF('Items sous domaines Maths '!H507=1,'Items sous domaines Maths '!B507,0)</f>
        <v>0</v>
      </c>
      <c r="C483">
        <f>IF('Items sous domaines Maths '!H507=1,'Items sous domaines Maths '!C507,0)</f>
        <v>0</v>
      </c>
      <c r="D483">
        <f>IF('Items sous domaines Maths '!H507=1,'Items sous domaines Maths '!D507,0)</f>
        <v>0</v>
      </c>
      <c r="E483">
        <f>IF('Items sous domaines Maths '!H507=1,'Items sous domaines Maths '!E507,0)</f>
        <v>0</v>
      </c>
      <c r="F483">
        <f>IF('Items sous domaines Maths '!H507=1,'Items sous domaines Maths '!F501,0)</f>
        <v>0</v>
      </c>
      <c r="G483">
        <f>IF('Items sous domaines Maths '!H507=1,'Items sous domaines Maths '!G507,0)</f>
        <v>0</v>
      </c>
      <c r="H483" s="3"/>
    </row>
    <row r="484" spans="2:8" customFormat="1" ht="13.2" hidden="1" x14ac:dyDescent="0.25">
      <c r="B484">
        <f>IF('Items sous domaines Maths '!H508=1,'Items sous domaines Maths '!B508,0)</f>
        <v>0</v>
      </c>
      <c r="C484">
        <f>IF('Items sous domaines Maths '!H508=1,'Items sous domaines Maths '!C508,0)</f>
        <v>0</v>
      </c>
      <c r="D484">
        <f>IF('Items sous domaines Maths '!H508=1,'Items sous domaines Maths '!D508,0)</f>
        <v>0</v>
      </c>
      <c r="E484">
        <f>IF('Items sous domaines Maths '!H508=1,'Items sous domaines Maths '!E508,0)</f>
        <v>0</v>
      </c>
      <c r="F484">
        <f>IF('Items sous domaines Maths '!H508=1,'Items sous domaines Maths '!F502,0)</f>
        <v>0</v>
      </c>
      <c r="G484">
        <f>IF('Items sous domaines Maths '!H508=1,'Items sous domaines Maths '!G508,0)</f>
        <v>0</v>
      </c>
      <c r="H484" s="3"/>
    </row>
    <row r="485" spans="2:8" ht="18" thickTop="1" x14ac:dyDescent="0.25">
      <c r="H485" s="26"/>
    </row>
    <row r="486" spans="2:8" x14ac:dyDescent="0.25">
      <c r="H486" s="26"/>
    </row>
    <row r="487" spans="2:8" x14ac:dyDescent="0.25">
      <c r="H487" s="26"/>
    </row>
    <row r="488" spans="2:8" x14ac:dyDescent="0.25">
      <c r="H488" s="26"/>
    </row>
    <row r="489" spans="2:8" x14ac:dyDescent="0.25">
      <c r="H489" s="26"/>
    </row>
    <row r="490" spans="2:8" x14ac:dyDescent="0.25">
      <c r="H490" s="26"/>
    </row>
    <row r="491" spans="2:8" x14ac:dyDescent="0.25">
      <c r="H491" s="26"/>
    </row>
    <row r="492" spans="2:8" x14ac:dyDescent="0.25">
      <c r="H492" s="26"/>
    </row>
    <row r="493" spans="2:8" x14ac:dyDescent="0.25">
      <c r="H493" s="26"/>
    </row>
  </sheetData>
  <autoFilter ref="A3:X484" xr:uid="{00000000-0009-0000-0000-000006000000}">
    <filterColumn colId="1">
      <filters>
        <filter val="Algèbre"/>
        <filter val="Analyse"/>
        <filter val="Géométrie"/>
        <filter val="Probabilité et statistiques"/>
      </filters>
    </filterColumn>
  </autoFilter>
  <mergeCells count="58">
    <mergeCell ref="A156:A157"/>
    <mergeCell ref="A168:A172"/>
    <mergeCell ref="A158:A167"/>
    <mergeCell ref="A173:A185"/>
    <mergeCell ref="A339:A379"/>
    <mergeCell ref="A279:A286"/>
    <mergeCell ref="A189:A206"/>
    <mergeCell ref="A187:A188"/>
    <mergeCell ref="A307:A317"/>
    <mergeCell ref="A245:A255"/>
    <mergeCell ref="A230:A243"/>
    <mergeCell ref="A109:A123"/>
    <mergeCell ref="A125:A133"/>
    <mergeCell ref="A85:A107"/>
    <mergeCell ref="A59:A68"/>
    <mergeCell ref="A154:A155"/>
    <mergeCell ref="A2:G2"/>
    <mergeCell ref="A4:A19"/>
    <mergeCell ref="G4:G19"/>
    <mergeCell ref="A22:A34"/>
    <mergeCell ref="A36:A53"/>
    <mergeCell ref="G339:G365"/>
    <mergeCell ref="H4:H19"/>
    <mergeCell ref="H22:H34"/>
    <mergeCell ref="H36:H52"/>
    <mergeCell ref="H59:H68"/>
    <mergeCell ref="H85:H104"/>
    <mergeCell ref="H196:H206"/>
    <mergeCell ref="H187:H195"/>
    <mergeCell ref="H173:H185"/>
    <mergeCell ref="H168:H172"/>
    <mergeCell ref="H157:H167"/>
    <mergeCell ref="H154:H155"/>
    <mergeCell ref="G187:G188"/>
    <mergeCell ref="G189:G206"/>
    <mergeCell ref="G245:G255"/>
    <mergeCell ref="G279:G286"/>
    <mergeCell ref="I36:I52"/>
    <mergeCell ref="H2:I2"/>
    <mergeCell ref="H1:I1"/>
    <mergeCell ref="I4:I19"/>
    <mergeCell ref="G307:G317"/>
    <mergeCell ref="G154:G155"/>
    <mergeCell ref="G156:G157"/>
    <mergeCell ref="G158:G167"/>
    <mergeCell ref="G168:G172"/>
    <mergeCell ref="G173:G185"/>
    <mergeCell ref="G22:G34"/>
    <mergeCell ref="G36:G52"/>
    <mergeCell ref="G59:G68"/>
    <mergeCell ref="G85:G104"/>
    <mergeCell ref="G109:G123"/>
    <mergeCell ref="A1:G1"/>
    <mergeCell ref="H245:H255"/>
    <mergeCell ref="H339:H365"/>
    <mergeCell ref="H307:H317"/>
    <mergeCell ref="H279:H286"/>
    <mergeCell ref="H109:H123"/>
  </mergeCells>
  <hyperlinks>
    <hyperlink ref="I307" r:id="rId1" xr:uid="{00000000-0004-0000-0600-000000000000}"/>
    <hyperlink ref="H4" r:id="rId2" xr:uid="{00000000-0004-0000-0600-000001000000}"/>
    <hyperlink ref="H22" r:id="rId3" xr:uid="{00000000-0004-0000-0600-000002000000}"/>
    <hyperlink ref="H36" r:id="rId4" xr:uid="{00000000-0004-0000-0600-000003000000}"/>
    <hyperlink ref="H59" r:id="rId5" display="https://uel.unisciel.fr/mathematiques/dev_limites/dev_limites/co/dev_limites.html" xr:uid="{00000000-0004-0000-0600-000004000000}"/>
    <hyperlink ref="H85" r:id="rId6" display="https://uel.unisciel.fr/physique/outils_nancy/outils_nancy_ch11/co/outils_nancy_ch11.html" xr:uid="{00000000-0004-0000-0600-000005000000}"/>
    <hyperlink ref="H109" r:id="rId7" display="https://www.lelivrescolaire.fr/page/14235244" xr:uid="{00000000-0004-0000-0600-000006000000}"/>
    <hyperlink ref="H154" r:id="rId8" display="https://www.lelivrescolaire.fr/page/10486827" xr:uid="{00000000-0004-0000-0600-000007000000}"/>
    <hyperlink ref="H157" r:id="rId9" display="https://www.lelivrescolaire.fr/page/10486827" xr:uid="{00000000-0004-0000-0600-000008000000}"/>
    <hyperlink ref="H173" r:id="rId10" display="https://www.lelivrescolaire.fr/page/10486827" xr:uid="{00000000-0004-0000-0600-000009000000}"/>
    <hyperlink ref="H156" r:id="rId11" display="https://uel.unisciel.fr/physique/outils_nancy/outils_nancy_ch03/co/sexercer_02.html?msclkid=7986dd11c18711ecb89a99ba63c4e67c" xr:uid="{00000000-0004-0000-0600-00000A000000}"/>
    <hyperlink ref="H168" r:id="rId12" display="https://uel.unisciel.fr/physique/outils_nancy/outils_nancy_ch03/co/sexercer_02.html?msclkid=7986dd11c18711ecb89a99ba63c4e67c" xr:uid="{00000000-0004-0000-0600-00000B000000}"/>
    <hyperlink ref="H187" r:id="rId13" display="https://uel.unisciel.fr/mathematiques/analyse1/analyse1_ch03/co/analyse1_ch03.html" xr:uid="{00000000-0004-0000-0600-00000C000000}"/>
    <hyperlink ref="H196" r:id="rId14" display="https://uel.unisciel.fr/mathematiques/analyse1/analyse1_ch04/co/analyse1_ch04.html" xr:uid="{00000000-0004-0000-0600-00000D000000}"/>
    <hyperlink ref="H245" r:id="rId15" display="https://uel.unisciel.fr/physique/outils_nancy/outils_nancy_ch08/co/outils_nancy_ch08.html" xr:uid="{00000000-0004-0000-0600-00000E000000}"/>
    <hyperlink ref="H279" r:id="rId16" display="https://uel.unisciel.fr/mathematiques/eq_diff/eq_diff/co/eq_diff.html" xr:uid="{00000000-0004-0000-0600-00000F000000}"/>
    <hyperlink ref="H307" r:id="rId17" display="https://uel.unisciel.fr/mathematiques/analyse1/analyse1_ch02/co/analyse1_ch02.html" xr:uid="{00000000-0004-0000-0600-000010000000}"/>
    <hyperlink ref="I339" r:id="rId18" xr:uid="{00000000-0004-0000-0600-000011000000}"/>
    <hyperlink ref="I341" r:id="rId19" xr:uid="{00000000-0004-0000-0600-000012000000}"/>
    <hyperlink ref="I342" r:id="rId20" xr:uid="{00000000-0004-0000-0600-000013000000}"/>
    <hyperlink ref="I343" r:id="rId21" xr:uid="{00000000-0004-0000-0600-000014000000}"/>
    <hyperlink ref="I36" r:id="rId22" xr:uid="{00000000-0004-0000-0600-000015000000}"/>
    <hyperlink ref="I4" r:id="rId23" xr:uid="{00000000-0004-0000-0600-000016000000}"/>
    <hyperlink ref="I25" r:id="rId24" xr:uid="{00000000-0004-0000-0600-000017000000}"/>
    <hyperlink ref="I97" r:id="rId25" xr:uid="{00000000-0004-0000-0600-000018000000}"/>
    <hyperlink ref="I100" r:id="rId26" xr:uid="{00000000-0004-0000-0600-000019000000}"/>
    <hyperlink ref="I111" r:id="rId27" xr:uid="{00000000-0004-0000-0600-00001A000000}"/>
    <hyperlink ref="I154" r:id="rId28" xr:uid="{00000000-0004-0000-0600-00001B000000}"/>
    <hyperlink ref="I246" r:id="rId29" xr:uid="{00000000-0004-0000-0600-00001C000000}"/>
    <hyperlink ref="H339" r:id="rId30" display="https://ressources.unisciel.fr/ramses/519-21_probabilites/co/fa901_5.html" xr:uid="{00000000-0004-0000-0600-00001D000000}"/>
  </hyperlinks>
  <pageMargins left="0.7" right="0.7" top="0.75" bottom="0.75" header="0.3" footer="0.3"/>
  <pageSetup paperSize="9" orientation="portrait" r:id="rId3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rgb="FF69B3E7"/>
  </sheetPr>
  <dimension ref="A1:J489"/>
  <sheetViews>
    <sheetView topLeftCell="A225" zoomScale="70" zoomScaleNormal="70" workbookViewId="0">
      <selection activeCell="D111" sqref="D111"/>
    </sheetView>
  </sheetViews>
  <sheetFormatPr baseColWidth="10" defaultColWidth="11.44140625" defaultRowHeight="18" x14ac:dyDescent="0.25"/>
  <cols>
    <col min="1" max="1" width="28.6640625" style="118" customWidth="1"/>
    <col min="2" max="2" width="26.6640625" style="61" customWidth="1"/>
    <col min="3" max="3" width="35.6640625" style="119" customWidth="1"/>
    <col min="4" max="4" width="70.6640625" style="120" customWidth="1"/>
    <col min="5" max="5" width="61.44140625" style="120" customWidth="1"/>
    <col min="6" max="6" width="100.6640625" style="121" customWidth="1"/>
    <col min="7" max="7" width="30.6640625" style="122" customWidth="1"/>
    <col min="8" max="8" width="60.6640625" style="123" customWidth="1"/>
    <col min="9" max="16384" width="11.44140625" style="61"/>
  </cols>
  <sheetData>
    <row r="1" spans="1:9" ht="46.2" customHeight="1" thickTop="1" thickBot="1" x14ac:dyDescent="0.3">
      <c r="A1" s="656" t="s">
        <v>441</v>
      </c>
      <c r="B1" s="657"/>
      <c r="C1" s="657"/>
      <c r="D1" s="657"/>
      <c r="E1" s="657"/>
      <c r="F1" s="657"/>
      <c r="G1" s="657"/>
      <c r="H1" s="177"/>
      <c r="I1" s="178"/>
    </row>
    <row r="2" spans="1:9" ht="42" customHeight="1" thickBot="1" x14ac:dyDescent="0.3">
      <c r="A2" s="658" t="s">
        <v>515</v>
      </c>
      <c r="B2" s="659"/>
      <c r="C2" s="659"/>
      <c r="D2" s="659"/>
      <c r="E2" s="659"/>
      <c r="F2" s="659"/>
      <c r="G2" s="659"/>
      <c r="H2" s="492"/>
      <c r="I2" s="652"/>
    </row>
    <row r="3" spans="1:9" s="116" customFormat="1" ht="18" customHeight="1" thickBot="1" x14ac:dyDescent="0.3">
      <c r="A3" s="179" t="str">
        <f>'A1 CPI S1'!A3</f>
        <v>EE du DS</v>
      </c>
      <c r="B3" s="180" t="str">
        <f>'A1 CPI S1'!B3</f>
        <v>Domaine</v>
      </c>
      <c r="C3" s="180" t="str">
        <f>'A1 CPI S1'!C3</f>
        <v>Discipline</v>
      </c>
      <c r="D3" s="180" t="str">
        <f>'A1 CPI S1'!D3</f>
        <v>Chapitres</v>
      </c>
      <c r="E3" s="180" t="str">
        <f>'A1 CPI S1'!E3</f>
        <v>Thèmes</v>
      </c>
      <c r="F3" s="180" t="str">
        <f>'A1 CPI S1'!F3</f>
        <v>Détail des chapitres</v>
      </c>
      <c r="G3" s="180" t="s">
        <v>303</v>
      </c>
      <c r="H3" s="653"/>
      <c r="I3" s="654"/>
    </row>
    <row r="4" spans="1:9" customFormat="1" ht="25.2" hidden="1" customHeight="1" thickTop="1" thickBot="1" x14ac:dyDescent="0.3">
      <c r="A4" s="16" t="s">
        <v>454</v>
      </c>
      <c r="B4">
        <f>IF('Items sous domaines Maths '!H8=2,'Items sous domaines Maths '!B8,0)</f>
        <v>0</v>
      </c>
      <c r="C4" t="b">
        <f>IF('Items sous domaines Maths '!H8=2,'Items sous domaines Maths '!C8)</f>
        <v>0</v>
      </c>
      <c r="D4">
        <f>IF('Items sous domaines Maths '!H8=2,'Items sous domaines Maths '!D8,0)</f>
        <v>0</v>
      </c>
      <c r="E4">
        <f>IF('Items sous domaines Maths '!H8=2,'Items sous domaines Maths '!E8,0)</f>
        <v>0</v>
      </c>
      <c r="F4" s="10">
        <f>IF('Items sous domaines Maths '!H8=2,'Items sous domaines Maths '!F8,0)</f>
        <v>0</v>
      </c>
      <c r="G4">
        <f>IF('Items sous domaines Maths '!H8=2,'Items sous domaines Maths '!G8,0)</f>
        <v>0</v>
      </c>
      <c r="H4" s="655"/>
      <c r="I4" s="584"/>
    </row>
    <row r="5" spans="1:9" customFormat="1" ht="22.2" hidden="1" customHeight="1" thickBot="1" x14ac:dyDescent="0.3">
      <c r="A5" s="16"/>
      <c r="B5" s="8">
        <f>IF('Items sous domaines Maths '!H9=2,'Items sous domaines Maths '!B9,0)</f>
        <v>0</v>
      </c>
      <c r="C5" s="8" t="b">
        <f>IF('Items sous domaines Maths '!H9=2,'Items sous domaines Maths '!C9)</f>
        <v>0</v>
      </c>
      <c r="D5" s="8">
        <f>IF('Items sous domaines Maths '!H9=2,'Items sous domaines Maths '!D9,0)</f>
        <v>0</v>
      </c>
      <c r="E5" s="8">
        <f>IF('Items sous domaines Maths '!H9=2,'Items sous domaines Maths '!E9,0)</f>
        <v>0</v>
      </c>
      <c r="F5" s="9">
        <f>IF('Items sous domaines Maths '!H9=2,'Items sous domaines Maths '!F9,0)</f>
        <v>0</v>
      </c>
      <c r="G5">
        <f>IF('Items sous domaines Maths '!H9=2,'Items sous domaines Maths '!G9,0)</f>
        <v>0</v>
      </c>
    </row>
    <row r="6" spans="1:9" customFormat="1" ht="17.399999999999999" hidden="1" customHeight="1" thickBot="1" x14ac:dyDescent="0.3">
      <c r="A6" s="16"/>
      <c r="B6" s="8">
        <f>IF('Items sous domaines Maths '!H10=2,'Items sous domaines Maths '!B10,0)</f>
        <v>0</v>
      </c>
      <c r="C6" s="8" t="b">
        <f>IF('Items sous domaines Maths '!H10=2,'Items sous domaines Maths '!C10)</f>
        <v>0</v>
      </c>
      <c r="D6" s="8">
        <f>IF('Items sous domaines Maths '!H10=2,'Items sous domaines Maths '!D10,0)</f>
        <v>0</v>
      </c>
      <c r="E6" s="8">
        <f>IF('Items sous domaines Maths '!H10=2,'Items sous domaines Maths '!E10,0)</f>
        <v>0</v>
      </c>
      <c r="F6" s="9">
        <f>IF('Items sous domaines Maths '!H10=2,'Items sous domaines Maths '!F10,0)</f>
        <v>0</v>
      </c>
      <c r="G6">
        <f>IF('Items sous domaines Maths '!H10=2,'Items sous domaines Maths '!G10,0)</f>
        <v>0</v>
      </c>
    </row>
    <row r="7" spans="1:9" ht="19.95" hidden="1" customHeight="1" thickTop="1" x14ac:dyDescent="0.25">
      <c r="A7" s="609" t="s">
        <v>513</v>
      </c>
      <c r="B7" s="181">
        <f>IF('Items sous domaines Maths '!H11=2,'Items sous domaines Maths '!B11,0)</f>
        <v>0</v>
      </c>
      <c r="C7" s="182" t="b">
        <f>IF('Items sous domaines Maths '!H11=2,'Items sous domaines Maths '!C11)</f>
        <v>0</v>
      </c>
      <c r="D7" s="182">
        <f>IF('Items sous domaines Maths '!H11=2,'Items sous domaines Maths '!D11,0)</f>
        <v>0</v>
      </c>
      <c r="E7" s="182">
        <f>IF('Items sous domaines Maths '!H11=2,'Items sous domaines Maths '!E11,0)</f>
        <v>0</v>
      </c>
      <c r="F7" s="183">
        <f>IF('Items sous domaines Maths '!H11=2,'Items sous domaines Maths '!F11,0)</f>
        <v>0</v>
      </c>
      <c r="G7" s="648" t="s">
        <v>446</v>
      </c>
      <c r="H7" s="639" t="s">
        <v>21</v>
      </c>
      <c r="I7" s="184" t="s">
        <v>22</v>
      </c>
    </row>
    <row r="8" spans="1:9" ht="19.95" hidden="1" customHeight="1" x14ac:dyDescent="0.25">
      <c r="A8" s="607"/>
      <c r="B8" s="141">
        <f>IF('Items sous domaines Maths '!H12=2,'Items sous domaines Maths '!B12,0)</f>
        <v>0</v>
      </c>
      <c r="C8" s="142" t="b">
        <f>IF('Items sous domaines Maths '!H12=2,'Items sous domaines Maths '!C12)</f>
        <v>0</v>
      </c>
      <c r="D8" s="142">
        <f>IF('Items sous domaines Maths '!H12=2,'Items sous domaines Maths '!D12,0)</f>
        <v>0</v>
      </c>
      <c r="E8" s="142">
        <f>IF('Items sous domaines Maths '!H12=2,'Items sous domaines Maths '!E12,0)</f>
        <v>0</v>
      </c>
      <c r="F8" s="143">
        <f>IF('Items sous domaines Maths '!H12=2,'Items sous domaines Maths '!F12,0)</f>
        <v>0</v>
      </c>
      <c r="G8" s="649"/>
      <c r="H8" s="470"/>
      <c r="I8" s="185" t="s">
        <v>126</v>
      </c>
    </row>
    <row r="9" spans="1:9" ht="19.95" hidden="1" customHeight="1" x14ac:dyDescent="0.25">
      <c r="A9" s="607"/>
      <c r="B9" s="144">
        <f>IF('Items sous domaines Maths '!H13=2,'Items sous domaines Maths '!B13,0)</f>
        <v>0</v>
      </c>
      <c r="C9" s="145" t="b">
        <f>IF('Items sous domaines Maths '!H13=2,'Items sous domaines Maths '!C13)</f>
        <v>0</v>
      </c>
      <c r="D9" s="145">
        <f>IF('Items sous domaines Maths '!H13=2,'Items sous domaines Maths '!D13,0)</f>
        <v>0</v>
      </c>
      <c r="E9" s="145">
        <f>IF('Items sous domaines Maths '!H13=2,'Items sous domaines Maths '!E13,0)</f>
        <v>0</v>
      </c>
      <c r="F9" s="146">
        <f>IF('Items sous domaines Maths '!H13=2,'Items sous domaines Maths '!F13,0)</f>
        <v>0</v>
      </c>
      <c r="G9" s="649"/>
      <c r="H9" s="470"/>
      <c r="I9" s="185" t="s">
        <v>141</v>
      </c>
    </row>
    <row r="10" spans="1:9" ht="19.95" hidden="1" customHeight="1" thickBot="1" x14ac:dyDescent="0.3">
      <c r="A10" s="608"/>
      <c r="B10" s="186">
        <f>IF('Items sous domaines Maths '!H14=2,'Items sous domaines Maths '!B14,0)</f>
        <v>0</v>
      </c>
      <c r="C10" s="187" t="b">
        <f>IF('Items sous domaines Maths '!H14=2,'Items sous domaines Maths '!C14)</f>
        <v>0</v>
      </c>
      <c r="D10" s="187">
        <f>IF('Items sous domaines Maths '!H14=2,'Items sous domaines Maths '!D14,0)</f>
        <v>0</v>
      </c>
      <c r="E10" s="187">
        <f>IF('Items sous domaines Maths '!H14=2,'Items sous domaines Maths '!E14,0)</f>
        <v>0</v>
      </c>
      <c r="F10" s="188">
        <f>IF('Items sous domaines Maths '!H14=2,'Items sous domaines Maths '!F14,0)</f>
        <v>0</v>
      </c>
      <c r="G10" s="650"/>
      <c r="H10" s="640"/>
      <c r="I10" s="189"/>
    </row>
    <row r="11" spans="1:9" customFormat="1" ht="17.399999999999999" hidden="1" customHeight="1" thickTop="1" thickBot="1" x14ac:dyDescent="0.3">
      <c r="A11" s="15"/>
      <c r="B11">
        <f>IF('Items sous domaines Maths '!H15=2,'Items sous domaines Maths '!B15,0)</f>
        <v>0</v>
      </c>
      <c r="C11" t="b">
        <f>IF('Items sous domaines Maths '!H15=2,'Items sous domaines Maths '!C15)</f>
        <v>0</v>
      </c>
      <c r="D11">
        <f>IF('Items sous domaines Maths '!H15=2,'Items sous domaines Maths '!D15,0)</f>
        <v>0</v>
      </c>
      <c r="E11">
        <f>IF('Items sous domaines Maths '!H15=2,'Items sous domaines Maths '!E15,0)</f>
        <v>0</v>
      </c>
      <c r="F11" s="10">
        <f>IF('Items sous domaines Maths '!H15=2,'Items sous domaines Maths '!F15,0)</f>
        <v>0</v>
      </c>
      <c r="G11">
        <f>IF('Items sous domaines Maths '!H15=2,'Items sous domaines Maths '!G15,0)</f>
        <v>0</v>
      </c>
    </row>
    <row r="12" spans="1:9" customFormat="1" ht="17.399999999999999" hidden="1" customHeight="1" thickBot="1" x14ac:dyDescent="0.3">
      <c r="A12" s="15"/>
      <c r="B12" s="8">
        <f>IF('Items sous domaines Maths '!H16=2,'Items sous domaines Maths '!B16,0)</f>
        <v>0</v>
      </c>
      <c r="C12" s="8" t="b">
        <f>IF('Items sous domaines Maths '!H16=2,'Items sous domaines Maths '!C16)</f>
        <v>0</v>
      </c>
      <c r="D12" s="8">
        <f>IF('Items sous domaines Maths '!H16=2,'Items sous domaines Maths '!D16,0)</f>
        <v>0</v>
      </c>
      <c r="E12" s="8">
        <f>IF('Items sous domaines Maths '!H16=2,'Items sous domaines Maths '!E16,0)</f>
        <v>0</v>
      </c>
      <c r="F12" s="9">
        <f>IF('Items sous domaines Maths '!H16=2,'Items sous domaines Maths '!F16,0)</f>
        <v>0</v>
      </c>
      <c r="G12">
        <f>IF('Items sous domaines Maths '!H16=2,'Items sous domaines Maths '!G16,0)</f>
        <v>0</v>
      </c>
    </row>
    <row r="13" spans="1:9" customFormat="1" ht="17.399999999999999" hidden="1" customHeight="1" thickBot="1" x14ac:dyDescent="0.3">
      <c r="A13" s="15"/>
      <c r="B13" s="8">
        <f>IF('Items sous domaines Maths '!H17=2,'Items sous domaines Maths '!B17,0)</f>
        <v>0</v>
      </c>
      <c r="C13" s="8" t="b">
        <f>IF('Items sous domaines Maths '!H17=2,'Items sous domaines Maths '!C17)</f>
        <v>0</v>
      </c>
      <c r="D13" s="8">
        <f>IF('Items sous domaines Maths '!H17=2,'Items sous domaines Maths '!D17,0)</f>
        <v>0</v>
      </c>
      <c r="E13" s="8">
        <f>IF('Items sous domaines Maths '!H17=2,'Items sous domaines Maths '!E17,0)</f>
        <v>0</v>
      </c>
      <c r="F13" s="9">
        <f>IF('Items sous domaines Maths '!H17=2,'Items sous domaines Maths '!F17,0)</f>
        <v>0</v>
      </c>
      <c r="G13">
        <f>IF('Items sous domaines Maths '!H17=2,'Items sous domaines Maths '!G17,0)</f>
        <v>0</v>
      </c>
    </row>
    <row r="14" spans="1:9" customFormat="1" ht="17.399999999999999" hidden="1" customHeight="1" thickBot="1" x14ac:dyDescent="0.3">
      <c r="A14" s="15"/>
      <c r="B14" s="8">
        <f>IF('Items sous domaines Maths '!H18=2,'Items sous domaines Maths '!B18,0)</f>
        <v>0</v>
      </c>
      <c r="C14" s="8" t="b">
        <f>IF('Items sous domaines Maths '!H18=2,'Items sous domaines Maths '!C18)</f>
        <v>0</v>
      </c>
      <c r="D14" s="8">
        <f>IF('Items sous domaines Maths '!H18=2,'Items sous domaines Maths '!D18,0)</f>
        <v>0</v>
      </c>
      <c r="E14" s="8">
        <f>IF('Items sous domaines Maths '!H18=2,'Items sous domaines Maths '!E18,0)</f>
        <v>0</v>
      </c>
      <c r="F14" s="9">
        <f>IF('Items sous domaines Maths '!H18=2,'Items sous domaines Maths '!F18,0)</f>
        <v>0</v>
      </c>
      <c r="G14">
        <f>IF('Items sous domaines Maths '!H18=2,'Items sous domaines Maths '!G18,0)</f>
        <v>0</v>
      </c>
    </row>
    <row r="15" spans="1:9" customFormat="1" ht="17.399999999999999" hidden="1" customHeight="1" thickBot="1" x14ac:dyDescent="0.3">
      <c r="A15" s="15"/>
      <c r="B15" s="8">
        <f>IF('Items sous domaines Maths '!H19=2,'Items sous domaines Maths '!B19,0)</f>
        <v>0</v>
      </c>
      <c r="C15" s="8" t="b">
        <f>IF('Items sous domaines Maths '!H19=2,'Items sous domaines Maths '!C19)</f>
        <v>0</v>
      </c>
      <c r="D15" s="8">
        <f>IF('Items sous domaines Maths '!H19=2,'Items sous domaines Maths '!D19,0)</f>
        <v>0</v>
      </c>
      <c r="E15" s="8">
        <f>IF('Items sous domaines Maths '!H19=2,'Items sous domaines Maths '!E19,0)</f>
        <v>0</v>
      </c>
      <c r="F15" s="9">
        <f>IF('Items sous domaines Maths '!H19=2,'Items sous domaines Maths '!F19,0)</f>
        <v>0</v>
      </c>
      <c r="G15">
        <f>IF('Items sous domaines Maths '!H19=2,'Items sous domaines Maths '!G19,0)</f>
        <v>0</v>
      </c>
    </row>
    <row r="16" spans="1:9" customFormat="1" ht="17.399999999999999" hidden="1" customHeight="1" thickBot="1" x14ac:dyDescent="0.3">
      <c r="A16" s="15"/>
      <c r="B16" s="8">
        <f>IF('Items sous domaines Maths '!H20=2,'Items sous domaines Maths '!B20,0)</f>
        <v>0</v>
      </c>
      <c r="C16" s="8" t="b">
        <f>IF('Items sous domaines Maths '!H20=2,'Items sous domaines Maths '!C20)</f>
        <v>0</v>
      </c>
      <c r="D16" s="8">
        <f>IF('Items sous domaines Maths '!H20=2,'Items sous domaines Maths '!D20,0)</f>
        <v>0</v>
      </c>
      <c r="E16" s="8">
        <f>IF('Items sous domaines Maths '!H20=2,'Items sous domaines Maths '!E20,0)</f>
        <v>0</v>
      </c>
      <c r="F16" s="9">
        <f>IF('Items sous domaines Maths '!H20=2,'Items sous domaines Maths '!F20,0)</f>
        <v>0</v>
      </c>
      <c r="G16">
        <f>IF('Items sous domaines Maths '!H20=2,'Items sous domaines Maths '!G20,0)</f>
        <v>0</v>
      </c>
    </row>
    <row r="17" spans="1:9" customFormat="1" ht="17.399999999999999" hidden="1" customHeight="1" thickBot="1" x14ac:dyDescent="0.3">
      <c r="A17" s="15"/>
      <c r="B17" s="8">
        <f>IF('Items sous domaines Maths '!H21=2,'Items sous domaines Maths '!B21,0)</f>
        <v>0</v>
      </c>
      <c r="C17" s="8" t="b">
        <f>IF('Items sous domaines Maths '!H21=2,'Items sous domaines Maths '!C21)</f>
        <v>0</v>
      </c>
      <c r="D17" s="8">
        <f>IF('Items sous domaines Maths '!H21=2,'Items sous domaines Maths '!D21,0)</f>
        <v>0</v>
      </c>
      <c r="E17" s="8">
        <f>IF('Items sous domaines Maths '!H21=2,'Items sous domaines Maths '!E21,0)</f>
        <v>0</v>
      </c>
      <c r="F17" s="9">
        <f>IF('Items sous domaines Maths '!H21=2,'Items sous domaines Maths '!F21,0)</f>
        <v>0</v>
      </c>
      <c r="G17">
        <f>IF('Items sous domaines Maths '!H21=2,'Items sous domaines Maths '!G21,0)</f>
        <v>0</v>
      </c>
    </row>
    <row r="18" spans="1:9" customFormat="1" ht="17.399999999999999" hidden="1" customHeight="1" thickBot="1" x14ac:dyDescent="0.3">
      <c r="A18" s="15"/>
      <c r="B18" s="8">
        <f>IF('Items sous domaines Maths '!H22=2,'Items sous domaines Maths '!B22,0)</f>
        <v>0</v>
      </c>
      <c r="C18" s="8" t="b">
        <f>IF('Items sous domaines Maths '!H22=2,'Items sous domaines Maths '!C22)</f>
        <v>0</v>
      </c>
      <c r="D18" s="8">
        <f>IF('Items sous domaines Maths '!H22=2,'Items sous domaines Maths '!D22,0)</f>
        <v>0</v>
      </c>
      <c r="E18" s="8">
        <f>IF('Items sous domaines Maths '!H22=2,'Items sous domaines Maths '!E22,0)</f>
        <v>0</v>
      </c>
      <c r="F18" s="9">
        <f>IF('Items sous domaines Maths '!H22=2,'Items sous domaines Maths '!F22,0)</f>
        <v>0</v>
      </c>
      <c r="G18">
        <f>IF('Items sous domaines Maths '!H22=2,'Items sous domaines Maths '!G22,0)</f>
        <v>0</v>
      </c>
    </row>
    <row r="19" spans="1:9" customFormat="1" ht="17.399999999999999" hidden="1" customHeight="1" thickBot="1" x14ac:dyDescent="0.3">
      <c r="A19" s="15"/>
      <c r="B19" s="8">
        <f>IF('Items sous domaines Maths '!H23=2,'Items sous domaines Maths '!B23,0)</f>
        <v>0</v>
      </c>
      <c r="C19" s="8" t="b">
        <f>IF('Items sous domaines Maths '!H23=2,'Items sous domaines Maths '!C23)</f>
        <v>0</v>
      </c>
      <c r="D19" s="8">
        <f>IF('Items sous domaines Maths '!H23=2,'Items sous domaines Maths '!D23,0)</f>
        <v>0</v>
      </c>
      <c r="E19" s="8">
        <f>IF('Items sous domaines Maths '!H23=2,'Items sous domaines Maths '!E23,0)</f>
        <v>0</v>
      </c>
      <c r="F19" s="9">
        <f>IF('Items sous domaines Maths '!H23=2,'Items sous domaines Maths '!F23,0)</f>
        <v>0</v>
      </c>
      <c r="G19">
        <f>IF('Items sous domaines Maths '!H23=2,'Items sous domaines Maths '!G23,0)</f>
        <v>0</v>
      </c>
    </row>
    <row r="20" spans="1:9" customFormat="1" ht="17.399999999999999" hidden="1" customHeight="1" thickBot="1" x14ac:dyDescent="0.3">
      <c r="A20" s="15"/>
      <c r="B20" s="8">
        <f>IF('Items sous domaines Maths '!H24=2,'Items sous domaines Maths '!B24,0)</f>
        <v>0</v>
      </c>
      <c r="C20" s="8" t="b">
        <f>IF('Items sous domaines Maths '!H24=2,'Items sous domaines Maths '!C24)</f>
        <v>0</v>
      </c>
      <c r="D20" s="8">
        <f>IF('Items sous domaines Maths '!H24=2,'Items sous domaines Maths '!D24,0)</f>
        <v>0</v>
      </c>
      <c r="E20" s="8">
        <f>IF('Items sous domaines Maths '!H24=2,'Items sous domaines Maths '!E24,0)</f>
        <v>0</v>
      </c>
      <c r="F20" s="9">
        <f>IF('Items sous domaines Maths '!H24=2,'Items sous domaines Maths '!F24,0)</f>
        <v>0</v>
      </c>
      <c r="G20">
        <f>IF('Items sous domaines Maths '!H24=2,'Items sous domaines Maths '!G24,0)</f>
        <v>0</v>
      </c>
    </row>
    <row r="21" spans="1:9" customFormat="1" ht="17.399999999999999" hidden="1" customHeight="1" thickBot="1" x14ac:dyDescent="0.3">
      <c r="A21" s="15"/>
      <c r="B21" s="8">
        <f>IF('Items sous domaines Maths '!H25=2,'Items sous domaines Maths '!B25,0)</f>
        <v>0</v>
      </c>
      <c r="C21" s="8" t="b">
        <f>IF('Items sous domaines Maths '!H25=2,'Items sous domaines Maths '!C25)</f>
        <v>0</v>
      </c>
      <c r="D21" s="8">
        <f>IF('Items sous domaines Maths '!H25=2,'Items sous domaines Maths '!D25,0)</f>
        <v>0</v>
      </c>
      <c r="E21" s="8">
        <f>IF('Items sous domaines Maths '!H25=2,'Items sous domaines Maths '!E25,0)</f>
        <v>0</v>
      </c>
      <c r="F21" s="9">
        <f>IF('Items sous domaines Maths '!H25=2,'Items sous domaines Maths '!F25,0)</f>
        <v>0</v>
      </c>
      <c r="G21">
        <f>IF('Items sous domaines Maths '!H25=2,'Items sous domaines Maths '!G25,0)</f>
        <v>0</v>
      </c>
    </row>
    <row r="22" spans="1:9" customFormat="1" ht="17.399999999999999" hidden="1" customHeight="1" thickBot="1" x14ac:dyDescent="0.3">
      <c r="A22" s="15"/>
      <c r="B22" s="8">
        <f>IF('Items sous domaines Maths '!H26=2,'Items sous domaines Maths '!B26,0)</f>
        <v>0</v>
      </c>
      <c r="C22" s="8" t="b">
        <f>IF('Items sous domaines Maths '!H26=2,'Items sous domaines Maths '!C26)</f>
        <v>0</v>
      </c>
      <c r="D22" s="8">
        <f>IF('Items sous domaines Maths '!H26=2,'Items sous domaines Maths '!D26,0)</f>
        <v>0</v>
      </c>
      <c r="E22" s="8">
        <f>IF('Items sous domaines Maths '!H26=2,'Items sous domaines Maths '!E26,0)</f>
        <v>0</v>
      </c>
      <c r="F22" s="9">
        <f>IF('Items sous domaines Maths '!H26=2,'Items sous domaines Maths '!F26,0)</f>
        <v>0</v>
      </c>
      <c r="G22">
        <f>IF('Items sous domaines Maths '!H26=2,'Items sous domaines Maths '!G26,0)</f>
        <v>0</v>
      </c>
    </row>
    <row r="23" spans="1:9" customFormat="1" ht="17.399999999999999" hidden="1" customHeight="1" thickBot="1" x14ac:dyDescent="0.3">
      <c r="A23" s="15"/>
      <c r="B23" s="8">
        <f>IF('Items sous domaines Maths '!H27=2,'Items sous domaines Maths '!B27,0)</f>
        <v>0</v>
      </c>
      <c r="C23" s="8" t="b">
        <f>IF('Items sous domaines Maths '!H27=2,'Items sous domaines Maths '!C27)</f>
        <v>0</v>
      </c>
      <c r="D23" s="8">
        <f>IF('Items sous domaines Maths '!H27=2,'Items sous domaines Maths '!D27,0)</f>
        <v>0</v>
      </c>
      <c r="E23" s="8">
        <f>IF('Items sous domaines Maths '!H27=2,'Items sous domaines Maths '!E27,0)</f>
        <v>0</v>
      </c>
      <c r="F23" s="9">
        <f>IF('Items sous domaines Maths '!H27=2,'Items sous domaines Maths '!F27,0)</f>
        <v>0</v>
      </c>
      <c r="G23">
        <f>IF('Items sous domaines Maths '!H27=2,'Items sous domaines Maths '!G27,0)</f>
        <v>0</v>
      </c>
    </row>
    <row r="24" spans="1:9" customFormat="1" ht="17.399999999999999" hidden="1" customHeight="1" thickBot="1" x14ac:dyDescent="0.3">
      <c r="A24" s="15"/>
      <c r="B24" s="8">
        <f>IF('Items sous domaines Maths '!H28=2,'Items sous domaines Maths '!B28,0)</f>
        <v>0</v>
      </c>
      <c r="C24" s="8" t="b">
        <f>IF('Items sous domaines Maths '!H28=2,'Items sous domaines Maths '!C28)</f>
        <v>0</v>
      </c>
      <c r="D24" s="8">
        <f>IF('Items sous domaines Maths '!H28=2,'Items sous domaines Maths '!D28,0)</f>
        <v>0</v>
      </c>
      <c r="E24" s="8">
        <f>IF('Items sous domaines Maths '!H28=2,'Items sous domaines Maths '!E28,0)</f>
        <v>0</v>
      </c>
      <c r="F24" s="9">
        <f>IF('Items sous domaines Maths '!H28=2,'Items sous domaines Maths '!F28,0)</f>
        <v>0</v>
      </c>
      <c r="G24">
        <f>IF('Items sous domaines Maths '!H28=2,'Items sous domaines Maths '!G28,0)</f>
        <v>0</v>
      </c>
    </row>
    <row r="25" spans="1:9" customFormat="1" ht="17.399999999999999" hidden="1" customHeight="1" thickBot="1" x14ac:dyDescent="0.3">
      <c r="A25" s="15"/>
      <c r="B25" s="8">
        <f>IF('Items sous domaines Maths '!H29=2,'Items sous domaines Maths '!B29,0)</f>
        <v>0</v>
      </c>
      <c r="C25" s="8" t="b">
        <f>IF('Items sous domaines Maths '!H29=2,'Items sous domaines Maths '!C29)</f>
        <v>0</v>
      </c>
      <c r="D25" s="8">
        <f>IF('Items sous domaines Maths '!H29=2,'Items sous domaines Maths '!D29,0)</f>
        <v>0</v>
      </c>
      <c r="E25" s="8">
        <f>IF('Items sous domaines Maths '!H29=2,'Items sous domaines Maths '!E29,0)</f>
        <v>0</v>
      </c>
      <c r="F25" s="9">
        <f>IF('Items sous domaines Maths '!H29=2,'Items sous domaines Maths '!F29,0)</f>
        <v>0</v>
      </c>
      <c r="G25">
        <f>IF('Items sous domaines Maths '!H29=2,'Items sous domaines Maths '!G29,0)</f>
        <v>0</v>
      </c>
    </row>
    <row r="26" spans="1:9" ht="19.95" hidden="1" customHeight="1" thickTop="1" x14ac:dyDescent="0.25">
      <c r="A26" s="609" t="s">
        <v>431</v>
      </c>
      <c r="B26" s="181">
        <f>IF('Items sous domaines Maths '!H30=2,'Items sous domaines Maths '!B30,0)</f>
        <v>0</v>
      </c>
      <c r="C26" s="182" t="b">
        <f>IF('Items sous domaines Maths '!H30=2,'Items sous domaines Maths '!C30)</f>
        <v>0</v>
      </c>
      <c r="D26" s="182">
        <f>IF('Items sous domaines Maths '!H30=2,'Items sous domaines Maths '!D30,0)</f>
        <v>0</v>
      </c>
      <c r="E26" s="182">
        <f>IF('Items sous domaines Maths '!H30=2,'Items sous domaines Maths '!E30,0)</f>
        <v>0</v>
      </c>
      <c r="F26" s="183">
        <f>IF('Items sous domaines Maths '!H30=2,'Items sous domaines Maths '!F30,0)</f>
        <v>0</v>
      </c>
      <c r="G26" s="648" t="s">
        <v>455</v>
      </c>
      <c r="H26" s="190"/>
      <c r="I26" s="178"/>
    </row>
    <row r="27" spans="1:9" ht="19.95" hidden="1" customHeight="1" thickBot="1" x14ac:dyDescent="0.3">
      <c r="A27" s="608"/>
      <c r="B27" s="186">
        <f>IF('Items sous domaines Maths '!H31=2,'Items sous domaines Maths '!B31,0)</f>
        <v>0</v>
      </c>
      <c r="C27" s="187" t="b">
        <f>IF('Items sous domaines Maths '!H31=2,'Items sous domaines Maths '!C31)</f>
        <v>0</v>
      </c>
      <c r="D27" s="187">
        <f>IF('Items sous domaines Maths '!H31=2,'Items sous domaines Maths '!D31,0)</f>
        <v>0</v>
      </c>
      <c r="E27" s="187">
        <f>IF('Items sous domaines Maths '!H31=2,'Items sous domaines Maths '!E31,0)</f>
        <v>0</v>
      </c>
      <c r="F27" s="188">
        <f>IF('Items sous domaines Maths '!H31=2,'Items sous domaines Maths '!F31,0)</f>
        <v>0</v>
      </c>
      <c r="G27" s="650"/>
      <c r="H27" s="191"/>
      <c r="I27" s="189"/>
    </row>
    <row r="28" spans="1:9" s="2" customFormat="1" ht="17.399999999999999" hidden="1" customHeight="1" thickTop="1" thickBot="1" x14ac:dyDescent="0.3">
      <c r="A28" s="15"/>
      <c r="B28">
        <f>IF('Items sous domaines Maths '!H32=2,'Items sous domaines Maths '!B32,0)</f>
        <v>0</v>
      </c>
      <c r="C28" t="b">
        <f>IF('Items sous domaines Maths '!H32=2,'Items sous domaines Maths '!C32)</f>
        <v>0</v>
      </c>
      <c r="D28">
        <f>IF('Items sous domaines Maths '!H32=2,'Items sous domaines Maths '!D32,0)</f>
        <v>0</v>
      </c>
      <c r="E28">
        <f>IF('Items sous domaines Maths '!H32=2,'Items sous domaines Maths '!E32,0)</f>
        <v>0</v>
      </c>
      <c r="F28" s="10">
        <f>IF('Items sous domaines Maths '!H32=2,'Items sous domaines Maths '!F32,0)</f>
        <v>0</v>
      </c>
      <c r="G28">
        <f>IF('Items sous domaines Maths '!H32=2,'Items sous domaines Maths '!G32,0)</f>
        <v>0</v>
      </c>
    </row>
    <row r="29" spans="1:9" s="2" customFormat="1" ht="17.399999999999999" hidden="1" customHeight="1" thickBot="1" x14ac:dyDescent="0.3">
      <c r="A29" s="15"/>
      <c r="B29" s="8">
        <f>IF('Items sous domaines Maths '!H33=2,'Items sous domaines Maths '!B33,0)</f>
        <v>0</v>
      </c>
      <c r="C29" s="8" t="b">
        <f>IF('Items sous domaines Maths '!H33=2,'Items sous domaines Maths '!C33)</f>
        <v>0</v>
      </c>
      <c r="D29" s="8">
        <f>IF('Items sous domaines Maths '!H33=2,'Items sous domaines Maths '!D33,0)</f>
        <v>0</v>
      </c>
      <c r="E29" s="8">
        <f>IF('Items sous domaines Maths '!H33=2,'Items sous domaines Maths '!E33,0)</f>
        <v>0</v>
      </c>
      <c r="F29" s="9">
        <f>IF('Items sous domaines Maths '!H33=2,'Items sous domaines Maths '!F33,0)</f>
        <v>0</v>
      </c>
      <c r="G29">
        <f>IF('Items sous domaines Maths '!H33=2,'Items sous domaines Maths '!G33,0)</f>
        <v>0</v>
      </c>
    </row>
    <row r="30" spans="1:9" s="2" customFormat="1" ht="17.399999999999999" hidden="1" customHeight="1" thickBot="1" x14ac:dyDescent="0.3">
      <c r="A30" s="15"/>
      <c r="B30" s="8">
        <f>IF('Items sous domaines Maths '!H34=2,'Items sous domaines Maths '!B34,0)</f>
        <v>0</v>
      </c>
      <c r="C30" s="8" t="b">
        <f>IF('Items sous domaines Maths '!H34=2,'Items sous domaines Maths '!C34)</f>
        <v>0</v>
      </c>
      <c r="D30" s="8">
        <f>IF('Items sous domaines Maths '!H34=2,'Items sous domaines Maths '!D34,0)</f>
        <v>0</v>
      </c>
      <c r="E30" s="8">
        <f>IF('Items sous domaines Maths '!H34=2,'Items sous domaines Maths '!E34,0)</f>
        <v>0</v>
      </c>
      <c r="F30" s="9">
        <f>IF('Items sous domaines Maths '!H34=2,'Items sous domaines Maths '!F34,0)</f>
        <v>0</v>
      </c>
      <c r="G30">
        <f>IF('Items sous domaines Maths '!H34=2,'Items sous domaines Maths '!G34,0)</f>
        <v>0</v>
      </c>
    </row>
    <row r="31" spans="1:9" s="2" customFormat="1" ht="17.399999999999999" hidden="1" customHeight="1" thickBot="1" x14ac:dyDescent="0.3">
      <c r="A31" s="15"/>
      <c r="B31" s="8">
        <f>IF('Items sous domaines Maths '!H35=2,'Items sous domaines Maths '!B35,0)</f>
        <v>0</v>
      </c>
      <c r="C31" s="8" t="b">
        <f>IF('Items sous domaines Maths '!H35=2,'Items sous domaines Maths '!C35)</f>
        <v>0</v>
      </c>
      <c r="D31" s="8">
        <f>IF('Items sous domaines Maths '!H35=2,'Items sous domaines Maths '!D35,0)</f>
        <v>0</v>
      </c>
      <c r="E31" s="8">
        <f>IF('Items sous domaines Maths '!H35=2,'Items sous domaines Maths '!E35,0)</f>
        <v>0</v>
      </c>
      <c r="F31" s="9">
        <f>IF('Items sous domaines Maths '!H35=2,'Items sous domaines Maths '!F35,0)</f>
        <v>0</v>
      </c>
      <c r="G31">
        <f>IF('Items sous domaines Maths '!H35=2,'Items sous domaines Maths '!G35,0)</f>
        <v>0</v>
      </c>
    </row>
    <row r="32" spans="1:9" s="2" customFormat="1" ht="17.399999999999999" hidden="1" customHeight="1" thickBot="1" x14ac:dyDescent="0.3">
      <c r="A32" s="15"/>
      <c r="B32" s="8">
        <f>IF('Items sous domaines Maths '!H36=2,'Items sous domaines Maths '!B36,0)</f>
        <v>0</v>
      </c>
      <c r="C32" s="8" t="b">
        <f>IF('Items sous domaines Maths '!H36=2,'Items sous domaines Maths '!C36)</f>
        <v>0</v>
      </c>
      <c r="D32" s="8">
        <f>IF('Items sous domaines Maths '!H36=2,'Items sous domaines Maths '!D36,0)</f>
        <v>0</v>
      </c>
      <c r="E32" s="8">
        <f>IF('Items sous domaines Maths '!H36=2,'Items sous domaines Maths '!E36,0)</f>
        <v>0</v>
      </c>
      <c r="F32" s="9">
        <f>IF('Items sous domaines Maths '!H36=2,'Items sous domaines Maths '!F36,0)</f>
        <v>0</v>
      </c>
      <c r="G32">
        <f>IF('Items sous domaines Maths '!H36=2,'Items sous domaines Maths '!G36,0)</f>
        <v>0</v>
      </c>
    </row>
    <row r="33" spans="1:7" s="2" customFormat="1" ht="17.399999999999999" hidden="1" customHeight="1" thickBot="1" x14ac:dyDescent="0.3">
      <c r="A33" s="15"/>
      <c r="B33" s="8">
        <f>IF('Items sous domaines Maths '!H37=2,'Items sous domaines Maths '!B37,0)</f>
        <v>0</v>
      </c>
      <c r="C33" s="8" t="b">
        <f>IF('Items sous domaines Maths '!H37=2,'Items sous domaines Maths '!C37)</f>
        <v>0</v>
      </c>
      <c r="D33" s="8">
        <f>IF('Items sous domaines Maths '!H37=2,'Items sous domaines Maths '!D37,0)</f>
        <v>0</v>
      </c>
      <c r="E33" s="8">
        <f>IF('Items sous domaines Maths '!H37=2,'Items sous domaines Maths '!E37,0)</f>
        <v>0</v>
      </c>
      <c r="F33" s="9">
        <f>IF('Items sous domaines Maths '!H37=2,'Items sous domaines Maths '!F37,0)</f>
        <v>0</v>
      </c>
      <c r="G33">
        <f>IF('Items sous domaines Maths '!H37=2,'Items sous domaines Maths '!G37,0)</f>
        <v>0</v>
      </c>
    </row>
    <row r="34" spans="1:7" customFormat="1" ht="17.399999999999999" hidden="1" customHeight="1" thickBot="1" x14ac:dyDescent="0.3">
      <c r="A34" s="15"/>
      <c r="B34" s="8">
        <f>IF('Items sous domaines Maths '!H38=2,'Items sous domaines Maths '!B38,0)</f>
        <v>0</v>
      </c>
      <c r="C34" s="8" t="b">
        <f>IF('Items sous domaines Maths '!H38=2,'Items sous domaines Maths '!C38)</f>
        <v>0</v>
      </c>
      <c r="D34" s="8">
        <f>IF('Items sous domaines Maths '!H38=2,'Items sous domaines Maths '!D38,0)</f>
        <v>0</v>
      </c>
      <c r="E34" s="8">
        <f>IF('Items sous domaines Maths '!H38=2,'Items sous domaines Maths '!E38,0)</f>
        <v>0</v>
      </c>
      <c r="F34" s="9">
        <f>IF('Items sous domaines Maths '!H38=2,'Items sous domaines Maths '!F38,0)</f>
        <v>0</v>
      </c>
      <c r="G34">
        <f>IF('Items sous domaines Maths '!H38=2,'Items sous domaines Maths '!G38,0)</f>
        <v>0</v>
      </c>
    </row>
    <row r="35" spans="1:7" customFormat="1" ht="17.399999999999999" hidden="1" customHeight="1" thickBot="1" x14ac:dyDescent="0.3">
      <c r="A35" s="15"/>
      <c r="B35" s="8">
        <f>IF('Items sous domaines Maths '!H39=2,'Items sous domaines Maths '!B39,0)</f>
        <v>0</v>
      </c>
      <c r="C35" s="8" t="b">
        <f>IF('Items sous domaines Maths '!H39=2,'Items sous domaines Maths '!C39)</f>
        <v>0</v>
      </c>
      <c r="D35" s="8">
        <f>IF('Items sous domaines Maths '!H39=2,'Items sous domaines Maths '!D39,0)</f>
        <v>0</v>
      </c>
      <c r="E35" s="8">
        <f>IF('Items sous domaines Maths '!H39=2,'Items sous domaines Maths '!E39,0)</f>
        <v>0</v>
      </c>
      <c r="F35" s="9">
        <f>IF('Items sous domaines Maths '!H39=2,'Items sous domaines Maths '!F39,0)</f>
        <v>0</v>
      </c>
      <c r="G35">
        <f>IF('Items sous domaines Maths '!H39=2,'Items sous domaines Maths '!G39,0)</f>
        <v>0</v>
      </c>
    </row>
    <row r="36" spans="1:7" customFormat="1" ht="17.399999999999999" customHeight="1" thickTop="1" thickBot="1" x14ac:dyDescent="0.3">
      <c r="A36" s="660" t="s">
        <v>509</v>
      </c>
      <c r="B36" s="8" t="str">
        <f>IF('Items sous domaines Maths '!H40=2,'Items sous domaines Maths '!B40,0)</f>
        <v>Algèbre</v>
      </c>
      <c r="C36" s="8" t="str">
        <f>IF('Items sous domaines Maths '!H40=2,'Items sous domaines Maths '!C40)</f>
        <v>Les nombres complexes</v>
      </c>
      <c r="D36" s="8" t="str">
        <f>IF('Items sous domaines Maths '!H40=2,'Items sous domaines Maths '!D40,0)</f>
        <v>Définition et écriture algébrique des nombres complexes</v>
      </c>
      <c r="E36" s="8" t="str">
        <f>IF('Items sous domaines Maths '!H40=2,'Items sous domaines Maths '!E40,0)</f>
        <v>Définition</v>
      </c>
      <c r="F36" s="9" t="str">
        <f>IF('Items sous domaines Maths '!H40=2,'Items sous domaines Maths '!F40,0)</f>
        <v>Connaître l'écriture algébrique, la partie réelle et imaginaire d'un nombre complexe</v>
      </c>
      <c r="G36">
        <f>IF('Items sous domaines Maths '!H40=2,'Items sous domaines Maths '!G40,0)</f>
        <v>0</v>
      </c>
    </row>
    <row r="37" spans="1:7" customFormat="1" ht="17.399999999999999" customHeight="1" thickBot="1" x14ac:dyDescent="0.3">
      <c r="A37" s="660"/>
      <c r="B37" s="8" t="str">
        <f>IF('Items sous domaines Maths '!H41=2,'Items sous domaines Maths '!B41,0)</f>
        <v>Algèbre</v>
      </c>
      <c r="C37" s="8" t="str">
        <f>IF('Items sous domaines Maths '!H41=2,'Items sous domaines Maths '!C41)</f>
        <v>Les nombres complexes</v>
      </c>
      <c r="D37" s="8">
        <f>IF('Items sous domaines Maths '!H41=2,'Items sous domaines Maths '!D41,0)</f>
        <v>0</v>
      </c>
      <c r="E37" s="8">
        <f>IF('Items sous domaines Maths '!H41=2,'Items sous domaines Maths '!E41,0)</f>
        <v>0</v>
      </c>
      <c r="F37" s="9" t="str">
        <f>IF('Items sous domaines Maths '!H41=2,'Items sous domaines Maths '!F41,0)</f>
        <v>Savoir faire des opérations sur les nombres complexes.</v>
      </c>
      <c r="G37">
        <f>IF('Items sous domaines Maths '!H41=2,'Items sous domaines Maths '!G41,0)</f>
        <v>0</v>
      </c>
    </row>
    <row r="38" spans="1:7" customFormat="1" ht="17.399999999999999" customHeight="1" thickBot="1" x14ac:dyDescent="0.3">
      <c r="A38" s="660"/>
      <c r="B38" s="8" t="str">
        <f>IF('Items sous domaines Maths '!H42=2,'Items sous domaines Maths '!B42,0)</f>
        <v>Algèbre</v>
      </c>
      <c r="C38" s="8" t="str">
        <f>IF('Items sous domaines Maths '!H42=2,'Items sous domaines Maths '!C42)</f>
        <v>Les nombres complexes</v>
      </c>
      <c r="D38" s="8">
        <f>IF('Items sous domaines Maths '!H42=2,'Items sous domaines Maths '!D42,0)</f>
        <v>0</v>
      </c>
      <c r="E38" s="8">
        <f>IF('Items sous domaines Maths '!H42=2,'Items sous domaines Maths '!E42,0)</f>
        <v>0</v>
      </c>
      <c r="F38" s="9" t="str">
        <f>IF('Items sous domaines Maths '!H42=2,'Items sous domaines Maths '!F42,0)</f>
        <v>Connaître et savoir calculer le conjugué d'un nombre complexe. Connaître les propriétés du conjugué et son utilité dans l'écriture des fractions complexes sous forme algébrique.</v>
      </c>
      <c r="G38">
        <f>IF('Items sous domaines Maths '!H42=2,'Items sous domaines Maths '!G42,0)</f>
        <v>0</v>
      </c>
    </row>
    <row r="39" spans="1:7" customFormat="1" ht="17.399999999999999" customHeight="1" thickBot="1" x14ac:dyDescent="0.3">
      <c r="A39" s="660"/>
      <c r="B39" s="8" t="str">
        <f>IF('Items sous domaines Maths '!H43=2,'Items sous domaines Maths '!B43,0)</f>
        <v>Algèbre</v>
      </c>
      <c r="C39" s="8" t="str">
        <f>IF('Items sous domaines Maths '!H43=2,'Items sous domaines Maths '!C43)</f>
        <v>Les nombres complexes</v>
      </c>
      <c r="D39" s="8">
        <f>IF('Items sous domaines Maths '!H43=2,'Items sous domaines Maths '!D43,0)</f>
        <v>0</v>
      </c>
      <c r="E39" s="8">
        <f>IF('Items sous domaines Maths '!H43=2,'Items sous domaines Maths '!E43,0)</f>
        <v>0</v>
      </c>
      <c r="F39" s="9" t="str">
        <f>IF('Items sous domaines Maths '!H43=2,'Items sous domaines Maths '!F43,0)</f>
        <v>Savoir associer un point du plan à un nombre complexe, affixe d’un point du plan, affixe d’un vecteur du plan (dentifier C au plan usuel muni d’un repère orthonormé direct)</v>
      </c>
      <c r="G39">
        <f>IF('Items sous domaines Maths '!H43=2,'Items sous domaines Maths '!G43,0)</f>
        <v>0</v>
      </c>
    </row>
    <row r="40" spans="1:7" customFormat="1" ht="17.399999999999999" customHeight="1" thickBot="1" x14ac:dyDescent="0.3">
      <c r="A40" s="660"/>
      <c r="B40" s="8" t="str">
        <f>IF('Items sous domaines Maths '!H44=2,'Items sous domaines Maths '!B44,0)</f>
        <v>Algèbre</v>
      </c>
      <c r="C40" s="8" t="str">
        <f>IF('Items sous domaines Maths '!H44=2,'Items sous domaines Maths '!C44)</f>
        <v>Les nombres complexes</v>
      </c>
      <c r="D40" s="8">
        <f>IF('Items sous domaines Maths '!H44=2,'Items sous domaines Maths '!D44,0)</f>
        <v>0</v>
      </c>
      <c r="E40" s="8" t="str">
        <f>IF('Items sous domaines Maths '!H44=2,'Items sous domaines Maths '!E44,0)</f>
        <v>Module d’un nombre complexe</v>
      </c>
      <c r="F40" s="9" t="str">
        <f>IF('Items sous domaines Maths '!H44=2,'Items sous domaines Maths '!F44,0)</f>
        <v>Savoir calculer un module d'un nombre complexe.</v>
      </c>
      <c r="G40">
        <f>IF('Items sous domaines Maths '!H44=2,'Items sous domaines Maths '!G44,0)</f>
        <v>0</v>
      </c>
    </row>
    <row r="41" spans="1:7" customFormat="1" ht="17.399999999999999" customHeight="1" thickBot="1" x14ac:dyDescent="0.3">
      <c r="A41" s="660"/>
      <c r="B41" s="8" t="str">
        <f>IF('Items sous domaines Maths '!H45=2,'Items sous domaines Maths '!B45,0)</f>
        <v>Algèbre</v>
      </c>
      <c r="C41" s="8" t="str">
        <f>IF('Items sous domaines Maths '!H45=2,'Items sous domaines Maths '!C45)</f>
        <v>Les nombres complexes</v>
      </c>
      <c r="D41" s="8">
        <f>IF('Items sous domaines Maths '!H45=2,'Items sous domaines Maths '!D45,0)</f>
        <v>0</v>
      </c>
      <c r="E41" s="8">
        <f>IF('Items sous domaines Maths '!H45=2,'Items sous domaines Maths '!E45,0)</f>
        <v>0</v>
      </c>
      <c r="F41" s="9" t="str">
        <f>IF('Items sous domaines Maths '!H45=2,'Items sous domaines Maths '!F45,0)</f>
        <v>Connaître l'interprétation géométrique d'un module et repérer les images des affixes de même module.</v>
      </c>
      <c r="G41">
        <f>IF('Items sous domaines Maths '!H45=2,'Items sous domaines Maths '!G45,0)</f>
        <v>0</v>
      </c>
    </row>
    <row r="42" spans="1:7" customFormat="1" ht="27.6" customHeight="1" thickBot="1" x14ac:dyDescent="0.3">
      <c r="A42" s="660"/>
      <c r="B42" s="8" t="str">
        <f>IF('Items sous domaines Maths '!H46=2,'Items sous domaines Maths '!B46,0)</f>
        <v>Algèbre</v>
      </c>
      <c r="C42" s="8" t="str">
        <f>IF('Items sous domaines Maths '!H46=2,'Items sous domaines Maths '!C46)</f>
        <v>Les nombres complexes</v>
      </c>
      <c r="D42" s="8">
        <f>IF('Items sous domaines Maths '!H46=2,'Items sous domaines Maths '!D46,0)</f>
        <v>0</v>
      </c>
      <c r="E42" s="8">
        <f>IF('Items sous domaines Maths '!H46=2,'Items sous domaines Maths '!E46,0)</f>
        <v>0</v>
      </c>
      <c r="F42" s="9" t="str">
        <f>IF('Items sous domaines Maths '!H46=2,'Items sous domaines Maths '!F46,0)</f>
        <v xml:space="preserve">Savoir calculer le module d’un produit, d’un quotient. </v>
      </c>
      <c r="G42">
        <f>IF('Items sous domaines Maths '!H46=2,'Items sous domaines Maths '!G46,0)</f>
        <v>0</v>
      </c>
    </row>
    <row r="43" spans="1:7" customFormat="1" ht="17.399999999999999" customHeight="1" thickBot="1" x14ac:dyDescent="0.3">
      <c r="A43" s="660"/>
      <c r="B43" s="8" t="str">
        <f>IF('Items sous domaines Maths '!H47=2,'Items sous domaines Maths '!B47,0)</f>
        <v>Algèbre</v>
      </c>
      <c r="C43" s="8" t="str">
        <f>IF('Items sous domaines Maths '!H47=2,'Items sous domaines Maths '!C47)</f>
        <v>Les nombres complexes</v>
      </c>
      <c r="D43" s="8">
        <f>IF('Items sous domaines Maths '!H47=2,'Items sous domaines Maths '!D47,0)</f>
        <v>0</v>
      </c>
      <c r="E43" s="8">
        <f>IF('Items sous domaines Maths '!H47=2,'Items sous domaines Maths '!E47,0)</f>
        <v>0</v>
      </c>
      <c r="F43" s="9" t="str">
        <f>IF('Items sous domaines Maths '!H47=2,'Items sous domaines Maths '!F47,0)</f>
        <v>Savoir résoudre des équations du type |z-zA|=|z-zB| et |z-zA|=R &gt; 0</v>
      </c>
      <c r="G43">
        <f>IF('Items sous domaines Maths '!H47=2,'Items sous domaines Maths '!G47,0)</f>
        <v>0</v>
      </c>
    </row>
    <row r="44" spans="1:7" customFormat="1" ht="17.399999999999999" customHeight="1" thickBot="1" x14ac:dyDescent="0.3">
      <c r="A44" s="660"/>
      <c r="B44" s="8" t="str">
        <f>IF('Items sous domaines Maths '!H48=2,'Items sous domaines Maths '!B48,0)</f>
        <v>Algèbre</v>
      </c>
      <c r="C44" s="8" t="str">
        <f>IF('Items sous domaines Maths '!H48=2,'Items sous domaines Maths '!C48)</f>
        <v>Les nombres complexes</v>
      </c>
      <c r="D44" s="8" t="str">
        <f>IF('Items sous domaines Maths '!H48=2,'Items sous domaines Maths '!D48,0)</f>
        <v xml:space="preserve"> Forme trigonométrique et exponentielle d'un nombre complexe</v>
      </c>
      <c r="E44" s="8" t="str">
        <f>IF('Items sous domaines Maths '!H48=2,'Items sous domaines Maths '!E48,0)</f>
        <v>Argument d'un nombre complexe et forme trigonometrique</v>
      </c>
      <c r="F44" s="9" t="str">
        <f>IF('Items sous domaines Maths '!H48=2,'Items sous domaines Maths '!F48,0)</f>
        <v>Connaître le cercle trigonométrique. Savoir repérer un point du cercle avec les fonctions circulaires sinus et cosinus. Connaître les formules des angles associés, cos(a±b), sin(a±b), cos(2a), sin(2a),</v>
      </c>
      <c r="G44">
        <f>IF('Items sous domaines Maths '!H48=2,'Items sous domaines Maths '!G48,0)</f>
        <v>0</v>
      </c>
    </row>
    <row r="45" spans="1:7" customFormat="1" ht="17.399999999999999" customHeight="1" thickBot="1" x14ac:dyDescent="0.3">
      <c r="A45" s="660"/>
      <c r="B45" s="8" t="str">
        <f>IF('Items sous domaines Maths '!H49=2,'Items sous domaines Maths '!B49,0)</f>
        <v>Algèbre</v>
      </c>
      <c r="C45" s="8" t="str">
        <f>IF('Items sous domaines Maths '!H49=2,'Items sous domaines Maths '!C49)</f>
        <v>Les nombres complexes</v>
      </c>
      <c r="D45" s="8">
        <f>IF('Items sous domaines Maths '!H49=2,'Items sous domaines Maths '!D49,0)</f>
        <v>0</v>
      </c>
      <c r="E45" s="8">
        <f>IF('Items sous domaines Maths '!H49=2,'Items sous domaines Maths '!E49,0)</f>
        <v>0</v>
      </c>
      <c r="F45" s="9" t="str">
        <f>IF('Items sous domaines Maths '!H49=2,'Items sous domaines Maths '!F49,0)</f>
        <v xml:space="preserve">Savoir calculer l'argument d'un nombre complexe à partir de sa forme algébrique et connaître l'interprétation géométrique de l'argument. </v>
      </c>
      <c r="G45">
        <f>IF('Items sous domaines Maths '!H49=2,'Items sous domaines Maths '!G49,0)</f>
        <v>0</v>
      </c>
    </row>
    <row r="46" spans="1:7" customFormat="1" ht="17.399999999999999" customHeight="1" thickBot="1" x14ac:dyDescent="0.3">
      <c r="A46" s="660"/>
      <c r="B46" s="8" t="str">
        <f>IF('Items sous domaines Maths '!H50=2,'Items sous domaines Maths '!B50,0)</f>
        <v>Algèbre</v>
      </c>
      <c r="C46" s="8" t="str">
        <f>IF('Items sous domaines Maths '!H50=2,'Items sous domaines Maths '!C50)</f>
        <v>Les nombres complexes</v>
      </c>
      <c r="D46" s="8">
        <f>IF('Items sous domaines Maths '!H50=2,'Items sous domaines Maths '!D50,0)</f>
        <v>0</v>
      </c>
      <c r="E46" s="8">
        <f>IF('Items sous domaines Maths '!H50=2,'Items sous domaines Maths '!E50,0)</f>
        <v>0</v>
      </c>
      <c r="F46" s="9" t="str">
        <f>IF('Items sous domaines Maths '!H50=2,'Items sous domaines Maths '!F50,0)</f>
        <v xml:space="preserve">Savoir calculer l'argument d’un produit, d’un quotient. </v>
      </c>
      <c r="G46">
        <f>IF('Items sous domaines Maths '!H50=2,'Items sous domaines Maths '!G50,0)</f>
        <v>0</v>
      </c>
    </row>
    <row r="47" spans="1:7" customFormat="1" ht="17.399999999999999" customHeight="1" thickBot="1" x14ac:dyDescent="0.3">
      <c r="A47" s="660"/>
      <c r="B47" s="8" t="str">
        <f>IF('Items sous domaines Maths '!H51=2,'Items sous domaines Maths '!B51,0)</f>
        <v>Algèbre</v>
      </c>
      <c r="C47" s="8" t="str">
        <f>IF('Items sous domaines Maths '!H51=2,'Items sous domaines Maths '!C51)</f>
        <v>Les nombres complexes</v>
      </c>
      <c r="D47" s="8">
        <f>IF('Items sous domaines Maths '!H51=2,'Items sous domaines Maths '!D51,0)</f>
        <v>0</v>
      </c>
      <c r="E47" s="8">
        <f>IF('Items sous domaines Maths '!H51=2,'Items sous domaines Maths '!E51,0)</f>
        <v>0</v>
      </c>
      <c r="F47" s="9" t="str">
        <f>IF('Items sous domaines Maths '!H51=2,'Items sous domaines Maths '!F51,0)</f>
        <v>Savoir passer de la forme algébrique à la forme trigonométrique d'un nombre complexe.</v>
      </c>
      <c r="G47">
        <f>IF('Items sous domaines Maths '!H51=2,'Items sous domaines Maths '!G51,0)</f>
        <v>0</v>
      </c>
    </row>
    <row r="48" spans="1:7" customFormat="1" ht="27.6" customHeight="1" thickBot="1" x14ac:dyDescent="0.3">
      <c r="A48" s="660"/>
      <c r="B48" s="8" t="str">
        <f>IF('Items sous domaines Maths '!H52=2,'Items sous domaines Maths '!B52,0)</f>
        <v>Algèbre</v>
      </c>
      <c r="C48" s="8" t="str">
        <f>IF('Items sous domaines Maths '!H52=2,'Items sous domaines Maths '!C52)</f>
        <v>Les nombres complexes</v>
      </c>
      <c r="D48" s="8">
        <f>IF('Items sous domaines Maths '!H52=2,'Items sous domaines Maths '!D52,0)</f>
        <v>0</v>
      </c>
      <c r="E48" s="8" t="str">
        <f>IF('Items sous domaines Maths '!H52=2,'Items sous domaines Maths '!E52,0)</f>
        <v>Complexes de module 1 et forme exponentielle d'un nombre complexe</v>
      </c>
      <c r="F48" s="9" t="str">
        <f>IF('Items sous domaines Maths '!H52=2,'Items sous domaines Maths '!F52,0)</f>
        <v>Définition de exp(it) pour t réel.</v>
      </c>
      <c r="G48">
        <f>IF('Items sous domaines Maths '!H52=2,'Items sous domaines Maths '!G52,0)</f>
        <v>0</v>
      </c>
    </row>
    <row r="49" spans="1:10" customFormat="1" ht="22.2" customHeight="1" thickBot="1" x14ac:dyDescent="0.3">
      <c r="A49" s="660"/>
      <c r="B49" s="8" t="str">
        <f>IF('Items sous domaines Maths '!H53=2,'Items sous domaines Maths '!B53,0)</f>
        <v>Algèbre</v>
      </c>
      <c r="C49" s="8" t="str">
        <f>IF('Items sous domaines Maths '!H53=2,'Items sous domaines Maths '!C53)</f>
        <v>Les nombres complexes</v>
      </c>
      <c r="D49" s="8">
        <f>IF('Items sous domaines Maths '!H53=2,'Items sous domaines Maths '!D53,0)</f>
        <v>0</v>
      </c>
      <c r="E49" s="8">
        <f>IF('Items sous domaines Maths '!H53=2,'Items sous domaines Maths '!E53,0)</f>
        <v>0</v>
      </c>
      <c r="F49" s="9" t="str">
        <f>IF('Items sous domaines Maths '!H53=2,'Items sous domaines Maths '!F53,0)</f>
        <v>Savoir réaliser des opérations avec les nombres complexes.</v>
      </c>
      <c r="G49">
        <f>IF('Items sous domaines Maths '!H53=2,'Items sous domaines Maths '!G53,0)</f>
        <v>0</v>
      </c>
    </row>
    <row r="50" spans="1:10" s="3" customFormat="1" ht="27.6" customHeight="1" thickBot="1" x14ac:dyDescent="0.3">
      <c r="A50" s="660"/>
      <c r="B50" s="8" t="str">
        <f>IF('Items sous domaines Maths '!H54=2,'Items sous domaines Maths '!B54,0)</f>
        <v>Algèbre</v>
      </c>
      <c r="C50" s="8" t="str">
        <f>IF('Items sous domaines Maths '!H54=2,'Items sous domaines Maths '!C54)</f>
        <v>Les nombres complexes</v>
      </c>
      <c r="D50" s="8">
        <f>IF('Items sous domaines Maths '!H54=2,'Items sous domaines Maths '!D54,0)</f>
        <v>0</v>
      </c>
      <c r="E50" s="8">
        <f>IF('Items sous domaines Maths '!H54=2,'Items sous domaines Maths '!E54,0)</f>
        <v>0</v>
      </c>
      <c r="F50" s="9" t="str">
        <f>IF('Items sous domaines Maths '!H54=2,'Items sous domaines Maths '!F54,0)</f>
        <v>Connaître l'écriture exponentielle d'un nombre complexe sous la forme r.exp(it).</v>
      </c>
      <c r="G50">
        <f>IF('Items sous domaines Maths '!H54=2,'Items sous domaines Maths '!G54,0)</f>
        <v>0</v>
      </c>
    </row>
    <row r="51" spans="1:10" customFormat="1" ht="17.399999999999999" customHeight="1" thickBot="1" x14ac:dyDescent="0.3">
      <c r="A51" s="660"/>
      <c r="B51" s="8" t="str">
        <f>IF('Items sous domaines Maths '!H55=2,'Items sous domaines Maths '!B55,0)</f>
        <v>Algèbre</v>
      </c>
      <c r="C51" s="8" t="str">
        <f>IF('Items sous domaines Maths '!H55=2,'Items sous domaines Maths '!C55)</f>
        <v>Les nombres complexes</v>
      </c>
      <c r="D51" s="8">
        <f>IF('Items sous domaines Maths '!H55=2,'Items sous domaines Maths '!D55,0)</f>
        <v>0</v>
      </c>
      <c r="E51" s="8">
        <f>IF('Items sous domaines Maths '!H55=2,'Items sous domaines Maths '!E55,0)</f>
        <v>0</v>
      </c>
      <c r="F51" s="9" t="str">
        <f>IF('Items sous domaines Maths '!H55=2,'Items sous domaines Maths '!F55,0)</f>
        <v>Connaître les formules de Moivre et d'Euler. Savoir factoriser 1±exp(it)</v>
      </c>
      <c r="G51" t="str">
        <f>IF('Items sous domaines Maths '!H55=2,'Items sous domaines Maths '!G55,0)</f>
        <v>savoir effectuer une linearisation, polynomes de Tchebychev, somme de cosinus et sunis</v>
      </c>
    </row>
    <row r="52" spans="1:10" customFormat="1" ht="17.399999999999999" customHeight="1" thickBot="1" x14ac:dyDescent="0.3">
      <c r="A52" s="660"/>
      <c r="B52" s="8" t="str">
        <f>IF('Items sous domaines Maths '!H56=2,'Items sous domaines Maths '!B56,0)</f>
        <v>Algèbre</v>
      </c>
      <c r="C52" s="8" t="str">
        <f>IF('Items sous domaines Maths '!H56=2,'Items sous domaines Maths '!C56)</f>
        <v>Les nombres complexes</v>
      </c>
      <c r="D52" s="8" t="str">
        <f>IF('Items sous domaines Maths '!H56=2,'Items sous domaines Maths '!D56,0)</f>
        <v>Solutions complexes d'équations polynomiales</v>
      </c>
      <c r="E52" s="8" t="str">
        <f>IF('Items sous domaines Maths '!H56=2,'Items sous domaines Maths '!E56,0)</f>
        <v>Equations du second degré</v>
      </c>
      <c r="F52" s="9" t="str">
        <f>IF('Items sous domaines Maths '!H56=2,'Items sous domaines Maths '!F56,0)</f>
        <v>Connaître la méthode permettant de calculer les racines carrées d’un nombre complexe.</v>
      </c>
      <c r="G52">
        <f>IF('Items sous domaines Maths '!H56=2,'Items sous domaines Maths '!G56,0)</f>
        <v>0</v>
      </c>
    </row>
    <row r="53" spans="1:10" ht="19.95" customHeight="1" thickTop="1" x14ac:dyDescent="0.25">
      <c r="A53" s="660"/>
      <c r="B53" s="181" t="str">
        <f>IF('Items sous domaines Maths '!H57=2,'Items sous domaines Maths '!B57,0)</f>
        <v>Algèbre</v>
      </c>
      <c r="C53" s="182" t="str">
        <f>IF('Items sous domaines Maths '!H57=2,'Items sous domaines Maths '!C57)</f>
        <v>Les nombres complexes</v>
      </c>
      <c r="D53" s="182">
        <f>IF('Items sous domaines Maths '!H57=2,'Items sous domaines Maths '!D57,0)</f>
        <v>0</v>
      </c>
      <c r="E53" s="182">
        <f>IF('Items sous domaines Maths '!H57=2,'Items sous domaines Maths '!E57,0)</f>
        <v>0</v>
      </c>
      <c r="F53" s="183" t="str">
        <f>IF('Items sous domaines Maths '!H57=2,'Items sous domaines Maths '!F57,0)</f>
        <v>Savoir résudre les équations du second degré à coefficients complexes (discriminant complexe)</v>
      </c>
      <c r="G53" s="648" t="s">
        <v>446</v>
      </c>
      <c r="H53" s="634" t="s">
        <v>63</v>
      </c>
      <c r="I53" s="581" t="s">
        <v>22</v>
      </c>
      <c r="J53" s="117" t="s">
        <v>126</v>
      </c>
    </row>
    <row r="54" spans="1:10" ht="19.95" customHeight="1" x14ac:dyDescent="0.25">
      <c r="A54" s="660"/>
      <c r="B54" s="141" t="str">
        <f>IF('Items sous domaines Maths '!H58=2,'Items sous domaines Maths '!B58,0)</f>
        <v>Algèbre</v>
      </c>
      <c r="C54" s="142" t="str">
        <f>IF('Items sous domaines Maths '!H58=2,'Items sous domaines Maths '!C58)</f>
        <v>Les nombres complexes</v>
      </c>
      <c r="D54" s="142">
        <f>IF('Items sous domaines Maths '!H58=2,'Items sous domaines Maths '!D58,0)</f>
        <v>0</v>
      </c>
      <c r="E54" s="142" t="str">
        <f>IF('Items sous domaines Maths '!H58=2,'Items sous domaines Maths '!E58,0)</f>
        <v>Racines n-ièmes</v>
      </c>
      <c r="F54" s="143" t="str">
        <f>IF('Items sous domaines Maths '!H58=2,'Items sous domaines Maths '!F58,0)</f>
        <v>Connaître la description des racines n-ièmes de l’unité et la représentation géometrique des solutions.</v>
      </c>
      <c r="G54" s="649"/>
      <c r="H54" s="627"/>
      <c r="I54" s="582"/>
      <c r="J54" s="117" t="s">
        <v>141</v>
      </c>
    </row>
    <row r="55" spans="1:10" ht="19.95" customHeight="1" x14ac:dyDescent="0.25">
      <c r="A55" s="660"/>
      <c r="B55" s="144" t="str">
        <f>IF('Items sous domaines Maths '!H59=2,'Items sous domaines Maths '!B59,0)</f>
        <v>Algèbre</v>
      </c>
      <c r="C55" s="145" t="str">
        <f>IF('Items sous domaines Maths '!H59=2,'Items sous domaines Maths '!C59)</f>
        <v>Les nombres complexes</v>
      </c>
      <c r="D55" s="145">
        <f>IF('Items sous domaines Maths '!H59=2,'Items sous domaines Maths '!D59,0)</f>
        <v>0</v>
      </c>
      <c r="E55" s="145">
        <f>IF('Items sous domaines Maths '!H59=2,'Items sous domaines Maths '!E59,0)</f>
        <v>0</v>
      </c>
      <c r="F55" s="146" t="str">
        <f>IF('Items sous domaines Maths '!H59=2,'Items sous domaines Maths '!F59,0)</f>
        <v>Savoir résoudre les équations du type quation z ^n = a avec a complexe.</v>
      </c>
      <c r="G55" s="649"/>
      <c r="H55" s="627"/>
      <c r="I55" s="582"/>
      <c r="J55" s="117" t="s">
        <v>357</v>
      </c>
    </row>
    <row r="56" spans="1:10" ht="19.95" customHeight="1" x14ac:dyDescent="0.25">
      <c r="A56" s="660"/>
      <c r="B56" s="141" t="str">
        <f>IF('Items sous domaines Maths '!H60=2,'Items sous domaines Maths '!B60,0)</f>
        <v>Algèbre</v>
      </c>
      <c r="C56" s="142" t="str">
        <f>IF('Items sous domaines Maths '!H60=2,'Items sous domaines Maths '!C60)</f>
        <v>Les nombres complexes</v>
      </c>
      <c r="D56" s="142" t="str">
        <f>IF('Items sous domaines Maths '!H60=2,'Items sous domaines Maths '!D60,0)</f>
        <v>Nombre complexes et géometrie plane</v>
      </c>
      <c r="E56" s="142" t="str">
        <f>IF('Items sous domaines Maths '!H60=2,'Items sous domaines Maths '!E60,0)</f>
        <v>Traduction de l'aligenment et de l'orthogonlité. Transformations z→ ̅z et interpretation géometrique.</v>
      </c>
      <c r="F56" s="143" t="str">
        <f>IF('Items sous domaines Maths '!H60=2,'Items sous domaines Maths '!F60,0)</f>
        <v>Savoir traduite l'alignement et l'orthogonalité à l'aide de l'argument</v>
      </c>
      <c r="G56" s="649"/>
      <c r="H56" s="627"/>
      <c r="I56" s="582"/>
    </row>
    <row r="57" spans="1:10" ht="19.95" customHeight="1" thickBot="1" x14ac:dyDescent="0.3">
      <c r="A57" s="661"/>
      <c r="B57" s="192" t="str">
        <f>IF('Items sous domaines Maths '!H61=2,'Items sous domaines Maths '!B61,0)</f>
        <v>Algèbre</v>
      </c>
      <c r="C57" s="193" t="str">
        <f>IF('Items sous domaines Maths '!H61=2,'Items sous domaines Maths '!C61)</f>
        <v>Les nombres complexes</v>
      </c>
      <c r="D57" s="193">
        <f>IF('Items sous domaines Maths '!H61=2,'Items sous domaines Maths '!D61,0)</f>
        <v>0</v>
      </c>
      <c r="E57" s="193" t="str">
        <f>IF('Items sous domaines Maths '!H61=2,'Items sous domaines Maths '!E61,0)</f>
        <v xml:space="preserve"> Transformations classiques du plan : translation, rotation homothetie, similitude.</v>
      </c>
      <c r="F57" s="194" t="str">
        <f>IF('Items sous domaines Maths '!H61=2,'Items sous domaines Maths '!F61,0)</f>
        <v>Savoir résoudre les équations du type quation z ^n = a avec a complexe.</v>
      </c>
      <c r="G57" s="650"/>
      <c r="H57" s="635"/>
      <c r="I57" s="583"/>
    </row>
    <row r="58" spans="1:10" customFormat="1" ht="30" hidden="1" customHeight="1" thickTop="1" thickBot="1" x14ac:dyDescent="0.3">
      <c r="B58">
        <f>IF('Items sous domaines Maths '!H62=2,'Items sous domaines Maths '!B62,0)</f>
        <v>0</v>
      </c>
      <c r="C58" t="b">
        <f>IF('Items sous domaines Maths '!H62=2,'Items sous domaines Maths '!C62)</f>
        <v>0</v>
      </c>
      <c r="D58">
        <f>IF('Items sous domaines Maths '!H62=2,'Items sous domaines Maths '!D62,0)</f>
        <v>0</v>
      </c>
      <c r="E58">
        <f>IF('Items sous domaines Maths '!H62=2,'Items sous domaines Maths '!E62,0)</f>
        <v>0</v>
      </c>
      <c r="F58" s="10">
        <f>IF('Items sous domaines Maths '!H62=2,'Items sous domaines Maths '!F62,0)</f>
        <v>0</v>
      </c>
      <c r="G58">
        <f>IF('Items sous domaines Maths '!H62=2,'Items sous domaines Maths '!G62,0)</f>
        <v>0</v>
      </c>
      <c r="H58" s="627"/>
      <c r="I58" s="636"/>
    </row>
    <row r="59" spans="1:10" customFormat="1" ht="17.399999999999999" hidden="1" customHeight="1" thickBot="1" x14ac:dyDescent="0.3">
      <c r="A59" s="633" t="s">
        <v>429</v>
      </c>
      <c r="B59" s="8">
        <f>IF('Items sous domaines Maths '!H63=2,'Items sous domaines Maths '!B63,0)</f>
        <v>0</v>
      </c>
      <c r="C59" s="8" t="b">
        <f>IF('Items sous domaines Maths '!H63=2,'Items sous domaines Maths '!C63)</f>
        <v>0</v>
      </c>
      <c r="D59" s="8">
        <f>IF('Items sous domaines Maths '!H63=2,'Items sous domaines Maths '!D63,0)</f>
        <v>0</v>
      </c>
      <c r="E59" s="8">
        <f>IF('Items sous domaines Maths '!H63=2,'Items sous domaines Maths '!E63,0)</f>
        <v>0</v>
      </c>
      <c r="F59" s="9">
        <f>IF('Items sous domaines Maths '!H63=2,'Items sous domaines Maths '!F63,0)</f>
        <v>0</v>
      </c>
      <c r="G59">
        <f>IF('Items sous domaines Maths '!H63=2,'Items sous domaines Maths '!G63,0)</f>
        <v>0</v>
      </c>
      <c r="H59" s="627"/>
      <c r="I59" s="636"/>
    </row>
    <row r="60" spans="1:10" customFormat="1" ht="17.399999999999999" hidden="1" customHeight="1" thickBot="1" x14ac:dyDescent="0.3">
      <c r="A60" s="627"/>
      <c r="B60" s="8">
        <f>IF('Items sous domaines Maths '!H64=2,'Items sous domaines Maths '!B64,0)</f>
        <v>0</v>
      </c>
      <c r="C60" s="8" t="b">
        <f>IF('Items sous domaines Maths '!H64=2,'Items sous domaines Maths '!C64)</f>
        <v>0</v>
      </c>
      <c r="D60" s="8">
        <f>IF('Items sous domaines Maths '!H64=2,'Items sous domaines Maths '!D64,0)</f>
        <v>0</v>
      </c>
      <c r="E60" s="8">
        <f>IF('Items sous domaines Maths '!H64=2,'Items sous domaines Maths '!E64,0)</f>
        <v>0</v>
      </c>
      <c r="F60" s="9">
        <f>IF('Items sous domaines Maths '!H64=2,'Items sous domaines Maths '!F64,0)</f>
        <v>0</v>
      </c>
      <c r="G60">
        <f>IF('Items sous domaines Maths '!H64=2,'Items sous domaines Maths '!G64,0)</f>
        <v>0</v>
      </c>
      <c r="H60" s="627"/>
      <c r="I60" s="636"/>
    </row>
    <row r="61" spans="1:10" customFormat="1" ht="17.399999999999999" hidden="1" customHeight="1" thickBot="1" x14ac:dyDescent="0.3">
      <c r="A61" s="627"/>
      <c r="B61" s="8">
        <f>IF('Items sous domaines Maths '!H65=2,'Items sous domaines Maths '!B65,0)</f>
        <v>0</v>
      </c>
      <c r="C61" s="8" t="b">
        <f>IF('Items sous domaines Maths '!H65=2,'Items sous domaines Maths '!C65)</f>
        <v>0</v>
      </c>
      <c r="D61" s="8">
        <f>IF('Items sous domaines Maths '!H65=2,'Items sous domaines Maths '!D65,0)</f>
        <v>0</v>
      </c>
      <c r="E61" s="8">
        <f>IF('Items sous domaines Maths '!H65=2,'Items sous domaines Maths '!E65,0)</f>
        <v>0</v>
      </c>
      <c r="F61" s="9">
        <f>IF('Items sous domaines Maths '!H65=2,'Items sous domaines Maths '!F65,0)</f>
        <v>0</v>
      </c>
      <c r="G61">
        <f>IF('Items sous domaines Maths '!H65=2,'Items sous domaines Maths '!G65,0)</f>
        <v>0</v>
      </c>
      <c r="H61" s="627"/>
      <c r="I61" s="636"/>
    </row>
    <row r="62" spans="1:10" customFormat="1" ht="17.399999999999999" hidden="1" customHeight="1" thickBot="1" x14ac:dyDescent="0.3">
      <c r="A62" s="627"/>
      <c r="B62" s="8">
        <f>IF('Items sous domaines Maths '!H66=2,'Items sous domaines Maths '!B66,0)</f>
        <v>0</v>
      </c>
      <c r="C62" s="8" t="b">
        <f>IF('Items sous domaines Maths '!H66=2,'Items sous domaines Maths '!C66)</f>
        <v>0</v>
      </c>
      <c r="D62" s="8">
        <f>IF('Items sous domaines Maths '!H66=2,'Items sous domaines Maths '!D66,0)</f>
        <v>0</v>
      </c>
      <c r="E62" s="8">
        <f>IF('Items sous domaines Maths '!H66=2,'Items sous domaines Maths '!E66,0)</f>
        <v>0</v>
      </c>
      <c r="F62" s="9">
        <f>IF('Items sous domaines Maths '!H66=2,'Items sous domaines Maths '!F66,0)</f>
        <v>0</v>
      </c>
      <c r="G62">
        <f>IF('Items sous domaines Maths '!H66=2,'Items sous domaines Maths '!G66,0)</f>
        <v>0</v>
      </c>
      <c r="H62" s="627"/>
      <c r="I62" s="636"/>
    </row>
    <row r="63" spans="1:10" customFormat="1" ht="17.399999999999999" hidden="1" customHeight="1" thickBot="1" x14ac:dyDescent="0.3">
      <c r="A63" s="627"/>
      <c r="B63" s="8">
        <f>IF('Items sous domaines Maths '!H67=2,'Items sous domaines Maths '!B67,0)</f>
        <v>0</v>
      </c>
      <c r="C63" s="8" t="b">
        <f>IF('Items sous domaines Maths '!H67=2,'Items sous domaines Maths '!C67)</f>
        <v>0</v>
      </c>
      <c r="D63" s="8">
        <f>IF('Items sous domaines Maths '!H67=2,'Items sous domaines Maths '!D67,0)</f>
        <v>0</v>
      </c>
      <c r="E63" s="8">
        <f>IF('Items sous domaines Maths '!H67=2,'Items sous domaines Maths '!E67,0)</f>
        <v>0</v>
      </c>
      <c r="F63" s="9">
        <f>IF('Items sous domaines Maths '!H67=2,'Items sous domaines Maths '!F67,0)</f>
        <v>0</v>
      </c>
      <c r="G63">
        <f>IF('Items sous domaines Maths '!H67=2,'Items sous domaines Maths '!G67,0)</f>
        <v>0</v>
      </c>
      <c r="H63" s="627"/>
      <c r="I63" s="636"/>
    </row>
    <row r="64" spans="1:10" customFormat="1" ht="17.399999999999999" hidden="1" customHeight="1" thickBot="1" x14ac:dyDescent="0.3">
      <c r="A64" s="627"/>
      <c r="B64" s="8">
        <f>IF('Items sous domaines Maths '!H68=2,'Items sous domaines Maths '!B68,0)</f>
        <v>0</v>
      </c>
      <c r="C64" s="8" t="b">
        <f>IF('Items sous domaines Maths '!H68=2,'Items sous domaines Maths '!C68)</f>
        <v>0</v>
      </c>
      <c r="D64" s="8">
        <f>IF('Items sous domaines Maths '!H68=2,'Items sous domaines Maths '!D68,0)</f>
        <v>0</v>
      </c>
      <c r="E64" s="8">
        <f>IF('Items sous domaines Maths '!H68=2,'Items sous domaines Maths '!E68,0)</f>
        <v>0</v>
      </c>
      <c r="F64" s="9">
        <f>IF('Items sous domaines Maths '!H68=2,'Items sous domaines Maths '!F68,0)</f>
        <v>0</v>
      </c>
      <c r="G64">
        <f>IF('Items sous domaines Maths '!H68=2,'Items sous domaines Maths '!G68,0)</f>
        <v>0</v>
      </c>
      <c r="H64" s="627"/>
      <c r="I64" s="636"/>
    </row>
    <row r="65" spans="1:9" customFormat="1" ht="22.2" hidden="1" customHeight="1" thickBot="1" x14ac:dyDescent="0.3">
      <c r="A65" s="627"/>
      <c r="B65" s="8">
        <f>IF('Items sous domaines Maths '!H69=2,'Items sous domaines Maths '!B69,0)</f>
        <v>0</v>
      </c>
      <c r="C65" s="8" t="b">
        <f>IF('Items sous domaines Maths '!H69=2,'Items sous domaines Maths '!C69)</f>
        <v>0</v>
      </c>
      <c r="D65" s="8">
        <f>IF('Items sous domaines Maths '!H69=2,'Items sous domaines Maths '!D69,0)</f>
        <v>0</v>
      </c>
      <c r="E65" s="8">
        <f>IF('Items sous domaines Maths '!H69=2,'Items sous domaines Maths '!E69,0)</f>
        <v>0</v>
      </c>
      <c r="F65" s="9">
        <f>IF('Items sous domaines Maths '!H69=2,'Items sous domaines Maths '!F69,0)</f>
        <v>0</v>
      </c>
      <c r="G65">
        <f>IF('Items sous domaines Maths '!H69=2,'Items sous domaines Maths '!G69,0)</f>
        <v>0</v>
      </c>
      <c r="H65" s="627"/>
      <c r="I65" s="636"/>
    </row>
    <row r="66" spans="1:9" customFormat="1" ht="17.399999999999999" hidden="1" customHeight="1" thickBot="1" x14ac:dyDescent="0.3">
      <c r="A66" s="627"/>
      <c r="B66" s="8">
        <f>IF('Items sous domaines Maths '!H70=2,'Items sous domaines Maths '!B70,0)</f>
        <v>0</v>
      </c>
      <c r="C66" s="8" t="b">
        <f>IF('Items sous domaines Maths '!H70=2,'Items sous domaines Maths '!C70)</f>
        <v>0</v>
      </c>
      <c r="D66" s="8">
        <f>IF('Items sous domaines Maths '!H70=2,'Items sous domaines Maths '!D70,0)</f>
        <v>0</v>
      </c>
      <c r="E66" s="8">
        <f>IF('Items sous domaines Maths '!H70=2,'Items sous domaines Maths '!E70,0)</f>
        <v>0</v>
      </c>
      <c r="F66" s="9">
        <f>IF('Items sous domaines Maths '!H70=2,'Items sous domaines Maths '!F70,0)</f>
        <v>0</v>
      </c>
      <c r="G66">
        <f>IF('Items sous domaines Maths '!H70=2,'Items sous domaines Maths '!G70,0)</f>
        <v>0</v>
      </c>
      <c r="H66" s="627"/>
      <c r="I66" s="636"/>
    </row>
    <row r="67" spans="1:9" customFormat="1" ht="27.6" hidden="1" customHeight="1" thickBot="1" x14ac:dyDescent="0.3">
      <c r="A67" s="627"/>
      <c r="B67" s="8">
        <f>IF('Items sous domaines Maths '!H71=2,'Items sous domaines Maths '!B71,0)</f>
        <v>0</v>
      </c>
      <c r="C67" s="8" t="b">
        <f>IF('Items sous domaines Maths '!H71=2,'Items sous domaines Maths '!C71)</f>
        <v>0</v>
      </c>
      <c r="D67" s="8">
        <f>IF('Items sous domaines Maths '!H71=2,'Items sous domaines Maths '!D71,0)</f>
        <v>0</v>
      </c>
      <c r="E67" s="8">
        <f>IF('Items sous domaines Maths '!H71=2,'Items sous domaines Maths '!E71,0)</f>
        <v>0</v>
      </c>
      <c r="F67" s="9">
        <f>IF('Items sous domaines Maths '!H71=2,'Items sous domaines Maths '!F71,0)</f>
        <v>0</v>
      </c>
      <c r="G67">
        <f>IF('Items sous domaines Maths '!H71=2,'Items sous domaines Maths '!G71,0)</f>
        <v>0</v>
      </c>
      <c r="H67" s="627"/>
      <c r="I67" s="636"/>
    </row>
    <row r="68" spans="1:9" customFormat="1" ht="17.399999999999999" hidden="1" customHeight="1" thickBot="1" x14ac:dyDescent="0.3">
      <c r="A68" s="611"/>
      <c r="B68" s="8">
        <f>IF('Items sous domaines Maths '!H72=2,'Items sous domaines Maths '!B72,0)</f>
        <v>0</v>
      </c>
      <c r="C68" s="8" t="b">
        <f>IF('Items sous domaines Maths '!H72=2,'Items sous domaines Maths '!C72)</f>
        <v>0</v>
      </c>
      <c r="D68" s="8">
        <f>IF('Items sous domaines Maths '!H72=2,'Items sous domaines Maths '!D72,0)</f>
        <v>0</v>
      </c>
      <c r="E68" s="8">
        <f>IF('Items sous domaines Maths '!H72=2,'Items sous domaines Maths '!E72,0)</f>
        <v>0</v>
      </c>
      <c r="F68" s="9">
        <f>IF('Items sous domaines Maths '!H72=2,'Items sous domaines Maths '!F72,0)</f>
        <v>0</v>
      </c>
      <c r="G68">
        <f>IF('Items sous domaines Maths '!H72=2,'Items sous domaines Maths '!G72,0)</f>
        <v>0</v>
      </c>
      <c r="H68" s="627"/>
      <c r="I68" s="636"/>
    </row>
    <row r="69" spans="1:9" customFormat="1" ht="17.399999999999999" hidden="1" customHeight="1" x14ac:dyDescent="0.25">
      <c r="B69">
        <f>IF('Items sous domaines Maths '!H73=2,'Items sous domaines Maths '!B73,0)</f>
        <v>0</v>
      </c>
      <c r="C69" t="b">
        <f>IF('Items sous domaines Maths '!H73=2,'Items sous domaines Maths '!C73)</f>
        <v>0</v>
      </c>
      <c r="D69">
        <f>IF('Items sous domaines Maths '!H73=2,'Items sous domaines Maths '!D73,0)</f>
        <v>0</v>
      </c>
      <c r="E69">
        <f>IF('Items sous domaines Maths '!H73=2,'Items sous domaines Maths '!E73,0)</f>
        <v>0</v>
      </c>
      <c r="F69">
        <f>IF('Items sous domaines Maths '!H73=2,'Items sous domaines Maths '!F73,0)</f>
        <v>0</v>
      </c>
      <c r="G69">
        <f>IF('Items sous domaines Maths '!H73=2,'Items sous domaines Maths '!G73,0)</f>
        <v>0</v>
      </c>
      <c r="H69" s="627"/>
      <c r="I69" s="636"/>
    </row>
    <row r="70" spans="1:9" customFormat="1" ht="17.399999999999999" hidden="1" customHeight="1" x14ac:dyDescent="0.25">
      <c r="B70">
        <f>IF('Items sous domaines Maths '!H74=2,'Items sous domaines Maths '!B74,0)</f>
        <v>0</v>
      </c>
      <c r="C70" t="b">
        <f>IF('Items sous domaines Maths '!H74=2,'Items sous domaines Maths '!C74)</f>
        <v>0</v>
      </c>
      <c r="D70">
        <f>IF('Items sous domaines Maths '!H74=2,'Items sous domaines Maths '!D74,0)</f>
        <v>0</v>
      </c>
      <c r="E70">
        <f>IF('Items sous domaines Maths '!H74=2,'Items sous domaines Maths '!E74,0)</f>
        <v>0</v>
      </c>
      <c r="F70">
        <f>IF('Items sous domaines Maths '!H74=2,'Items sous domaines Maths '!F74,0)</f>
        <v>0</v>
      </c>
      <c r="G70">
        <f>IF('Items sous domaines Maths '!H74=2,'Items sous domaines Maths '!G74,0)</f>
        <v>0</v>
      </c>
    </row>
    <row r="71" spans="1:9" customFormat="1" ht="17.399999999999999" hidden="1" customHeight="1" x14ac:dyDescent="0.25">
      <c r="B71">
        <f>IF('Items sous domaines Maths '!H75=2,'Items sous domaines Maths '!B75,0)</f>
        <v>0</v>
      </c>
      <c r="C71" t="b">
        <f>IF('Items sous domaines Maths '!H75=2,'Items sous domaines Maths '!C75)</f>
        <v>0</v>
      </c>
      <c r="D71">
        <f>IF('Items sous domaines Maths '!H75=2,'Items sous domaines Maths '!D75,0)</f>
        <v>0</v>
      </c>
      <c r="E71">
        <f>IF('Items sous domaines Maths '!H75=2,'Items sous domaines Maths '!E75,0)</f>
        <v>0</v>
      </c>
      <c r="F71">
        <f>IF('Items sous domaines Maths '!H75=2,'Items sous domaines Maths '!F75,0)</f>
        <v>0</v>
      </c>
      <c r="G71">
        <f>IF('Items sous domaines Maths '!H75=2,'Items sous domaines Maths '!G75,0)</f>
        <v>0</v>
      </c>
    </row>
    <row r="72" spans="1:9" customFormat="1" ht="17.399999999999999" hidden="1" customHeight="1" x14ac:dyDescent="0.25">
      <c r="B72">
        <f>IF('Items sous domaines Maths '!H76=2,'Items sous domaines Maths '!B76,0)</f>
        <v>0</v>
      </c>
      <c r="C72" t="b">
        <f>IF('Items sous domaines Maths '!H76=2,'Items sous domaines Maths '!C76)</f>
        <v>0</v>
      </c>
      <c r="D72">
        <f>IF('Items sous domaines Maths '!H76=2,'Items sous domaines Maths '!D76,0)</f>
        <v>0</v>
      </c>
      <c r="E72">
        <f>IF('Items sous domaines Maths '!H76=2,'Items sous domaines Maths '!E76,0)</f>
        <v>0</v>
      </c>
      <c r="F72" s="10">
        <f>IF('Items sous domaines Maths '!H76=2,'Items sous domaines Maths '!F76,0)</f>
        <v>0</v>
      </c>
      <c r="G72">
        <f>IF('Items sous domaines Maths '!H76=2,'Items sous domaines Maths '!G76,0)</f>
        <v>0</v>
      </c>
    </row>
    <row r="73" spans="1:9" customFormat="1" ht="17.399999999999999" hidden="1" customHeight="1" x14ac:dyDescent="0.25">
      <c r="B73">
        <f>IF('Items sous domaines Maths '!H77=2,'Items sous domaines Maths '!B77,0)</f>
        <v>0</v>
      </c>
      <c r="C73" t="b">
        <f>IF('Items sous domaines Maths '!H77=2,'Items sous domaines Maths '!C77)</f>
        <v>0</v>
      </c>
      <c r="D73">
        <f>IF('Items sous domaines Maths '!H77=2,'Items sous domaines Maths '!D77,0)</f>
        <v>0</v>
      </c>
      <c r="E73">
        <f>IF('Items sous domaines Maths '!H77=2,'Items sous domaines Maths '!E77,0)</f>
        <v>0</v>
      </c>
      <c r="F73">
        <f>IF('Items sous domaines Maths '!H77=2,'Items sous domaines Maths '!F77,0)</f>
        <v>0</v>
      </c>
      <c r="G73">
        <f>IF('Items sous domaines Maths '!H77=2,'Items sous domaines Maths '!G77,0)</f>
        <v>0</v>
      </c>
    </row>
    <row r="74" spans="1:9" customFormat="1" ht="17.399999999999999" hidden="1" customHeight="1" x14ac:dyDescent="0.25">
      <c r="B74">
        <f>IF('Items sous domaines Maths '!H78=2,'Items sous domaines Maths '!B78,0)</f>
        <v>0</v>
      </c>
      <c r="C74" t="b">
        <f>IF('Items sous domaines Maths '!H78=2,'Items sous domaines Maths '!C78)</f>
        <v>0</v>
      </c>
      <c r="D74">
        <f>IF('Items sous domaines Maths '!H78=2,'Items sous domaines Maths '!D78,0)</f>
        <v>0</v>
      </c>
      <c r="E74">
        <f>IF('Items sous domaines Maths '!H78=2,'Items sous domaines Maths '!E78,0)</f>
        <v>0</v>
      </c>
      <c r="F74">
        <f>IF('Items sous domaines Maths '!H78=2,'Items sous domaines Maths '!F78,0)</f>
        <v>0</v>
      </c>
      <c r="G74">
        <f>IF('Items sous domaines Maths '!H78=2,'Items sous domaines Maths '!G78,0)</f>
        <v>0</v>
      </c>
    </row>
    <row r="75" spans="1:9" customFormat="1" ht="17.399999999999999" hidden="1" customHeight="1" x14ac:dyDescent="0.25">
      <c r="B75">
        <f>IF('Items sous domaines Maths '!H79=2,'Items sous domaines Maths '!B79,0)</f>
        <v>0</v>
      </c>
      <c r="C75" t="b">
        <f>IF('Items sous domaines Maths '!H79=2,'Items sous domaines Maths '!C79)</f>
        <v>0</v>
      </c>
      <c r="D75">
        <f>IF('Items sous domaines Maths '!H79=2,'Items sous domaines Maths '!D79,0)</f>
        <v>0</v>
      </c>
      <c r="E75">
        <f>IF('Items sous domaines Maths '!H79=2,'Items sous domaines Maths '!E79,0)</f>
        <v>0</v>
      </c>
      <c r="F75">
        <f>IF('Items sous domaines Maths '!H79=2,'Items sous domaines Maths '!F79,0)</f>
        <v>0</v>
      </c>
      <c r="G75">
        <f>IF('Items sous domaines Maths '!H79=2,'Items sous domaines Maths '!G79,0)</f>
        <v>0</v>
      </c>
    </row>
    <row r="76" spans="1:9" customFormat="1" ht="17.399999999999999" hidden="1" customHeight="1" x14ac:dyDescent="0.25">
      <c r="B76">
        <f>IF('Items sous domaines Maths '!H80=2,'Items sous domaines Maths '!B80,0)</f>
        <v>0</v>
      </c>
      <c r="C76" t="b">
        <f>IF('Items sous domaines Maths '!H80=2,'Items sous domaines Maths '!C80)</f>
        <v>0</v>
      </c>
      <c r="D76">
        <f>IF('Items sous domaines Maths '!H80=2,'Items sous domaines Maths '!D80,0)</f>
        <v>0</v>
      </c>
      <c r="E76">
        <f>IF('Items sous domaines Maths '!H80=2,'Items sous domaines Maths '!E80,0)</f>
        <v>0</v>
      </c>
      <c r="F76">
        <f>IF('Items sous domaines Maths '!H80=2,'Items sous domaines Maths '!F80,0)</f>
        <v>0</v>
      </c>
      <c r="G76">
        <f>IF('Items sous domaines Maths '!H80=2,'Items sous domaines Maths '!G80,0)</f>
        <v>0</v>
      </c>
    </row>
    <row r="77" spans="1:9" customFormat="1" ht="17.399999999999999" hidden="1" customHeight="1" x14ac:dyDescent="0.25">
      <c r="B77">
        <f>IF('Items sous domaines Maths '!H81=2,'Items sous domaines Maths '!B81,0)</f>
        <v>0</v>
      </c>
      <c r="C77" t="b">
        <f>IF('Items sous domaines Maths '!H81=2,'Items sous domaines Maths '!C81)</f>
        <v>0</v>
      </c>
      <c r="D77">
        <f>IF('Items sous domaines Maths '!H81=2,'Items sous domaines Maths '!D81,0)</f>
        <v>0</v>
      </c>
      <c r="E77">
        <f>IF('Items sous domaines Maths '!H81=2,'Items sous domaines Maths '!E81,0)</f>
        <v>0</v>
      </c>
      <c r="F77">
        <f>IF('Items sous domaines Maths '!H81=2,'Items sous domaines Maths '!F81,0)</f>
        <v>0</v>
      </c>
      <c r="G77">
        <f>IF('Items sous domaines Maths '!H81=2,'Items sous domaines Maths '!G81,0)</f>
        <v>0</v>
      </c>
    </row>
    <row r="78" spans="1:9" customFormat="1" ht="17.399999999999999" hidden="1" customHeight="1" x14ac:dyDescent="0.25">
      <c r="B78">
        <f>IF('Items sous domaines Maths '!H82=2,'Items sous domaines Maths '!B82,0)</f>
        <v>0</v>
      </c>
      <c r="C78" t="b">
        <f>IF('Items sous domaines Maths '!H82=2,'Items sous domaines Maths '!C82)</f>
        <v>0</v>
      </c>
      <c r="D78">
        <f>IF('Items sous domaines Maths '!H82=2,'Items sous domaines Maths '!D82,0)</f>
        <v>0</v>
      </c>
      <c r="E78">
        <f>IF('Items sous domaines Maths '!H82=2,'Items sous domaines Maths '!E82,0)</f>
        <v>0</v>
      </c>
      <c r="F78">
        <f>IF('Items sous domaines Maths '!H82=2,'Items sous domaines Maths '!F82,0)</f>
        <v>0</v>
      </c>
      <c r="G78">
        <f>IF('Items sous domaines Maths '!H82=2,'Items sous domaines Maths '!G82,0)</f>
        <v>0</v>
      </c>
    </row>
    <row r="79" spans="1:9" customFormat="1" ht="17.399999999999999" hidden="1" customHeight="1" x14ac:dyDescent="0.25">
      <c r="B79">
        <f>IF('Items sous domaines Maths '!H83=2,'Items sous domaines Maths '!B83,0)</f>
        <v>0</v>
      </c>
      <c r="C79" t="b">
        <f>IF('Items sous domaines Maths '!H83=2,'Items sous domaines Maths '!C83)</f>
        <v>0</v>
      </c>
      <c r="D79">
        <f>IF('Items sous domaines Maths '!H83=2,'Items sous domaines Maths '!D83,0)</f>
        <v>0</v>
      </c>
      <c r="E79">
        <f>IF('Items sous domaines Maths '!H83=2,'Items sous domaines Maths '!E83,0)</f>
        <v>0</v>
      </c>
      <c r="F79">
        <f>IF('Items sous domaines Maths '!H83=2,'Items sous domaines Maths '!F83,0)</f>
        <v>0</v>
      </c>
      <c r="G79">
        <f>IF('Items sous domaines Maths '!H83=2,'Items sous domaines Maths '!G83,0)</f>
        <v>0</v>
      </c>
    </row>
    <row r="80" spans="1:9" customFormat="1" ht="17.399999999999999" hidden="1" customHeight="1" x14ac:dyDescent="0.25">
      <c r="B80">
        <f>IF('Items sous domaines Maths '!H84=2,'Items sous domaines Maths '!B84,0)</f>
        <v>0</v>
      </c>
      <c r="C80" t="b">
        <f>IF('Items sous domaines Maths '!H84=2,'Items sous domaines Maths '!C84)</f>
        <v>0</v>
      </c>
      <c r="D80">
        <f>IF('Items sous domaines Maths '!H84=2,'Items sous domaines Maths '!D84,0)</f>
        <v>0</v>
      </c>
      <c r="E80">
        <f>IF('Items sous domaines Maths '!H84=2,'Items sous domaines Maths '!E84,0)</f>
        <v>0</v>
      </c>
      <c r="F80">
        <f>IF('Items sous domaines Maths '!H84=2,'Items sous domaines Maths '!F84,0)</f>
        <v>0</v>
      </c>
      <c r="G80">
        <f>IF('Items sous domaines Maths '!H84=2,'Items sous domaines Maths '!G84,0)</f>
        <v>0</v>
      </c>
    </row>
    <row r="81" spans="1:9" customFormat="1" ht="17.399999999999999" hidden="1" customHeight="1" x14ac:dyDescent="0.25">
      <c r="B81">
        <f>IF('Items sous domaines Maths '!H85=2,'Items sous domaines Maths '!B85,0)</f>
        <v>0</v>
      </c>
      <c r="C81" t="b">
        <f>IF('Items sous domaines Maths '!H85=2,'Items sous domaines Maths '!C85)</f>
        <v>0</v>
      </c>
      <c r="D81">
        <f>IF('Items sous domaines Maths '!H85=2,'Items sous domaines Maths '!D85,0)</f>
        <v>0</v>
      </c>
      <c r="E81">
        <f>IF('Items sous domaines Maths '!H85=2,'Items sous domaines Maths '!E85,0)</f>
        <v>0</v>
      </c>
      <c r="F81">
        <f>IF('Items sous domaines Maths '!H85=2,'Items sous domaines Maths '!F85,0)</f>
        <v>0</v>
      </c>
      <c r="G81">
        <f>IF('Items sous domaines Maths '!H85=2,'Items sous domaines Maths '!G85,0)</f>
        <v>0</v>
      </c>
    </row>
    <row r="82" spans="1:9" customFormat="1" ht="17.399999999999999" hidden="1" customHeight="1" x14ac:dyDescent="0.25">
      <c r="B82">
        <f>IF('Items sous domaines Maths '!H86=2,'Items sous domaines Maths '!B86,0)</f>
        <v>0</v>
      </c>
      <c r="C82" t="b">
        <f>IF('Items sous domaines Maths '!H86=2,'Items sous domaines Maths '!C86)</f>
        <v>0</v>
      </c>
      <c r="D82">
        <f>IF('Items sous domaines Maths '!H86=2,'Items sous domaines Maths '!D86,0)</f>
        <v>0</v>
      </c>
      <c r="E82">
        <f>IF('Items sous domaines Maths '!H86=2,'Items sous domaines Maths '!E86,0)</f>
        <v>0</v>
      </c>
      <c r="F82">
        <f>IF('Items sous domaines Maths '!H86=2,'Items sous domaines Maths '!F86,0)</f>
        <v>0</v>
      </c>
      <c r="G82">
        <f>IF('Items sous domaines Maths '!H86=2,'Items sous domaines Maths '!G86,0)</f>
        <v>0</v>
      </c>
    </row>
    <row r="83" spans="1:9" customFormat="1" ht="17.399999999999999" hidden="1" customHeight="1" thickBot="1" x14ac:dyDescent="0.3">
      <c r="B83">
        <f>IF('Items sous domaines Maths '!H87=2,'Items sous domaines Maths '!B87,0)</f>
        <v>0</v>
      </c>
      <c r="C83" t="b">
        <f>IF('Items sous domaines Maths '!H87=2,'Items sous domaines Maths '!C87)</f>
        <v>0</v>
      </c>
      <c r="D83">
        <f>IF('Items sous domaines Maths '!H87=2,'Items sous domaines Maths '!D87,0)</f>
        <v>0</v>
      </c>
      <c r="E83">
        <f>IF('Items sous domaines Maths '!H87=2,'Items sous domaines Maths '!E87,0)</f>
        <v>0</v>
      </c>
      <c r="F83" s="10">
        <f>IF('Items sous domaines Maths '!H87=2,'Items sous domaines Maths '!F87,0)</f>
        <v>0</v>
      </c>
      <c r="G83">
        <f>IF('Items sous domaines Maths '!H87=2,'Items sous domaines Maths '!G87,0)</f>
        <v>0</v>
      </c>
    </row>
    <row r="84" spans="1:9" customFormat="1" ht="17.399999999999999" hidden="1" customHeight="1" thickBot="1" x14ac:dyDescent="0.3">
      <c r="B84" s="8">
        <f>IF('Items sous domaines Maths '!H88=2,'Items sous domaines Maths '!B88,0)</f>
        <v>0</v>
      </c>
      <c r="C84" s="8" t="b">
        <f>IF('Items sous domaines Maths '!H88=2,'Items sous domaines Maths '!C88)</f>
        <v>0</v>
      </c>
      <c r="D84" s="8">
        <f>IF('Items sous domaines Maths '!H88=2,'Items sous domaines Maths '!D88,0)</f>
        <v>0</v>
      </c>
      <c r="E84" s="8">
        <f>IF('Items sous domaines Maths '!H88=2,'Items sous domaines Maths '!E88,0)</f>
        <v>0</v>
      </c>
      <c r="F84" s="9">
        <f>IF('Items sous domaines Maths '!H88=2,'Items sous domaines Maths '!F88,0)</f>
        <v>0</v>
      </c>
      <c r="G84">
        <f>IF('Items sous domaines Maths '!H88=2,'Items sous domaines Maths '!G88,0)</f>
        <v>0</v>
      </c>
    </row>
    <row r="85" spans="1:9" customFormat="1" ht="17.399999999999999" customHeight="1" thickTop="1" thickBot="1" x14ac:dyDescent="0.3">
      <c r="A85" s="665" t="s">
        <v>511</v>
      </c>
      <c r="B85" s="8" t="str">
        <f>IF('Items sous domaines Maths '!H89=2,'Items sous domaines Maths '!B89,0)</f>
        <v>Algèbre</v>
      </c>
      <c r="C85" s="8" t="str">
        <f>IF('Items sous domaines Maths '!H89=2,'Items sous domaines Maths '!C89)</f>
        <v>Les Matrices</v>
      </c>
      <c r="D85" s="8">
        <f>IF('Items sous domaines Maths '!H89=2,'Items sous domaines Maths '!D89,0)</f>
        <v>0</v>
      </c>
      <c r="E85" s="8" t="str">
        <f>IF('Items sous domaines Maths '!H89=2,'Items sous domaines Maths '!E89,0)</f>
        <v>Propriétés des opérations matricielles.</v>
      </c>
      <c r="F85" s="9" t="str">
        <f>IF('Items sous domaines Maths '!H89=2,'Items sous domaines Maths '!F89,0)</f>
        <v>Savoir effectuer des opérations de type somme, produit par un scalaire produit de deux matrices. Savoir transposer un système en écriture matricielle. Savoir qu'il existe des matrices non nulles dont le produit est nul.</v>
      </c>
      <c r="G85">
        <f>IF('Items sous domaines Maths '!H89=2,'Items sous domaines Maths '!G89,0)</f>
        <v>0</v>
      </c>
    </row>
    <row r="86" spans="1:9" customFormat="1" ht="17.399999999999999" hidden="1" customHeight="1" thickBot="1" x14ac:dyDescent="0.3">
      <c r="A86" s="666"/>
      <c r="B86" s="8">
        <f>IF('Items sous domaines Maths '!H90=2,'Items sous domaines Maths '!B90,0)</f>
        <v>0</v>
      </c>
      <c r="C86" s="8" t="b">
        <f>IF('Items sous domaines Maths '!H90=2,'Items sous domaines Maths '!C90)</f>
        <v>0</v>
      </c>
      <c r="D86" s="8">
        <f>IF('Items sous domaines Maths '!H90=2,'Items sous domaines Maths '!D90,0)</f>
        <v>0</v>
      </c>
      <c r="E86" s="8">
        <f>IF('Items sous domaines Maths '!H90=2,'Items sous domaines Maths '!E90,0)</f>
        <v>0</v>
      </c>
      <c r="F86" s="9">
        <f>IF('Items sous domaines Maths '!H90=2,'Items sous domaines Maths '!F90,0)</f>
        <v>0</v>
      </c>
      <c r="G86">
        <f>IF('Items sous domaines Maths '!H90=2,'Items sous domaines Maths '!G90,0)</f>
        <v>0</v>
      </c>
    </row>
    <row r="87" spans="1:9" customFormat="1" ht="17.399999999999999" hidden="1" customHeight="1" thickBot="1" x14ac:dyDescent="0.3">
      <c r="A87" s="666"/>
      <c r="B87" s="8">
        <f>IF('Items sous domaines Maths '!H91=2,'Items sous domaines Maths '!B91,0)</f>
        <v>0</v>
      </c>
      <c r="C87" s="8" t="b">
        <f>IF('Items sous domaines Maths '!H91=2,'Items sous domaines Maths '!C91)</f>
        <v>0</v>
      </c>
      <c r="D87" s="8">
        <f>IF('Items sous domaines Maths '!H91=2,'Items sous domaines Maths '!D91,0)</f>
        <v>0</v>
      </c>
      <c r="E87" s="8">
        <f>IF('Items sous domaines Maths '!H91=2,'Items sous domaines Maths '!E91,0)</f>
        <v>0</v>
      </c>
      <c r="F87" s="9">
        <f>IF('Items sous domaines Maths '!H91=2,'Items sous domaines Maths '!F91,0)</f>
        <v>0</v>
      </c>
      <c r="G87">
        <f>IF('Items sous domaines Maths '!H91=2,'Items sous domaines Maths '!G91,0)</f>
        <v>0</v>
      </c>
    </row>
    <row r="88" spans="1:9" customFormat="1" ht="17.399999999999999" hidden="1" customHeight="1" thickBot="1" x14ac:dyDescent="0.3">
      <c r="A88" s="666"/>
      <c r="B88" s="8">
        <f>IF('Items sous domaines Maths '!H92=2,'Items sous domaines Maths '!B92,0)</f>
        <v>0</v>
      </c>
      <c r="C88" s="8" t="b">
        <f>IF('Items sous domaines Maths '!H92=2,'Items sous domaines Maths '!C92)</f>
        <v>0</v>
      </c>
      <c r="D88" s="8">
        <f>IF('Items sous domaines Maths '!H92=2,'Items sous domaines Maths '!D92,0)</f>
        <v>0</v>
      </c>
      <c r="E88" s="8">
        <f>IF('Items sous domaines Maths '!H92=2,'Items sous domaines Maths '!E92,0)</f>
        <v>0</v>
      </c>
      <c r="F88" s="9">
        <f>IF('Items sous domaines Maths '!H92=2,'Items sous domaines Maths '!F92,0)</f>
        <v>0</v>
      </c>
      <c r="G88">
        <f>IF('Items sous domaines Maths '!H92=2,'Items sous domaines Maths '!G92,0)</f>
        <v>0</v>
      </c>
    </row>
    <row r="89" spans="1:9" customFormat="1" ht="17.7" hidden="1" customHeight="1" thickBot="1" x14ac:dyDescent="0.3">
      <c r="A89" s="666"/>
      <c r="B89" s="8">
        <f>IF('Items sous domaines Maths '!H93=2,'Items sous domaines Maths '!B93,0)</f>
        <v>0</v>
      </c>
      <c r="C89" s="8" t="b">
        <f>IF('Items sous domaines Maths '!H93=2,'Items sous domaines Maths '!C93)</f>
        <v>0</v>
      </c>
      <c r="D89" s="8">
        <f>IF('Items sous domaines Maths '!H93=2,'Items sous domaines Maths '!D93,0)</f>
        <v>0</v>
      </c>
      <c r="E89" s="8">
        <f>IF('Items sous domaines Maths '!H93=2,'Items sous domaines Maths '!E93,0)</f>
        <v>0</v>
      </c>
      <c r="F89" s="9">
        <f>IF('Items sous domaines Maths '!H93=2,'Items sous domaines Maths '!F93,0)</f>
        <v>0</v>
      </c>
      <c r="G89">
        <f>IF('Items sous domaines Maths '!H93=2,'Items sous domaines Maths '!G93,0)</f>
        <v>0</v>
      </c>
    </row>
    <row r="90" spans="1:9" customFormat="1" ht="17.7" hidden="1" customHeight="1" thickBot="1" x14ac:dyDescent="0.3">
      <c r="A90" s="666"/>
      <c r="B90" s="8">
        <f>IF('Items sous domaines Maths '!H94=2,'Items sous domaines Maths '!B94,0)</f>
        <v>0</v>
      </c>
      <c r="C90" s="8" t="b">
        <f>IF('Items sous domaines Maths '!H94=2,'Items sous domaines Maths '!C94)</f>
        <v>0</v>
      </c>
      <c r="D90" s="8">
        <f>IF('Items sous domaines Maths '!H94=2,'Items sous domaines Maths '!D94,0)</f>
        <v>0</v>
      </c>
      <c r="E90" s="8">
        <f>IF('Items sous domaines Maths '!H94=2,'Items sous domaines Maths '!E94,0)</f>
        <v>0</v>
      </c>
      <c r="F90" s="9">
        <f>IF('Items sous domaines Maths '!H94=2,'Items sous domaines Maths '!F94,0)</f>
        <v>0</v>
      </c>
      <c r="G90">
        <f>IF('Items sous domaines Maths '!H94=2,'Items sous domaines Maths '!G94,0)</f>
        <v>0</v>
      </c>
    </row>
    <row r="91" spans="1:9" ht="19.95" customHeight="1" thickTop="1" x14ac:dyDescent="0.25">
      <c r="A91" s="667"/>
      <c r="B91" s="181" t="str">
        <f>IF('Items sous domaines Maths '!H95=2,'Items sous domaines Maths '!B95,0)</f>
        <v>Algèbre</v>
      </c>
      <c r="C91" s="182" t="str">
        <f>IF('Items sous domaines Maths '!H95=2,'Items sous domaines Maths '!C95)</f>
        <v>Les Matrices</v>
      </c>
      <c r="D91" s="182" t="str">
        <f>IF('Items sous domaines Maths '!H95=2,'Items sous domaines Maths '!D95,0)</f>
        <v>Determinant d'une matrice carrée</v>
      </c>
      <c r="E91" s="182" t="str">
        <f>IF('Items sous domaines Maths '!H95=2,'Items sous domaines Maths '!E95,0)</f>
        <v>Définition, notation</v>
      </c>
      <c r="F91" s="183" t="str">
        <f>IF('Items sous domaines Maths '!H95=2,'Items sous domaines Maths '!F95,0)</f>
        <v>Exemple de calcul du déterminant sur des matrices 2X2 et 3X3. Formule de calcul et Methodes de Sarrus.</v>
      </c>
      <c r="G91" s="642" t="s">
        <v>446</v>
      </c>
      <c r="H91" s="577" t="s">
        <v>456</v>
      </c>
      <c r="I91" s="178"/>
    </row>
    <row r="92" spans="1:9" ht="19.95" customHeight="1" x14ac:dyDescent="0.25">
      <c r="A92" s="667"/>
      <c r="B92" s="141" t="str">
        <f>IF('Items sous domaines Maths '!H96=2,'Items sous domaines Maths '!B96,0)</f>
        <v>Algèbre</v>
      </c>
      <c r="C92" s="142" t="str">
        <f>IF('Items sous domaines Maths '!H96=2,'Items sous domaines Maths '!C96)</f>
        <v>Les Matrices</v>
      </c>
      <c r="D92" s="142">
        <f>IF('Items sous domaines Maths '!H96=2,'Items sous domaines Maths '!D96,0)</f>
        <v>0</v>
      </c>
      <c r="E92" s="142" t="str">
        <f>IF('Items sous domaines Maths '!H96=2,'Items sous domaines Maths '!E96,0)</f>
        <v>Propriétés</v>
      </c>
      <c r="F92" s="143" t="str">
        <f>IF('Items sous domaines Maths '!H96=2,'Items sous domaines Maths '!F96,0)</f>
        <v>Effet de la combinaison linéaire de deux lignes ou deux colones sur le calcul du déterminant.</v>
      </c>
      <c r="G92" s="643"/>
      <c r="H92" s="578"/>
      <c r="I92" s="185" t="s">
        <v>22</v>
      </c>
    </row>
    <row r="93" spans="1:9" ht="19.95" customHeight="1" thickBot="1" x14ac:dyDescent="0.3">
      <c r="A93" s="667"/>
      <c r="B93" s="192" t="str">
        <f>IF('Items sous domaines Maths '!H97=2,'Items sous domaines Maths '!B97,0)</f>
        <v>Algèbre</v>
      </c>
      <c r="C93" s="193" t="str">
        <f>IF('Items sous domaines Maths '!H97=2,'Items sous domaines Maths '!C97)</f>
        <v>Les Matrices</v>
      </c>
      <c r="D93" s="193">
        <f>IF('Items sous domaines Maths '!H97=2,'Items sous domaines Maths '!D97,0)</f>
        <v>0</v>
      </c>
      <c r="E93" s="193">
        <f>IF('Items sous domaines Maths '!H97=2,'Items sous domaines Maths '!E97,0)</f>
        <v>0</v>
      </c>
      <c r="F93" s="194" t="str">
        <f>IF('Items sous domaines Maths '!H97=2,'Items sous domaines Maths '!F97,0)</f>
        <v>Déterminant de la transposée.</v>
      </c>
      <c r="G93" s="644"/>
      <c r="H93" s="579"/>
      <c r="I93" s="189"/>
    </row>
    <row r="94" spans="1:9" customFormat="1" ht="17.7" customHeight="1" thickTop="1" thickBot="1" x14ac:dyDescent="0.3">
      <c r="A94" s="666"/>
      <c r="B94" t="str">
        <f>IF('Items sous domaines Maths '!H98=2,'Items sous domaines Maths '!B98,0)</f>
        <v>Algèbre</v>
      </c>
      <c r="C94" t="str">
        <f>IF('Items sous domaines Maths '!H98=2,'Items sous domaines Maths '!C98)</f>
        <v>Les Matrices</v>
      </c>
      <c r="D94" t="str">
        <f>IF('Items sous domaines Maths '!H98=2,'Items sous domaines Maths '!D98,0)</f>
        <v>Matrices carrées inversibles</v>
      </c>
      <c r="E94" t="str">
        <f>IF('Items sous domaines Maths '!H98=2,'Items sous domaines Maths '!E98,0)</f>
        <v>Définition, notation</v>
      </c>
      <c r="F94" s="10" t="str">
        <f>IF('Items sous domaines Maths '!H98=2,'Items sous domaines Maths '!F98,0)</f>
        <v>Unicité de l'inverse quand elle existe.</v>
      </c>
      <c r="G94" s="645"/>
      <c r="H94" s="641"/>
    </row>
    <row r="95" spans="1:9" customFormat="1" ht="17.7" customHeight="1" thickBot="1" x14ac:dyDescent="0.3">
      <c r="A95" s="666"/>
      <c r="B95" s="8" t="str">
        <f>IF('Items sous domaines Maths '!H99=2,'Items sous domaines Maths '!B99,0)</f>
        <v>Algèbre</v>
      </c>
      <c r="C95" s="8" t="str">
        <f>IF('Items sous domaines Maths '!H99=2,'Items sous domaines Maths '!C99)</f>
        <v>Les Matrices</v>
      </c>
      <c r="D95" s="8">
        <f>IF('Items sous domaines Maths '!H99=2,'Items sous domaines Maths '!D99,0)</f>
        <v>0</v>
      </c>
      <c r="E95" s="8" t="str">
        <f>IF('Items sous domaines Maths '!H99=2,'Items sous domaines Maths '!E99,0)</f>
        <v>Propriétés</v>
      </c>
      <c r="F95" s="9" t="str">
        <f>IF('Items sous domaines Maths '!H99=2,'Items sous domaines Maths '!F99,0)</f>
        <v>Inverses du produit, d'une puissance et de la transposée de matrices inversibles.</v>
      </c>
      <c r="G95" s="645"/>
      <c r="H95" s="641"/>
    </row>
    <row r="96" spans="1:9" ht="19.95" customHeight="1" thickTop="1" thickBot="1" x14ac:dyDescent="0.3">
      <c r="A96" s="667"/>
      <c r="B96" s="195" t="str">
        <f>IF('Items sous domaines Maths '!H100=2,'Items sous domaines Maths '!B100,0)</f>
        <v>Algèbre</v>
      </c>
      <c r="C96" s="196" t="str">
        <f>IF('Items sous domaines Maths '!H100=2,'Items sous domaines Maths '!C100)</f>
        <v>Les Matrices</v>
      </c>
      <c r="D96" s="196">
        <f>IF('Items sous domaines Maths '!H100=2,'Items sous domaines Maths '!D100,0)</f>
        <v>0</v>
      </c>
      <c r="E96" s="196">
        <f>IF('Items sous domaines Maths '!H100=2,'Items sous domaines Maths '!E100,0)</f>
        <v>0</v>
      </c>
      <c r="F96" s="197" t="str">
        <f>IF('Items sous domaines Maths '!H100=2,'Items sous domaines Maths '!F100,0)</f>
        <v>Critère d'existence de l'inverse à l'aide du déterminant.</v>
      </c>
      <c r="G96" s="646"/>
      <c r="H96" s="601"/>
      <c r="I96" s="198"/>
    </row>
    <row r="97" spans="1:9" customFormat="1" ht="17.7" customHeight="1" thickTop="1" thickBot="1" x14ac:dyDescent="0.3">
      <c r="A97" s="666"/>
      <c r="B97" t="str">
        <f>IF('Items sous domaines Maths '!H101=2,'Items sous domaines Maths '!B101,0)</f>
        <v>Algèbre</v>
      </c>
      <c r="C97" t="str">
        <f>IF('Items sous domaines Maths '!H101=2,'Items sous domaines Maths '!C101)</f>
        <v>Les Matrices</v>
      </c>
      <c r="D97">
        <f>IF('Items sous domaines Maths '!H101=2,'Items sous domaines Maths '!D101,0)</f>
        <v>0</v>
      </c>
      <c r="E97">
        <f>IF('Items sous domaines Maths '!H101=2,'Items sous domaines Maths '!E101,0)</f>
        <v>0</v>
      </c>
      <c r="F97" s="10" t="str">
        <f>IF('Items sous domaines Maths '!H101=2,'Items sous domaines Maths '!F101,0)</f>
        <v>Méthodes de calcul de l'inverse d'une matrice.</v>
      </c>
      <c r="G97" s="645"/>
      <c r="H97" s="641"/>
    </row>
    <row r="98" spans="1:9" customFormat="1" ht="17.7" hidden="1" customHeight="1" thickBot="1" x14ac:dyDescent="0.3">
      <c r="A98" s="666"/>
      <c r="B98" s="8">
        <f>IF('Items sous domaines Maths '!H102=2,'Items sous domaines Maths '!B102,0)</f>
        <v>0</v>
      </c>
      <c r="C98" s="8" t="b">
        <f>IF('Items sous domaines Maths '!H102=2,'Items sous domaines Maths '!C102)</f>
        <v>0</v>
      </c>
      <c r="D98" s="8">
        <f>IF('Items sous domaines Maths '!H102=2,'Items sous domaines Maths '!D102,0)</f>
        <v>0</v>
      </c>
      <c r="E98" s="8">
        <f>IF('Items sous domaines Maths '!H102=2,'Items sous domaines Maths '!E102,0)</f>
        <v>0</v>
      </c>
      <c r="F98" s="9">
        <f>IF('Items sous domaines Maths '!H102=2,'Items sous domaines Maths '!F102,0)</f>
        <v>0</v>
      </c>
      <c r="G98" s="645"/>
      <c r="H98" s="641"/>
    </row>
    <row r="99" spans="1:9" customFormat="1" ht="17.7" customHeight="1" thickBot="1" x14ac:dyDescent="0.3">
      <c r="A99" s="666"/>
      <c r="B99" s="8" t="str">
        <f>IF('Items sous domaines Maths '!H103=2,'Items sous domaines Maths '!B103,0)</f>
        <v>Algèbre</v>
      </c>
      <c r="C99" s="8" t="str">
        <f>IF('Items sous domaines Maths '!H103=2,'Items sous domaines Maths '!C103)</f>
        <v>Les Systèmes</v>
      </c>
      <c r="D99" s="8" t="str">
        <f>IF('Items sous domaines Maths '!H103=2,'Items sous domaines Maths '!D103,0)</f>
        <v>Définitions</v>
      </c>
      <c r="E99" s="8" t="str">
        <f>IF('Items sous domaines Maths '!H103=2,'Items sous domaines Maths '!E103,0)</f>
        <v>Définition d'une équation linéaire</v>
      </c>
      <c r="F99" s="9" t="str">
        <f>IF('Items sous domaines Maths '!H103=2,'Items sous domaines Maths '!F103,0)</f>
        <v>Savoir ce qu'est une équation linéaire et une combinaison linéaire.</v>
      </c>
      <c r="G99" s="645"/>
      <c r="H99" s="641"/>
    </row>
    <row r="100" spans="1:9" customFormat="1" ht="17.7" customHeight="1" thickBot="1" x14ac:dyDescent="0.3">
      <c r="A100" s="666"/>
      <c r="B100" s="8" t="str">
        <f>IF('Items sous domaines Maths '!H104=2,'Items sous domaines Maths '!B104,0)</f>
        <v>Algèbre</v>
      </c>
      <c r="C100" s="8" t="str">
        <f>IF('Items sous domaines Maths '!H104=2,'Items sous domaines Maths '!C104)</f>
        <v>Les Systèmes</v>
      </c>
      <c r="D100" s="8">
        <f>IF('Items sous domaines Maths '!H104=2,'Items sous domaines Maths '!D104,0)</f>
        <v>0</v>
      </c>
      <c r="E100" s="8" t="str">
        <f>IF('Items sous domaines Maths '!H104=2,'Items sous domaines Maths '!E104,0)</f>
        <v>Définition d'un système linéaire</v>
      </c>
      <c r="F100" s="9" t="str">
        <f>IF('Items sous domaines Maths '!H104=2,'Items sous domaines Maths '!F104,0)</f>
        <v>Connaître l'interprétation géometrique : intersections de droites, de plans et les differents cas de figures possibles.</v>
      </c>
      <c r="G100" s="645"/>
      <c r="H100" s="641"/>
    </row>
    <row r="101" spans="1:9" customFormat="1" ht="17.7" customHeight="1" thickBot="1" x14ac:dyDescent="0.3">
      <c r="A101" s="666"/>
      <c r="B101" s="8" t="str">
        <f>IF('Items sous domaines Maths '!H105=2,'Items sous domaines Maths '!B105,0)</f>
        <v>Algèbre</v>
      </c>
      <c r="C101" s="8" t="str">
        <f>IF('Items sous domaines Maths '!H105=2,'Items sous domaines Maths '!C105)</f>
        <v>Les Systèmes</v>
      </c>
      <c r="D101" s="8">
        <f>IF('Items sous domaines Maths '!H105=2,'Items sous domaines Maths '!D105,0)</f>
        <v>0</v>
      </c>
      <c r="E101" s="8" t="str">
        <f>IF('Items sous domaines Maths '!H105=2,'Items sous domaines Maths '!E105,0)</f>
        <v>Matrice associée à un système</v>
      </c>
      <c r="F101" s="9" t="str">
        <f>IF('Items sous domaines Maths '!H105=2,'Items sous domaines Maths '!F105,0)</f>
        <v>Savoir transposer un système en écriture matricielle.</v>
      </c>
      <c r="G101" s="645"/>
      <c r="H101" s="641"/>
    </row>
    <row r="102" spans="1:9" customFormat="1" ht="17.7" customHeight="1" thickBot="1" x14ac:dyDescent="0.3">
      <c r="A102" s="666"/>
      <c r="B102" s="8" t="str">
        <f>IF('Items sous domaines Maths '!H106=2,'Items sous domaines Maths '!B106,0)</f>
        <v>Algèbre</v>
      </c>
      <c r="C102" s="8" t="str">
        <f>IF('Items sous domaines Maths '!H106=2,'Items sous domaines Maths '!C106)</f>
        <v>Les Systèmes</v>
      </c>
      <c r="D102" s="8">
        <f>IF('Items sous domaines Maths '!H106=2,'Items sous domaines Maths '!D106,0)</f>
        <v>0</v>
      </c>
      <c r="E102" s="8" t="str">
        <f>IF('Items sous domaines Maths '!H106=2,'Items sous domaines Maths '!E106,0)</f>
        <v>Systèmes équivalents</v>
      </c>
      <c r="F102" s="9" t="str">
        <f>IF('Items sous domaines Maths '!H106=2,'Items sous domaines Maths '!F106,0)</f>
        <v>Connaître les opérations élémentaires sur les lignes qui ne changent pas les solutions.</v>
      </c>
      <c r="G102" s="645"/>
      <c r="H102" s="641"/>
    </row>
    <row r="103" spans="1:9" customFormat="1" ht="17.7" customHeight="1" thickBot="1" x14ac:dyDescent="0.3">
      <c r="A103" s="666"/>
      <c r="B103" s="8" t="str">
        <f>IF('Items sous domaines Maths '!H107=2,'Items sous domaines Maths '!B107,0)</f>
        <v>Algèbre</v>
      </c>
      <c r="C103" s="8" t="str">
        <f>IF('Items sous domaines Maths '!H107=2,'Items sous domaines Maths '!C107)</f>
        <v>Les Systèmes</v>
      </c>
      <c r="D103" s="8">
        <f>IF('Items sous domaines Maths '!H107=2,'Items sous domaines Maths '!D107,0)</f>
        <v>0</v>
      </c>
      <c r="E103" s="8" t="str">
        <f>IF('Items sous domaines Maths '!H107=2,'Items sous domaines Maths '!E107,0)</f>
        <v>Algorithme de Gauss</v>
      </c>
      <c r="F103" s="9" t="str">
        <f>IF('Items sous domaines Maths '!H107=2,'Items sous domaines Maths '!F107,0)</f>
        <v>Savoir ce qu'est un pivot.</v>
      </c>
      <c r="G103" s="645"/>
      <c r="H103" s="641"/>
    </row>
    <row r="104" spans="1:9" customFormat="1" ht="22.2" customHeight="1" thickBot="1" x14ac:dyDescent="0.3">
      <c r="A104" s="666"/>
      <c r="B104" s="8" t="str">
        <f>IF('Items sous domaines Maths '!H108=2,'Items sous domaines Maths '!B108,0)</f>
        <v>Algèbre</v>
      </c>
      <c r="C104" s="8" t="str">
        <f>IF('Items sous domaines Maths '!H108=2,'Items sous domaines Maths '!C108)</f>
        <v>Les Systèmes</v>
      </c>
      <c r="D104" s="8" t="str">
        <f>IF('Items sous domaines Maths '!H108=2,'Items sous domaines Maths '!D108,0)</f>
        <v xml:space="preserve">Résolution d’un système linéaire </v>
      </c>
      <c r="E104" s="8" t="str">
        <f>IF('Items sous domaines Maths '!H108=2,'Items sous domaines Maths '!E108,0)</f>
        <v>Résolution</v>
      </c>
      <c r="F104" s="9" t="str">
        <f>IF('Items sous domaines Maths '!H108=2,'Items sous domaines Maths '!F108,0)</f>
        <v>Savoir appliquer l'algorithme de Gauss au système ainsi qu'en échelonnant la matrice.</v>
      </c>
      <c r="G104" s="645"/>
      <c r="H104" s="641"/>
    </row>
    <row r="105" spans="1:9" ht="19.95" customHeight="1" thickTop="1" x14ac:dyDescent="0.25">
      <c r="A105" s="667"/>
      <c r="B105" s="181" t="str">
        <f>IF('Items sous domaines Maths '!H109=2,'Items sous domaines Maths '!B109,0)</f>
        <v>Algèbre</v>
      </c>
      <c r="C105" s="182" t="str">
        <f>IF('Items sous domaines Maths '!H109=2,'Items sous domaines Maths '!C109)</f>
        <v>Les Systèmes</v>
      </c>
      <c r="D105" s="182">
        <f>IF('Items sous domaines Maths '!H109=2,'Items sous domaines Maths '!D109,0)</f>
        <v>0</v>
      </c>
      <c r="E105" s="182" t="str">
        <f>IF('Items sous domaines Maths '!H109=2,'Items sous domaines Maths '!E109,0)</f>
        <v>Résolution d'un système à l'aide des matrices</v>
      </c>
      <c r="F105" s="183" t="str">
        <f>IF('Items sous domaines Maths '!H109=2,'Items sous domaines Maths '!F109,0)</f>
        <v>Condition d'unicité de la solution lorsque le determinant est non nul.</v>
      </c>
      <c r="G105" s="642"/>
      <c r="H105" s="577"/>
      <c r="I105" s="178"/>
    </row>
    <row r="106" spans="1:9" ht="19.95" customHeight="1" x14ac:dyDescent="0.25">
      <c r="A106" s="667"/>
      <c r="B106" s="141" t="str">
        <f>IF('Items sous domaines Maths '!H110=2,'Items sous domaines Maths '!B110,0)</f>
        <v>Algèbre</v>
      </c>
      <c r="C106" s="142" t="str">
        <f>IF('Items sous domaines Maths '!H110=2,'Items sous domaines Maths '!C110)</f>
        <v>Les Systèmes</v>
      </c>
      <c r="D106" s="142">
        <f>IF('Items sous domaines Maths '!H110=2,'Items sous domaines Maths '!D110,0)</f>
        <v>0</v>
      </c>
      <c r="E106" s="142">
        <f>IF('Items sous domaines Maths '!H110=2,'Items sous domaines Maths '!E110,0)</f>
        <v>0</v>
      </c>
      <c r="F106" s="143" t="str">
        <f>IF('Items sous domaines Maths '!H110=2,'Items sous domaines Maths '!F110,0)</f>
        <v>Connaître la méthode de Cramer pour résoudre les systèmes.</v>
      </c>
      <c r="G106" s="643"/>
      <c r="H106" s="578"/>
      <c r="I106" s="199"/>
    </row>
    <row r="107" spans="1:9" ht="19.95" customHeight="1" thickBot="1" x14ac:dyDescent="0.3">
      <c r="A107" s="667"/>
      <c r="B107" s="192" t="str">
        <f>IF('Items sous domaines Maths '!H111=2,'Items sous domaines Maths '!B111,0)</f>
        <v>Algèbre</v>
      </c>
      <c r="C107" s="193" t="str">
        <f>IF('Items sous domaines Maths '!H111=2,'Items sous domaines Maths '!C111)</f>
        <v>Les Systèmes</v>
      </c>
      <c r="D107" s="193">
        <f>IF('Items sous domaines Maths '!H111=2,'Items sous domaines Maths '!D111,0)</f>
        <v>0</v>
      </c>
      <c r="E107" s="193">
        <f>IF('Items sous domaines Maths '!H111=2,'Items sous domaines Maths '!E111,0)</f>
        <v>0</v>
      </c>
      <c r="F107" s="194" t="str">
        <f>IF('Items sous domaines Maths '!H111=2,'Items sous domaines Maths '!F111,0)</f>
        <v>Savoir résoudre un système à l'aide de la matrice inverse.</v>
      </c>
      <c r="G107" s="644"/>
      <c r="H107" s="579"/>
      <c r="I107" s="189"/>
    </row>
    <row r="108" spans="1:9" customFormat="1" ht="17.7" hidden="1" customHeight="1" thickTop="1" thickBot="1" x14ac:dyDescent="0.3">
      <c r="B108">
        <f>IF('Items sous domaines Maths '!H112=2,'Items sous domaines Maths '!B112,0)</f>
        <v>0</v>
      </c>
      <c r="C108" t="b">
        <f>IF('Items sous domaines Maths '!H112=2,'Items sous domaines Maths '!C112)</f>
        <v>0</v>
      </c>
      <c r="D108">
        <f>IF('Items sous domaines Maths '!H112=2,'Items sous domaines Maths '!D112,0)</f>
        <v>0</v>
      </c>
      <c r="E108">
        <f>IF('Items sous domaines Maths '!H112=2,'Items sous domaines Maths '!E112,0)</f>
        <v>0</v>
      </c>
      <c r="F108" s="10">
        <f>IF('Items sous domaines Maths '!H112=2,'Items sous domaines Maths '!F112,0)</f>
        <v>0</v>
      </c>
      <c r="G108">
        <f>IF('Items sous domaines Maths '!H112=2,'Items sous domaines Maths '!G112,0)</f>
        <v>0</v>
      </c>
    </row>
    <row r="109" spans="1:9" customFormat="1" ht="17.7" customHeight="1" thickTop="1" thickBot="1" x14ac:dyDescent="0.3">
      <c r="A109" s="633" t="s">
        <v>417</v>
      </c>
      <c r="B109" s="8" t="str">
        <f>IF('Items sous domaines Maths '!H113=2,'Items sous domaines Maths '!B113,0)</f>
        <v>Algèbre</v>
      </c>
      <c r="C109" s="8" t="str">
        <f>IF('Items sous domaines Maths '!H113=2,'Items sous domaines Maths '!C113)</f>
        <v>La Théorie des graphes</v>
      </c>
      <c r="D109" s="8" t="str">
        <f>IF('Items sous domaines Maths '!H113=2,'Items sous domaines Maths '!D113,0)</f>
        <v>Terminologie et définitions</v>
      </c>
      <c r="E109" s="8" t="str">
        <f>IF('Items sous domaines Maths '!H113=2,'Items sous domaines Maths '!E113,0)</f>
        <v>Sommet, ordre, arete, graphe orienté, aretes adjacentes, degré d'un sommet</v>
      </c>
      <c r="F109" s="9" t="str">
        <f>IF('Items sous domaines Maths '!H113=2,'Items sous domaines Maths '!F113,0)</f>
        <v xml:space="preserve">Connaître le vocabulaire spécifique à la théorie des graphes. </v>
      </c>
      <c r="G109">
        <f>IF('Items sous domaines Maths '!H113=2,'Items sous domaines Maths '!G113,0)</f>
        <v>0</v>
      </c>
    </row>
    <row r="110" spans="1:9" customFormat="1" ht="17.7" customHeight="1" thickBot="1" x14ac:dyDescent="0.3">
      <c r="A110" s="627"/>
      <c r="B110" s="8" t="str">
        <f>IF('Items sous domaines Maths '!H114=2,'Items sous domaines Maths '!B114,0)</f>
        <v>Algèbre</v>
      </c>
      <c r="C110" s="8" t="str">
        <f>IF('Items sous domaines Maths '!H114=2,'Items sous domaines Maths '!C114)</f>
        <v>La Théorie des graphes</v>
      </c>
      <c r="D110" s="8">
        <f>IF('Items sous domaines Maths '!H114=2,'Items sous domaines Maths '!D114,0)</f>
        <v>0</v>
      </c>
      <c r="E110" s="8" t="str">
        <f>IF('Items sous domaines Maths '!H114=2,'Items sous domaines Maths '!E114,0)</f>
        <v xml:space="preserve">Graphe complet </v>
      </c>
      <c r="F110" s="9" t="str">
        <f>IF('Items sous domaines Maths '!H114=2,'Items sous domaines Maths '!F114,0)</f>
        <v>Savoir que la somme des degrés de tous les sommets d’un graphe est égal au double du nombre total d’arêtes. Savoir qu'un graphe complet est un graphe simple dont tous les sommets sont adjacents les uns avec les autres.</v>
      </c>
      <c r="G110">
        <f>IF('Items sous domaines Maths '!H114=2,'Items sous domaines Maths '!G114,0)</f>
        <v>0</v>
      </c>
    </row>
    <row r="111" spans="1:9" customFormat="1" ht="26.25" customHeight="1" thickBot="1" x14ac:dyDescent="0.3">
      <c r="A111" s="627"/>
      <c r="B111" s="8" t="str">
        <f>IF('Items sous domaines Maths '!H115=2,'Items sous domaines Maths '!B115,0)</f>
        <v>Algèbre</v>
      </c>
      <c r="C111" s="8" t="str">
        <f>IF('Items sous domaines Maths '!H115=2,'Items sous domaines Maths '!C115)</f>
        <v>La Théorie des graphes</v>
      </c>
      <c r="D111" s="8">
        <f>IF('Items sous domaines Maths '!H115=2,'Items sous domaines Maths '!D115,0)</f>
        <v>0</v>
      </c>
      <c r="E111" s="8" t="str">
        <f>IF('Items sous domaines Maths '!H115=2,'Items sous domaines Maths '!E115,0)</f>
        <v>Graphe orienté</v>
      </c>
      <c r="F111" s="9">
        <f>IF('Items sous domaines Maths '!H115=2,'Items sous domaines Maths '!F115,0)</f>
        <v>0</v>
      </c>
      <c r="G111">
        <f>IF('Items sous domaines Maths '!H115=2,'Items sous domaines Maths '!G115,0)</f>
        <v>0</v>
      </c>
    </row>
    <row r="112" spans="1:9" customFormat="1" ht="17.7" customHeight="1" thickBot="1" x14ac:dyDescent="0.3">
      <c r="A112" s="627"/>
      <c r="B112" s="8" t="str">
        <f>IF('Items sous domaines Maths '!H116=2,'Items sous domaines Maths '!B116,0)</f>
        <v>Algèbre</v>
      </c>
      <c r="C112" s="8" t="str">
        <f>IF('Items sous domaines Maths '!H116=2,'Items sous domaines Maths '!C116)</f>
        <v>La Théorie des graphes</v>
      </c>
      <c r="D112" s="8">
        <f>IF('Items sous domaines Maths '!H116=2,'Items sous domaines Maths '!D116,0)</f>
        <v>0</v>
      </c>
      <c r="E112" s="8" t="str">
        <f>IF('Items sous domaines Maths '!H116=2,'Items sous domaines Maths '!E116,0)</f>
        <v>Matrice d'adjacence d'un graphe</v>
      </c>
      <c r="F112" s="9" t="str">
        <f>IF('Items sous domaines Maths '!H116=2,'Items sous domaines Maths '!F116,0)</f>
        <v>Savoir établir la matrice d'adjacence d'un graphe dans le cas d'un graphe orienté et non orienté.</v>
      </c>
      <c r="G112">
        <f>IF('Items sous domaines Maths '!H116=2,'Items sous domaines Maths '!G116,0)</f>
        <v>0</v>
      </c>
    </row>
    <row r="113" spans="1:9" customFormat="1" ht="17.7" customHeight="1" thickBot="1" x14ac:dyDescent="0.3">
      <c r="A113" s="627"/>
      <c r="B113" s="8" t="str">
        <f>IF('Items sous domaines Maths '!H117=2,'Items sous domaines Maths '!B117,0)</f>
        <v>Algèbre</v>
      </c>
      <c r="C113" s="8" t="str">
        <f>IF('Items sous domaines Maths '!H117=2,'Items sous domaines Maths '!C117)</f>
        <v>La Théorie des graphes</v>
      </c>
      <c r="D113" s="8" t="str">
        <f>IF('Items sous domaines Maths '!H117=2,'Items sous domaines Maths '!D117,0)</f>
        <v xml:space="preserve">Chaines et cycles </v>
      </c>
      <c r="E113" s="8" t="str">
        <f>IF('Items sous domaines Maths '!H117=2,'Items sous domaines Maths '!E117,0)</f>
        <v>Terminologie</v>
      </c>
      <c r="F113" s="9" t="str">
        <f>IF('Items sous domaines Maths '!H117=2,'Items sous domaines Maths '!F117,0)</f>
        <v>Connaître la caractérisation d'une chaîne, d'une chaîne orientée, ainsi que des cycles et graphes connexes.</v>
      </c>
      <c r="G113">
        <f>IF('Items sous domaines Maths '!H117=2,'Items sous domaines Maths '!G117,0)</f>
        <v>0</v>
      </c>
    </row>
    <row r="114" spans="1:9" customFormat="1" ht="17.7" customHeight="1" thickBot="1" x14ac:dyDescent="0.3">
      <c r="A114" s="627"/>
      <c r="B114" s="8" t="str">
        <f>IF('Items sous domaines Maths '!H118=2,'Items sous domaines Maths '!B118,0)</f>
        <v>Algèbre</v>
      </c>
      <c r="C114" s="8" t="str">
        <f>IF('Items sous domaines Maths '!H118=2,'Items sous domaines Maths '!C118)</f>
        <v>La Théorie des graphes</v>
      </c>
      <c r="D114" s="8">
        <f>IF('Items sous domaines Maths '!H118=2,'Items sous domaines Maths '!D118,0)</f>
        <v>0</v>
      </c>
      <c r="E114" s="8" t="str">
        <f>IF('Items sous domaines Maths '!H118=2,'Items sous domaines Maths '!E118,0)</f>
        <v>Chaines et Cycles eulériens</v>
      </c>
      <c r="F114" s="9" t="str">
        <f>IF('Items sous domaines Maths '!H118=2,'Items sous domaines Maths '!F118,0)</f>
        <v>Savoir qu'un graphe connexe admet une chaîne eulérienne entre les sommets A et B si et seulement si A et B sont les seuls sommets de degré impair. Savoir qu'un graphe connexe admet un cycle eulérien si et seulement si tous les sommets sont de degré pair. Application à la "promenade de Königsberg"</v>
      </c>
      <c r="G114">
        <f>IF('Items sous domaines Maths '!H118=2,'Items sous domaines Maths '!G118,0)</f>
        <v>0</v>
      </c>
    </row>
    <row r="115" spans="1:9" customFormat="1" ht="17.7" customHeight="1" thickBot="1" x14ac:dyDescent="0.3">
      <c r="A115" s="627"/>
      <c r="B115" s="8" t="str">
        <f>IF('Items sous domaines Maths '!H119=2,'Items sous domaines Maths '!B119,0)</f>
        <v>Algèbre</v>
      </c>
      <c r="C115" s="8" t="str">
        <f>IF('Items sous domaines Maths '!H119=2,'Items sous domaines Maths '!C119)</f>
        <v>La Théorie des graphes</v>
      </c>
      <c r="D115" s="8">
        <f>IF('Items sous domaines Maths '!H119=2,'Items sous domaines Maths '!D119,0)</f>
        <v>0</v>
      </c>
      <c r="E115" s="8">
        <f>IF('Items sous domaines Maths '!H119=2,'Items sous domaines Maths '!E119,0)</f>
        <v>0</v>
      </c>
      <c r="F115" s="9" t="str">
        <f>IF('Items sous domaines Maths '!H119=2,'Items sous domaines Maths '!F119,0)</f>
        <v>Savoir trouver le nombre de chaînes de longueur k entre 2 sommets on regarde M^k où M est la matrice d'adjacence du graphe.</v>
      </c>
      <c r="G115">
        <f>IF('Items sous domaines Maths '!H119=2,'Items sous domaines Maths '!G119,0)</f>
        <v>0</v>
      </c>
    </row>
    <row r="116" spans="1:9" customFormat="1" ht="17.7" customHeight="1" thickBot="1" x14ac:dyDescent="0.3">
      <c r="A116" s="627"/>
      <c r="B116" s="8" t="str">
        <f>IF('Items sous domaines Maths '!H120=2,'Items sous domaines Maths '!B120,0)</f>
        <v>Algèbre</v>
      </c>
      <c r="C116" s="8" t="str">
        <f>IF('Items sous domaines Maths '!H120=2,'Items sous domaines Maths '!C120)</f>
        <v>La Théorie des graphes</v>
      </c>
      <c r="D116" s="8">
        <f>IF('Items sous domaines Maths '!H120=2,'Items sous domaines Maths '!D120,0)</f>
        <v>0</v>
      </c>
      <c r="E116" s="8" t="str">
        <f>IF('Items sous domaines Maths '!H120=2,'Items sous domaines Maths '!E120,0)</f>
        <v>Chaines et Cycles hamiltoniens</v>
      </c>
      <c r="F116" s="9" t="str">
        <f>IF('Items sous domaines Maths '!H120=2,'Items sous domaines Maths '!F120,0)</f>
        <v>Savoir qu'un chemin hamiltonien d'un graphe orienté ou non orienté est un chemin qui passe par tous les sommets une fois et une seule. Un cycle hamiltonien est un chemin hamiltonien qui est un cycle. Un graphe hamiltonien est un graphe qui possède un cycle hamiltonien.</v>
      </c>
      <c r="G116">
        <f>IF('Items sous domaines Maths '!H120=2,'Items sous domaines Maths '!G120,0)</f>
        <v>0</v>
      </c>
    </row>
    <row r="117" spans="1:9" customFormat="1" ht="17.7" customHeight="1" thickBot="1" x14ac:dyDescent="0.3">
      <c r="A117" s="627"/>
      <c r="B117" s="8" t="str">
        <f>IF('Items sous domaines Maths '!H121=2,'Items sous domaines Maths '!B121,0)</f>
        <v>Algèbre</v>
      </c>
      <c r="C117" s="8" t="str">
        <f>IF('Items sous domaines Maths '!H121=2,'Items sous domaines Maths '!C121)</f>
        <v>La Théorie des graphes</v>
      </c>
      <c r="D117" s="8" t="str">
        <f>IF('Items sous domaines Maths '!H121=2,'Items sous domaines Maths '!D121,0)</f>
        <v>Application</v>
      </c>
      <c r="E117" s="8" t="str">
        <f>IF('Items sous domaines Maths '!H121=2,'Items sous domaines Maths '!E121,0)</f>
        <v>Coloration d'un graphe</v>
      </c>
      <c r="F117" s="9" t="str">
        <f>IF('Items sous domaines Maths '!H121=2,'Items sous domaines Maths '!F121,0)</f>
        <v>Comprendre le principe de coloration des graphes dans le but d'utiliser le nombre minimal de couleurs (coloration minimale). Comprendre le champ d'applications de la coloration de graphe.</v>
      </c>
      <c r="G117">
        <f>IF('Items sous domaines Maths '!H121=2,'Items sous domaines Maths '!G121,0)</f>
        <v>0</v>
      </c>
    </row>
    <row r="118" spans="1:9" customFormat="1" ht="17.7" customHeight="1" thickBot="1" x14ac:dyDescent="0.3">
      <c r="A118" s="627"/>
      <c r="B118" s="8" t="str">
        <f>IF('Items sous domaines Maths '!H122=2,'Items sous domaines Maths '!B122,0)</f>
        <v>Algèbre</v>
      </c>
      <c r="C118" s="8" t="str">
        <f>IF('Items sous domaines Maths '!H122=2,'Items sous domaines Maths '!C122)</f>
        <v>La Théorie des graphes</v>
      </c>
      <c r="D118" s="8">
        <f>IF('Items sous domaines Maths '!H122=2,'Items sous domaines Maths '!D122,0)</f>
        <v>0</v>
      </c>
      <c r="E118" s="8">
        <f>IF('Items sous domaines Maths '!H122=2,'Items sous domaines Maths '!E122,0)</f>
        <v>0</v>
      </c>
      <c r="F118" s="9" t="str">
        <f>IF('Items sous domaines Maths '!H122=2,'Items sous domaines Maths '!F122,0)</f>
        <v>Savoir appliquer l'algorithme de coloration de Welsh et Powell.</v>
      </c>
      <c r="G118">
        <f>IF('Items sous domaines Maths '!H122=2,'Items sous domaines Maths '!G122,0)</f>
        <v>0</v>
      </c>
    </row>
    <row r="119" spans="1:9" customFormat="1" ht="17.7" customHeight="1" thickBot="1" x14ac:dyDescent="0.3">
      <c r="A119" s="627"/>
      <c r="B119" s="8" t="str">
        <f>IF('Items sous domaines Maths '!H123=2,'Items sous domaines Maths '!B123,0)</f>
        <v>Algèbre</v>
      </c>
      <c r="C119" s="8" t="str">
        <f>IF('Items sous domaines Maths '!H123=2,'Items sous domaines Maths '!C123)</f>
        <v>La Théorie des graphes</v>
      </c>
      <c r="D119" s="8">
        <f>IF('Items sous domaines Maths '!H123=2,'Items sous domaines Maths '!D123,0)</f>
        <v>0</v>
      </c>
      <c r="E119" s="8" t="str">
        <f>IF('Items sous domaines Maths '!H123=2,'Items sous domaines Maths '!E123,0)</f>
        <v>Graphes pondérés/valués</v>
      </c>
      <c r="F119" s="9" t="str">
        <f>IF('Items sous domaines Maths '!H123=2,'Items sous domaines Maths '!F123,0)</f>
        <v>Savoir ce qu'est un graphe pondéré et être capable de modélier un énoncé avec cette représentation.</v>
      </c>
      <c r="G119">
        <f>IF('Items sous domaines Maths '!H123=2,'Items sous domaines Maths '!G123,0)</f>
        <v>0</v>
      </c>
    </row>
    <row r="120" spans="1:9" customFormat="1" ht="17.7" customHeight="1" thickBot="1" x14ac:dyDescent="0.3">
      <c r="A120" s="627"/>
      <c r="B120" s="8" t="str">
        <f>IF('Items sous domaines Maths '!H124=2,'Items sous domaines Maths '!B124,0)</f>
        <v>Algèbre</v>
      </c>
      <c r="C120" s="8" t="str">
        <f>IF('Items sous domaines Maths '!H124=2,'Items sous domaines Maths '!C124)</f>
        <v>La Théorie des graphes</v>
      </c>
      <c r="D120" s="8">
        <f>IF('Items sous domaines Maths '!H124=2,'Items sous domaines Maths '!D124,0)</f>
        <v>0</v>
      </c>
      <c r="E120" s="8">
        <f>IF('Items sous domaines Maths '!H124=2,'Items sous domaines Maths '!E124,0)</f>
        <v>0</v>
      </c>
      <c r="F120" s="9" t="str">
        <f>IF('Items sous domaines Maths '!H124=2,'Items sous domaines Maths '!F124,0)</f>
        <v>Savoir appliquer l'algorithme de Dijkstra, afin de déterminer le plus court chemin.</v>
      </c>
      <c r="G120">
        <f>IF('Items sous domaines Maths '!H124=2,'Items sous domaines Maths '!G124,0)</f>
        <v>0</v>
      </c>
    </row>
    <row r="121" spans="1:9" customFormat="1" ht="17.7" customHeight="1" thickBot="1" x14ac:dyDescent="0.3">
      <c r="A121" s="627"/>
      <c r="B121" s="8" t="str">
        <f>IF('Items sous domaines Maths '!H125=2,'Items sous domaines Maths '!B125,0)</f>
        <v>Algèbre</v>
      </c>
      <c r="C121" s="8" t="str">
        <f>IF('Items sous domaines Maths '!H125=2,'Items sous domaines Maths '!C125)</f>
        <v>La Théorie des graphes</v>
      </c>
      <c r="D121" s="8">
        <f>IF('Items sous domaines Maths '!H125=2,'Items sous domaines Maths '!D125,0)</f>
        <v>0</v>
      </c>
      <c r="E121" s="8" t="str">
        <f>IF('Items sous domaines Maths '!H125=2,'Items sous domaines Maths '!E125,0)</f>
        <v>Graphes probabilistes</v>
      </c>
      <c r="F121" s="9" t="str">
        <f>IF('Items sous domaines Maths '!H125=2,'Items sous domaines Maths '!F125,0)</f>
        <v>Savoir traduire une situation probabiliste en graphe et obtenir la matrice de transition. Savoir ce qu'est un état stable.</v>
      </c>
      <c r="G121">
        <f>IF('Items sous domaines Maths '!H125=2,'Items sous domaines Maths '!G125,0)</f>
        <v>0</v>
      </c>
    </row>
    <row r="122" spans="1:9" customFormat="1" ht="17.7" customHeight="1" thickBot="1" x14ac:dyDescent="0.3">
      <c r="A122" s="627"/>
      <c r="B122" s="8" t="str">
        <f>IF('Items sous domaines Maths '!H126=2,'Items sous domaines Maths '!B126,0)</f>
        <v>Algèbre</v>
      </c>
      <c r="C122" s="8" t="str">
        <f>IF('Items sous domaines Maths '!H126=2,'Items sous domaines Maths '!C126)</f>
        <v>La Théorie des graphes</v>
      </c>
      <c r="D122" s="8">
        <f>IF('Items sous domaines Maths '!H126=2,'Items sous domaines Maths '!D126,0)</f>
        <v>0</v>
      </c>
      <c r="E122" s="8">
        <f>IF('Items sous domaines Maths '!H126=2,'Items sous domaines Maths '!E126,0)</f>
        <v>0</v>
      </c>
      <c r="F122" s="9" t="str">
        <f>IF('Items sous domaines Maths '!H126=2,'Items sous domaines Maths '!F126,0)</f>
        <v>Connaître les chaînes de Markov.</v>
      </c>
      <c r="G122">
        <f>IF('Items sous domaines Maths '!H126=2,'Items sous domaines Maths '!G126,0)</f>
        <v>0</v>
      </c>
    </row>
    <row r="123" spans="1:9" customFormat="1" ht="17.7" customHeight="1" thickBot="1" x14ac:dyDescent="0.3">
      <c r="A123" s="611"/>
      <c r="B123" s="8" t="str">
        <f>IF('Items sous domaines Maths '!H127=2,'Items sous domaines Maths '!B127,0)</f>
        <v>Algèbre</v>
      </c>
      <c r="C123" s="8" t="str">
        <f>IF('Items sous domaines Maths '!H127=2,'Items sous domaines Maths '!C127)</f>
        <v>La Théorie des graphes</v>
      </c>
      <c r="D123" s="8">
        <f>IF('Items sous domaines Maths '!H127=2,'Items sous domaines Maths '!D127,0)</f>
        <v>0</v>
      </c>
      <c r="E123" s="8" t="str">
        <f>IF('Items sous domaines Maths '!H127=2,'Items sous domaines Maths '!E127,0)</f>
        <v>Modélisation de situations par un graphe</v>
      </c>
      <c r="F123" s="9" t="str">
        <f>IF('Items sous domaines Maths '!H127=2,'Items sous domaines Maths '!F127,0)</f>
        <v>Connaître les applications les plus classiques de l'utilisation de la théorie des graphes.</v>
      </c>
      <c r="G123">
        <f>IF('Items sous domaines Maths '!H127=2,'Items sous domaines Maths '!G127,0)</f>
        <v>0</v>
      </c>
    </row>
    <row r="124" spans="1:9" customFormat="1" ht="17.7" hidden="1" customHeight="1" thickBot="1" x14ac:dyDescent="0.3">
      <c r="B124" s="8">
        <f>IF('Items sous domaines Maths '!H128=2,'Items sous domaines Maths '!B128,0)</f>
        <v>0</v>
      </c>
      <c r="C124" s="8" t="b">
        <f>IF('Items sous domaines Maths '!H128=2,'Items sous domaines Maths '!C128)</f>
        <v>0</v>
      </c>
      <c r="D124" s="8">
        <f>IF('Items sous domaines Maths '!H128=2,'Items sous domaines Maths '!D128,0)</f>
        <v>0</v>
      </c>
      <c r="E124" s="8">
        <f>IF('Items sous domaines Maths '!H128=2,'Items sous domaines Maths '!E128,0)</f>
        <v>0</v>
      </c>
      <c r="F124" s="9">
        <f>IF('Items sous domaines Maths '!H128=2,'Items sous domaines Maths '!F128,0)</f>
        <v>0</v>
      </c>
      <c r="G124">
        <f>IF('Items sous domaines Maths '!H128=2,'Items sous domaines Maths '!G128,0)</f>
        <v>0</v>
      </c>
    </row>
    <row r="125" spans="1:9" ht="19.95" customHeight="1" thickTop="1" x14ac:dyDescent="0.25">
      <c r="A125" s="609" t="s">
        <v>511</v>
      </c>
      <c r="B125" s="181" t="str">
        <f>IF('Items sous domaines Maths '!H129=2,'Items sous domaines Maths '!B129,0)</f>
        <v>Algèbre</v>
      </c>
      <c r="C125" s="182" t="str">
        <f>IF('Items sous domaines Maths '!H129=2,'Items sous domaines Maths '!C129)</f>
        <v>Espaces vectoriels de dimension finie</v>
      </c>
      <c r="D125" s="182" t="str">
        <f>IF('Items sous domaines Maths '!H129=2,'Items sous domaines Maths '!D129,0)</f>
        <v xml:space="preserve">Espaces vectoriels </v>
      </c>
      <c r="E125" s="182" t="str">
        <f>IF('Items sous domaines Maths '!H129=2,'Items sous domaines Maths '!E129,0)</f>
        <v>Définition</v>
      </c>
      <c r="F125" s="183">
        <f>IF('Items sous domaines Maths '!H129=2,'Items sous domaines Maths '!F129,0)</f>
        <v>0</v>
      </c>
      <c r="G125" s="648" t="s">
        <v>457</v>
      </c>
      <c r="H125" s="639" t="s">
        <v>458</v>
      </c>
      <c r="I125" s="184" t="s">
        <v>22</v>
      </c>
    </row>
    <row r="126" spans="1:9" ht="19.95" customHeight="1" x14ac:dyDescent="0.25">
      <c r="A126" s="668"/>
      <c r="B126" s="141" t="str">
        <f>IF('Items sous domaines Maths '!H130=2,'Items sous domaines Maths '!B130,0)</f>
        <v>Algèbre</v>
      </c>
      <c r="C126" s="142" t="str">
        <f>IF('Items sous domaines Maths '!H130=2,'Items sous domaines Maths '!C130)</f>
        <v>Espaces vectoriels de dimension finie</v>
      </c>
      <c r="D126" s="142">
        <f>IF('Items sous domaines Maths '!H130=2,'Items sous domaines Maths '!D130,0)</f>
        <v>0</v>
      </c>
      <c r="E126" s="142" t="str">
        <f>IF('Items sous domaines Maths '!H130=2,'Items sous domaines Maths '!E130,0)</f>
        <v>Sous espaces vectoriels et sommes de sous espaces vectoriels</v>
      </c>
      <c r="F126" s="143">
        <f>IF('Items sous domaines Maths '!H130=2,'Items sous domaines Maths '!F130,0)</f>
        <v>0</v>
      </c>
      <c r="G126" s="649"/>
      <c r="H126" s="470"/>
      <c r="I126" s="199"/>
    </row>
    <row r="127" spans="1:9" ht="19.95" customHeight="1" x14ac:dyDescent="0.25">
      <c r="A127" s="668"/>
      <c r="B127" s="144" t="str">
        <f>IF('Items sous domaines Maths '!H131=2,'Items sous domaines Maths '!B131,0)</f>
        <v>Algèbre</v>
      </c>
      <c r="C127" s="145" t="str">
        <f>IF('Items sous domaines Maths '!H131=2,'Items sous domaines Maths '!C131)</f>
        <v>Espaces vectoriels de dimension finie</v>
      </c>
      <c r="D127" s="145" t="str">
        <f>IF('Items sous domaines Maths '!H131=2,'Items sous domaines Maths '!D131,0)</f>
        <v>Familles de vecteurs</v>
      </c>
      <c r="E127" s="145" t="str">
        <f>IF('Items sous domaines Maths '!H131=2,'Items sous domaines Maths '!E131,0)</f>
        <v>Familles géneratrices</v>
      </c>
      <c r="F127" s="146">
        <f>IF('Items sous domaines Maths '!H131=2,'Items sous domaines Maths '!F131,0)</f>
        <v>0</v>
      </c>
      <c r="G127" s="649"/>
      <c r="H127" s="470"/>
      <c r="I127" s="185" t="s">
        <v>126</v>
      </c>
    </row>
    <row r="128" spans="1:9" ht="19.95" customHeight="1" x14ac:dyDescent="0.25">
      <c r="A128" s="668"/>
      <c r="B128" s="141" t="str">
        <f>IF('Items sous domaines Maths '!H132=2,'Items sous domaines Maths '!B132,0)</f>
        <v>Algèbre</v>
      </c>
      <c r="C128" s="142" t="str">
        <f>IF('Items sous domaines Maths '!H132=2,'Items sous domaines Maths '!C132)</f>
        <v>Espaces vectoriels de dimension finie</v>
      </c>
      <c r="D128" s="142">
        <f>IF('Items sous domaines Maths '!H132=2,'Items sous domaines Maths '!D132,0)</f>
        <v>0</v>
      </c>
      <c r="E128" s="142" t="str">
        <f>IF('Items sous domaines Maths '!H132=2,'Items sous domaines Maths '!E132,0)</f>
        <v>Familles libres</v>
      </c>
      <c r="F128" s="143">
        <f>IF('Items sous domaines Maths '!H132=2,'Items sous domaines Maths '!F132,0)</f>
        <v>0</v>
      </c>
      <c r="G128" s="649"/>
      <c r="H128" s="470"/>
      <c r="I128" s="199"/>
    </row>
    <row r="129" spans="1:9" ht="19.95" customHeight="1" x14ac:dyDescent="0.25">
      <c r="A129" s="668"/>
      <c r="B129" s="144" t="str">
        <f>IF('Items sous domaines Maths '!H133=2,'Items sous domaines Maths '!B133,0)</f>
        <v>Algèbre</v>
      </c>
      <c r="C129" s="145" t="str">
        <f>IF('Items sous domaines Maths '!H133=2,'Items sous domaines Maths '!C133)</f>
        <v>Espaces vectoriels de dimension finie</v>
      </c>
      <c r="D129" s="145">
        <f>IF('Items sous domaines Maths '!H133=2,'Items sous domaines Maths '!D133,0)</f>
        <v>0</v>
      </c>
      <c r="E129" s="145" t="str">
        <f>IF('Items sous domaines Maths '!H133=2,'Items sous domaines Maths '!E133,0)</f>
        <v>Bases</v>
      </c>
      <c r="F129" s="146">
        <f>IF('Items sous domaines Maths '!H133=2,'Items sous domaines Maths '!F133,0)</f>
        <v>0</v>
      </c>
      <c r="G129" s="649"/>
      <c r="H129" s="470"/>
      <c r="I129" s="199"/>
    </row>
    <row r="130" spans="1:9" ht="19.95" customHeight="1" x14ac:dyDescent="0.25">
      <c r="A130" s="668"/>
      <c r="B130" s="141" t="str">
        <f>IF('Items sous domaines Maths '!H134=2,'Items sous domaines Maths '!B134,0)</f>
        <v>Algèbre</v>
      </c>
      <c r="C130" s="142" t="str">
        <f>IF('Items sous domaines Maths '!H134=2,'Items sous domaines Maths '!C134)</f>
        <v>Espaces vectoriels de dimension finie</v>
      </c>
      <c r="D130" s="142" t="str">
        <f>IF('Items sous domaines Maths '!H134=2,'Items sous domaines Maths '!D134,0)</f>
        <v>Espaces vectoriels de dimension finie</v>
      </c>
      <c r="E130" s="142" t="str">
        <f>IF('Items sous domaines Maths '!H134=2,'Items sous domaines Maths '!E134,0)</f>
        <v>Dimension d'un espace vectoriel</v>
      </c>
      <c r="F130" s="143">
        <f>IF('Items sous domaines Maths '!H134=2,'Items sous domaines Maths '!F134,0)</f>
        <v>0</v>
      </c>
      <c r="G130" s="649"/>
      <c r="H130" s="470"/>
      <c r="I130" s="199"/>
    </row>
    <row r="131" spans="1:9" ht="19.95" customHeight="1" x14ac:dyDescent="0.25">
      <c r="A131" s="668"/>
      <c r="B131" s="144" t="str">
        <f>IF('Items sous domaines Maths '!H135=2,'Items sous domaines Maths '!B135,0)</f>
        <v>Algèbre</v>
      </c>
      <c r="C131" s="145" t="str">
        <f>IF('Items sous domaines Maths '!H135=2,'Items sous domaines Maths '!C135)</f>
        <v>Espaces vectoriels de dimension finie</v>
      </c>
      <c r="D131" s="145">
        <f>IF('Items sous domaines Maths '!H135=2,'Items sous domaines Maths '!D135,0)</f>
        <v>0</v>
      </c>
      <c r="E131" s="145" t="str">
        <f>IF('Items sous domaines Maths '!H135=2,'Items sous domaines Maths '!E135,0)</f>
        <v>Sous espace vectoriel supplémentaire</v>
      </c>
      <c r="F131" s="146">
        <f>IF('Items sous domaines Maths '!H135=2,'Items sous domaines Maths '!F135,0)</f>
        <v>0</v>
      </c>
      <c r="G131" s="649"/>
      <c r="H131" s="470"/>
      <c r="I131" s="199"/>
    </row>
    <row r="132" spans="1:9" ht="19.95" customHeight="1" x14ac:dyDescent="0.25">
      <c r="A132" s="668"/>
      <c r="B132" s="141" t="str">
        <f>IF('Items sous domaines Maths '!H136=2,'Items sous domaines Maths '!B136,0)</f>
        <v>Algèbre</v>
      </c>
      <c r="C132" s="142" t="str">
        <f>IF('Items sous domaines Maths '!H136=2,'Items sous domaines Maths '!C136)</f>
        <v>Espaces vectoriels de dimension finie</v>
      </c>
      <c r="D132" s="142">
        <f>IF('Items sous domaines Maths '!H136=2,'Items sous domaines Maths '!D136,0)</f>
        <v>0</v>
      </c>
      <c r="E132" s="142" t="str">
        <f>IF('Items sous domaines Maths '!H136=2,'Items sous domaines Maths '!E136,0)</f>
        <v>Combinaison linéaire</v>
      </c>
      <c r="F132" s="143">
        <f>IF('Items sous domaines Maths '!H136=2,'Items sous domaines Maths '!F136,0)</f>
        <v>0</v>
      </c>
      <c r="G132" s="649"/>
      <c r="H132" s="470"/>
      <c r="I132" s="199"/>
    </row>
    <row r="133" spans="1:9" ht="19.95" customHeight="1" thickBot="1" x14ac:dyDescent="0.3">
      <c r="A133" s="669"/>
      <c r="B133" s="192" t="str">
        <f>IF('Items sous domaines Maths '!H137=2,'Items sous domaines Maths '!B137,0)</f>
        <v>Algèbre</v>
      </c>
      <c r="C133" s="193" t="str">
        <f>IF('Items sous domaines Maths '!H137=2,'Items sous domaines Maths '!C137)</f>
        <v>Espaces vectoriels de dimension finie</v>
      </c>
      <c r="D133" s="193">
        <f>IF('Items sous domaines Maths '!H137=2,'Items sous domaines Maths '!D137,0)</f>
        <v>0</v>
      </c>
      <c r="E133" s="193" t="str">
        <f>IF('Items sous domaines Maths '!H137=2,'Items sous domaines Maths '!E137,0)</f>
        <v>Applications linéaires, rang, image, noyau</v>
      </c>
      <c r="F133" s="194">
        <f>IF('Items sous domaines Maths '!H137=2,'Items sous domaines Maths '!F137,0)</f>
        <v>0</v>
      </c>
      <c r="G133" s="650"/>
      <c r="H133" s="640"/>
      <c r="I133" s="189"/>
    </row>
    <row r="134" spans="1:9" customFormat="1" ht="17.7" hidden="1" customHeight="1" thickTop="1" thickBot="1" x14ac:dyDescent="0.3">
      <c r="B134">
        <f>IF('Items sous domaines Maths '!H138=2,'Items sous domaines Maths '!B138,0)</f>
        <v>0</v>
      </c>
      <c r="C134" t="b">
        <f>IF('Items sous domaines Maths '!H138=2,'Items sous domaines Maths '!C138)</f>
        <v>0</v>
      </c>
      <c r="D134">
        <f>IF('Items sous domaines Maths '!H138=2,'Items sous domaines Maths '!D138,0)</f>
        <v>0</v>
      </c>
      <c r="E134">
        <f>IF('Items sous domaines Maths '!H138=2,'Items sous domaines Maths '!E138,0)</f>
        <v>0</v>
      </c>
      <c r="F134" s="10">
        <f>IF('Items sous domaines Maths '!H138=2,'Items sous domaines Maths '!F138,0)</f>
        <v>0</v>
      </c>
      <c r="G134">
        <f>IF('Items sous domaines Maths '!H138=2,'Items sous domaines Maths '!G138,0)</f>
        <v>0</v>
      </c>
    </row>
    <row r="135" spans="1:9" customFormat="1" ht="17.7" hidden="1" customHeight="1" thickBot="1" x14ac:dyDescent="0.3">
      <c r="B135" s="8">
        <f>IF('Items sous domaines Maths '!H139=2,'Items sous domaines Maths '!B139,0)</f>
        <v>0</v>
      </c>
      <c r="C135" s="8" t="b">
        <f>IF('Items sous domaines Maths '!H139=2,'Items sous domaines Maths '!C139)</f>
        <v>0</v>
      </c>
      <c r="D135" s="8">
        <f>IF('Items sous domaines Maths '!H139=2,'Items sous domaines Maths '!D139,0)</f>
        <v>0</v>
      </c>
      <c r="E135" s="8">
        <f>IF('Items sous domaines Maths '!H139=2,'Items sous domaines Maths '!E139,0)</f>
        <v>0</v>
      </c>
      <c r="F135" s="9">
        <f>IF('Items sous domaines Maths '!H139=2,'Items sous domaines Maths '!F139,0)</f>
        <v>0</v>
      </c>
      <c r="G135">
        <f>IF('Items sous domaines Maths '!H139=2,'Items sous domaines Maths '!G139,0)</f>
        <v>0</v>
      </c>
    </row>
    <row r="136" spans="1:9" customFormat="1" ht="17.7" hidden="1" customHeight="1" thickBot="1" x14ac:dyDescent="0.3">
      <c r="B136" s="8">
        <f>IF('Items sous domaines Maths '!H140=2,'Items sous domaines Maths '!B140,0)</f>
        <v>0</v>
      </c>
      <c r="C136" s="8" t="b">
        <f>IF('Items sous domaines Maths '!H140=2,'Items sous domaines Maths '!C140)</f>
        <v>0</v>
      </c>
      <c r="D136" s="8">
        <f>IF('Items sous domaines Maths '!H140=2,'Items sous domaines Maths '!D140,0)</f>
        <v>0</v>
      </c>
      <c r="E136" s="8">
        <f>IF('Items sous domaines Maths '!H140=2,'Items sous domaines Maths '!E140,0)</f>
        <v>0</v>
      </c>
      <c r="F136" s="9">
        <f>IF('Items sous domaines Maths '!H140=2,'Items sous domaines Maths '!F140,0)</f>
        <v>0</v>
      </c>
      <c r="G136">
        <f>IF('Items sous domaines Maths '!H140=2,'Items sous domaines Maths '!G140,0)</f>
        <v>0</v>
      </c>
    </row>
    <row r="137" spans="1:9" customFormat="1" ht="17.7" hidden="1" customHeight="1" thickBot="1" x14ac:dyDescent="0.3">
      <c r="B137" s="8">
        <f>IF('Items sous domaines Maths '!H141=2,'Items sous domaines Maths '!B141,0)</f>
        <v>0</v>
      </c>
      <c r="C137" s="8" t="b">
        <f>IF('Items sous domaines Maths '!H141=2,'Items sous domaines Maths '!C141)</f>
        <v>0</v>
      </c>
      <c r="D137" s="8">
        <f>IF('Items sous domaines Maths '!H141=2,'Items sous domaines Maths '!D141,0)</f>
        <v>0</v>
      </c>
      <c r="E137" s="8">
        <f>IF('Items sous domaines Maths '!H141=2,'Items sous domaines Maths '!E141,0)</f>
        <v>0</v>
      </c>
      <c r="F137" s="9">
        <f>IF('Items sous domaines Maths '!H141=2,'Items sous domaines Maths '!F141,0)</f>
        <v>0</v>
      </c>
      <c r="G137">
        <f>IF('Items sous domaines Maths '!H141=2,'Items sous domaines Maths '!G141,0)</f>
        <v>0</v>
      </c>
    </row>
    <row r="138" spans="1:9" customFormat="1" ht="17.7" hidden="1" customHeight="1" thickBot="1" x14ac:dyDescent="0.3">
      <c r="B138" s="8">
        <f>IF('Items sous domaines Maths '!H142=2,'Items sous domaines Maths '!B142,0)</f>
        <v>0</v>
      </c>
      <c r="C138" s="8" t="b">
        <f>IF('Items sous domaines Maths '!H142=2,'Items sous domaines Maths '!C142)</f>
        <v>0</v>
      </c>
      <c r="D138" s="8">
        <f>IF('Items sous domaines Maths '!H142=2,'Items sous domaines Maths '!D142,0)</f>
        <v>0</v>
      </c>
      <c r="E138" s="8">
        <f>IF('Items sous domaines Maths '!H142=2,'Items sous domaines Maths '!E142,0)</f>
        <v>0</v>
      </c>
      <c r="F138" s="9">
        <f>IF('Items sous domaines Maths '!H142=2,'Items sous domaines Maths '!F142,0)</f>
        <v>0</v>
      </c>
      <c r="G138">
        <f>IF('Items sous domaines Maths '!H142=2,'Items sous domaines Maths '!G142,0)</f>
        <v>0</v>
      </c>
    </row>
    <row r="139" spans="1:9" customFormat="1" ht="17.7" hidden="1" customHeight="1" thickBot="1" x14ac:dyDescent="0.3">
      <c r="B139" s="8">
        <f>IF('Items sous domaines Maths '!H143=2,'Items sous domaines Maths '!B143,0)</f>
        <v>0</v>
      </c>
      <c r="C139" s="8" t="b">
        <f>IF('Items sous domaines Maths '!H143=2,'Items sous domaines Maths '!C143)</f>
        <v>0</v>
      </c>
      <c r="D139" s="8">
        <f>IF('Items sous domaines Maths '!H143=2,'Items sous domaines Maths '!D143,0)</f>
        <v>0</v>
      </c>
      <c r="E139" s="8">
        <f>IF('Items sous domaines Maths '!H143=2,'Items sous domaines Maths '!E143,0)</f>
        <v>0</v>
      </c>
      <c r="F139" s="9">
        <f>IF('Items sous domaines Maths '!H143=2,'Items sous domaines Maths '!F143,0)</f>
        <v>0</v>
      </c>
      <c r="G139">
        <f>IF('Items sous domaines Maths '!H143=2,'Items sous domaines Maths '!G143,0)</f>
        <v>0</v>
      </c>
    </row>
    <row r="140" spans="1:9" customFormat="1" ht="17.7" hidden="1" customHeight="1" thickBot="1" x14ac:dyDescent="0.3">
      <c r="B140" s="8">
        <f>IF('Items sous domaines Maths '!H144=2,'Items sous domaines Maths '!B144,0)</f>
        <v>0</v>
      </c>
      <c r="C140" s="8" t="b">
        <f>IF('Items sous domaines Maths '!H144=2,'Items sous domaines Maths '!C144)</f>
        <v>0</v>
      </c>
      <c r="D140" s="8">
        <f>IF('Items sous domaines Maths '!H144=2,'Items sous domaines Maths '!D144,0)</f>
        <v>0</v>
      </c>
      <c r="E140" s="8">
        <f>IF('Items sous domaines Maths '!H144=2,'Items sous domaines Maths '!E144,0)</f>
        <v>0</v>
      </c>
      <c r="F140" s="9">
        <f>IF('Items sous domaines Maths '!H144=2,'Items sous domaines Maths '!F144,0)</f>
        <v>0</v>
      </c>
      <c r="G140">
        <f>IF('Items sous domaines Maths '!H144=2,'Items sous domaines Maths '!G144,0)</f>
        <v>0</v>
      </c>
    </row>
    <row r="141" spans="1:9" customFormat="1" ht="17.7" hidden="1" customHeight="1" thickBot="1" x14ac:dyDescent="0.3">
      <c r="B141" s="8">
        <f>IF('Items sous domaines Maths '!H145=2,'Items sous domaines Maths '!B145,0)</f>
        <v>0</v>
      </c>
      <c r="C141" s="8" t="b">
        <f>IF('Items sous domaines Maths '!H145=2,'Items sous domaines Maths '!C145)</f>
        <v>0</v>
      </c>
      <c r="D141" s="8">
        <f>IF('Items sous domaines Maths '!H145=2,'Items sous domaines Maths '!D145,0)</f>
        <v>0</v>
      </c>
      <c r="E141" s="8">
        <f>IF('Items sous domaines Maths '!H145=2,'Items sous domaines Maths '!E145,0)</f>
        <v>0</v>
      </c>
      <c r="F141" s="9">
        <f>IF('Items sous domaines Maths '!H145=2,'Items sous domaines Maths '!F145,0)</f>
        <v>0</v>
      </c>
      <c r="G141">
        <f>IF('Items sous domaines Maths '!H145=2,'Items sous domaines Maths '!G145,0)</f>
        <v>0</v>
      </c>
    </row>
    <row r="142" spans="1:9" customFormat="1" ht="17.7" hidden="1" customHeight="1" thickBot="1" x14ac:dyDescent="0.3">
      <c r="B142" s="8">
        <f>IF('Items sous domaines Maths '!H146=2,'Items sous domaines Maths '!B146,0)</f>
        <v>0</v>
      </c>
      <c r="C142" s="8" t="b">
        <f>IF('Items sous domaines Maths '!H146=2,'Items sous domaines Maths '!C146)</f>
        <v>0</v>
      </c>
      <c r="D142" s="8">
        <f>IF('Items sous domaines Maths '!H146=2,'Items sous domaines Maths '!D146,0)</f>
        <v>0</v>
      </c>
      <c r="E142" s="8">
        <f>IF('Items sous domaines Maths '!H146=2,'Items sous domaines Maths '!E146,0)</f>
        <v>0</v>
      </c>
      <c r="F142" s="9">
        <f>IF('Items sous domaines Maths '!H146=2,'Items sous domaines Maths '!F146,0)</f>
        <v>0</v>
      </c>
      <c r="G142">
        <f>IF('Items sous domaines Maths '!H146=2,'Items sous domaines Maths '!G146,0)</f>
        <v>0</v>
      </c>
    </row>
    <row r="143" spans="1:9" customFormat="1" ht="17.7" hidden="1" customHeight="1" thickBot="1" x14ac:dyDescent="0.3">
      <c r="B143" s="8">
        <f>IF('Items sous domaines Maths '!H147=2,'Items sous domaines Maths '!B147,0)</f>
        <v>0</v>
      </c>
      <c r="C143" s="8" t="b">
        <f>IF('Items sous domaines Maths '!H147=2,'Items sous domaines Maths '!C147)</f>
        <v>0</v>
      </c>
      <c r="D143" s="8">
        <f>IF('Items sous domaines Maths '!H147=2,'Items sous domaines Maths '!D147,0)</f>
        <v>0</v>
      </c>
      <c r="E143" s="8">
        <f>IF('Items sous domaines Maths '!H147=2,'Items sous domaines Maths '!E147,0)</f>
        <v>0</v>
      </c>
      <c r="F143" s="9">
        <f>IF('Items sous domaines Maths '!H147=2,'Items sous domaines Maths '!F147,0)</f>
        <v>0</v>
      </c>
      <c r="G143">
        <f>IF('Items sous domaines Maths '!H147=2,'Items sous domaines Maths '!G147,0)</f>
        <v>0</v>
      </c>
    </row>
    <row r="144" spans="1:9" customFormat="1" ht="17.7" hidden="1" customHeight="1" thickBot="1" x14ac:dyDescent="0.3">
      <c r="B144" s="8">
        <f>IF('Items sous domaines Maths '!H148=2,'Items sous domaines Maths '!B148,0)</f>
        <v>0</v>
      </c>
      <c r="C144" s="8" t="b">
        <f>IF('Items sous domaines Maths '!H148=2,'Items sous domaines Maths '!C148)</f>
        <v>0</v>
      </c>
      <c r="D144" s="8">
        <f>IF('Items sous domaines Maths '!H148=2,'Items sous domaines Maths '!D148,0)</f>
        <v>0</v>
      </c>
      <c r="E144" s="8">
        <f>IF('Items sous domaines Maths '!H148=2,'Items sous domaines Maths '!E148,0)</f>
        <v>0</v>
      </c>
      <c r="F144" s="9">
        <f>IF('Items sous domaines Maths '!H148=2,'Items sous domaines Maths '!F148,0)</f>
        <v>0</v>
      </c>
      <c r="G144">
        <f>IF('Items sous domaines Maths '!H148=2,'Items sous domaines Maths '!G148,0)</f>
        <v>0</v>
      </c>
    </row>
    <row r="145" spans="1:7" customFormat="1" ht="17.7" hidden="1" customHeight="1" thickBot="1" x14ac:dyDescent="0.3">
      <c r="B145" s="8">
        <f>IF('Items sous domaines Maths '!H149=2,'Items sous domaines Maths '!B149,0)</f>
        <v>0</v>
      </c>
      <c r="C145" s="8" t="b">
        <f>IF('Items sous domaines Maths '!H149=2,'Items sous domaines Maths '!C149)</f>
        <v>0</v>
      </c>
      <c r="D145" s="8">
        <f>IF('Items sous domaines Maths '!H149=2,'Items sous domaines Maths '!D149,0)</f>
        <v>0</v>
      </c>
      <c r="E145" s="8">
        <f>IF('Items sous domaines Maths '!H149=2,'Items sous domaines Maths '!E149,0)</f>
        <v>0</v>
      </c>
      <c r="F145" s="9">
        <f>IF('Items sous domaines Maths '!H149=2,'Items sous domaines Maths '!F149,0)</f>
        <v>0</v>
      </c>
      <c r="G145">
        <f>IF('Items sous domaines Maths '!H149=2,'Items sous domaines Maths '!G149,0)</f>
        <v>0</v>
      </c>
    </row>
    <row r="146" spans="1:7" customFormat="1" ht="17.7" hidden="1" customHeight="1" thickBot="1" x14ac:dyDescent="0.3">
      <c r="B146" s="8">
        <f>IF('Items sous domaines Maths '!H150=2,'Items sous domaines Maths '!B150,0)</f>
        <v>0</v>
      </c>
      <c r="C146" s="8" t="b">
        <f>IF('Items sous domaines Maths '!H150=2,'Items sous domaines Maths '!C150)</f>
        <v>0</v>
      </c>
      <c r="D146" s="8">
        <f>IF('Items sous domaines Maths '!H150=2,'Items sous domaines Maths '!D150,0)</f>
        <v>0</v>
      </c>
      <c r="E146" s="8">
        <f>IF('Items sous domaines Maths '!H150=2,'Items sous domaines Maths '!E150,0)</f>
        <v>0</v>
      </c>
      <c r="F146" s="9">
        <f>IF('Items sous domaines Maths '!H150=2,'Items sous domaines Maths '!F150,0)</f>
        <v>0</v>
      </c>
      <c r="G146">
        <f>IF('Items sous domaines Maths '!H150=2,'Items sous domaines Maths '!G150,0)</f>
        <v>0</v>
      </c>
    </row>
    <row r="147" spans="1:7" customFormat="1" ht="17.7" hidden="1" customHeight="1" thickBot="1" x14ac:dyDescent="0.3">
      <c r="B147" s="8">
        <f>IF('Items sous domaines Maths '!H151=2,'Items sous domaines Maths '!B151,0)</f>
        <v>0</v>
      </c>
      <c r="C147" s="8" t="b">
        <f>IF('Items sous domaines Maths '!H151=2,'Items sous domaines Maths '!C151)</f>
        <v>0</v>
      </c>
      <c r="D147" s="8">
        <f>IF('Items sous domaines Maths '!H151=2,'Items sous domaines Maths '!D151,0)</f>
        <v>0</v>
      </c>
      <c r="E147" s="8">
        <f>IF('Items sous domaines Maths '!H151=2,'Items sous domaines Maths '!E151,0)</f>
        <v>0</v>
      </c>
      <c r="F147" s="9">
        <f>IF('Items sous domaines Maths '!H151=2,'Items sous domaines Maths '!F151,0)</f>
        <v>0</v>
      </c>
      <c r="G147">
        <f>IF('Items sous domaines Maths '!H151=2,'Items sous domaines Maths '!G151,0)</f>
        <v>0</v>
      </c>
    </row>
    <row r="148" spans="1:7" customFormat="1" ht="17.7" hidden="1" customHeight="1" thickBot="1" x14ac:dyDescent="0.3">
      <c r="B148" s="8">
        <f>IF('Items sous domaines Maths '!H152=2,'Items sous domaines Maths '!B152,0)</f>
        <v>0</v>
      </c>
      <c r="C148" s="8" t="b">
        <f>IF('Items sous domaines Maths '!H152=2,'Items sous domaines Maths '!C152)</f>
        <v>0</v>
      </c>
      <c r="D148" s="8">
        <f>IF('Items sous domaines Maths '!H152=2,'Items sous domaines Maths '!D152,0)</f>
        <v>0</v>
      </c>
      <c r="E148" s="8">
        <f>IF('Items sous domaines Maths '!H152=2,'Items sous domaines Maths '!E152,0)</f>
        <v>0</v>
      </c>
      <c r="F148" s="9">
        <f>IF('Items sous domaines Maths '!H152=2,'Items sous domaines Maths '!F152,0)</f>
        <v>0</v>
      </c>
      <c r="G148">
        <f>IF('Items sous domaines Maths '!H152=2,'Items sous domaines Maths '!G152,0)</f>
        <v>0</v>
      </c>
    </row>
    <row r="149" spans="1:7" customFormat="1" ht="17.7" hidden="1" customHeight="1" thickBot="1" x14ac:dyDescent="0.3">
      <c r="B149" s="8">
        <f>IF('Items sous domaines Maths '!H153=2,'Items sous domaines Maths '!B153,0)</f>
        <v>0</v>
      </c>
      <c r="C149" s="8" t="b">
        <f>IF('Items sous domaines Maths '!H153=2,'Items sous domaines Maths '!C153)</f>
        <v>0</v>
      </c>
      <c r="D149" s="8">
        <f>IF('Items sous domaines Maths '!H153=2,'Items sous domaines Maths '!D153,0)</f>
        <v>0</v>
      </c>
      <c r="E149" s="8">
        <f>IF('Items sous domaines Maths '!H153=2,'Items sous domaines Maths '!E153,0)</f>
        <v>0</v>
      </c>
      <c r="F149" s="9">
        <f>IF('Items sous domaines Maths '!H153=2,'Items sous domaines Maths '!F153,0)</f>
        <v>0</v>
      </c>
      <c r="G149">
        <f>IF('Items sous domaines Maths '!H153=2,'Items sous domaines Maths '!G153,0)</f>
        <v>0</v>
      </c>
    </row>
    <row r="150" spans="1:7" customFormat="1" ht="17.7" hidden="1" customHeight="1" thickBot="1" x14ac:dyDescent="0.3">
      <c r="B150" s="8">
        <f>IF('Items sous domaines Maths '!H154=2,'Items sous domaines Maths '!B154,0)</f>
        <v>0</v>
      </c>
      <c r="C150" s="8" t="b">
        <f>IF('Items sous domaines Maths '!H154=2,'Items sous domaines Maths '!C154)</f>
        <v>0</v>
      </c>
      <c r="D150" s="8">
        <f>IF('Items sous domaines Maths '!H154=2,'Items sous domaines Maths '!D154,0)</f>
        <v>0</v>
      </c>
      <c r="E150" s="8">
        <f>IF('Items sous domaines Maths '!H154=2,'Items sous domaines Maths '!E154,0)</f>
        <v>0</v>
      </c>
      <c r="F150" s="9">
        <f>IF('Items sous domaines Maths '!H154=2,'Items sous domaines Maths '!F154,0)</f>
        <v>0</v>
      </c>
      <c r="G150">
        <f>IF('Items sous domaines Maths '!H154=2,'Items sous domaines Maths '!G154,0)</f>
        <v>0</v>
      </c>
    </row>
    <row r="151" spans="1:7" customFormat="1" ht="17.7" hidden="1" customHeight="1" thickBot="1" x14ac:dyDescent="0.3">
      <c r="B151" s="8">
        <f>IF('Items sous domaines Maths '!H155=2,'Items sous domaines Maths '!B155,0)</f>
        <v>0</v>
      </c>
      <c r="C151" s="8" t="b">
        <f>IF('Items sous domaines Maths '!H155=2,'Items sous domaines Maths '!C155)</f>
        <v>0</v>
      </c>
      <c r="D151" s="8">
        <f>IF('Items sous domaines Maths '!H155=2,'Items sous domaines Maths '!D155,0)</f>
        <v>0</v>
      </c>
      <c r="E151" s="8">
        <f>IF('Items sous domaines Maths '!H155=2,'Items sous domaines Maths '!E155,0)</f>
        <v>0</v>
      </c>
      <c r="F151" s="9">
        <f>IF('Items sous domaines Maths '!H155=2,'Items sous domaines Maths '!F155,0)</f>
        <v>0</v>
      </c>
      <c r="G151">
        <f>IF('Items sous domaines Maths '!H155=2,'Items sous domaines Maths '!G155,0)</f>
        <v>0</v>
      </c>
    </row>
    <row r="152" spans="1:7" customFormat="1" ht="17.7" hidden="1" customHeight="1" thickBot="1" x14ac:dyDescent="0.3">
      <c r="B152" s="8">
        <f>IF('Items sous domaines Maths '!H156=2,'Items sous domaines Maths '!B156,0)</f>
        <v>0</v>
      </c>
      <c r="C152" s="8" t="b">
        <f>IF('Items sous domaines Maths '!H156=2,'Items sous domaines Maths '!C156)</f>
        <v>0</v>
      </c>
      <c r="D152" s="8">
        <f>IF('Items sous domaines Maths '!H156=2,'Items sous domaines Maths '!D156,0)</f>
        <v>0</v>
      </c>
      <c r="E152" s="8">
        <f>IF('Items sous domaines Maths '!H156=2,'Items sous domaines Maths '!E156,0)</f>
        <v>0</v>
      </c>
      <c r="F152" s="9">
        <f>IF('Items sous domaines Maths '!H156=2,'Items sous domaines Maths '!F156,0)</f>
        <v>0</v>
      </c>
      <c r="G152">
        <f>IF('Items sous domaines Maths '!H156=2,'Items sous domaines Maths '!G156,0)</f>
        <v>0</v>
      </c>
    </row>
    <row r="153" spans="1:7" customFormat="1" ht="17.7" hidden="1" customHeight="1" thickBot="1" x14ac:dyDescent="0.3">
      <c r="B153" s="8">
        <f>IF('Items sous domaines Maths '!H157=2,'Items sous domaines Maths '!B157,0)</f>
        <v>0</v>
      </c>
      <c r="C153" s="8" t="b">
        <f>IF('Items sous domaines Maths '!H157=2,'Items sous domaines Maths '!C157)</f>
        <v>0</v>
      </c>
      <c r="D153" s="8">
        <f>IF('Items sous domaines Maths '!H157=2,'Items sous domaines Maths '!D157,0)</f>
        <v>0</v>
      </c>
      <c r="E153" s="8">
        <f>IF('Items sous domaines Maths '!H157=2,'Items sous domaines Maths '!E157,0)</f>
        <v>0</v>
      </c>
      <c r="F153" s="9">
        <f>IF('Items sous domaines Maths '!H157=2,'Items sous domaines Maths '!F157,0)</f>
        <v>0</v>
      </c>
      <c r="G153">
        <f>IF('Items sous domaines Maths '!H157=2,'Items sous domaines Maths '!G157,0)</f>
        <v>0</v>
      </c>
    </row>
    <row r="154" spans="1:7" customFormat="1" ht="17.7" hidden="1" customHeight="1" thickBot="1" x14ac:dyDescent="0.3">
      <c r="A154" s="633" t="s">
        <v>422</v>
      </c>
      <c r="B154" s="8">
        <f>IF('Items sous domaines Maths '!H158=2,'Items sous domaines Maths '!B158,0)</f>
        <v>0</v>
      </c>
      <c r="C154" s="8" t="b">
        <f>IF('Items sous domaines Maths '!H158=2,'Items sous domaines Maths '!C158)</f>
        <v>0</v>
      </c>
      <c r="D154" s="8">
        <f>IF('Items sous domaines Maths '!H158=2,'Items sous domaines Maths '!D158,0)</f>
        <v>0</v>
      </c>
      <c r="E154" s="8">
        <f>IF('Items sous domaines Maths '!H158=2,'Items sous domaines Maths '!E158,0)</f>
        <v>0</v>
      </c>
      <c r="F154" s="9">
        <f>IF('Items sous domaines Maths '!H158=2,'Items sous domaines Maths '!F158,0)</f>
        <v>0</v>
      </c>
      <c r="G154">
        <f>IF('Items sous domaines Maths '!H158=2,'Items sous domaines Maths '!G158,0)</f>
        <v>0</v>
      </c>
    </row>
    <row r="155" spans="1:7" customFormat="1" ht="17.7" hidden="1" customHeight="1" thickBot="1" x14ac:dyDescent="0.3">
      <c r="A155" s="627"/>
      <c r="B155" s="8">
        <f>IF('Items sous domaines Maths '!H159=2,'Items sous domaines Maths '!B159,0)</f>
        <v>0</v>
      </c>
      <c r="C155" s="8" t="b">
        <f>IF('Items sous domaines Maths '!H159=2,'Items sous domaines Maths '!C159)</f>
        <v>0</v>
      </c>
      <c r="D155" s="8">
        <f>IF('Items sous domaines Maths '!H159=2,'Items sous domaines Maths '!D159,0)</f>
        <v>0</v>
      </c>
      <c r="E155" s="8">
        <f>IF('Items sous domaines Maths '!H159=2,'Items sous domaines Maths '!E159,0)</f>
        <v>0</v>
      </c>
      <c r="F155" s="9">
        <f>IF('Items sous domaines Maths '!H159=2,'Items sous domaines Maths '!F159,0)</f>
        <v>0</v>
      </c>
      <c r="G155">
        <f>IF('Items sous domaines Maths '!H159=2,'Items sous domaines Maths '!G159,0)</f>
        <v>0</v>
      </c>
    </row>
    <row r="156" spans="1:7" customFormat="1" ht="17.7" hidden="1" customHeight="1" thickBot="1" x14ac:dyDescent="0.3">
      <c r="A156" s="627"/>
      <c r="B156" s="8">
        <f>IF('Items sous domaines Maths '!H160=2,'Items sous domaines Maths '!B160,0)</f>
        <v>0</v>
      </c>
      <c r="C156" s="8" t="b">
        <f>IF('Items sous domaines Maths '!H160=2,'Items sous domaines Maths '!C160)</f>
        <v>0</v>
      </c>
      <c r="D156" s="8">
        <f>IF('Items sous domaines Maths '!H160=2,'Items sous domaines Maths '!D160,0)</f>
        <v>0</v>
      </c>
      <c r="E156" s="8">
        <f>IF('Items sous domaines Maths '!H160=2,'Items sous domaines Maths '!E160,0)</f>
        <v>0</v>
      </c>
      <c r="F156" s="9">
        <f>IF('Items sous domaines Maths '!H160=2,'Items sous domaines Maths '!F160,0)</f>
        <v>0</v>
      </c>
      <c r="G156">
        <f>IF('Items sous domaines Maths '!H160=2,'Items sous domaines Maths '!G160,0)</f>
        <v>0</v>
      </c>
    </row>
    <row r="157" spans="1:7" customFormat="1" ht="17.7" hidden="1" customHeight="1" thickBot="1" x14ac:dyDescent="0.3">
      <c r="A157" s="627"/>
      <c r="B157" s="8">
        <f>IF('Items sous domaines Maths '!H161=2,'Items sous domaines Maths '!B161,0)</f>
        <v>0</v>
      </c>
      <c r="C157" s="8" t="b">
        <f>IF('Items sous domaines Maths '!H161=2,'Items sous domaines Maths '!C161)</f>
        <v>0</v>
      </c>
      <c r="D157" s="8">
        <f>IF('Items sous domaines Maths '!H161=2,'Items sous domaines Maths '!D161,0)</f>
        <v>0</v>
      </c>
      <c r="E157" s="8">
        <f>IF('Items sous domaines Maths '!H161=2,'Items sous domaines Maths '!E161,0)</f>
        <v>0</v>
      </c>
      <c r="F157" s="9">
        <f>IF('Items sous domaines Maths '!H161=2,'Items sous domaines Maths '!F161,0)</f>
        <v>0</v>
      </c>
      <c r="G157">
        <f>IF('Items sous domaines Maths '!H161=2,'Items sous domaines Maths '!G161,0)</f>
        <v>0</v>
      </c>
    </row>
    <row r="158" spans="1:7" customFormat="1" ht="17.7" hidden="1" customHeight="1" thickBot="1" x14ac:dyDescent="0.3">
      <c r="A158" s="627"/>
      <c r="B158" s="8">
        <f>IF('Items sous domaines Maths '!H162=2,'Items sous domaines Maths '!B162,0)</f>
        <v>0</v>
      </c>
      <c r="C158" s="8" t="b">
        <f>IF('Items sous domaines Maths '!H162=2,'Items sous domaines Maths '!C162)</f>
        <v>0</v>
      </c>
      <c r="D158" s="8">
        <f>IF('Items sous domaines Maths '!H162=2,'Items sous domaines Maths '!D162,0)</f>
        <v>0</v>
      </c>
      <c r="E158" s="8">
        <f>IF('Items sous domaines Maths '!H162=2,'Items sous domaines Maths '!E162,0)</f>
        <v>0</v>
      </c>
      <c r="F158" s="9">
        <f>IF('Items sous domaines Maths '!H162=2,'Items sous domaines Maths '!F162,0)</f>
        <v>0</v>
      </c>
      <c r="G158">
        <f>IF('Items sous domaines Maths '!H162=2,'Items sous domaines Maths '!G162,0)</f>
        <v>0</v>
      </c>
    </row>
    <row r="159" spans="1:7" customFormat="1" ht="17.7" hidden="1" customHeight="1" thickBot="1" x14ac:dyDescent="0.3">
      <c r="A159" s="627"/>
      <c r="B159" s="8">
        <f>IF('Items sous domaines Maths '!H163=2,'Items sous domaines Maths '!B163,0)</f>
        <v>0</v>
      </c>
      <c r="C159" s="8" t="b">
        <f>IF('Items sous domaines Maths '!H163=2,'Items sous domaines Maths '!C163)</f>
        <v>0</v>
      </c>
      <c r="D159" s="8">
        <f>IF('Items sous domaines Maths '!H163=2,'Items sous domaines Maths '!D163,0)</f>
        <v>0</v>
      </c>
      <c r="E159" s="8">
        <f>IF('Items sous domaines Maths '!H163=2,'Items sous domaines Maths '!E163,0)</f>
        <v>0</v>
      </c>
      <c r="F159" s="9">
        <f>IF('Items sous domaines Maths '!H163=2,'Items sous domaines Maths '!F163,0)</f>
        <v>0</v>
      </c>
      <c r="G159">
        <f>IF('Items sous domaines Maths '!H163=2,'Items sous domaines Maths '!G163,0)</f>
        <v>0</v>
      </c>
    </row>
    <row r="160" spans="1:7" customFormat="1" ht="17.7" hidden="1" customHeight="1" thickBot="1" x14ac:dyDescent="0.3">
      <c r="A160" s="627"/>
      <c r="B160" s="8">
        <f>IF('Items sous domaines Maths '!H164=2,'Items sous domaines Maths '!B164,0)</f>
        <v>0</v>
      </c>
      <c r="C160" s="8" t="b">
        <f>IF('Items sous domaines Maths '!H164=2,'Items sous domaines Maths '!C164)</f>
        <v>0</v>
      </c>
      <c r="D160" s="8">
        <f>IF('Items sous domaines Maths '!H164=2,'Items sous domaines Maths '!D164,0)</f>
        <v>0</v>
      </c>
      <c r="E160" s="8">
        <f>IF('Items sous domaines Maths '!H164=2,'Items sous domaines Maths '!E164,0)</f>
        <v>0</v>
      </c>
      <c r="F160" s="9">
        <f>IF('Items sous domaines Maths '!H164=2,'Items sous domaines Maths '!F164,0)</f>
        <v>0</v>
      </c>
      <c r="G160">
        <f>IF('Items sous domaines Maths '!H164=2,'Items sous domaines Maths '!G164,0)</f>
        <v>0</v>
      </c>
    </row>
    <row r="161" spans="1:7" customFormat="1" ht="17.7" hidden="1" customHeight="1" thickBot="1" x14ac:dyDescent="0.3">
      <c r="A161" s="627"/>
      <c r="B161" s="8">
        <f>IF('Items sous domaines Maths '!H165=2,'Items sous domaines Maths '!B165,0)</f>
        <v>0</v>
      </c>
      <c r="C161" s="8" t="b">
        <f>IF('Items sous domaines Maths '!H165=2,'Items sous domaines Maths '!C165)</f>
        <v>0</v>
      </c>
      <c r="D161" s="8">
        <f>IF('Items sous domaines Maths '!H165=2,'Items sous domaines Maths '!D165,0)</f>
        <v>0</v>
      </c>
      <c r="E161" s="8">
        <f>IF('Items sous domaines Maths '!H165=2,'Items sous domaines Maths '!E165,0)</f>
        <v>0</v>
      </c>
      <c r="F161" s="9">
        <f>IF('Items sous domaines Maths '!H165=2,'Items sous domaines Maths '!F165,0)</f>
        <v>0</v>
      </c>
      <c r="G161">
        <f>IF('Items sous domaines Maths '!H165=2,'Items sous domaines Maths '!G165,0)</f>
        <v>0</v>
      </c>
    </row>
    <row r="162" spans="1:7" customFormat="1" ht="17.7" hidden="1" customHeight="1" thickBot="1" x14ac:dyDescent="0.3">
      <c r="A162" s="627"/>
      <c r="B162" s="8">
        <f>IF('Items sous domaines Maths '!H166=2,'Items sous domaines Maths '!B166,0)</f>
        <v>0</v>
      </c>
      <c r="C162" s="8" t="b">
        <f>IF('Items sous domaines Maths '!H166=2,'Items sous domaines Maths '!C166)</f>
        <v>0</v>
      </c>
      <c r="D162" s="8">
        <f>IF('Items sous domaines Maths '!H166=2,'Items sous domaines Maths '!D166,0)</f>
        <v>0</v>
      </c>
      <c r="E162" s="8">
        <f>IF('Items sous domaines Maths '!H166=2,'Items sous domaines Maths '!E166,0)</f>
        <v>0</v>
      </c>
      <c r="F162" s="9">
        <f>IF('Items sous domaines Maths '!H166=2,'Items sous domaines Maths '!F166,0)</f>
        <v>0</v>
      </c>
      <c r="G162">
        <f>IF('Items sous domaines Maths '!H166=2,'Items sous domaines Maths '!G166,0)</f>
        <v>0</v>
      </c>
    </row>
    <row r="163" spans="1:7" customFormat="1" ht="17.7" hidden="1" customHeight="1" thickBot="1" x14ac:dyDescent="0.3">
      <c r="A163" s="627"/>
      <c r="B163" s="8">
        <f>IF('Items sous domaines Maths '!H167=2,'Items sous domaines Maths '!B167,0)</f>
        <v>0</v>
      </c>
      <c r="C163" s="8" t="b">
        <f>IF('Items sous domaines Maths '!H167=2,'Items sous domaines Maths '!C167)</f>
        <v>0</v>
      </c>
      <c r="D163" s="8">
        <f>IF('Items sous domaines Maths '!H167=2,'Items sous domaines Maths '!D167,0)</f>
        <v>0</v>
      </c>
      <c r="E163" s="8">
        <f>IF('Items sous domaines Maths '!H167=2,'Items sous domaines Maths '!E167,0)</f>
        <v>0</v>
      </c>
      <c r="F163" s="9">
        <f>IF('Items sous domaines Maths '!H167=2,'Items sous domaines Maths '!F167,0)</f>
        <v>0</v>
      </c>
      <c r="G163">
        <f>IF('Items sous domaines Maths '!H167=2,'Items sous domaines Maths '!G167,0)</f>
        <v>0</v>
      </c>
    </row>
    <row r="164" spans="1:7" customFormat="1" ht="17.7" hidden="1" customHeight="1" thickBot="1" x14ac:dyDescent="0.3">
      <c r="A164" s="627"/>
      <c r="B164" s="8">
        <f>IF('Items sous domaines Maths '!H168=2,'Items sous domaines Maths '!B168,0)</f>
        <v>0</v>
      </c>
      <c r="C164" s="8" t="b">
        <f>IF('Items sous domaines Maths '!H168=2,'Items sous domaines Maths '!C168)</f>
        <v>0</v>
      </c>
      <c r="D164" s="8">
        <f>IF('Items sous domaines Maths '!H168=2,'Items sous domaines Maths '!D168,0)</f>
        <v>0</v>
      </c>
      <c r="E164" s="8">
        <f>IF('Items sous domaines Maths '!H168=2,'Items sous domaines Maths '!E168,0)</f>
        <v>0</v>
      </c>
      <c r="F164" s="9">
        <f>IF('Items sous domaines Maths '!H168=2,'Items sous domaines Maths '!F168,0)</f>
        <v>0</v>
      </c>
      <c r="G164">
        <f>IF('Items sous domaines Maths '!H168=2,'Items sous domaines Maths '!G168,0)</f>
        <v>0</v>
      </c>
    </row>
    <row r="165" spans="1:7" customFormat="1" ht="17.7" hidden="1" customHeight="1" thickBot="1" x14ac:dyDescent="0.3">
      <c r="A165" s="627"/>
      <c r="B165" s="8">
        <f>IF('Items sous domaines Maths '!H169=2,'Items sous domaines Maths '!B169,0)</f>
        <v>0</v>
      </c>
      <c r="C165" s="8" t="b">
        <f>IF('Items sous domaines Maths '!H169=2,'Items sous domaines Maths '!C169)</f>
        <v>0</v>
      </c>
      <c r="D165" s="8">
        <f>IF('Items sous domaines Maths '!H169=2,'Items sous domaines Maths '!D169,0)</f>
        <v>0</v>
      </c>
      <c r="E165" s="8">
        <f>IF('Items sous domaines Maths '!H169=2,'Items sous domaines Maths '!E169,0)</f>
        <v>0</v>
      </c>
      <c r="F165" s="9">
        <f>IF('Items sous domaines Maths '!H169=2,'Items sous domaines Maths '!F169,0)</f>
        <v>0</v>
      </c>
      <c r="G165">
        <f>IF('Items sous domaines Maths '!H169=2,'Items sous domaines Maths '!G169,0)</f>
        <v>0</v>
      </c>
    </row>
    <row r="166" spans="1:7" customFormat="1" ht="17.7" hidden="1" customHeight="1" thickBot="1" x14ac:dyDescent="0.3">
      <c r="A166" s="627"/>
      <c r="B166" s="8">
        <f>IF('Items sous domaines Maths '!H170=2,'Items sous domaines Maths '!B170,0)</f>
        <v>0</v>
      </c>
      <c r="C166" s="8" t="b">
        <f>IF('Items sous domaines Maths '!H170=2,'Items sous domaines Maths '!C170)</f>
        <v>0</v>
      </c>
      <c r="D166" s="8">
        <f>IF('Items sous domaines Maths '!H170=2,'Items sous domaines Maths '!D170,0)</f>
        <v>0</v>
      </c>
      <c r="E166" s="8">
        <f>IF('Items sous domaines Maths '!H170=2,'Items sous domaines Maths '!E170,0)</f>
        <v>0</v>
      </c>
      <c r="F166" s="9">
        <f>IF('Items sous domaines Maths '!H170=2,'Items sous domaines Maths '!F170,0)</f>
        <v>0</v>
      </c>
      <c r="G166">
        <f>IF('Items sous domaines Maths '!H170=2,'Items sous domaines Maths '!G170,0)</f>
        <v>0</v>
      </c>
    </row>
    <row r="167" spans="1:7" customFormat="1" ht="17.7" hidden="1" customHeight="1" thickBot="1" x14ac:dyDescent="0.3">
      <c r="A167" s="627"/>
      <c r="B167" s="8">
        <f>IF('Items sous domaines Maths '!H171=2,'Items sous domaines Maths '!B171,0)</f>
        <v>0</v>
      </c>
      <c r="C167" s="8" t="b">
        <f>IF('Items sous domaines Maths '!H171=2,'Items sous domaines Maths '!C171)</f>
        <v>0</v>
      </c>
      <c r="D167" s="8">
        <f>IF('Items sous domaines Maths '!H171=2,'Items sous domaines Maths '!D171,0)</f>
        <v>0</v>
      </c>
      <c r="E167" s="8">
        <f>IF('Items sous domaines Maths '!H171=2,'Items sous domaines Maths '!E171,0)</f>
        <v>0</v>
      </c>
      <c r="F167" s="9">
        <f>IF('Items sous domaines Maths '!H171=2,'Items sous domaines Maths '!F171,0)</f>
        <v>0</v>
      </c>
      <c r="G167">
        <f>IF('Items sous domaines Maths '!H171=2,'Items sous domaines Maths '!G171,0)</f>
        <v>0</v>
      </c>
    </row>
    <row r="168" spans="1:7" customFormat="1" ht="17.7" hidden="1" customHeight="1" thickBot="1" x14ac:dyDescent="0.3">
      <c r="A168" s="627"/>
      <c r="B168" s="8">
        <f>IF('Items sous domaines Maths '!H172=2,'Items sous domaines Maths '!B172,0)</f>
        <v>0</v>
      </c>
      <c r="C168" s="8" t="b">
        <f>IF('Items sous domaines Maths '!H172=2,'Items sous domaines Maths '!C172)</f>
        <v>0</v>
      </c>
      <c r="D168" s="8">
        <f>IF('Items sous domaines Maths '!H172=2,'Items sous domaines Maths '!D172,0)</f>
        <v>0</v>
      </c>
      <c r="E168" s="8">
        <f>IF('Items sous domaines Maths '!H172=2,'Items sous domaines Maths '!E172,0)</f>
        <v>0</v>
      </c>
      <c r="F168" s="9">
        <f>IF('Items sous domaines Maths '!H172=2,'Items sous domaines Maths '!F172,0)</f>
        <v>0</v>
      </c>
      <c r="G168">
        <f>IF('Items sous domaines Maths '!H172=2,'Items sous domaines Maths '!G172,0)</f>
        <v>0</v>
      </c>
    </row>
    <row r="169" spans="1:7" customFormat="1" ht="17.7" hidden="1" customHeight="1" thickBot="1" x14ac:dyDescent="0.3">
      <c r="A169" s="627"/>
      <c r="B169" s="8">
        <f>IF('Items sous domaines Maths '!H173=2,'Items sous domaines Maths '!B173,0)</f>
        <v>0</v>
      </c>
      <c r="C169" s="8" t="b">
        <f>IF('Items sous domaines Maths '!H173=2,'Items sous domaines Maths '!C173)</f>
        <v>0</v>
      </c>
      <c r="D169" s="8">
        <f>IF('Items sous domaines Maths '!H173=2,'Items sous domaines Maths '!D173,0)</f>
        <v>0</v>
      </c>
      <c r="E169" s="8">
        <f>IF('Items sous domaines Maths '!H173=2,'Items sous domaines Maths '!E173,0)</f>
        <v>0</v>
      </c>
      <c r="F169" s="9">
        <f>IF('Items sous domaines Maths '!H173=2,'Items sous domaines Maths '!F173,0)</f>
        <v>0</v>
      </c>
      <c r="G169">
        <f>IF('Items sous domaines Maths '!H173=2,'Items sous domaines Maths '!G173,0)</f>
        <v>0</v>
      </c>
    </row>
    <row r="170" spans="1:7" customFormat="1" ht="17.7" hidden="1" customHeight="1" thickBot="1" x14ac:dyDescent="0.3">
      <c r="A170" s="627"/>
      <c r="B170" s="8">
        <f>IF('Items sous domaines Maths '!H174=2,'Items sous domaines Maths '!B174,0)</f>
        <v>0</v>
      </c>
      <c r="C170" s="8" t="b">
        <f>IF('Items sous domaines Maths '!H174=2,'Items sous domaines Maths '!C174)</f>
        <v>0</v>
      </c>
      <c r="D170" s="8">
        <f>IF('Items sous domaines Maths '!H174=2,'Items sous domaines Maths '!D174,0)</f>
        <v>0</v>
      </c>
      <c r="E170" s="8">
        <f>IF('Items sous domaines Maths '!H174=2,'Items sous domaines Maths '!E174,0)</f>
        <v>0</v>
      </c>
      <c r="F170" s="9">
        <f>IF('Items sous domaines Maths '!H174=2,'Items sous domaines Maths '!F174,0)</f>
        <v>0</v>
      </c>
      <c r="G170">
        <f>IF('Items sous domaines Maths '!H174=2,'Items sous domaines Maths '!G174,0)</f>
        <v>0</v>
      </c>
    </row>
    <row r="171" spans="1:7" customFormat="1" ht="17.7" hidden="1" customHeight="1" thickBot="1" x14ac:dyDescent="0.3">
      <c r="A171" s="627"/>
      <c r="B171" s="8">
        <f>IF('Items sous domaines Maths '!H175=2,'Items sous domaines Maths '!B175,0)</f>
        <v>0</v>
      </c>
      <c r="C171" s="8" t="b">
        <f>IF('Items sous domaines Maths '!H175=2,'Items sous domaines Maths '!C175)</f>
        <v>0</v>
      </c>
      <c r="D171" s="8">
        <f>IF('Items sous domaines Maths '!H175=2,'Items sous domaines Maths '!D175,0)</f>
        <v>0</v>
      </c>
      <c r="E171" s="8">
        <f>IF('Items sous domaines Maths '!H175=2,'Items sous domaines Maths '!E175,0)</f>
        <v>0</v>
      </c>
      <c r="F171" s="9">
        <f>IF('Items sous domaines Maths '!H175=2,'Items sous domaines Maths '!F175,0)</f>
        <v>0</v>
      </c>
      <c r="G171">
        <f>IF('Items sous domaines Maths '!H175=2,'Items sous domaines Maths '!G175,0)</f>
        <v>0</v>
      </c>
    </row>
    <row r="172" spans="1:7" customFormat="1" ht="17.7" hidden="1" customHeight="1" thickBot="1" x14ac:dyDescent="0.3">
      <c r="A172" s="627"/>
      <c r="B172" s="8">
        <f>IF('Items sous domaines Maths '!H176=2,'Items sous domaines Maths '!B176,0)</f>
        <v>0</v>
      </c>
      <c r="C172" s="8" t="b">
        <f>IF('Items sous domaines Maths '!H176=2,'Items sous domaines Maths '!C176)</f>
        <v>0</v>
      </c>
      <c r="D172" s="8">
        <f>IF('Items sous domaines Maths '!H176=2,'Items sous domaines Maths '!D176,0)</f>
        <v>0</v>
      </c>
      <c r="E172" s="8">
        <f>IF('Items sous domaines Maths '!H176=2,'Items sous domaines Maths '!E176,0)</f>
        <v>0</v>
      </c>
      <c r="F172" s="9">
        <f>IF('Items sous domaines Maths '!H176=2,'Items sous domaines Maths '!F176,0)</f>
        <v>0</v>
      </c>
      <c r="G172">
        <f>IF('Items sous domaines Maths '!H176=2,'Items sous domaines Maths '!G176,0)</f>
        <v>0</v>
      </c>
    </row>
    <row r="173" spans="1:7" customFormat="1" ht="17.7" hidden="1" customHeight="1" thickBot="1" x14ac:dyDescent="0.3">
      <c r="A173" s="627"/>
      <c r="B173" s="8">
        <f>IF('Items sous domaines Maths '!H177=2,'Items sous domaines Maths '!B177,0)</f>
        <v>0</v>
      </c>
      <c r="C173" s="8" t="b">
        <f>IF('Items sous domaines Maths '!H177=2,'Items sous domaines Maths '!C177)</f>
        <v>0</v>
      </c>
      <c r="D173" s="8">
        <f>IF('Items sous domaines Maths '!H177=2,'Items sous domaines Maths '!D177,0)</f>
        <v>0</v>
      </c>
      <c r="E173" s="8">
        <f>IF('Items sous domaines Maths '!H177=2,'Items sous domaines Maths '!E177,0)</f>
        <v>0</v>
      </c>
      <c r="F173" s="9">
        <f>IF('Items sous domaines Maths '!H177=2,'Items sous domaines Maths '!F177,0)</f>
        <v>0</v>
      </c>
      <c r="G173">
        <f>IF('Items sous domaines Maths '!H177=2,'Items sous domaines Maths '!G177,0)</f>
        <v>0</v>
      </c>
    </row>
    <row r="174" spans="1:7" customFormat="1" ht="17.7" hidden="1" customHeight="1" thickBot="1" x14ac:dyDescent="0.3">
      <c r="A174" s="627"/>
      <c r="B174" s="8">
        <f>IF('Items sous domaines Maths '!H178=2,'Items sous domaines Maths '!B178,0)</f>
        <v>0</v>
      </c>
      <c r="C174" s="8" t="b">
        <f>IF('Items sous domaines Maths '!H178=2,'Items sous domaines Maths '!C178)</f>
        <v>0</v>
      </c>
      <c r="D174" s="8">
        <f>IF('Items sous domaines Maths '!H178=2,'Items sous domaines Maths '!D178,0)</f>
        <v>0</v>
      </c>
      <c r="E174" s="8">
        <f>IF('Items sous domaines Maths '!H178=2,'Items sous domaines Maths '!E178,0)</f>
        <v>0</v>
      </c>
      <c r="F174" s="9">
        <f>IF('Items sous domaines Maths '!H178=2,'Items sous domaines Maths '!F178,0)</f>
        <v>0</v>
      </c>
      <c r="G174">
        <f>IF('Items sous domaines Maths '!H178=2,'Items sous domaines Maths '!G178,0)</f>
        <v>0</v>
      </c>
    </row>
    <row r="175" spans="1:7" customFormat="1" ht="17.7" hidden="1" customHeight="1" thickBot="1" x14ac:dyDescent="0.3">
      <c r="A175" s="627"/>
      <c r="B175" s="8">
        <f>IF('Items sous domaines Maths '!H179=2,'Items sous domaines Maths '!B179,0)</f>
        <v>0</v>
      </c>
      <c r="C175" s="8" t="b">
        <f>IF('Items sous domaines Maths '!H179=2,'Items sous domaines Maths '!C179)</f>
        <v>0</v>
      </c>
      <c r="D175" s="8">
        <f>IF('Items sous domaines Maths '!H179=2,'Items sous domaines Maths '!D179,0)</f>
        <v>0</v>
      </c>
      <c r="E175" s="8">
        <f>IF('Items sous domaines Maths '!H179=2,'Items sous domaines Maths '!E179,0)</f>
        <v>0</v>
      </c>
      <c r="F175" s="9">
        <f>IF('Items sous domaines Maths '!H179=2,'Items sous domaines Maths '!F179,0)</f>
        <v>0</v>
      </c>
      <c r="G175">
        <f>IF('Items sous domaines Maths '!H179=2,'Items sous domaines Maths '!G179,0)</f>
        <v>0</v>
      </c>
    </row>
    <row r="176" spans="1:7" customFormat="1" ht="17.7" hidden="1" customHeight="1" thickBot="1" x14ac:dyDescent="0.3">
      <c r="A176" s="627"/>
      <c r="B176" s="8">
        <f>IF('Items sous domaines Maths '!H180=2,'Items sous domaines Maths '!B180,0)</f>
        <v>0</v>
      </c>
      <c r="C176" s="8" t="b">
        <f>IF('Items sous domaines Maths '!H180=2,'Items sous domaines Maths '!C180)</f>
        <v>0</v>
      </c>
      <c r="D176" s="8">
        <f>IF('Items sous domaines Maths '!H180=2,'Items sous domaines Maths '!D180,0)</f>
        <v>0</v>
      </c>
      <c r="E176" s="8">
        <f>IF('Items sous domaines Maths '!H180=2,'Items sous domaines Maths '!E180,0)</f>
        <v>0</v>
      </c>
      <c r="F176" s="9">
        <f>IF('Items sous domaines Maths '!H180=2,'Items sous domaines Maths '!F180,0)</f>
        <v>0</v>
      </c>
      <c r="G176">
        <f>IF('Items sous domaines Maths '!H180=2,'Items sous domaines Maths '!G180,0)</f>
        <v>0</v>
      </c>
    </row>
    <row r="177" spans="1:7" customFormat="1" ht="17.7" hidden="1" customHeight="1" thickBot="1" x14ac:dyDescent="0.3">
      <c r="A177" s="627"/>
      <c r="B177" s="8">
        <f>IF('Items sous domaines Maths '!H181=2,'Items sous domaines Maths '!B181,0)</f>
        <v>0</v>
      </c>
      <c r="C177" s="8" t="b">
        <f>IF('Items sous domaines Maths '!H181=2,'Items sous domaines Maths '!C181)</f>
        <v>0</v>
      </c>
      <c r="D177" s="8">
        <f>IF('Items sous domaines Maths '!H181=2,'Items sous domaines Maths '!D181,0)</f>
        <v>0</v>
      </c>
      <c r="E177" s="8">
        <f>IF('Items sous domaines Maths '!H181=2,'Items sous domaines Maths '!E181,0)</f>
        <v>0</v>
      </c>
      <c r="F177" s="9">
        <f>IF('Items sous domaines Maths '!H181=2,'Items sous domaines Maths '!F181,0)</f>
        <v>0</v>
      </c>
      <c r="G177">
        <f>IF('Items sous domaines Maths '!H181=2,'Items sous domaines Maths '!G181,0)</f>
        <v>0</v>
      </c>
    </row>
    <row r="178" spans="1:7" customFormat="1" ht="17.7" hidden="1" customHeight="1" thickBot="1" x14ac:dyDescent="0.3">
      <c r="A178" s="627"/>
      <c r="B178" s="8">
        <f>IF('Items sous domaines Maths '!H182=2,'Items sous domaines Maths '!B182,0)</f>
        <v>0</v>
      </c>
      <c r="C178" s="8" t="b">
        <f>IF('Items sous domaines Maths '!H182=2,'Items sous domaines Maths '!C182)</f>
        <v>0</v>
      </c>
      <c r="D178" s="8">
        <f>IF('Items sous domaines Maths '!H182=2,'Items sous domaines Maths '!D182,0)</f>
        <v>0</v>
      </c>
      <c r="E178" s="8">
        <f>IF('Items sous domaines Maths '!H182=2,'Items sous domaines Maths '!E182,0)</f>
        <v>0</v>
      </c>
      <c r="F178" s="9">
        <f>IF('Items sous domaines Maths '!H182=2,'Items sous domaines Maths '!F182,0)</f>
        <v>0</v>
      </c>
      <c r="G178">
        <f>IF('Items sous domaines Maths '!H182=2,'Items sous domaines Maths '!G182,0)</f>
        <v>0</v>
      </c>
    </row>
    <row r="179" spans="1:7" customFormat="1" ht="17.7" hidden="1" customHeight="1" thickBot="1" x14ac:dyDescent="0.3">
      <c r="A179" s="627"/>
      <c r="B179" s="8">
        <f>IF('Items sous domaines Maths '!H183=2,'Items sous domaines Maths '!B183,0)</f>
        <v>0</v>
      </c>
      <c r="C179" s="8" t="b">
        <f>IF('Items sous domaines Maths '!H183=2,'Items sous domaines Maths '!C183)</f>
        <v>0</v>
      </c>
      <c r="D179" s="8">
        <f>IF('Items sous domaines Maths '!H183=2,'Items sous domaines Maths '!D183,0)</f>
        <v>0</v>
      </c>
      <c r="E179" s="8">
        <f>IF('Items sous domaines Maths '!H183=2,'Items sous domaines Maths '!E183,0)</f>
        <v>0</v>
      </c>
      <c r="F179" s="9">
        <f>IF('Items sous domaines Maths '!H183=2,'Items sous domaines Maths '!F183,0)</f>
        <v>0</v>
      </c>
      <c r="G179">
        <f>IF('Items sous domaines Maths '!H183=2,'Items sous domaines Maths '!G183,0)</f>
        <v>0</v>
      </c>
    </row>
    <row r="180" spans="1:7" customFormat="1" ht="17.7" hidden="1" customHeight="1" thickBot="1" x14ac:dyDescent="0.3">
      <c r="A180" s="627"/>
      <c r="B180" s="8">
        <f>IF('Items sous domaines Maths '!H184=2,'Items sous domaines Maths '!B184,0)</f>
        <v>0</v>
      </c>
      <c r="C180" s="8" t="b">
        <f>IF('Items sous domaines Maths '!H184=2,'Items sous domaines Maths '!C184)</f>
        <v>0</v>
      </c>
      <c r="D180" s="8">
        <f>IF('Items sous domaines Maths '!H184=2,'Items sous domaines Maths '!D184,0)</f>
        <v>0</v>
      </c>
      <c r="E180" s="8">
        <f>IF('Items sous domaines Maths '!H184=2,'Items sous domaines Maths '!E184,0)</f>
        <v>0</v>
      </c>
      <c r="F180" s="9">
        <f>IF('Items sous domaines Maths '!H184=2,'Items sous domaines Maths '!F184,0)</f>
        <v>0</v>
      </c>
      <c r="G180">
        <f>IF('Items sous domaines Maths '!H184=2,'Items sous domaines Maths '!G184,0)</f>
        <v>0</v>
      </c>
    </row>
    <row r="181" spans="1:7" customFormat="1" ht="17.7" hidden="1" customHeight="1" thickBot="1" x14ac:dyDescent="0.3">
      <c r="A181" s="627"/>
      <c r="B181" s="8">
        <f>IF('Items sous domaines Maths '!H185=2,'Items sous domaines Maths '!B185,0)</f>
        <v>0</v>
      </c>
      <c r="C181" s="8" t="b">
        <f>IF('Items sous domaines Maths '!H185=2,'Items sous domaines Maths '!C185)</f>
        <v>0</v>
      </c>
      <c r="D181" s="8">
        <f>IF('Items sous domaines Maths '!H185=2,'Items sous domaines Maths '!D185,0)</f>
        <v>0</v>
      </c>
      <c r="E181" s="8">
        <f>IF('Items sous domaines Maths '!H185=2,'Items sous domaines Maths '!E185,0)</f>
        <v>0</v>
      </c>
      <c r="F181" s="9">
        <f>IF('Items sous domaines Maths '!H185=2,'Items sous domaines Maths '!F185,0)</f>
        <v>0</v>
      </c>
      <c r="G181">
        <f>IF('Items sous domaines Maths '!H185=2,'Items sous domaines Maths '!G185,0)</f>
        <v>0</v>
      </c>
    </row>
    <row r="182" spans="1:7" customFormat="1" ht="17.399999999999999" hidden="1" customHeight="1" thickBot="1" x14ac:dyDescent="0.3">
      <c r="A182" s="627"/>
      <c r="B182" s="8">
        <f>IF('Items sous domaines Maths '!H186=2,'Items sous domaines Maths '!B186,0)</f>
        <v>0</v>
      </c>
      <c r="C182" s="8" t="b">
        <f>IF('Items sous domaines Maths '!H186=2,'Items sous domaines Maths '!C186)</f>
        <v>0</v>
      </c>
      <c r="D182" s="8">
        <f>IF('Items sous domaines Maths '!H186=2,'Items sous domaines Maths '!D186,0)</f>
        <v>0</v>
      </c>
      <c r="E182" s="8">
        <f>IF('Items sous domaines Maths '!H186=2,'Items sous domaines Maths '!E186,0)</f>
        <v>0</v>
      </c>
      <c r="F182" s="9">
        <f>IF('Items sous domaines Maths '!H186=2,'Items sous domaines Maths '!F186,0)</f>
        <v>0</v>
      </c>
      <c r="G182">
        <f>IF('Items sous domaines Maths '!H186=2,'Items sous domaines Maths '!G186,0)</f>
        <v>0</v>
      </c>
    </row>
    <row r="183" spans="1:7" customFormat="1" ht="17.399999999999999" hidden="1" customHeight="1" thickBot="1" x14ac:dyDescent="0.3">
      <c r="A183" s="627"/>
      <c r="B183" s="8">
        <f>IF('Items sous domaines Maths '!H187=2,'Items sous domaines Maths '!B187,0)</f>
        <v>0</v>
      </c>
      <c r="C183" s="8" t="b">
        <f>IF('Items sous domaines Maths '!H187=2,'Items sous domaines Maths '!C187)</f>
        <v>0</v>
      </c>
      <c r="D183" s="8">
        <f>IF('Items sous domaines Maths '!H187=2,'Items sous domaines Maths '!D187,0)</f>
        <v>0</v>
      </c>
      <c r="E183" s="8">
        <f>IF('Items sous domaines Maths '!H187=2,'Items sous domaines Maths '!E187,0)</f>
        <v>0</v>
      </c>
      <c r="F183" s="9">
        <f>IF('Items sous domaines Maths '!H187=2,'Items sous domaines Maths '!F187,0)</f>
        <v>0</v>
      </c>
      <c r="G183">
        <f>IF('Items sous domaines Maths '!H187=2,'Items sous domaines Maths '!G187,0)</f>
        <v>0</v>
      </c>
    </row>
    <row r="184" spans="1:7" customFormat="1" ht="17.399999999999999" hidden="1" customHeight="1" thickBot="1" x14ac:dyDescent="0.3">
      <c r="A184" s="627"/>
      <c r="B184" s="8">
        <f>IF('Items sous domaines Maths '!H188=2,'Items sous domaines Maths '!B188,0)</f>
        <v>0</v>
      </c>
      <c r="C184" s="8" t="b">
        <f>IF('Items sous domaines Maths '!H188=2,'Items sous domaines Maths '!C188)</f>
        <v>0</v>
      </c>
      <c r="D184" s="8">
        <f>IF('Items sous domaines Maths '!H188=2,'Items sous domaines Maths '!D188,0)</f>
        <v>0</v>
      </c>
      <c r="E184" s="8">
        <f>IF('Items sous domaines Maths '!H188=2,'Items sous domaines Maths '!E188,0)</f>
        <v>0</v>
      </c>
      <c r="F184" s="9">
        <f>IF('Items sous domaines Maths '!H188=2,'Items sous domaines Maths '!F188,0)</f>
        <v>0</v>
      </c>
      <c r="G184">
        <f>IF('Items sous domaines Maths '!H188=2,'Items sous domaines Maths '!G188,0)</f>
        <v>0</v>
      </c>
    </row>
    <row r="185" spans="1:7" customFormat="1" ht="17.399999999999999" hidden="1" customHeight="1" thickBot="1" x14ac:dyDescent="0.3">
      <c r="A185" s="611"/>
      <c r="B185" s="8">
        <f>IF('Items sous domaines Maths '!H189=2,'Items sous domaines Maths '!B189,0)</f>
        <v>0</v>
      </c>
      <c r="C185" s="8" t="b">
        <f>IF('Items sous domaines Maths '!H189=2,'Items sous domaines Maths '!C189)</f>
        <v>0</v>
      </c>
      <c r="D185" s="8">
        <f>IF('Items sous domaines Maths '!H189=2,'Items sous domaines Maths '!D189,0)</f>
        <v>0</v>
      </c>
      <c r="E185" s="8">
        <f>IF('Items sous domaines Maths '!H189=2,'Items sous domaines Maths '!E189,0)</f>
        <v>0</v>
      </c>
      <c r="F185" s="9">
        <f>IF('Items sous domaines Maths '!H189=2,'Items sous domaines Maths '!F189,0)</f>
        <v>0</v>
      </c>
      <c r="G185">
        <f>IF('Items sous domaines Maths '!H189=2,'Items sous domaines Maths '!G189,0)</f>
        <v>0</v>
      </c>
    </row>
    <row r="186" spans="1:7" customFormat="1" ht="17.399999999999999" hidden="1" customHeight="1" thickBot="1" x14ac:dyDescent="0.3">
      <c r="B186" s="8">
        <f>IF('Items sous domaines Maths '!H190=2,'Items sous domaines Maths '!B190,0)</f>
        <v>0</v>
      </c>
      <c r="C186" s="8" t="b">
        <f>IF('Items sous domaines Maths '!H190=2,'Items sous domaines Maths '!C190)</f>
        <v>0</v>
      </c>
      <c r="D186" s="8">
        <f>IF('Items sous domaines Maths '!H190=2,'Items sous domaines Maths '!D190,0)</f>
        <v>0</v>
      </c>
      <c r="E186" s="8">
        <f>IF('Items sous domaines Maths '!H190=2,'Items sous domaines Maths '!E190,0)</f>
        <v>0</v>
      </c>
      <c r="F186" s="9">
        <f>IF('Items sous domaines Maths '!H190=2,'Items sous domaines Maths '!F190,0)</f>
        <v>0</v>
      </c>
      <c r="G186">
        <f>IF('Items sous domaines Maths '!H190=2,'Items sous domaines Maths '!G190,0)</f>
        <v>0</v>
      </c>
    </row>
    <row r="187" spans="1:7" customFormat="1" ht="17.399999999999999" hidden="1" customHeight="1" thickBot="1" x14ac:dyDescent="0.3">
      <c r="A187" s="633" t="s">
        <v>427</v>
      </c>
      <c r="B187" s="8">
        <f>IF('Items sous domaines Maths '!H191=2,'Items sous domaines Maths '!B191,0)</f>
        <v>0</v>
      </c>
      <c r="C187" s="8" t="b">
        <f>IF('Items sous domaines Maths '!H191=2,'Items sous domaines Maths '!C191)</f>
        <v>0</v>
      </c>
      <c r="D187" s="8">
        <f>IF('Items sous domaines Maths '!H191=2,'Items sous domaines Maths '!D191,0)</f>
        <v>0</v>
      </c>
      <c r="E187" s="8">
        <f>IF('Items sous domaines Maths '!H191=2,'Items sous domaines Maths '!E191,0)</f>
        <v>0</v>
      </c>
      <c r="F187" s="9">
        <f>IF('Items sous domaines Maths '!H191=2,'Items sous domaines Maths '!F191,0)</f>
        <v>0</v>
      </c>
      <c r="G187">
        <f>IF('Items sous domaines Maths '!H191=2,'Items sous domaines Maths '!G191,0)</f>
        <v>0</v>
      </c>
    </row>
    <row r="188" spans="1:7" customFormat="1" ht="17.399999999999999" hidden="1" customHeight="1" thickBot="1" x14ac:dyDescent="0.3">
      <c r="A188" s="611"/>
      <c r="B188" s="8">
        <f>IF('Items sous domaines Maths '!H192=2,'Items sous domaines Maths '!B192,0)</f>
        <v>0</v>
      </c>
      <c r="C188" s="8" t="b">
        <f>IF('Items sous domaines Maths '!H192=2,'Items sous domaines Maths '!C192)</f>
        <v>0</v>
      </c>
      <c r="D188" s="8">
        <f>IF('Items sous domaines Maths '!H192=2,'Items sous domaines Maths '!D192,0)</f>
        <v>0</v>
      </c>
      <c r="E188" s="8">
        <f>IF('Items sous domaines Maths '!H192=2,'Items sous domaines Maths '!E192,0)</f>
        <v>0</v>
      </c>
      <c r="F188" s="9">
        <f>IF('Items sous domaines Maths '!H192=2,'Items sous domaines Maths '!F192,0)</f>
        <v>0</v>
      </c>
      <c r="G188">
        <f>IF('Items sous domaines Maths '!H192=2,'Items sous domaines Maths '!G192,0)</f>
        <v>0</v>
      </c>
    </row>
    <row r="189" spans="1:7" customFormat="1" ht="17.399999999999999" hidden="1" customHeight="1" thickBot="1" x14ac:dyDescent="0.3">
      <c r="A189" s="627" t="s">
        <v>428</v>
      </c>
      <c r="B189" s="8">
        <f>IF('Items sous domaines Maths '!H193=2,'Items sous domaines Maths '!B193,0)</f>
        <v>0</v>
      </c>
      <c r="C189" s="8" t="b">
        <f>IF('Items sous domaines Maths '!H193=2,'Items sous domaines Maths '!C193)</f>
        <v>0</v>
      </c>
      <c r="D189" s="8">
        <f>IF('Items sous domaines Maths '!H193=2,'Items sous domaines Maths '!D193,0)</f>
        <v>0</v>
      </c>
      <c r="E189" s="8">
        <f>IF('Items sous domaines Maths '!H193=2,'Items sous domaines Maths '!E193,0)</f>
        <v>0</v>
      </c>
      <c r="F189" s="9">
        <f>IF('Items sous domaines Maths '!H193=2,'Items sous domaines Maths '!F193,0)</f>
        <v>0</v>
      </c>
      <c r="G189">
        <f>IF('Items sous domaines Maths '!H193=2,'Items sous domaines Maths '!G193,0)</f>
        <v>0</v>
      </c>
    </row>
    <row r="190" spans="1:7" customFormat="1" ht="17.399999999999999" hidden="1" customHeight="1" thickBot="1" x14ac:dyDescent="0.3">
      <c r="A190" s="627"/>
      <c r="B190" s="8">
        <f>IF('Items sous domaines Maths '!H194=2,'Items sous domaines Maths '!B194,0)</f>
        <v>0</v>
      </c>
      <c r="C190" s="8" t="b">
        <f>IF('Items sous domaines Maths '!H194=2,'Items sous domaines Maths '!C194)</f>
        <v>0</v>
      </c>
      <c r="D190" s="8">
        <f>IF('Items sous domaines Maths '!H194=2,'Items sous domaines Maths '!D194,0)</f>
        <v>0</v>
      </c>
      <c r="E190" s="8">
        <f>IF('Items sous domaines Maths '!H194=2,'Items sous domaines Maths '!E194,0)</f>
        <v>0</v>
      </c>
      <c r="F190" s="9">
        <f>IF('Items sous domaines Maths '!H194=2,'Items sous domaines Maths '!F194,0)</f>
        <v>0</v>
      </c>
      <c r="G190">
        <f>IF('Items sous domaines Maths '!H194=2,'Items sous domaines Maths '!G194,0)</f>
        <v>0</v>
      </c>
    </row>
    <row r="191" spans="1:7" customFormat="1" ht="17.399999999999999" hidden="1" customHeight="1" thickBot="1" x14ac:dyDescent="0.3">
      <c r="A191" s="627"/>
      <c r="B191" s="8">
        <f>IF('Items sous domaines Maths '!H195=2,'Items sous domaines Maths '!B195,0)</f>
        <v>0</v>
      </c>
      <c r="C191" s="8" t="b">
        <f>IF('Items sous domaines Maths '!H195=2,'Items sous domaines Maths '!C195)</f>
        <v>0</v>
      </c>
      <c r="D191" s="8">
        <f>IF('Items sous domaines Maths '!H195=2,'Items sous domaines Maths '!D195,0)</f>
        <v>0</v>
      </c>
      <c r="E191" s="8">
        <f>IF('Items sous domaines Maths '!H195=2,'Items sous domaines Maths '!E195,0)</f>
        <v>0</v>
      </c>
      <c r="F191" s="9">
        <f>IF('Items sous domaines Maths '!H195=2,'Items sous domaines Maths '!F195,0)</f>
        <v>0</v>
      </c>
      <c r="G191">
        <f>IF('Items sous domaines Maths '!H195=2,'Items sous domaines Maths '!G195,0)</f>
        <v>0</v>
      </c>
    </row>
    <row r="192" spans="1:7" customFormat="1" ht="17.399999999999999" hidden="1" customHeight="1" thickBot="1" x14ac:dyDescent="0.3">
      <c r="A192" s="627"/>
      <c r="B192" s="8">
        <f>IF('Items sous domaines Maths '!H196=2,'Items sous domaines Maths '!B196,0)</f>
        <v>0</v>
      </c>
      <c r="C192" s="8" t="b">
        <f>IF('Items sous domaines Maths '!H196=2,'Items sous domaines Maths '!C196)</f>
        <v>0</v>
      </c>
      <c r="D192" s="8">
        <f>IF('Items sous domaines Maths '!H196=2,'Items sous domaines Maths '!D196,0)</f>
        <v>0</v>
      </c>
      <c r="E192" s="8">
        <f>IF('Items sous domaines Maths '!H196=2,'Items sous domaines Maths '!E196,0)</f>
        <v>0</v>
      </c>
      <c r="F192" s="9">
        <f>IF('Items sous domaines Maths '!H196=2,'Items sous domaines Maths '!F196,0)</f>
        <v>0</v>
      </c>
      <c r="G192">
        <f>IF('Items sous domaines Maths '!H196=2,'Items sous domaines Maths '!G196,0)</f>
        <v>0</v>
      </c>
    </row>
    <row r="193" spans="1:7" customFormat="1" ht="17.399999999999999" hidden="1" customHeight="1" thickBot="1" x14ac:dyDescent="0.3">
      <c r="A193" s="627"/>
      <c r="B193" s="8">
        <f>IF('Items sous domaines Maths '!H197=2,'Items sous domaines Maths '!B197,0)</f>
        <v>0</v>
      </c>
      <c r="C193" s="8" t="b">
        <f>IF('Items sous domaines Maths '!H197=2,'Items sous domaines Maths '!C197)</f>
        <v>0</v>
      </c>
      <c r="D193" s="8">
        <f>IF('Items sous domaines Maths '!H197=2,'Items sous domaines Maths '!D197,0)</f>
        <v>0</v>
      </c>
      <c r="E193" s="8">
        <f>IF('Items sous domaines Maths '!H197=2,'Items sous domaines Maths '!E197,0)</f>
        <v>0</v>
      </c>
      <c r="F193" s="9">
        <f>IF('Items sous domaines Maths '!H197=2,'Items sous domaines Maths '!F197,0)</f>
        <v>0</v>
      </c>
      <c r="G193">
        <f>IF('Items sous domaines Maths '!H197=2,'Items sous domaines Maths '!G197,0)</f>
        <v>0</v>
      </c>
    </row>
    <row r="194" spans="1:7" customFormat="1" ht="17.399999999999999" hidden="1" customHeight="1" thickBot="1" x14ac:dyDescent="0.3">
      <c r="A194" s="627"/>
      <c r="B194" s="8">
        <f>IF('Items sous domaines Maths '!H198=2,'Items sous domaines Maths '!B198,0)</f>
        <v>0</v>
      </c>
      <c r="C194" s="8" t="b">
        <f>IF('Items sous domaines Maths '!H198=2,'Items sous domaines Maths '!C198)</f>
        <v>0</v>
      </c>
      <c r="D194" s="8">
        <f>IF('Items sous domaines Maths '!H198=2,'Items sous domaines Maths '!D198,0)</f>
        <v>0</v>
      </c>
      <c r="E194" s="8">
        <f>IF('Items sous domaines Maths '!H198=2,'Items sous domaines Maths '!E198,0)</f>
        <v>0</v>
      </c>
      <c r="F194" s="9">
        <f>IF('Items sous domaines Maths '!H198=2,'Items sous domaines Maths '!F198,0)</f>
        <v>0</v>
      </c>
      <c r="G194">
        <f>IF('Items sous domaines Maths '!H198=2,'Items sous domaines Maths '!G198,0)</f>
        <v>0</v>
      </c>
    </row>
    <row r="195" spans="1:7" customFormat="1" ht="17.399999999999999" hidden="1" customHeight="1" thickBot="1" x14ac:dyDescent="0.3">
      <c r="A195" s="627"/>
      <c r="B195" s="8">
        <f>IF('Items sous domaines Maths '!H199=2,'Items sous domaines Maths '!B199,0)</f>
        <v>0</v>
      </c>
      <c r="C195" s="8" t="b">
        <f>IF('Items sous domaines Maths '!H199=2,'Items sous domaines Maths '!C199)</f>
        <v>0</v>
      </c>
      <c r="D195" s="8">
        <f>IF('Items sous domaines Maths '!H199=2,'Items sous domaines Maths '!D199,0)</f>
        <v>0</v>
      </c>
      <c r="E195" s="8">
        <f>IF('Items sous domaines Maths '!H199=2,'Items sous domaines Maths '!E199,0)</f>
        <v>0</v>
      </c>
      <c r="F195" s="9">
        <f>IF('Items sous domaines Maths '!H199=2,'Items sous domaines Maths '!F199,0)</f>
        <v>0</v>
      </c>
      <c r="G195">
        <f>IF('Items sous domaines Maths '!H199=2,'Items sous domaines Maths '!G199,0)</f>
        <v>0</v>
      </c>
    </row>
    <row r="196" spans="1:7" customFormat="1" ht="17.399999999999999" hidden="1" customHeight="1" thickBot="1" x14ac:dyDescent="0.3">
      <c r="A196" s="627"/>
      <c r="B196" s="8">
        <f>IF('Items sous domaines Maths '!H200=2,'Items sous domaines Maths '!B200,0)</f>
        <v>0</v>
      </c>
      <c r="C196" s="8" t="b">
        <f>IF('Items sous domaines Maths '!H200=2,'Items sous domaines Maths '!C200)</f>
        <v>0</v>
      </c>
      <c r="D196" s="8">
        <f>IF('Items sous domaines Maths '!H200=2,'Items sous domaines Maths '!D200,0)</f>
        <v>0</v>
      </c>
      <c r="E196" s="8">
        <f>IF('Items sous domaines Maths '!H200=2,'Items sous domaines Maths '!E200,0)</f>
        <v>0</v>
      </c>
      <c r="F196" s="9">
        <f>IF('Items sous domaines Maths '!H200=2,'Items sous domaines Maths '!F200,0)</f>
        <v>0</v>
      </c>
      <c r="G196">
        <f>IF('Items sous domaines Maths '!H200=2,'Items sous domaines Maths '!G200,0)</f>
        <v>0</v>
      </c>
    </row>
    <row r="197" spans="1:7" customFormat="1" ht="17.399999999999999" hidden="1" customHeight="1" thickBot="1" x14ac:dyDescent="0.3">
      <c r="A197" s="627"/>
      <c r="B197" s="8">
        <f>IF('Items sous domaines Maths '!H201=2,'Items sous domaines Maths '!B201,0)</f>
        <v>0</v>
      </c>
      <c r="C197" s="8" t="b">
        <f>IF('Items sous domaines Maths '!H201=2,'Items sous domaines Maths '!C201)</f>
        <v>0</v>
      </c>
      <c r="D197" s="8">
        <f>IF('Items sous domaines Maths '!H201=2,'Items sous domaines Maths '!D201,0)</f>
        <v>0</v>
      </c>
      <c r="E197" s="8">
        <f>IF('Items sous domaines Maths '!H201=2,'Items sous domaines Maths '!E201,0)</f>
        <v>0</v>
      </c>
      <c r="F197" s="9">
        <f>IF('Items sous domaines Maths '!H201=2,'Items sous domaines Maths '!F201,0)</f>
        <v>0</v>
      </c>
      <c r="G197">
        <f>IF('Items sous domaines Maths '!H201=2,'Items sous domaines Maths '!G201,0)</f>
        <v>0</v>
      </c>
    </row>
    <row r="198" spans="1:7" customFormat="1" ht="17.399999999999999" hidden="1" customHeight="1" thickBot="1" x14ac:dyDescent="0.3">
      <c r="A198" s="627"/>
      <c r="B198" s="8">
        <f>IF('Items sous domaines Maths '!H202=2,'Items sous domaines Maths '!B202,0)</f>
        <v>0</v>
      </c>
      <c r="C198" s="8" t="b">
        <f>IF('Items sous domaines Maths '!H202=2,'Items sous domaines Maths '!C202)</f>
        <v>0</v>
      </c>
      <c r="D198" s="8">
        <f>IF('Items sous domaines Maths '!H202=2,'Items sous domaines Maths '!D202,0)</f>
        <v>0</v>
      </c>
      <c r="E198" s="8">
        <f>IF('Items sous domaines Maths '!H202=2,'Items sous domaines Maths '!E202,0)</f>
        <v>0</v>
      </c>
      <c r="F198" s="9">
        <f>IF('Items sous domaines Maths '!H202=2,'Items sous domaines Maths '!F202,0)</f>
        <v>0</v>
      </c>
      <c r="G198">
        <f>IF('Items sous domaines Maths '!H202=2,'Items sous domaines Maths '!G202,0)</f>
        <v>0</v>
      </c>
    </row>
    <row r="199" spans="1:7" customFormat="1" ht="17.399999999999999" hidden="1" customHeight="1" thickBot="1" x14ac:dyDescent="0.3">
      <c r="A199" s="627"/>
      <c r="B199" s="8">
        <f>IF('Items sous domaines Maths '!H203=2,'Items sous domaines Maths '!B203,0)</f>
        <v>0</v>
      </c>
      <c r="C199" s="8" t="b">
        <f>IF('Items sous domaines Maths '!H203=2,'Items sous domaines Maths '!C203)</f>
        <v>0</v>
      </c>
      <c r="D199" s="8">
        <f>IF('Items sous domaines Maths '!H203=2,'Items sous domaines Maths '!D203,0)</f>
        <v>0</v>
      </c>
      <c r="E199" s="8">
        <f>IF('Items sous domaines Maths '!H203=2,'Items sous domaines Maths '!E203,0)</f>
        <v>0</v>
      </c>
      <c r="F199" s="9">
        <f>IF('Items sous domaines Maths '!H203=2,'Items sous domaines Maths '!F203,0)</f>
        <v>0</v>
      </c>
      <c r="G199">
        <f>IF('Items sous domaines Maths '!H203=2,'Items sous domaines Maths '!G203,0)</f>
        <v>0</v>
      </c>
    </row>
    <row r="200" spans="1:7" customFormat="1" ht="17.399999999999999" hidden="1" customHeight="1" thickBot="1" x14ac:dyDescent="0.3">
      <c r="A200" s="627"/>
      <c r="B200" s="8">
        <f>IF('Items sous domaines Maths '!H204=2,'Items sous domaines Maths '!B204,0)</f>
        <v>0</v>
      </c>
      <c r="C200" s="8" t="b">
        <f>IF('Items sous domaines Maths '!H204=2,'Items sous domaines Maths '!C204)</f>
        <v>0</v>
      </c>
      <c r="D200" s="8">
        <f>IF('Items sous domaines Maths '!H204=2,'Items sous domaines Maths '!D204,0)</f>
        <v>0</v>
      </c>
      <c r="E200" s="8">
        <f>IF('Items sous domaines Maths '!H204=2,'Items sous domaines Maths '!E204,0)</f>
        <v>0</v>
      </c>
      <c r="F200" s="9">
        <f>IF('Items sous domaines Maths '!H204=2,'Items sous domaines Maths '!F204,0)</f>
        <v>0</v>
      </c>
      <c r="G200">
        <f>IF('Items sous domaines Maths '!H204=2,'Items sous domaines Maths '!G204,0)</f>
        <v>0</v>
      </c>
    </row>
    <row r="201" spans="1:7" customFormat="1" ht="17.399999999999999" hidden="1" customHeight="1" thickBot="1" x14ac:dyDescent="0.3">
      <c r="A201" s="627"/>
      <c r="B201" s="8">
        <f>IF('Items sous domaines Maths '!H205=2,'Items sous domaines Maths '!B205,0)</f>
        <v>0</v>
      </c>
      <c r="C201" s="8" t="b">
        <f>IF('Items sous domaines Maths '!H205=2,'Items sous domaines Maths '!C205)</f>
        <v>0</v>
      </c>
      <c r="D201" s="8">
        <f>IF('Items sous domaines Maths '!H205=2,'Items sous domaines Maths '!D205,0)</f>
        <v>0</v>
      </c>
      <c r="E201" s="8">
        <f>IF('Items sous domaines Maths '!H205=2,'Items sous domaines Maths '!E205,0)</f>
        <v>0</v>
      </c>
      <c r="F201" s="9">
        <f>IF('Items sous domaines Maths '!H205=2,'Items sous domaines Maths '!F205,0)</f>
        <v>0</v>
      </c>
      <c r="G201">
        <f>IF('Items sous domaines Maths '!H205=2,'Items sous domaines Maths '!G205,0)</f>
        <v>0</v>
      </c>
    </row>
    <row r="202" spans="1:7" customFormat="1" ht="17.399999999999999" hidden="1" customHeight="1" thickBot="1" x14ac:dyDescent="0.3">
      <c r="A202" s="627"/>
      <c r="B202" s="8">
        <f>IF('Items sous domaines Maths '!H206=2,'Items sous domaines Maths '!B206,0)</f>
        <v>0</v>
      </c>
      <c r="C202" s="8" t="b">
        <f>IF('Items sous domaines Maths '!H206=2,'Items sous domaines Maths '!C206)</f>
        <v>0</v>
      </c>
      <c r="D202" s="8">
        <f>IF('Items sous domaines Maths '!H206=2,'Items sous domaines Maths '!D206,0)</f>
        <v>0</v>
      </c>
      <c r="E202" s="8">
        <f>IF('Items sous domaines Maths '!H206=2,'Items sous domaines Maths '!E206,0)</f>
        <v>0</v>
      </c>
      <c r="F202" s="9">
        <f>IF('Items sous domaines Maths '!H206=2,'Items sous domaines Maths '!F206,0)</f>
        <v>0</v>
      </c>
      <c r="G202">
        <f>IF('Items sous domaines Maths '!H206=2,'Items sous domaines Maths '!G206,0)</f>
        <v>0</v>
      </c>
    </row>
    <row r="203" spans="1:7" customFormat="1" ht="17.399999999999999" hidden="1" customHeight="1" thickBot="1" x14ac:dyDescent="0.3">
      <c r="A203" s="627"/>
      <c r="B203" s="8">
        <f>IF('Items sous domaines Maths '!H207=2,'Items sous domaines Maths '!B207,0)</f>
        <v>0</v>
      </c>
      <c r="C203" s="8" t="b">
        <f>IF('Items sous domaines Maths '!H207=2,'Items sous domaines Maths '!C207)</f>
        <v>0</v>
      </c>
      <c r="D203" s="8">
        <f>IF('Items sous domaines Maths '!H207=2,'Items sous domaines Maths '!D207,0)</f>
        <v>0</v>
      </c>
      <c r="E203" s="8">
        <f>IF('Items sous domaines Maths '!H207=2,'Items sous domaines Maths '!E207,0)</f>
        <v>0</v>
      </c>
      <c r="F203" s="9">
        <f>IF('Items sous domaines Maths '!H207=2,'Items sous domaines Maths '!F207,0)</f>
        <v>0</v>
      </c>
      <c r="G203">
        <f>IF('Items sous domaines Maths '!H207=2,'Items sous domaines Maths '!G207,0)</f>
        <v>0</v>
      </c>
    </row>
    <row r="204" spans="1:7" customFormat="1" ht="17.399999999999999" hidden="1" customHeight="1" thickBot="1" x14ac:dyDescent="0.3">
      <c r="A204" s="627"/>
      <c r="B204" s="8">
        <f>IF('Items sous domaines Maths '!H208=2,'Items sous domaines Maths '!B208,0)</f>
        <v>0</v>
      </c>
      <c r="C204" s="8" t="b">
        <f>IF('Items sous domaines Maths '!H208=2,'Items sous domaines Maths '!C208)</f>
        <v>0</v>
      </c>
      <c r="D204" s="8">
        <f>IF('Items sous domaines Maths '!H208=2,'Items sous domaines Maths '!D208,0)</f>
        <v>0</v>
      </c>
      <c r="E204" s="8">
        <f>IF('Items sous domaines Maths '!H208=2,'Items sous domaines Maths '!E208,0)</f>
        <v>0</v>
      </c>
      <c r="F204" s="9">
        <f>IF('Items sous domaines Maths '!H208=2,'Items sous domaines Maths '!F208,0)</f>
        <v>0</v>
      </c>
      <c r="G204">
        <f>IF('Items sous domaines Maths '!H208=2,'Items sous domaines Maths '!G208,0)</f>
        <v>0</v>
      </c>
    </row>
    <row r="205" spans="1:7" customFormat="1" ht="17.399999999999999" hidden="1" customHeight="1" thickBot="1" x14ac:dyDescent="0.3">
      <c r="A205" s="627"/>
      <c r="B205" s="8">
        <f>IF('Items sous domaines Maths '!H209=2,'Items sous domaines Maths '!B209,0)</f>
        <v>0</v>
      </c>
      <c r="C205" s="8" t="b">
        <f>IF('Items sous domaines Maths '!H209=2,'Items sous domaines Maths '!C209)</f>
        <v>0</v>
      </c>
      <c r="D205" s="8">
        <f>IF('Items sous domaines Maths '!H209=2,'Items sous domaines Maths '!D209,0)</f>
        <v>0</v>
      </c>
      <c r="E205" s="8">
        <f>IF('Items sous domaines Maths '!H209=2,'Items sous domaines Maths '!E209,0)</f>
        <v>0</v>
      </c>
      <c r="F205" s="9">
        <f>IF('Items sous domaines Maths '!H209=2,'Items sous domaines Maths '!F209,0)</f>
        <v>0</v>
      </c>
      <c r="G205">
        <f>IF('Items sous domaines Maths '!H209=2,'Items sous domaines Maths '!G209,0)</f>
        <v>0</v>
      </c>
    </row>
    <row r="206" spans="1:7" customFormat="1" ht="17.399999999999999" hidden="1" customHeight="1" thickBot="1" x14ac:dyDescent="0.3">
      <c r="A206" s="611"/>
      <c r="B206" s="8">
        <f>IF('Items sous domaines Maths '!H210=2,'Items sous domaines Maths '!B210,0)</f>
        <v>0</v>
      </c>
      <c r="C206" s="8" t="b">
        <f>IF('Items sous domaines Maths '!H210=2,'Items sous domaines Maths '!C210)</f>
        <v>0</v>
      </c>
      <c r="D206" s="8">
        <f>IF('Items sous domaines Maths '!H210=2,'Items sous domaines Maths '!D210,0)</f>
        <v>0</v>
      </c>
      <c r="E206" s="8">
        <f>IF('Items sous domaines Maths '!H210=2,'Items sous domaines Maths '!E210,0)</f>
        <v>0</v>
      </c>
      <c r="F206" s="9">
        <f>IF('Items sous domaines Maths '!H210=2,'Items sous domaines Maths '!F210,0)</f>
        <v>0</v>
      </c>
      <c r="G206">
        <f>IF('Items sous domaines Maths '!H210=2,'Items sous domaines Maths '!G210,0)</f>
        <v>0</v>
      </c>
    </row>
    <row r="207" spans="1:7" customFormat="1" ht="17.399999999999999" hidden="1" customHeight="1" thickBot="1" x14ac:dyDescent="0.3">
      <c r="B207" s="8">
        <f>IF('Items sous domaines Maths '!H211=2,'Items sous domaines Maths '!B211,0)</f>
        <v>0</v>
      </c>
      <c r="C207" s="8" t="b">
        <f>IF('Items sous domaines Maths '!H211=2,'Items sous domaines Maths '!C211)</f>
        <v>0</v>
      </c>
      <c r="D207" s="8">
        <f>IF('Items sous domaines Maths '!H211=2,'Items sous domaines Maths '!D211,0)</f>
        <v>0</v>
      </c>
      <c r="E207" s="8">
        <f>IF('Items sous domaines Maths '!H211=2,'Items sous domaines Maths '!E211,0)</f>
        <v>0</v>
      </c>
      <c r="F207" s="9">
        <f>IF('Items sous domaines Maths '!H211=2,'Items sous domaines Maths '!F211,0)</f>
        <v>0</v>
      </c>
      <c r="G207">
        <f>IF('Items sous domaines Maths '!H211=2,'Items sous domaines Maths '!G211,0)</f>
        <v>0</v>
      </c>
    </row>
    <row r="208" spans="1:7" customFormat="1" ht="17.399999999999999" hidden="1" customHeight="1" thickBot="1" x14ac:dyDescent="0.3">
      <c r="B208" s="8">
        <f>IF('Items sous domaines Maths '!H212=2,'Items sous domaines Maths '!B212,0)</f>
        <v>0</v>
      </c>
      <c r="C208" s="8" t="b">
        <f>IF('Items sous domaines Maths '!H212=2,'Items sous domaines Maths '!C212)</f>
        <v>0</v>
      </c>
      <c r="D208" s="8">
        <f>IF('Items sous domaines Maths '!H212=2,'Items sous domaines Maths '!D212,0)</f>
        <v>0</v>
      </c>
      <c r="E208" s="8">
        <f>IF('Items sous domaines Maths '!H212=2,'Items sous domaines Maths '!E212,0)</f>
        <v>0</v>
      </c>
      <c r="F208" s="9">
        <f>IF('Items sous domaines Maths '!H212=2,'Items sous domaines Maths '!F212,0)</f>
        <v>0</v>
      </c>
      <c r="G208">
        <f>IF('Items sous domaines Maths '!H212=2,'Items sous domaines Maths '!G212,0)</f>
        <v>0</v>
      </c>
    </row>
    <row r="209" spans="1:9" customFormat="1" ht="17.399999999999999" hidden="1" customHeight="1" thickBot="1" x14ac:dyDescent="0.3">
      <c r="B209" s="8">
        <f>IF('Items sous domaines Maths '!H213=2,'Items sous domaines Maths '!B213,0)</f>
        <v>0</v>
      </c>
      <c r="C209" s="8" t="b">
        <f>IF('Items sous domaines Maths '!H213=2,'Items sous domaines Maths '!C213)</f>
        <v>0</v>
      </c>
      <c r="D209" s="8">
        <f>IF('Items sous domaines Maths '!H213=2,'Items sous domaines Maths '!D213,0)</f>
        <v>0</v>
      </c>
      <c r="E209" s="8">
        <f>IF('Items sous domaines Maths '!H213=2,'Items sous domaines Maths '!E213,0)</f>
        <v>0</v>
      </c>
      <c r="F209" s="9">
        <f>IF('Items sous domaines Maths '!H213=2,'Items sous domaines Maths '!F213,0)</f>
        <v>0</v>
      </c>
      <c r="G209">
        <f>IF('Items sous domaines Maths '!H213=2,'Items sous domaines Maths '!G213,0)</f>
        <v>0</v>
      </c>
    </row>
    <row r="210" spans="1:9" customFormat="1" ht="17.399999999999999" hidden="1" customHeight="1" thickBot="1" x14ac:dyDescent="0.3">
      <c r="B210" s="8">
        <f>IF('Items sous domaines Maths '!H214=2,'Items sous domaines Maths '!B214,0)</f>
        <v>0</v>
      </c>
      <c r="C210" s="8" t="b">
        <f>IF('Items sous domaines Maths '!H214=2,'Items sous domaines Maths '!C214)</f>
        <v>0</v>
      </c>
      <c r="D210" s="8">
        <f>IF('Items sous domaines Maths '!H214=2,'Items sous domaines Maths '!D214,0)</f>
        <v>0</v>
      </c>
      <c r="E210" s="8">
        <f>IF('Items sous domaines Maths '!H214=2,'Items sous domaines Maths '!E214,0)</f>
        <v>0</v>
      </c>
      <c r="F210" s="9">
        <f>IF('Items sous domaines Maths '!H214=2,'Items sous domaines Maths '!F214,0)</f>
        <v>0</v>
      </c>
      <c r="G210">
        <f>IF('Items sous domaines Maths '!H214=2,'Items sous domaines Maths '!G214,0)</f>
        <v>0</v>
      </c>
    </row>
    <row r="211" spans="1:9" ht="19.95" customHeight="1" thickTop="1" thickBot="1" x14ac:dyDescent="0.3">
      <c r="A211" s="670" t="s">
        <v>527</v>
      </c>
      <c r="B211" s="200" t="str">
        <f>IF('Items sous domaines Maths '!H215=2,'Items sous domaines Maths '!B215,0)</f>
        <v>Analyse</v>
      </c>
      <c r="C211" s="201" t="str">
        <f>IF('Items sous domaines Maths '!H215=2,'Items sous domaines Maths '!C215)</f>
        <v>Fonctions de plusieurs variables</v>
      </c>
      <c r="D211" s="201" t="str">
        <f>IF('Items sous domaines Maths '!H215=2,'Items sous domaines Maths '!D215,0)</f>
        <v xml:space="preserve">Calcul différentiel </v>
      </c>
      <c r="E211" s="201" t="str">
        <f>IF('Items sous domaines Maths '!H215=2,'Items sous domaines Maths '!E215,0)</f>
        <v>Dérivées partielles d'ordre 1</v>
      </c>
      <c r="F211" s="202" t="str">
        <f>IF('Items sous domaines Maths '!H215=2,'Items sous domaines Maths '!F215,0)</f>
        <v>Dérivées partielles en un point et notation.</v>
      </c>
      <c r="G211" s="646" t="s">
        <v>457</v>
      </c>
      <c r="H211" s="601" t="s">
        <v>459</v>
      </c>
      <c r="I211" s="203" t="s">
        <v>22</v>
      </c>
    </row>
    <row r="212" spans="1:9" customFormat="1" ht="17.399999999999999" hidden="1" customHeight="1" thickTop="1" thickBot="1" x14ac:dyDescent="0.3">
      <c r="A212" s="597"/>
      <c r="B212">
        <f>IF('Items sous domaines Maths '!H216=2,'Items sous domaines Maths '!B216,0)</f>
        <v>0</v>
      </c>
      <c r="C212" t="b">
        <f>IF('Items sous domaines Maths '!H216=2,'Items sous domaines Maths '!C216)</f>
        <v>0</v>
      </c>
      <c r="D212">
        <f>IF('Items sous domaines Maths '!H216=2,'Items sous domaines Maths '!D216,0)</f>
        <v>0</v>
      </c>
      <c r="E212">
        <f>IF('Items sous domaines Maths '!H216=2,'Items sous domaines Maths '!E216,0)</f>
        <v>0</v>
      </c>
      <c r="F212" s="10">
        <f>IF('Items sous domaines Maths '!H216=2,'Items sous domaines Maths '!F216,0)</f>
        <v>0</v>
      </c>
      <c r="G212" s="645"/>
      <c r="H212" s="641"/>
    </row>
    <row r="213" spans="1:9" customFormat="1" ht="17.399999999999999" hidden="1" customHeight="1" thickBot="1" x14ac:dyDescent="0.3">
      <c r="A213" s="597"/>
      <c r="B213" s="8">
        <f>IF('Items sous domaines Maths '!H217=2,'Items sous domaines Maths '!B217,0)</f>
        <v>0</v>
      </c>
      <c r="C213" s="8" t="b">
        <f>IF('Items sous domaines Maths '!H217=2,'Items sous domaines Maths '!C217)</f>
        <v>0</v>
      </c>
      <c r="D213" s="8">
        <f>IF('Items sous domaines Maths '!H217=2,'Items sous domaines Maths '!D217,0)</f>
        <v>0</v>
      </c>
      <c r="E213" s="8">
        <f>IF('Items sous domaines Maths '!H217=2,'Items sous domaines Maths '!E217,0)</f>
        <v>0</v>
      </c>
      <c r="F213" s="9">
        <f>IF('Items sous domaines Maths '!H217=2,'Items sous domaines Maths '!F217,0)</f>
        <v>0</v>
      </c>
      <c r="G213" s="645"/>
      <c r="H213" s="641"/>
    </row>
    <row r="214" spans="1:9" customFormat="1" ht="17.399999999999999" hidden="1" customHeight="1" thickBot="1" x14ac:dyDescent="0.3">
      <c r="A214" s="597"/>
      <c r="B214" s="8">
        <f>IF('Items sous domaines Maths '!H218=2,'Items sous domaines Maths '!B218,0)</f>
        <v>0</v>
      </c>
      <c r="C214" s="8" t="b">
        <f>IF('Items sous domaines Maths '!H218=2,'Items sous domaines Maths '!C218)</f>
        <v>0</v>
      </c>
      <c r="D214" s="8">
        <f>IF('Items sous domaines Maths '!H218=2,'Items sous domaines Maths '!D218,0)</f>
        <v>0</v>
      </c>
      <c r="E214" s="8">
        <f>IF('Items sous domaines Maths '!H218=2,'Items sous domaines Maths '!E218,0)</f>
        <v>0</v>
      </c>
      <c r="F214" s="9">
        <f>IF('Items sous domaines Maths '!H218=2,'Items sous domaines Maths '!F218,0)</f>
        <v>0</v>
      </c>
      <c r="G214" s="645"/>
      <c r="H214" s="641"/>
    </row>
    <row r="215" spans="1:9" customFormat="1" ht="17.399999999999999" hidden="1" customHeight="1" thickBot="1" x14ac:dyDescent="0.3">
      <c r="A215" s="597"/>
      <c r="B215" s="8">
        <f>IF('Items sous domaines Maths '!H219=2,'Items sous domaines Maths '!B219,0)</f>
        <v>0</v>
      </c>
      <c r="C215" s="8" t="b">
        <f>IF('Items sous domaines Maths '!H219=2,'Items sous domaines Maths '!C219)</f>
        <v>0</v>
      </c>
      <c r="D215" s="8">
        <f>IF('Items sous domaines Maths '!H219=2,'Items sous domaines Maths '!D219,0)</f>
        <v>0</v>
      </c>
      <c r="E215" s="8">
        <f>IF('Items sous domaines Maths '!H219=2,'Items sous domaines Maths '!E219,0)</f>
        <v>0</v>
      </c>
      <c r="F215" s="9">
        <f>IF('Items sous domaines Maths '!H219=2,'Items sous domaines Maths '!F219,0)</f>
        <v>0</v>
      </c>
      <c r="G215" s="645"/>
      <c r="H215" s="641"/>
    </row>
    <row r="216" spans="1:9" customFormat="1" ht="17.399999999999999" hidden="1" customHeight="1" thickBot="1" x14ac:dyDescent="0.3">
      <c r="A216" s="597"/>
      <c r="B216" s="8">
        <f>IF('Items sous domaines Maths '!H220=2,'Items sous domaines Maths '!B220,0)</f>
        <v>0</v>
      </c>
      <c r="C216" s="8" t="b">
        <f>IF('Items sous domaines Maths '!H220=2,'Items sous domaines Maths '!C220)</f>
        <v>0</v>
      </c>
      <c r="D216" s="8">
        <f>IF('Items sous domaines Maths '!H220=2,'Items sous domaines Maths '!D220,0)</f>
        <v>0</v>
      </c>
      <c r="E216" s="8">
        <f>IF('Items sous domaines Maths '!H220=2,'Items sous domaines Maths '!E220,0)</f>
        <v>0</v>
      </c>
      <c r="F216" s="9">
        <f>IF('Items sous domaines Maths '!H220=2,'Items sous domaines Maths '!F220,0)</f>
        <v>0</v>
      </c>
      <c r="G216" s="645"/>
      <c r="H216" s="641"/>
    </row>
    <row r="217" spans="1:9" customFormat="1" ht="17.399999999999999" hidden="1" customHeight="1" thickBot="1" x14ac:dyDescent="0.3">
      <c r="A217" s="597"/>
      <c r="B217" s="8">
        <f>IF('Items sous domaines Maths '!H221=2,'Items sous domaines Maths '!B221,0)</f>
        <v>0</v>
      </c>
      <c r="C217" s="8" t="b">
        <f>IF('Items sous domaines Maths '!H221=2,'Items sous domaines Maths '!C221)</f>
        <v>0</v>
      </c>
      <c r="D217" s="8">
        <f>IF('Items sous domaines Maths '!H221=2,'Items sous domaines Maths '!D221,0)</f>
        <v>0</v>
      </c>
      <c r="E217" s="8">
        <f>IF('Items sous domaines Maths '!H221=2,'Items sous domaines Maths '!E221,0)</f>
        <v>0</v>
      </c>
      <c r="F217" s="9">
        <f>IF('Items sous domaines Maths '!H221=2,'Items sous domaines Maths '!F221,0)</f>
        <v>0</v>
      </c>
      <c r="G217" s="645"/>
      <c r="H217" s="641"/>
    </row>
    <row r="218" spans="1:9" customFormat="1" ht="17.399999999999999" hidden="1" customHeight="1" thickBot="1" x14ac:dyDescent="0.3">
      <c r="A218" s="597"/>
      <c r="B218" s="8">
        <f>IF('Items sous domaines Maths '!H222=2,'Items sous domaines Maths '!B222,0)</f>
        <v>0</v>
      </c>
      <c r="C218" s="8" t="b">
        <f>IF('Items sous domaines Maths '!H222=2,'Items sous domaines Maths '!C222)</f>
        <v>0</v>
      </c>
      <c r="D218" s="8">
        <f>IF('Items sous domaines Maths '!H222=2,'Items sous domaines Maths '!D222,0)</f>
        <v>0</v>
      </c>
      <c r="E218" s="8">
        <f>IF('Items sous domaines Maths '!H222=2,'Items sous domaines Maths '!E222,0)</f>
        <v>0</v>
      </c>
      <c r="F218" s="9">
        <f>IF('Items sous domaines Maths '!H222=2,'Items sous domaines Maths '!F222,0)</f>
        <v>0</v>
      </c>
      <c r="G218" s="645"/>
      <c r="H218" s="641"/>
    </row>
    <row r="219" spans="1:9" customFormat="1" ht="17.399999999999999" hidden="1" customHeight="1" thickBot="1" x14ac:dyDescent="0.3">
      <c r="A219" s="597"/>
      <c r="B219" s="8">
        <f>IF('Items sous domaines Maths '!H223=2,'Items sous domaines Maths '!B223,0)</f>
        <v>0</v>
      </c>
      <c r="C219" s="8" t="b">
        <f>IF('Items sous domaines Maths '!H223=2,'Items sous domaines Maths '!C223)</f>
        <v>0</v>
      </c>
      <c r="D219" s="8">
        <f>IF('Items sous domaines Maths '!H223=2,'Items sous domaines Maths '!D223,0)</f>
        <v>0</v>
      </c>
      <c r="E219" s="8">
        <f>IF('Items sous domaines Maths '!H223=2,'Items sous domaines Maths '!E223,0)</f>
        <v>0</v>
      </c>
      <c r="F219" s="9">
        <f>IF('Items sous domaines Maths '!H223=2,'Items sous domaines Maths '!F223,0)</f>
        <v>0</v>
      </c>
      <c r="G219" s="645"/>
      <c r="H219" s="641"/>
    </row>
    <row r="220" spans="1:9" ht="19.95" customHeight="1" thickTop="1" x14ac:dyDescent="0.25">
      <c r="A220" s="619"/>
      <c r="B220" s="204" t="str">
        <f>IF('Items sous domaines Maths '!H224=2,'Items sous domaines Maths '!B224,0)</f>
        <v>Analyse</v>
      </c>
      <c r="C220" s="205" t="str">
        <f>IF('Items sous domaines Maths '!H224=2,'Items sous domaines Maths '!C224)</f>
        <v>Fonctions de plusieurs variables</v>
      </c>
      <c r="D220" s="205">
        <f>IF('Items sous domaines Maths '!H224=2,'Items sous domaines Maths '!D224,0)</f>
        <v>0</v>
      </c>
      <c r="E220" s="205" t="str">
        <f>IF('Items sous domaines Maths '!H224=2,'Items sous domaines Maths '!E224,0)</f>
        <v xml:space="preserve">Extrema d’une fonction de deux variables </v>
      </c>
      <c r="F220" s="206" t="str">
        <f>IF('Items sous domaines Maths '!H224=2,'Items sous domaines Maths '!F224,0)</f>
        <v>Points critiques.</v>
      </c>
      <c r="G220" s="642"/>
      <c r="H220" s="577"/>
      <c r="I220" s="178"/>
    </row>
    <row r="221" spans="1:9" ht="19.95" customHeight="1" thickBot="1" x14ac:dyDescent="0.3">
      <c r="A221" s="623"/>
      <c r="B221" s="192" t="str">
        <f>IF('Items sous domaines Maths '!H225=2,'Items sous domaines Maths '!B225,0)</f>
        <v>Analyse</v>
      </c>
      <c r="C221" s="193" t="str">
        <f>IF('Items sous domaines Maths '!H225=2,'Items sous domaines Maths '!C225)</f>
        <v>Fonctions de plusieurs variables</v>
      </c>
      <c r="D221" s="193">
        <f>IF('Items sous domaines Maths '!H225=2,'Items sous domaines Maths '!D225,0)</f>
        <v>0</v>
      </c>
      <c r="E221" s="193">
        <f>IF('Items sous domaines Maths '!H225=2,'Items sous domaines Maths '!E225,0)</f>
        <v>0</v>
      </c>
      <c r="F221" s="194" t="str">
        <f>IF('Items sous domaines Maths '!H225=2,'Items sous domaines Maths '!F225,0)</f>
        <v>Technique de recherche d'extremats, points col/selle, coefficients de Monge.</v>
      </c>
      <c r="G221" s="644"/>
      <c r="H221" s="579"/>
      <c r="I221" s="189"/>
    </row>
    <row r="222" spans="1:9" customFormat="1" ht="17.399999999999999" hidden="1" customHeight="1" thickTop="1" thickBot="1" x14ac:dyDescent="0.3">
      <c r="A222" s="597"/>
      <c r="B222">
        <f>IF('Items sous domaines Maths '!H226=2,'Items sous domaines Maths '!B226,0)</f>
        <v>0</v>
      </c>
      <c r="C222" t="b">
        <f>IF('Items sous domaines Maths '!H226=2,'Items sous domaines Maths '!C226)</f>
        <v>0</v>
      </c>
      <c r="D222">
        <f>IF('Items sous domaines Maths '!H226=2,'Items sous domaines Maths '!D226,0)</f>
        <v>0</v>
      </c>
      <c r="E222">
        <f>IF('Items sous domaines Maths '!H226=2,'Items sous domaines Maths '!E226,0)</f>
        <v>0</v>
      </c>
      <c r="F222" s="10">
        <f>IF('Items sous domaines Maths '!H226=2,'Items sous domaines Maths '!F226,0)</f>
        <v>0</v>
      </c>
      <c r="G222" s="645"/>
      <c r="H222" s="641"/>
    </row>
    <row r="223" spans="1:9" customFormat="1" ht="17.399999999999999" hidden="1" customHeight="1" thickBot="1" x14ac:dyDescent="0.3">
      <c r="A223" s="597"/>
      <c r="B223" s="8">
        <f>IF('Items sous domaines Maths '!H227=2,'Items sous domaines Maths '!B227,0)</f>
        <v>0</v>
      </c>
      <c r="C223" s="8" t="b">
        <f>IF('Items sous domaines Maths '!H227=2,'Items sous domaines Maths '!C227)</f>
        <v>0</v>
      </c>
      <c r="D223" s="8">
        <f>IF('Items sous domaines Maths '!H227=2,'Items sous domaines Maths '!D227,0)</f>
        <v>0</v>
      </c>
      <c r="E223" s="8">
        <f>IF('Items sous domaines Maths '!H227=2,'Items sous domaines Maths '!E227,0)</f>
        <v>0</v>
      </c>
      <c r="F223" s="9">
        <f>IF('Items sous domaines Maths '!H227=2,'Items sous domaines Maths '!F227,0)</f>
        <v>0</v>
      </c>
      <c r="G223" s="645"/>
      <c r="H223" s="641"/>
    </row>
    <row r="224" spans="1:9" customFormat="1" ht="17.399999999999999" hidden="1" customHeight="1" thickBot="1" x14ac:dyDescent="0.3">
      <c r="A224" s="597"/>
      <c r="B224" s="8">
        <f>IF('Items sous domaines Maths '!H228=2,'Items sous domaines Maths '!B228,0)</f>
        <v>0</v>
      </c>
      <c r="C224" s="8" t="b">
        <f>IF('Items sous domaines Maths '!H228=2,'Items sous domaines Maths '!C228)</f>
        <v>0</v>
      </c>
      <c r="D224" s="8">
        <f>IF('Items sous domaines Maths '!H228=2,'Items sous domaines Maths '!D228,0)</f>
        <v>0</v>
      </c>
      <c r="E224" s="8">
        <f>IF('Items sous domaines Maths '!H228=2,'Items sous domaines Maths '!E228,0)</f>
        <v>0</v>
      </c>
      <c r="F224" s="9">
        <f>IF('Items sous domaines Maths '!H228=2,'Items sous domaines Maths '!F228,0)</f>
        <v>0</v>
      </c>
      <c r="G224" s="645"/>
      <c r="H224" s="641"/>
    </row>
    <row r="225" spans="1:9" ht="19.95" customHeight="1" thickTop="1" thickBot="1" x14ac:dyDescent="0.3">
      <c r="A225" s="670"/>
      <c r="B225" s="195" t="str">
        <f>IF('Items sous domaines Maths '!H229=2,'Items sous domaines Maths '!B229,0)</f>
        <v>Analyse</v>
      </c>
      <c r="C225" s="196" t="str">
        <f>IF('Items sous domaines Maths '!H229=2,'Items sous domaines Maths '!C229)</f>
        <v>Fonctions de plusieurs variables</v>
      </c>
      <c r="D225" s="196">
        <f>IF('Items sous domaines Maths '!H229=2,'Items sous domaines Maths '!D229,0)</f>
        <v>0</v>
      </c>
      <c r="E225" s="196">
        <f>IF('Items sous domaines Maths '!H229=2,'Items sous domaines Maths '!E229,0)</f>
        <v>0</v>
      </c>
      <c r="F225" s="197" t="str">
        <f>IF('Items sous domaines Maths '!H229=2,'Items sous domaines Maths '!F229,0)</f>
        <v>Gradient.</v>
      </c>
      <c r="G225" s="646"/>
      <c r="H225" s="601"/>
      <c r="I225" s="198"/>
    </row>
    <row r="226" spans="1:9" customFormat="1" ht="17.399999999999999" hidden="1" customHeight="1" thickTop="1" thickBot="1" x14ac:dyDescent="0.3">
      <c r="B226">
        <f>IF('Items sous domaines Maths '!H230=2,'Items sous domaines Maths '!B230,0)</f>
        <v>0</v>
      </c>
      <c r="C226" t="b">
        <f>IF('Items sous domaines Maths '!H230=2,'Items sous domaines Maths '!C230)</f>
        <v>0</v>
      </c>
      <c r="D226">
        <f>IF('Items sous domaines Maths '!H230=2,'Items sous domaines Maths '!D230,0)</f>
        <v>0</v>
      </c>
      <c r="E226">
        <f>IF('Items sous domaines Maths '!H230=2,'Items sous domaines Maths '!E230,0)</f>
        <v>0</v>
      </c>
      <c r="F226" s="10">
        <f>IF('Items sous domaines Maths '!H230=2,'Items sous domaines Maths '!F230,0)</f>
        <v>0</v>
      </c>
      <c r="G226">
        <f>IF('Items sous domaines Maths '!H230=2,'Items sous domaines Maths '!G230,0)</f>
        <v>0</v>
      </c>
    </row>
    <row r="227" spans="1:9" customFormat="1" ht="17.399999999999999" hidden="1" customHeight="1" thickBot="1" x14ac:dyDescent="0.3">
      <c r="B227" s="8">
        <f>IF('Items sous domaines Maths '!H231=2,'Items sous domaines Maths '!B231,0)</f>
        <v>0</v>
      </c>
      <c r="C227" s="8" t="b">
        <f>IF('Items sous domaines Maths '!H231=2,'Items sous domaines Maths '!C231)</f>
        <v>0</v>
      </c>
      <c r="D227" s="8">
        <f>IF('Items sous domaines Maths '!H231=2,'Items sous domaines Maths '!D231,0)</f>
        <v>0</v>
      </c>
      <c r="E227" s="8">
        <f>IF('Items sous domaines Maths '!H231=2,'Items sous domaines Maths '!E231,0)</f>
        <v>0</v>
      </c>
      <c r="F227" s="9">
        <f>IF('Items sous domaines Maths '!H231=2,'Items sous domaines Maths '!F231,0)</f>
        <v>0</v>
      </c>
      <c r="G227">
        <f>IF('Items sous domaines Maths '!H231=2,'Items sous domaines Maths '!G231,0)</f>
        <v>0</v>
      </c>
    </row>
    <row r="228" spans="1:9" customFormat="1" ht="17.399999999999999" hidden="1" customHeight="1" thickBot="1" x14ac:dyDescent="0.3">
      <c r="B228" s="8">
        <f>IF('Items sous domaines Maths '!H232=2,'Items sous domaines Maths '!B232,0)</f>
        <v>0</v>
      </c>
      <c r="C228" s="8" t="b">
        <f>IF('Items sous domaines Maths '!H232=2,'Items sous domaines Maths '!C232)</f>
        <v>0</v>
      </c>
      <c r="D228" s="8">
        <f>IF('Items sous domaines Maths '!H232=2,'Items sous domaines Maths '!D232,0)</f>
        <v>0</v>
      </c>
      <c r="E228" s="8">
        <f>IF('Items sous domaines Maths '!H232=2,'Items sous domaines Maths '!E232,0)</f>
        <v>0</v>
      </c>
      <c r="F228" s="9">
        <f>IF('Items sous domaines Maths '!H232=2,'Items sous domaines Maths '!F232,0)</f>
        <v>0</v>
      </c>
      <c r="G228">
        <f>IF('Items sous domaines Maths '!H232=2,'Items sous domaines Maths '!G232,0)</f>
        <v>0</v>
      </c>
    </row>
    <row r="229" spans="1:9" customFormat="1" ht="17.399999999999999" hidden="1" customHeight="1" thickBot="1" x14ac:dyDescent="0.3">
      <c r="B229" s="8">
        <f>IF('Items sous domaines Maths '!H233=2,'Items sous domaines Maths '!B233,0)</f>
        <v>0</v>
      </c>
      <c r="C229" s="8" t="b">
        <f>IF('Items sous domaines Maths '!H233=2,'Items sous domaines Maths '!C233)</f>
        <v>0</v>
      </c>
      <c r="D229" s="8">
        <f>IF('Items sous domaines Maths '!H233=2,'Items sous domaines Maths '!D233,0)</f>
        <v>0</v>
      </c>
      <c r="E229" s="8">
        <f>IF('Items sous domaines Maths '!H233=2,'Items sous domaines Maths '!E233,0)</f>
        <v>0</v>
      </c>
      <c r="F229" s="9">
        <f>IF('Items sous domaines Maths '!H233=2,'Items sous domaines Maths '!F233,0)</f>
        <v>0</v>
      </c>
      <c r="G229">
        <f>IF('Items sous domaines Maths '!H233=2,'Items sous domaines Maths '!G233,0)</f>
        <v>0</v>
      </c>
    </row>
    <row r="230" spans="1:9" ht="19.95" hidden="1" customHeight="1" thickTop="1" x14ac:dyDescent="0.25">
      <c r="A230" s="619" t="s">
        <v>847</v>
      </c>
      <c r="B230" s="181">
        <f>IF('Items sous domaines Maths '!H234=2,'Items sous domaines Maths '!B234,0)</f>
        <v>0</v>
      </c>
      <c r="C230" s="182" t="b">
        <f>IF('Items sous domaines Maths '!H234=2,'Items sous domaines Maths '!C234)</f>
        <v>0</v>
      </c>
      <c r="D230" s="182">
        <f>IF('Items sous domaines Maths '!H234=2,'Items sous domaines Maths '!D234,0)</f>
        <v>0</v>
      </c>
      <c r="E230" s="182">
        <f>IF('Items sous domaines Maths '!H234=2,'Items sous domaines Maths '!E234,0)</f>
        <v>0</v>
      </c>
      <c r="F230" s="183">
        <f>IF('Items sous domaines Maths '!H234=2,'Items sous domaines Maths '!F234,0)</f>
        <v>0</v>
      </c>
      <c r="G230" s="648" t="s">
        <v>446</v>
      </c>
      <c r="H230" s="639" t="s">
        <v>84</v>
      </c>
      <c r="I230" s="178"/>
    </row>
    <row r="231" spans="1:9" ht="19.95" hidden="1" customHeight="1" x14ac:dyDescent="0.25">
      <c r="A231" s="620"/>
      <c r="B231" s="141">
        <f>IF('Items sous domaines Maths '!H235=2,'Items sous domaines Maths '!B235,0)</f>
        <v>0</v>
      </c>
      <c r="C231" s="142" t="b">
        <f>IF('Items sous domaines Maths '!H235=2,'Items sous domaines Maths '!C235)</f>
        <v>0</v>
      </c>
      <c r="D231" s="142">
        <f>IF('Items sous domaines Maths '!H235=2,'Items sous domaines Maths '!D235,0)</f>
        <v>0</v>
      </c>
      <c r="E231" s="142">
        <f>IF('Items sous domaines Maths '!H235=2,'Items sous domaines Maths '!E235,0)</f>
        <v>0</v>
      </c>
      <c r="F231" s="143">
        <f>IF('Items sous domaines Maths '!H235=2,'Items sous domaines Maths '!F235,0)</f>
        <v>0</v>
      </c>
      <c r="G231" s="649"/>
      <c r="H231" s="470"/>
      <c r="I231" s="199"/>
    </row>
    <row r="232" spans="1:9" ht="19.95" hidden="1" customHeight="1" x14ac:dyDescent="0.25">
      <c r="A232" s="620"/>
      <c r="B232" s="144">
        <f>IF('Items sous domaines Maths '!H236=2,'Items sous domaines Maths '!B236,0)</f>
        <v>0</v>
      </c>
      <c r="C232" s="145" t="b">
        <f>IF('Items sous domaines Maths '!H236=2,'Items sous domaines Maths '!C236)</f>
        <v>0</v>
      </c>
      <c r="D232" s="145">
        <f>IF('Items sous domaines Maths '!H236=2,'Items sous domaines Maths '!D236,0)</f>
        <v>0</v>
      </c>
      <c r="E232" s="145">
        <f>IF('Items sous domaines Maths '!H236=2,'Items sous domaines Maths '!E236,0)</f>
        <v>0</v>
      </c>
      <c r="F232" s="146">
        <f>IF('Items sous domaines Maths '!H236=2,'Items sous domaines Maths '!F236,0)</f>
        <v>0</v>
      </c>
      <c r="G232" s="649"/>
      <c r="H232" s="470"/>
      <c r="I232" s="199"/>
    </row>
    <row r="233" spans="1:9" ht="19.95" hidden="1" customHeight="1" x14ac:dyDescent="0.25">
      <c r="A233" s="620"/>
      <c r="B233" s="141">
        <f>IF('Items sous domaines Maths '!H237=2,'Items sous domaines Maths '!B237,0)</f>
        <v>0</v>
      </c>
      <c r="C233" s="142" t="b">
        <f>IF('Items sous domaines Maths '!H237=2,'Items sous domaines Maths '!C237)</f>
        <v>0</v>
      </c>
      <c r="D233" s="142">
        <f>IF('Items sous domaines Maths '!H237=2,'Items sous domaines Maths '!D237,0)</f>
        <v>0</v>
      </c>
      <c r="E233" s="142">
        <f>IF('Items sous domaines Maths '!H237=2,'Items sous domaines Maths '!E237,0)</f>
        <v>0</v>
      </c>
      <c r="F233" s="143">
        <f>IF('Items sous domaines Maths '!H237=2,'Items sous domaines Maths '!F237,0)</f>
        <v>0</v>
      </c>
      <c r="G233" s="649"/>
      <c r="H233" s="470"/>
      <c r="I233" s="199"/>
    </row>
    <row r="234" spans="1:9" ht="19.95" hidden="1" customHeight="1" x14ac:dyDescent="0.25">
      <c r="A234" s="620"/>
      <c r="B234" s="144">
        <f>IF('Items sous domaines Maths '!H238=2,'Items sous domaines Maths '!B238,0)</f>
        <v>0</v>
      </c>
      <c r="C234" s="145" t="b">
        <f>IF('Items sous domaines Maths '!H238=2,'Items sous domaines Maths '!C238)</f>
        <v>0</v>
      </c>
      <c r="D234" s="145">
        <f>IF('Items sous domaines Maths '!H238=2,'Items sous domaines Maths '!D238,0)</f>
        <v>0</v>
      </c>
      <c r="E234" s="145">
        <f>IF('Items sous domaines Maths '!H238=2,'Items sous domaines Maths '!E238,0)</f>
        <v>0</v>
      </c>
      <c r="F234" s="146">
        <f>IF('Items sous domaines Maths '!H238=2,'Items sous domaines Maths '!F238,0)</f>
        <v>0</v>
      </c>
      <c r="G234" s="649"/>
      <c r="H234" s="470"/>
      <c r="I234" s="199"/>
    </row>
    <row r="235" spans="1:9" ht="19.95" hidden="1" customHeight="1" x14ac:dyDescent="0.25">
      <c r="A235" s="620"/>
      <c r="B235" s="141">
        <f>IF('Items sous domaines Maths '!H239=2,'Items sous domaines Maths '!B239,0)</f>
        <v>0</v>
      </c>
      <c r="C235" s="142" t="b">
        <f>IF('Items sous domaines Maths '!H239=2,'Items sous domaines Maths '!C239)</f>
        <v>0</v>
      </c>
      <c r="D235" s="142">
        <f>IF('Items sous domaines Maths '!H239=2,'Items sous domaines Maths '!D239,0)</f>
        <v>0</v>
      </c>
      <c r="E235" s="142">
        <f>IF('Items sous domaines Maths '!H239=2,'Items sous domaines Maths '!E239,0)</f>
        <v>0</v>
      </c>
      <c r="F235" s="143">
        <f>IF('Items sous domaines Maths '!H239=2,'Items sous domaines Maths '!F239,0)</f>
        <v>0</v>
      </c>
      <c r="G235" s="649"/>
      <c r="H235" s="470"/>
      <c r="I235" s="199"/>
    </row>
    <row r="236" spans="1:9" ht="19.95" hidden="1" customHeight="1" x14ac:dyDescent="0.25">
      <c r="A236" s="620"/>
      <c r="B236" s="144">
        <f>IF('Items sous domaines Maths '!H240=2,'Items sous domaines Maths '!B240,0)</f>
        <v>0</v>
      </c>
      <c r="C236" s="145" t="b">
        <f>IF('Items sous domaines Maths '!H240=2,'Items sous domaines Maths '!C240)</f>
        <v>0</v>
      </c>
      <c r="D236" s="145">
        <f>IF('Items sous domaines Maths '!H240=2,'Items sous domaines Maths '!D240,0)</f>
        <v>0</v>
      </c>
      <c r="E236" s="145">
        <f>IF('Items sous domaines Maths '!H240=2,'Items sous domaines Maths '!E240,0)</f>
        <v>0</v>
      </c>
      <c r="F236" s="146">
        <f>IF('Items sous domaines Maths '!H240=2,'Items sous domaines Maths '!F240,0)</f>
        <v>0</v>
      </c>
      <c r="G236" s="649"/>
      <c r="H236" s="470"/>
      <c r="I236" s="199"/>
    </row>
    <row r="237" spans="1:9" ht="19.95" hidden="1" customHeight="1" x14ac:dyDescent="0.25">
      <c r="A237" s="620"/>
      <c r="B237" s="141">
        <f>IF('Items sous domaines Maths '!H241=2,'Items sous domaines Maths '!B241,0)</f>
        <v>0</v>
      </c>
      <c r="C237" s="142" t="b">
        <f>IF('Items sous domaines Maths '!H241=2,'Items sous domaines Maths '!C241)</f>
        <v>0</v>
      </c>
      <c r="D237" s="142">
        <f>IF('Items sous domaines Maths '!H241=2,'Items sous domaines Maths '!D241,0)</f>
        <v>0</v>
      </c>
      <c r="E237" s="142">
        <f>IF('Items sous domaines Maths '!H241=2,'Items sous domaines Maths '!E241,0)</f>
        <v>0</v>
      </c>
      <c r="F237" s="143">
        <f>IF('Items sous domaines Maths '!H241=2,'Items sous domaines Maths '!F241,0)</f>
        <v>0</v>
      </c>
      <c r="G237" s="649"/>
      <c r="H237" s="470"/>
      <c r="I237" s="199"/>
    </row>
    <row r="238" spans="1:9" ht="19.95" hidden="1" customHeight="1" x14ac:dyDescent="0.25">
      <c r="A238" s="620"/>
      <c r="B238" s="144">
        <f>IF('Items sous domaines Maths '!H242=2,'Items sous domaines Maths '!B242,0)</f>
        <v>0</v>
      </c>
      <c r="C238" s="145" t="b">
        <f>IF('Items sous domaines Maths '!H242=2,'Items sous domaines Maths '!C242)</f>
        <v>0</v>
      </c>
      <c r="D238" s="145">
        <f>IF('Items sous domaines Maths '!H242=2,'Items sous domaines Maths '!D242,0)</f>
        <v>0</v>
      </c>
      <c r="E238" s="145">
        <f>IF('Items sous domaines Maths '!H242=2,'Items sous domaines Maths '!E242,0)</f>
        <v>0</v>
      </c>
      <c r="F238" s="146">
        <f>IF('Items sous domaines Maths '!H242=2,'Items sous domaines Maths '!F242,0)</f>
        <v>0</v>
      </c>
      <c r="G238" s="649"/>
      <c r="H238" s="470"/>
      <c r="I238" s="199"/>
    </row>
    <row r="239" spans="1:9" ht="19.95" hidden="1" customHeight="1" x14ac:dyDescent="0.25">
      <c r="A239" s="620"/>
      <c r="B239" s="141">
        <f>IF('Items sous domaines Maths '!H243=2,'Items sous domaines Maths '!B243,0)</f>
        <v>0</v>
      </c>
      <c r="C239" s="142" t="b">
        <f>IF('Items sous domaines Maths '!H243=2,'Items sous domaines Maths '!C243)</f>
        <v>0</v>
      </c>
      <c r="D239" s="142">
        <f>IF('Items sous domaines Maths '!H243=2,'Items sous domaines Maths '!D243,0)</f>
        <v>0</v>
      </c>
      <c r="E239" s="142">
        <f>IF('Items sous domaines Maths '!H243=2,'Items sous domaines Maths '!E243,0)</f>
        <v>0</v>
      </c>
      <c r="F239" s="143">
        <f>IF('Items sous domaines Maths '!H243=2,'Items sous domaines Maths '!F243,0)</f>
        <v>0</v>
      </c>
      <c r="G239" s="649"/>
      <c r="H239" s="470"/>
      <c r="I239" s="199"/>
    </row>
    <row r="240" spans="1:9" ht="19.95" hidden="1" customHeight="1" x14ac:dyDescent="0.25">
      <c r="A240" s="620"/>
      <c r="B240" s="144">
        <f>IF('Items sous domaines Maths '!H244=2,'Items sous domaines Maths '!B244,0)</f>
        <v>0</v>
      </c>
      <c r="C240" s="145" t="b">
        <f>IF('Items sous domaines Maths '!H244=2,'Items sous domaines Maths '!C244)</f>
        <v>0</v>
      </c>
      <c r="D240" s="145">
        <f>IF('Items sous domaines Maths '!H244=2,'Items sous domaines Maths '!D244,0)</f>
        <v>0</v>
      </c>
      <c r="E240" s="145">
        <f>IF('Items sous domaines Maths '!H244=2,'Items sous domaines Maths '!E244,0)</f>
        <v>0</v>
      </c>
      <c r="F240" s="146">
        <f>IF('Items sous domaines Maths '!H244=2,'Items sous domaines Maths '!F244,0)</f>
        <v>0</v>
      </c>
      <c r="G240" s="649"/>
      <c r="H240" s="470"/>
      <c r="I240" s="199"/>
    </row>
    <row r="241" spans="1:9" ht="19.95" hidden="1" customHeight="1" x14ac:dyDescent="0.25">
      <c r="A241" s="620"/>
      <c r="B241" s="141">
        <f>IF('Items sous domaines Maths '!H245=2,'Items sous domaines Maths '!B245,0)</f>
        <v>0</v>
      </c>
      <c r="C241" s="142" t="b">
        <f>IF('Items sous domaines Maths '!H245=2,'Items sous domaines Maths '!C245)</f>
        <v>0</v>
      </c>
      <c r="D241" s="142">
        <f>IF('Items sous domaines Maths '!H245=2,'Items sous domaines Maths '!D245,0)</f>
        <v>0</v>
      </c>
      <c r="E241" s="142">
        <f>IF('Items sous domaines Maths '!H245=2,'Items sous domaines Maths '!E245,0)</f>
        <v>0</v>
      </c>
      <c r="F241" s="143">
        <f>IF('Items sous domaines Maths '!H245=2,'Items sous domaines Maths '!F245,0)</f>
        <v>0</v>
      </c>
      <c r="G241" s="649"/>
      <c r="H241" s="470"/>
      <c r="I241" s="199"/>
    </row>
    <row r="242" spans="1:9" ht="19.95" hidden="1" customHeight="1" x14ac:dyDescent="0.25">
      <c r="A242" s="620"/>
      <c r="B242" s="144">
        <f>IF('Items sous domaines Maths '!H246=2,'Items sous domaines Maths '!B246,0)</f>
        <v>0</v>
      </c>
      <c r="C242" s="145" t="b">
        <f>IF('Items sous domaines Maths '!H246=2,'Items sous domaines Maths '!C246)</f>
        <v>0</v>
      </c>
      <c r="D242" s="145">
        <f>IF('Items sous domaines Maths '!H246=2,'Items sous domaines Maths '!D246,0)</f>
        <v>0</v>
      </c>
      <c r="E242" s="145">
        <f>IF('Items sous domaines Maths '!H246=2,'Items sous domaines Maths '!E246,0)</f>
        <v>0</v>
      </c>
      <c r="F242" s="146">
        <f>IF('Items sous domaines Maths '!H246=2,'Items sous domaines Maths '!F246,0)</f>
        <v>0</v>
      </c>
      <c r="G242" s="649"/>
      <c r="H242" s="470"/>
      <c r="I242" s="199"/>
    </row>
    <row r="243" spans="1:9" ht="19.95" hidden="1" customHeight="1" thickBot="1" x14ac:dyDescent="0.3">
      <c r="A243" s="623"/>
      <c r="B243" s="186">
        <f>IF('Items sous domaines Maths '!H247=2,'Items sous domaines Maths '!B247,0)</f>
        <v>0</v>
      </c>
      <c r="C243" s="187" t="b">
        <f>IF('Items sous domaines Maths '!H247=2,'Items sous domaines Maths '!C247)</f>
        <v>0</v>
      </c>
      <c r="D243" s="187">
        <f>IF('Items sous domaines Maths '!H247=2,'Items sous domaines Maths '!D247,0)</f>
        <v>0</v>
      </c>
      <c r="E243" s="187">
        <f>IF('Items sous domaines Maths '!H247=2,'Items sous domaines Maths '!E247,0)</f>
        <v>0</v>
      </c>
      <c r="F243" s="188">
        <f>IF('Items sous domaines Maths '!H247=2,'Items sous domaines Maths '!F247,0)</f>
        <v>0</v>
      </c>
      <c r="G243" s="650"/>
      <c r="H243" s="640"/>
      <c r="I243" s="189"/>
    </row>
    <row r="244" spans="1:9" customFormat="1" ht="13.5" hidden="1" customHeight="1" thickTop="1" thickBot="1" x14ac:dyDescent="0.3">
      <c r="B244">
        <f>IF('Items sous domaines Maths '!H248=2,'Items sous domaines Maths '!B248,0)</f>
        <v>0</v>
      </c>
      <c r="C244" t="b">
        <f>IF('Items sous domaines Maths '!H248=2,'Items sous domaines Maths '!C248)</f>
        <v>0</v>
      </c>
      <c r="D244">
        <f>IF('Items sous domaines Maths '!H248=2,'Items sous domaines Maths '!D248,0)</f>
        <v>0</v>
      </c>
      <c r="E244">
        <f>IF('Items sous domaines Maths '!H248=2,'Items sous domaines Maths '!E248,0)</f>
        <v>0</v>
      </c>
      <c r="F244" s="10">
        <f>IF('Items sous domaines Maths '!H248=2,'Items sous domaines Maths '!F248,0)</f>
        <v>0</v>
      </c>
      <c r="G244">
        <f>IF('Items sous domaines Maths '!H248=2,'Items sous domaines Maths '!G248,0)</f>
        <v>0</v>
      </c>
    </row>
    <row r="245" spans="1:9" customFormat="1" ht="12.75" hidden="1" customHeight="1" thickBot="1" x14ac:dyDescent="0.3">
      <c r="A245" s="8" t="s">
        <v>460</v>
      </c>
      <c r="B245" s="8">
        <f>IF('Items sous domaines Maths '!H249=2,'Items sous domaines Maths '!B249,0)</f>
        <v>0</v>
      </c>
      <c r="C245" s="8" t="b">
        <f>IF('Items sous domaines Maths '!H249=2,'Items sous domaines Maths '!C249)</f>
        <v>0</v>
      </c>
      <c r="D245" s="8">
        <f>IF('Items sous domaines Maths '!H249=2,'Items sous domaines Maths '!D249,0)</f>
        <v>0</v>
      </c>
      <c r="E245" s="8">
        <f>IF('Items sous domaines Maths '!H249=2,'Items sous domaines Maths '!E249,0)</f>
        <v>0</v>
      </c>
      <c r="F245" s="9">
        <f>IF('Items sous domaines Maths '!H249=2,'Items sous domaines Maths '!F249,0)</f>
        <v>0</v>
      </c>
      <c r="G245">
        <f>IF('Items sous domaines Maths '!H249=2,'Items sous domaines Maths '!G249,0)</f>
        <v>0</v>
      </c>
    </row>
    <row r="246" spans="1:9" customFormat="1" ht="12.75" hidden="1" customHeight="1" thickBot="1" x14ac:dyDescent="0.3">
      <c r="B246" s="8">
        <f>IF('Items sous domaines Maths '!H250=2,'Items sous domaines Maths '!B250,0)</f>
        <v>0</v>
      </c>
      <c r="C246" s="8" t="b">
        <f>IF('Items sous domaines Maths '!H250=2,'Items sous domaines Maths '!C250)</f>
        <v>0</v>
      </c>
      <c r="D246" s="8">
        <f>IF('Items sous domaines Maths '!H250=2,'Items sous domaines Maths '!D250,0)</f>
        <v>0</v>
      </c>
      <c r="E246" s="8">
        <f>IF('Items sous domaines Maths '!H250=2,'Items sous domaines Maths '!E250,0)</f>
        <v>0</v>
      </c>
      <c r="F246" s="9">
        <f>IF('Items sous domaines Maths '!H250=2,'Items sous domaines Maths '!F250,0)</f>
        <v>0</v>
      </c>
      <c r="G246">
        <f>IF('Items sous domaines Maths '!H250=2,'Items sous domaines Maths '!G250,0)</f>
        <v>0</v>
      </c>
    </row>
    <row r="247" spans="1:9" customFormat="1" ht="12.75" hidden="1" customHeight="1" thickBot="1" x14ac:dyDescent="0.3">
      <c r="B247" s="8">
        <f>IF('Items sous domaines Maths '!H251=2,'Items sous domaines Maths '!B251,0)</f>
        <v>0</v>
      </c>
      <c r="C247" s="8" t="b">
        <f>IF('Items sous domaines Maths '!H251=2,'Items sous domaines Maths '!C251)</f>
        <v>0</v>
      </c>
      <c r="D247" s="8">
        <f>IF('Items sous domaines Maths '!H251=2,'Items sous domaines Maths '!D251,0)</f>
        <v>0</v>
      </c>
      <c r="E247" s="8">
        <f>IF('Items sous domaines Maths '!H251=2,'Items sous domaines Maths '!E251,0)</f>
        <v>0</v>
      </c>
      <c r="F247" s="9">
        <f>IF('Items sous domaines Maths '!H251=2,'Items sous domaines Maths '!F251,0)</f>
        <v>0</v>
      </c>
      <c r="G247">
        <f>IF('Items sous domaines Maths '!H251=2,'Items sous domaines Maths '!G251,0)</f>
        <v>0</v>
      </c>
    </row>
    <row r="248" spans="1:9" customFormat="1" ht="12.75" hidden="1" customHeight="1" thickBot="1" x14ac:dyDescent="0.3">
      <c r="B248" s="8">
        <f>IF('Items sous domaines Maths '!H252=2,'Items sous domaines Maths '!B252,0)</f>
        <v>0</v>
      </c>
      <c r="C248" s="8" t="b">
        <f>IF('Items sous domaines Maths '!H252=2,'Items sous domaines Maths '!C252)</f>
        <v>0</v>
      </c>
      <c r="D248" s="8">
        <f>IF('Items sous domaines Maths '!H252=2,'Items sous domaines Maths '!D252,0)</f>
        <v>0</v>
      </c>
      <c r="E248" s="8">
        <f>IF('Items sous domaines Maths '!H252=2,'Items sous domaines Maths '!E252,0)</f>
        <v>0</v>
      </c>
      <c r="F248" s="9">
        <f>IF('Items sous domaines Maths '!H252=2,'Items sous domaines Maths '!F252,0)</f>
        <v>0</v>
      </c>
      <c r="G248">
        <f>IF('Items sous domaines Maths '!H252=2,'Items sous domaines Maths '!G252,0)</f>
        <v>0</v>
      </c>
    </row>
    <row r="249" spans="1:9" customFormat="1" ht="12.75" hidden="1" customHeight="1" thickBot="1" x14ac:dyDescent="0.3">
      <c r="B249" s="8">
        <f>IF('Items sous domaines Maths '!H253=2,'Items sous domaines Maths '!B253,0)</f>
        <v>0</v>
      </c>
      <c r="C249" s="8" t="b">
        <f>IF('Items sous domaines Maths '!H253=2,'Items sous domaines Maths '!C253)</f>
        <v>0</v>
      </c>
      <c r="D249" s="8">
        <f>IF('Items sous domaines Maths '!H253=2,'Items sous domaines Maths '!D253,0)</f>
        <v>0</v>
      </c>
      <c r="E249" s="8">
        <f>IF('Items sous domaines Maths '!H253=2,'Items sous domaines Maths '!E253,0)</f>
        <v>0</v>
      </c>
      <c r="F249" s="9">
        <f>IF('Items sous domaines Maths '!H253=2,'Items sous domaines Maths '!F253,0)</f>
        <v>0</v>
      </c>
      <c r="G249">
        <f>IF('Items sous domaines Maths '!H253=2,'Items sous domaines Maths '!G253,0)</f>
        <v>0</v>
      </c>
    </row>
    <row r="250" spans="1:9" customFormat="1" ht="12.75" hidden="1" customHeight="1" thickBot="1" x14ac:dyDescent="0.3">
      <c r="B250" s="8">
        <f>IF('Items sous domaines Maths '!H254=2,'Items sous domaines Maths '!B254,0)</f>
        <v>0</v>
      </c>
      <c r="C250" s="8" t="b">
        <f>IF('Items sous domaines Maths '!H254=2,'Items sous domaines Maths '!C254)</f>
        <v>0</v>
      </c>
      <c r="D250" s="8">
        <f>IF('Items sous domaines Maths '!H254=2,'Items sous domaines Maths '!D254,0)</f>
        <v>0</v>
      </c>
      <c r="E250" s="8">
        <f>IF('Items sous domaines Maths '!H254=2,'Items sous domaines Maths '!E254,0)</f>
        <v>0</v>
      </c>
      <c r="F250" s="9">
        <f>IF('Items sous domaines Maths '!H254=2,'Items sous domaines Maths '!F254,0)</f>
        <v>0</v>
      </c>
      <c r="G250">
        <f>IF('Items sous domaines Maths '!H254=2,'Items sous domaines Maths '!G254,0)</f>
        <v>0</v>
      </c>
    </row>
    <row r="251" spans="1:9" customFormat="1" ht="12.75" hidden="1" customHeight="1" thickBot="1" x14ac:dyDescent="0.3">
      <c r="B251" s="8">
        <f>IF('Items sous domaines Maths '!H255=2,'Items sous domaines Maths '!B255,0)</f>
        <v>0</v>
      </c>
      <c r="C251" s="8" t="b">
        <f>IF('Items sous domaines Maths '!H255=2,'Items sous domaines Maths '!C255)</f>
        <v>0</v>
      </c>
      <c r="D251" s="8">
        <f>IF('Items sous domaines Maths '!H255=2,'Items sous domaines Maths '!D255,0)</f>
        <v>0</v>
      </c>
      <c r="E251" s="8">
        <f>IF('Items sous domaines Maths '!H255=2,'Items sous domaines Maths '!E255,0)</f>
        <v>0</v>
      </c>
      <c r="F251" s="9">
        <f>IF('Items sous domaines Maths '!H255=2,'Items sous domaines Maths '!F255,0)</f>
        <v>0</v>
      </c>
      <c r="G251">
        <f>IF('Items sous domaines Maths '!H255=2,'Items sous domaines Maths '!G255,0)</f>
        <v>0</v>
      </c>
    </row>
    <row r="252" spans="1:9" ht="19.95" customHeight="1" thickTop="1" x14ac:dyDescent="0.25">
      <c r="A252" s="619" t="s">
        <v>847</v>
      </c>
      <c r="B252" s="181" t="str">
        <f>IF('Items sous domaines Maths '!H256=2,'Items sous domaines Maths '!B256,0)</f>
        <v>Analyse</v>
      </c>
      <c r="C252" s="182" t="str">
        <f>IF('Items sous domaines Maths '!H256=2,'Items sous domaines Maths '!C256)</f>
        <v>Integrales simples</v>
      </c>
      <c r="D252" s="182" t="str">
        <f>IF('Items sous domaines Maths '!H256=2,'Items sous domaines Maths '!D256,0)</f>
        <v>Intégrales généralisées</v>
      </c>
      <c r="E252" s="182">
        <f>IF('Items sous domaines Maths '!H256=2,'Items sous domaines Maths '!E256,0)</f>
        <v>0</v>
      </c>
      <c r="F252" s="183" t="str">
        <f>IF('Items sous domaines Maths '!H256=2,'Items sous domaines Maths '!F256,0)</f>
        <v>lien avec les suites/séries/Probabilités</v>
      </c>
      <c r="G252" s="648" t="s">
        <v>446</v>
      </c>
      <c r="H252" s="634" t="s">
        <v>461</v>
      </c>
      <c r="I252" s="178"/>
    </row>
    <row r="253" spans="1:9" ht="19.95" customHeight="1" thickBot="1" x14ac:dyDescent="0.3">
      <c r="A253" s="623"/>
      <c r="B253" s="186" t="str">
        <f>IF('Items sous domaines Maths '!H257=2,'Items sous domaines Maths '!B257,0)</f>
        <v>Analyse</v>
      </c>
      <c r="C253" s="187" t="str">
        <f>IF('Items sous domaines Maths '!H257=2,'Items sous domaines Maths '!C257)</f>
        <v>Integrales simples</v>
      </c>
      <c r="D253" s="187" t="str">
        <f>IF('Items sous domaines Maths '!H257=2,'Items sous domaines Maths '!D257,0)</f>
        <v>Intégrales curvilignes</v>
      </c>
      <c r="E253" s="187" t="str">
        <f>IF('Items sous domaines Maths '!H257=2,'Items sous domaines Maths '!E257,0)</f>
        <v>Application physique</v>
      </c>
      <c r="F253" s="188">
        <f>IF('Items sous domaines Maths '!H257=2,'Items sous domaines Maths '!F257,0)</f>
        <v>0</v>
      </c>
      <c r="G253" s="650"/>
      <c r="H253" s="637"/>
      <c r="I253" s="207" t="s">
        <v>22</v>
      </c>
    </row>
    <row r="254" spans="1:9" customFormat="1" ht="12.75" hidden="1" customHeight="1" thickTop="1" thickBot="1" x14ac:dyDescent="0.3">
      <c r="A254" s="664"/>
      <c r="B254">
        <f>IF('Items sous domaines Maths '!H258=2,'Items sous domaines Maths '!B258,0)</f>
        <v>0</v>
      </c>
      <c r="C254" t="b">
        <f>IF('Items sous domaines Maths '!H258=2,'Items sous domaines Maths '!C258)</f>
        <v>0</v>
      </c>
      <c r="D254">
        <f>IF('Items sous domaines Maths '!H258=2,'Items sous domaines Maths '!D258,0)</f>
        <v>0</v>
      </c>
      <c r="E254">
        <f>IF('Items sous domaines Maths '!H258=2,'Items sous domaines Maths '!E258,0)</f>
        <v>0</v>
      </c>
      <c r="F254" s="10">
        <f>IF('Items sous domaines Maths '!H258=2,'Items sous domaines Maths '!F258,0)</f>
        <v>0</v>
      </c>
      <c r="G254" s="651"/>
      <c r="H254" s="638"/>
    </row>
    <row r="255" spans="1:9" customFormat="1" ht="13.5" hidden="1" customHeight="1" thickBot="1" x14ac:dyDescent="0.3">
      <c r="A255" s="664"/>
      <c r="B255" s="8">
        <f>IF('Items sous domaines Maths '!H259=2,'Items sous domaines Maths '!B259,0)</f>
        <v>0</v>
      </c>
      <c r="C255" s="8" t="b">
        <f>IF('Items sous domaines Maths '!H259=2,'Items sous domaines Maths '!C259)</f>
        <v>0</v>
      </c>
      <c r="D255" s="8">
        <f>IF('Items sous domaines Maths '!H259=2,'Items sous domaines Maths '!D259,0)</f>
        <v>0</v>
      </c>
      <c r="E255" s="8">
        <f>IF('Items sous domaines Maths '!H259=2,'Items sous domaines Maths '!E259,0)</f>
        <v>0</v>
      </c>
      <c r="F255" s="9">
        <f>IF('Items sous domaines Maths '!H259=2,'Items sous domaines Maths '!F259,0)</f>
        <v>0</v>
      </c>
      <c r="G255" s="651"/>
      <c r="H255" s="638"/>
    </row>
    <row r="256" spans="1:9" ht="19.95" customHeight="1" thickTop="1" x14ac:dyDescent="0.25">
      <c r="A256" s="619"/>
      <c r="B256" s="181" t="str">
        <f>IF('Items sous domaines Maths '!H260=2,'Items sous domaines Maths '!B260,0)</f>
        <v>Analyse</v>
      </c>
      <c r="C256" s="182" t="str">
        <f>IF('Items sous domaines Maths '!H260=2,'Items sous domaines Maths '!C260)</f>
        <v>Integrales simples</v>
      </c>
      <c r="D256" s="182" t="str">
        <f>IF('Items sous domaines Maths '!H260=2,'Items sous domaines Maths '!D260,0)</f>
        <v>Méthodes exactes de calculs d'intégrales</v>
      </c>
      <c r="E256" s="182" t="str">
        <f>IF('Items sous domaines Maths '!H260=2,'Items sous domaines Maths '!E260,0)</f>
        <v>Intégration directe</v>
      </c>
      <c r="F256" s="183">
        <f>IF('Items sous domaines Maths '!H260=2,'Items sous domaines Maths '!F260,0)</f>
        <v>0</v>
      </c>
      <c r="G256" s="648"/>
      <c r="H256" s="634"/>
      <c r="I256" s="178"/>
    </row>
    <row r="257" spans="1:9" ht="19.95" customHeight="1" x14ac:dyDescent="0.25">
      <c r="A257" s="620"/>
      <c r="B257" s="141" t="str">
        <f>IF('Items sous domaines Maths '!H261=2,'Items sous domaines Maths '!B261,0)</f>
        <v>Analyse</v>
      </c>
      <c r="C257" s="142" t="str">
        <f>IF('Items sous domaines Maths '!H261=2,'Items sous domaines Maths '!C261)</f>
        <v>Integrales simples</v>
      </c>
      <c r="D257" s="142">
        <f>IF('Items sous domaines Maths '!H261=2,'Items sous domaines Maths '!D261,0)</f>
        <v>0</v>
      </c>
      <c r="E257" s="142" t="str">
        <f>IF('Items sous domaines Maths '!H261=2,'Items sous domaines Maths '!E261,0)</f>
        <v xml:space="preserve">Intégration par partie </v>
      </c>
      <c r="F257" s="143">
        <f>IF('Items sous domaines Maths '!H261=2,'Items sous domaines Maths '!F261,0)</f>
        <v>0</v>
      </c>
      <c r="G257" s="649"/>
      <c r="H257" s="638"/>
      <c r="I257" s="199"/>
    </row>
    <row r="258" spans="1:9" ht="19.95" customHeight="1" x14ac:dyDescent="0.25">
      <c r="A258" s="620"/>
      <c r="B258" s="144" t="str">
        <f>IF('Items sous domaines Maths '!H262=2,'Items sous domaines Maths '!B262,0)</f>
        <v>Analyse</v>
      </c>
      <c r="C258" s="145" t="str">
        <f>IF('Items sous domaines Maths '!H262=2,'Items sous domaines Maths '!C262)</f>
        <v>Integrales simples</v>
      </c>
      <c r="D258" s="145">
        <f>IF('Items sous domaines Maths '!H262=2,'Items sous domaines Maths '!D262,0)</f>
        <v>0</v>
      </c>
      <c r="E258" s="145" t="str">
        <f>IF('Items sous domaines Maths '!H262=2,'Items sous domaines Maths '!E262,0)</f>
        <v>Changement de variable</v>
      </c>
      <c r="F258" s="146">
        <f>IF('Items sous domaines Maths '!H262=2,'Items sous domaines Maths '!F262,0)</f>
        <v>0</v>
      </c>
      <c r="G258" s="649"/>
      <c r="H258" s="638"/>
      <c r="I258" s="199"/>
    </row>
    <row r="259" spans="1:9" ht="19.95" customHeight="1" x14ac:dyDescent="0.25">
      <c r="A259" s="620"/>
      <c r="B259" s="141" t="str">
        <f>IF('Items sous domaines Maths '!H263=2,'Items sous domaines Maths '!B263,0)</f>
        <v>Analyse</v>
      </c>
      <c r="C259" s="142" t="str">
        <f>IF('Items sous domaines Maths '!H263=2,'Items sous domaines Maths '!C263)</f>
        <v>Integrales simples</v>
      </c>
      <c r="D259" s="142">
        <f>IF('Items sous domaines Maths '!H263=2,'Items sous domaines Maths '!D263,0)</f>
        <v>0</v>
      </c>
      <c r="E259" s="142" t="str">
        <f>IF('Items sous domaines Maths '!H263=2,'Items sous domaines Maths '!E263,0)</f>
        <v>Décomposition en éléments simples (fractions rationnelles)</v>
      </c>
      <c r="F259" s="143">
        <f>IF('Items sous domaines Maths '!H263=2,'Items sous domaines Maths '!F263,0)</f>
        <v>0</v>
      </c>
      <c r="G259" s="649"/>
      <c r="H259" s="638"/>
      <c r="I259" s="199"/>
    </row>
    <row r="260" spans="1:9" ht="19.95" customHeight="1" x14ac:dyDescent="0.25">
      <c r="A260" s="620"/>
      <c r="B260" s="144" t="str">
        <f>IF('Items sous domaines Maths '!H264=2,'Items sous domaines Maths '!B264,0)</f>
        <v>Analyse</v>
      </c>
      <c r="C260" s="145" t="str">
        <f>IF('Items sous domaines Maths '!H264=2,'Items sous domaines Maths '!C264)</f>
        <v>Integrales simples</v>
      </c>
      <c r="D260" s="145" t="str">
        <f>IF('Items sous domaines Maths '!H264=2,'Items sous domaines Maths '!D264,0)</f>
        <v>Méthodes approchées de calculs d'intégrales</v>
      </c>
      <c r="E260" s="145" t="str">
        <f>IF('Items sous domaines Maths '!H264=2,'Items sous domaines Maths '!E264,0)</f>
        <v>Méthode des rectangles (Sommes de Riemann)</v>
      </c>
      <c r="F260" s="146">
        <f>IF('Items sous domaines Maths '!H264=2,'Items sous domaines Maths '!F264,0)</f>
        <v>0</v>
      </c>
      <c r="G260" s="649"/>
      <c r="H260" s="638"/>
      <c r="I260" s="199"/>
    </row>
    <row r="261" spans="1:9" ht="19.95" customHeight="1" x14ac:dyDescent="0.25">
      <c r="A261" s="620"/>
      <c r="B261" s="141" t="str">
        <f>IF('Items sous domaines Maths '!H265=2,'Items sous domaines Maths '!B265,0)</f>
        <v>Analyse</v>
      </c>
      <c r="C261" s="142" t="str">
        <f>IF('Items sous domaines Maths '!H265=2,'Items sous domaines Maths '!C265)</f>
        <v>Integrales simples</v>
      </c>
      <c r="D261" s="142">
        <f>IF('Items sous domaines Maths '!H265=2,'Items sous domaines Maths '!D265,0)</f>
        <v>0</v>
      </c>
      <c r="E261" s="142" t="str">
        <f>IF('Items sous domaines Maths '!H265=2,'Items sous domaines Maths '!E265,0)</f>
        <v>Méthode des trapèzes</v>
      </c>
      <c r="F261" s="143">
        <f>IF('Items sous domaines Maths '!H265=2,'Items sous domaines Maths '!F265,0)</f>
        <v>0</v>
      </c>
      <c r="G261" s="649"/>
      <c r="H261" s="638"/>
      <c r="I261" s="199"/>
    </row>
    <row r="262" spans="1:9" ht="19.95" customHeight="1" thickBot="1" x14ac:dyDescent="0.3">
      <c r="A262" s="623"/>
      <c r="B262" s="192" t="str">
        <f>IF('Items sous domaines Maths '!H266=2,'Items sous domaines Maths '!B266,0)</f>
        <v>Analyse</v>
      </c>
      <c r="C262" s="193" t="str">
        <f>IF('Items sous domaines Maths '!H266=2,'Items sous domaines Maths '!C266)</f>
        <v>Integrales simples</v>
      </c>
      <c r="D262" s="193">
        <f>IF('Items sous domaines Maths '!H266=2,'Items sous domaines Maths '!D266,0)</f>
        <v>0</v>
      </c>
      <c r="E262" s="193" t="str">
        <f>IF('Items sous domaines Maths '!H266=2,'Items sous domaines Maths '!E266,0)</f>
        <v>Méthode de Simpson</v>
      </c>
      <c r="F262" s="194">
        <f>IF('Items sous domaines Maths '!H266=2,'Items sous domaines Maths '!F266,0)</f>
        <v>0</v>
      </c>
      <c r="G262" s="650"/>
      <c r="H262" s="637"/>
      <c r="I262" s="189"/>
    </row>
    <row r="263" spans="1:9" customFormat="1" ht="12.75" hidden="1" customHeight="1" thickTop="1" thickBot="1" x14ac:dyDescent="0.3">
      <c r="B263">
        <f>IF('Items sous domaines Maths '!H267=2,'Items sous domaines Maths '!B267,0)</f>
        <v>0</v>
      </c>
      <c r="C263" t="b">
        <f>IF('Items sous domaines Maths '!H267=2,'Items sous domaines Maths '!C267)</f>
        <v>0</v>
      </c>
      <c r="D263">
        <f>IF('Items sous domaines Maths '!H267=2,'Items sous domaines Maths '!D267,0)</f>
        <v>0</v>
      </c>
      <c r="E263">
        <f>IF('Items sous domaines Maths '!H267=2,'Items sous domaines Maths '!E267,0)</f>
        <v>0</v>
      </c>
      <c r="F263" s="10">
        <f>IF('Items sous domaines Maths '!H267=2,'Items sous domaines Maths '!F267,0)</f>
        <v>0</v>
      </c>
      <c r="G263">
        <f>IF('Items sous domaines Maths '!H267=2,'Items sous domaines Maths '!G267,0)</f>
        <v>0</v>
      </c>
    </row>
    <row r="264" spans="1:9" customFormat="1" ht="12.75" hidden="1" customHeight="1" thickBot="1" x14ac:dyDescent="0.3">
      <c r="B264" s="8">
        <f>IF('Items sous domaines Maths '!H268=2,'Items sous domaines Maths '!B268,0)</f>
        <v>0</v>
      </c>
      <c r="C264" s="8" t="b">
        <f>IF('Items sous domaines Maths '!H268=2,'Items sous domaines Maths '!C268)</f>
        <v>0</v>
      </c>
      <c r="D264" s="8">
        <f>IF('Items sous domaines Maths '!H268=2,'Items sous domaines Maths '!D268,0)</f>
        <v>0</v>
      </c>
      <c r="E264" s="8">
        <f>IF('Items sous domaines Maths '!H268=2,'Items sous domaines Maths '!E268,0)</f>
        <v>0</v>
      </c>
      <c r="F264" s="9">
        <f>IF('Items sous domaines Maths '!H268=2,'Items sous domaines Maths '!F268,0)</f>
        <v>0</v>
      </c>
      <c r="G264">
        <f>IF('Items sous domaines Maths '!H268=2,'Items sous domaines Maths '!G268,0)</f>
        <v>0</v>
      </c>
    </row>
    <row r="265" spans="1:9" customFormat="1" ht="12.75" hidden="1" customHeight="1" thickBot="1" x14ac:dyDescent="0.3">
      <c r="B265" s="8">
        <f>IF('Items sous domaines Maths '!H269=2,'Items sous domaines Maths '!B269,0)</f>
        <v>0</v>
      </c>
      <c r="C265" s="8" t="b">
        <f>IF('Items sous domaines Maths '!H269=2,'Items sous domaines Maths '!C269)</f>
        <v>0</v>
      </c>
      <c r="D265" s="8">
        <f>IF('Items sous domaines Maths '!H269=2,'Items sous domaines Maths '!D269,0)</f>
        <v>0</v>
      </c>
      <c r="E265" s="8">
        <f>IF('Items sous domaines Maths '!H269=2,'Items sous domaines Maths '!E269,0)</f>
        <v>0</v>
      </c>
      <c r="F265" s="9">
        <f>IF('Items sous domaines Maths '!H269=2,'Items sous domaines Maths '!F269,0)</f>
        <v>0</v>
      </c>
      <c r="G265">
        <f>IF('Items sous domaines Maths '!H269=2,'Items sous domaines Maths '!G269,0)</f>
        <v>0</v>
      </c>
    </row>
    <row r="266" spans="1:9" customFormat="1" ht="12.75" hidden="1" customHeight="1" thickBot="1" x14ac:dyDescent="0.3">
      <c r="B266" s="8">
        <f>IF('Items sous domaines Maths '!H270=2,'Items sous domaines Maths '!B270,0)</f>
        <v>0</v>
      </c>
      <c r="C266" s="8" t="b">
        <f>IF('Items sous domaines Maths '!H270=2,'Items sous domaines Maths '!C270)</f>
        <v>0</v>
      </c>
      <c r="D266" s="8">
        <f>IF('Items sous domaines Maths '!H270=2,'Items sous domaines Maths '!D270,0)</f>
        <v>0</v>
      </c>
      <c r="E266" s="8">
        <f>IF('Items sous domaines Maths '!H270=2,'Items sous domaines Maths '!E270,0)</f>
        <v>0</v>
      </c>
      <c r="F266" s="9">
        <f>IF('Items sous domaines Maths '!H270=2,'Items sous domaines Maths '!F270,0)</f>
        <v>0</v>
      </c>
      <c r="G266">
        <f>IF('Items sous domaines Maths '!H270=2,'Items sous domaines Maths '!G270,0)</f>
        <v>0</v>
      </c>
    </row>
    <row r="267" spans="1:9" customFormat="1" ht="12.75" hidden="1" customHeight="1" thickBot="1" x14ac:dyDescent="0.3">
      <c r="B267" s="8">
        <f>IF('Items sous domaines Maths '!H271=2,'Items sous domaines Maths '!B271,0)</f>
        <v>0</v>
      </c>
      <c r="C267" s="8" t="b">
        <f>IF('Items sous domaines Maths '!H271=2,'Items sous domaines Maths '!C271)</f>
        <v>0</v>
      </c>
      <c r="D267" s="8">
        <f>IF('Items sous domaines Maths '!H271=2,'Items sous domaines Maths '!D271,0)</f>
        <v>0</v>
      </c>
      <c r="E267" s="8">
        <f>IF('Items sous domaines Maths '!H271=2,'Items sous domaines Maths '!E271,0)</f>
        <v>0</v>
      </c>
      <c r="F267" s="9">
        <f>IF('Items sous domaines Maths '!H271=2,'Items sous domaines Maths '!F271,0)</f>
        <v>0</v>
      </c>
      <c r="G267">
        <f>IF('Items sous domaines Maths '!H271=2,'Items sous domaines Maths '!G271,0)</f>
        <v>0</v>
      </c>
    </row>
    <row r="268" spans="1:9" customFormat="1" ht="12.75" hidden="1" customHeight="1" thickBot="1" x14ac:dyDescent="0.3">
      <c r="B268" s="8">
        <f>IF('Items sous domaines Maths '!H272=2,'Items sous domaines Maths '!B272,0)</f>
        <v>0</v>
      </c>
      <c r="C268" s="8" t="b">
        <f>IF('Items sous domaines Maths '!H272=2,'Items sous domaines Maths '!C272)</f>
        <v>0</v>
      </c>
      <c r="D268" s="8">
        <f>IF('Items sous domaines Maths '!H272=2,'Items sous domaines Maths '!D272,0)</f>
        <v>0</v>
      </c>
      <c r="E268" s="8">
        <f>IF('Items sous domaines Maths '!H272=2,'Items sous domaines Maths '!E272,0)</f>
        <v>0</v>
      </c>
      <c r="F268" s="9">
        <f>IF('Items sous domaines Maths '!H272=2,'Items sous domaines Maths '!F272,0)</f>
        <v>0</v>
      </c>
      <c r="G268">
        <f>IF('Items sous domaines Maths '!H272=2,'Items sous domaines Maths '!G272,0)</f>
        <v>0</v>
      </c>
    </row>
    <row r="269" spans="1:9" customFormat="1" ht="12.75" hidden="1" customHeight="1" thickBot="1" x14ac:dyDescent="0.3">
      <c r="B269" s="8">
        <f>IF('Items sous domaines Maths '!H273=2,'Items sous domaines Maths '!B273,0)</f>
        <v>0</v>
      </c>
      <c r="C269" s="8" t="b">
        <f>IF('Items sous domaines Maths '!H273=2,'Items sous domaines Maths '!C273)</f>
        <v>0</v>
      </c>
      <c r="D269" s="8">
        <f>IF('Items sous domaines Maths '!H273=2,'Items sous domaines Maths '!D273,0)</f>
        <v>0</v>
      </c>
      <c r="E269" s="8">
        <f>IF('Items sous domaines Maths '!H273=2,'Items sous domaines Maths '!E273,0)</f>
        <v>0</v>
      </c>
      <c r="F269" s="9">
        <f>IF('Items sous domaines Maths '!H273=2,'Items sous domaines Maths '!F273,0)</f>
        <v>0</v>
      </c>
      <c r="G269">
        <f>IF('Items sous domaines Maths '!H273=2,'Items sous domaines Maths '!G273,0)</f>
        <v>0</v>
      </c>
    </row>
    <row r="270" spans="1:9" customFormat="1" ht="12.75" hidden="1" customHeight="1" thickBot="1" x14ac:dyDescent="0.3">
      <c r="B270" s="8">
        <f>IF('Items sous domaines Maths '!H274=2,'Items sous domaines Maths '!B274,0)</f>
        <v>0</v>
      </c>
      <c r="C270" s="8" t="b">
        <f>IF('Items sous domaines Maths '!H274=2,'Items sous domaines Maths '!C274)</f>
        <v>0</v>
      </c>
      <c r="D270" s="8">
        <f>IF('Items sous domaines Maths '!H274=2,'Items sous domaines Maths '!D274,0)</f>
        <v>0</v>
      </c>
      <c r="E270" s="8">
        <f>IF('Items sous domaines Maths '!H274=2,'Items sous domaines Maths '!E274,0)</f>
        <v>0</v>
      </c>
      <c r="F270" s="9">
        <f>IF('Items sous domaines Maths '!H274=2,'Items sous domaines Maths '!F274,0)</f>
        <v>0</v>
      </c>
      <c r="G270">
        <f>IF('Items sous domaines Maths '!H274=2,'Items sous domaines Maths '!G274,0)</f>
        <v>0</v>
      </c>
    </row>
    <row r="271" spans="1:9" customFormat="1" ht="12.75" hidden="1" customHeight="1" thickBot="1" x14ac:dyDescent="0.3">
      <c r="B271" s="8">
        <f>IF('Items sous domaines Maths '!H275=2,'Items sous domaines Maths '!B275,0)</f>
        <v>0</v>
      </c>
      <c r="C271" s="8" t="b">
        <f>IF('Items sous domaines Maths '!H275=2,'Items sous domaines Maths '!C275)</f>
        <v>0</v>
      </c>
      <c r="D271" s="8">
        <f>IF('Items sous domaines Maths '!H275=2,'Items sous domaines Maths '!D275,0)</f>
        <v>0</v>
      </c>
      <c r="E271" s="8">
        <f>IF('Items sous domaines Maths '!H275=2,'Items sous domaines Maths '!E275,0)</f>
        <v>0</v>
      </c>
      <c r="F271" s="9">
        <f>IF('Items sous domaines Maths '!H275=2,'Items sous domaines Maths '!F275,0)</f>
        <v>0</v>
      </c>
      <c r="G271">
        <f>IF('Items sous domaines Maths '!H275=2,'Items sous domaines Maths '!G275,0)</f>
        <v>0</v>
      </c>
    </row>
    <row r="272" spans="1:9" customFormat="1" ht="12.75" hidden="1" customHeight="1" thickBot="1" x14ac:dyDescent="0.3">
      <c r="B272" s="8">
        <f>IF('Items sous domaines Maths '!H276=2,'Items sous domaines Maths '!B276,0)</f>
        <v>0</v>
      </c>
      <c r="C272" s="8" t="b">
        <f>IF('Items sous domaines Maths '!H276=2,'Items sous domaines Maths '!C276)</f>
        <v>0</v>
      </c>
      <c r="D272" s="8">
        <f>IF('Items sous domaines Maths '!H276=2,'Items sous domaines Maths '!D276,0)</f>
        <v>0</v>
      </c>
      <c r="E272" s="8">
        <f>IF('Items sous domaines Maths '!H276=2,'Items sous domaines Maths '!E276,0)</f>
        <v>0</v>
      </c>
      <c r="F272" s="9">
        <f>IF('Items sous domaines Maths '!H276=2,'Items sous domaines Maths '!F276,0)</f>
        <v>0</v>
      </c>
      <c r="G272">
        <f>IF('Items sous domaines Maths '!H276=2,'Items sous domaines Maths '!G276,0)</f>
        <v>0</v>
      </c>
    </row>
    <row r="273" spans="1:9" customFormat="1" ht="12.75" hidden="1" customHeight="1" thickBot="1" x14ac:dyDescent="0.3">
      <c r="B273" s="8">
        <f>IF('Items sous domaines Maths '!H277=2,'Items sous domaines Maths '!B277,0)</f>
        <v>0</v>
      </c>
      <c r="C273" s="8" t="b">
        <f>IF('Items sous domaines Maths '!H277=2,'Items sous domaines Maths '!C277)</f>
        <v>0</v>
      </c>
      <c r="D273" s="8">
        <f>IF('Items sous domaines Maths '!H277=2,'Items sous domaines Maths '!D277,0)</f>
        <v>0</v>
      </c>
      <c r="E273" s="8">
        <f>IF('Items sous domaines Maths '!H277=2,'Items sous domaines Maths '!E277,0)</f>
        <v>0</v>
      </c>
      <c r="F273" s="9">
        <f>IF('Items sous domaines Maths '!H277=2,'Items sous domaines Maths '!F277,0)</f>
        <v>0</v>
      </c>
      <c r="G273">
        <f>IF('Items sous domaines Maths '!H277=2,'Items sous domaines Maths '!G277,0)</f>
        <v>0</v>
      </c>
    </row>
    <row r="274" spans="1:9" customFormat="1" ht="12.75" hidden="1" customHeight="1" thickBot="1" x14ac:dyDescent="0.3">
      <c r="B274" s="8">
        <f>IF('Items sous domaines Maths '!H278=2,'Items sous domaines Maths '!B278,0)</f>
        <v>0</v>
      </c>
      <c r="C274" s="8" t="b">
        <f>IF('Items sous domaines Maths '!H278=2,'Items sous domaines Maths '!C278)</f>
        <v>0</v>
      </c>
      <c r="D274" s="8">
        <f>IF('Items sous domaines Maths '!H278=2,'Items sous domaines Maths '!D278,0)</f>
        <v>0</v>
      </c>
      <c r="E274" s="8">
        <f>IF('Items sous domaines Maths '!H278=2,'Items sous domaines Maths '!E278,0)</f>
        <v>0</v>
      </c>
      <c r="F274" s="9">
        <f>IF('Items sous domaines Maths '!H278=2,'Items sous domaines Maths '!F278,0)</f>
        <v>0</v>
      </c>
      <c r="G274">
        <f>IF('Items sous domaines Maths '!H278=2,'Items sous domaines Maths '!G278,0)</f>
        <v>0</v>
      </c>
    </row>
    <row r="275" spans="1:9" customFormat="1" ht="12.75" hidden="1" customHeight="1" thickBot="1" x14ac:dyDescent="0.3">
      <c r="B275" s="8">
        <f>IF('Items sous domaines Maths '!H279=2,'Items sous domaines Maths '!B279,0)</f>
        <v>0</v>
      </c>
      <c r="C275" s="8" t="b">
        <f>IF('Items sous domaines Maths '!H279=2,'Items sous domaines Maths '!C279)</f>
        <v>0</v>
      </c>
      <c r="D275" s="8">
        <f>IF('Items sous domaines Maths '!H279=2,'Items sous domaines Maths '!D279,0)</f>
        <v>0</v>
      </c>
      <c r="E275" s="8">
        <f>IF('Items sous domaines Maths '!H279=2,'Items sous domaines Maths '!E279,0)</f>
        <v>0</v>
      </c>
      <c r="F275" s="9">
        <f>IF('Items sous domaines Maths '!H279=2,'Items sous domaines Maths '!F279,0)</f>
        <v>0</v>
      </c>
      <c r="G275">
        <f>IF('Items sous domaines Maths '!H279=2,'Items sous domaines Maths '!G279,0)</f>
        <v>0</v>
      </c>
    </row>
    <row r="276" spans="1:9" customFormat="1" ht="12.75" hidden="1" customHeight="1" thickBot="1" x14ac:dyDescent="0.3">
      <c r="B276" s="8">
        <f>IF('Items sous domaines Maths '!H280=2,'Items sous domaines Maths '!B280,0)</f>
        <v>0</v>
      </c>
      <c r="C276" s="8" t="b">
        <f>IF('Items sous domaines Maths '!H280=2,'Items sous domaines Maths '!C280)</f>
        <v>0</v>
      </c>
      <c r="D276" s="8">
        <f>IF('Items sous domaines Maths '!H280=2,'Items sous domaines Maths '!D280,0)</f>
        <v>0</v>
      </c>
      <c r="E276" s="8">
        <f>IF('Items sous domaines Maths '!H280=2,'Items sous domaines Maths '!E280,0)</f>
        <v>0</v>
      </c>
      <c r="F276" s="9">
        <f>IF('Items sous domaines Maths '!H280=2,'Items sous domaines Maths '!F280,0)</f>
        <v>0</v>
      </c>
      <c r="G276">
        <f>IF('Items sous domaines Maths '!H280=2,'Items sous domaines Maths '!G280,0)</f>
        <v>0</v>
      </c>
    </row>
    <row r="277" spans="1:9" customFormat="1" ht="12.75" hidden="1" customHeight="1" thickBot="1" x14ac:dyDescent="0.3">
      <c r="B277" s="8">
        <f>IF('Items sous domaines Maths '!H281=2,'Items sous domaines Maths '!B281,0)</f>
        <v>0</v>
      </c>
      <c r="C277" s="8" t="b">
        <f>IF('Items sous domaines Maths '!H281=2,'Items sous domaines Maths '!C281)</f>
        <v>0</v>
      </c>
      <c r="D277" s="8">
        <f>IF('Items sous domaines Maths '!H281=2,'Items sous domaines Maths '!D281,0)</f>
        <v>0</v>
      </c>
      <c r="E277" s="8">
        <f>IF('Items sous domaines Maths '!H281=2,'Items sous domaines Maths '!E281,0)</f>
        <v>0</v>
      </c>
      <c r="F277" s="9">
        <f>IF('Items sous domaines Maths '!H281=2,'Items sous domaines Maths '!F281,0)</f>
        <v>0</v>
      </c>
      <c r="G277">
        <f>IF('Items sous domaines Maths '!H281=2,'Items sous domaines Maths '!G281,0)</f>
        <v>0</v>
      </c>
    </row>
    <row r="278" spans="1:9" customFormat="1" ht="12.75" hidden="1" customHeight="1" thickBot="1" x14ac:dyDescent="0.3">
      <c r="B278" s="8">
        <f>IF('Items sous domaines Maths '!H282=2,'Items sous domaines Maths '!B282,0)</f>
        <v>0</v>
      </c>
      <c r="C278" s="8" t="b">
        <f>IF('Items sous domaines Maths '!H282=2,'Items sous domaines Maths '!C282)</f>
        <v>0</v>
      </c>
      <c r="D278" s="8">
        <f>IF('Items sous domaines Maths '!H282=2,'Items sous domaines Maths '!D282,0)</f>
        <v>0</v>
      </c>
      <c r="E278" s="8">
        <f>IF('Items sous domaines Maths '!H282=2,'Items sous domaines Maths '!E282,0)</f>
        <v>0</v>
      </c>
      <c r="F278" s="9">
        <f>IF('Items sous domaines Maths '!H282=2,'Items sous domaines Maths '!F282,0)</f>
        <v>0</v>
      </c>
      <c r="G278">
        <f>IF('Items sous domaines Maths '!H282=2,'Items sous domaines Maths '!G282,0)</f>
        <v>0</v>
      </c>
    </row>
    <row r="279" spans="1:9" customFormat="1" ht="12.75" hidden="1" customHeight="1" thickBot="1" x14ac:dyDescent="0.3">
      <c r="A279" s="598" t="s">
        <v>430</v>
      </c>
      <c r="B279" s="8">
        <f>IF('Items sous domaines Maths '!H283=2,'Items sous domaines Maths '!B283,0)</f>
        <v>0</v>
      </c>
      <c r="C279" s="8" t="b">
        <f>IF('Items sous domaines Maths '!H283=2,'Items sous domaines Maths '!C283)</f>
        <v>0</v>
      </c>
      <c r="D279" s="8">
        <f>IF('Items sous domaines Maths '!H283=2,'Items sous domaines Maths '!D283,0)</f>
        <v>0</v>
      </c>
      <c r="E279" s="8">
        <f>IF('Items sous domaines Maths '!H283=2,'Items sous domaines Maths '!E283,0)</f>
        <v>0</v>
      </c>
      <c r="F279" s="9">
        <f>IF('Items sous domaines Maths '!H283=2,'Items sous domaines Maths '!F283,0)</f>
        <v>0</v>
      </c>
      <c r="G279">
        <f>IF('Items sous domaines Maths '!H283=2,'Items sous domaines Maths '!G283,0)</f>
        <v>0</v>
      </c>
    </row>
    <row r="280" spans="1:9" customFormat="1" ht="12.75" hidden="1" customHeight="1" thickBot="1" x14ac:dyDescent="0.3">
      <c r="A280" s="598"/>
      <c r="B280" s="8">
        <f>IF('Items sous domaines Maths '!H284=2,'Items sous domaines Maths '!B284,0)</f>
        <v>0</v>
      </c>
      <c r="C280" s="8" t="b">
        <f>IF('Items sous domaines Maths '!H284=2,'Items sous domaines Maths '!C284)</f>
        <v>0</v>
      </c>
      <c r="D280" s="8">
        <f>IF('Items sous domaines Maths '!H284=2,'Items sous domaines Maths '!D284,0)</f>
        <v>0</v>
      </c>
      <c r="E280" s="8">
        <f>IF('Items sous domaines Maths '!H284=2,'Items sous domaines Maths '!E284,0)</f>
        <v>0</v>
      </c>
      <c r="F280" s="9">
        <f>IF('Items sous domaines Maths '!H284=2,'Items sous domaines Maths '!F284,0)</f>
        <v>0</v>
      </c>
      <c r="G280">
        <f>IF('Items sous domaines Maths '!H284=2,'Items sous domaines Maths '!G284,0)</f>
        <v>0</v>
      </c>
    </row>
    <row r="281" spans="1:9" customFormat="1" ht="17.399999999999999" hidden="1" customHeight="1" thickBot="1" x14ac:dyDescent="0.3">
      <c r="A281" s="598"/>
      <c r="B281" s="8">
        <f>IF('Items sous domaines Maths '!H285=2,'Items sous domaines Maths '!B285,0)</f>
        <v>0</v>
      </c>
      <c r="C281" s="8" t="b">
        <f>IF('Items sous domaines Maths '!H285=2,'Items sous domaines Maths '!C285)</f>
        <v>0</v>
      </c>
      <c r="D281" s="8">
        <f>IF('Items sous domaines Maths '!H285=2,'Items sous domaines Maths '!D285,0)</f>
        <v>0</v>
      </c>
      <c r="E281" s="8">
        <f>IF('Items sous domaines Maths '!H285=2,'Items sous domaines Maths '!E285,0)</f>
        <v>0</v>
      </c>
      <c r="F281" s="9">
        <f>IF('Items sous domaines Maths '!H285=2,'Items sous domaines Maths '!F285,0)</f>
        <v>0</v>
      </c>
      <c r="G281">
        <f>IF('Items sous domaines Maths '!H285=2,'Items sous domaines Maths '!G285,0)</f>
        <v>0</v>
      </c>
    </row>
    <row r="282" spans="1:9" customFormat="1" ht="17.399999999999999" hidden="1" customHeight="1" thickBot="1" x14ac:dyDescent="0.3">
      <c r="A282" s="598"/>
      <c r="B282" s="8">
        <f>IF('Items sous domaines Maths '!H286=2,'Items sous domaines Maths '!B286,0)</f>
        <v>0</v>
      </c>
      <c r="C282" s="8" t="b">
        <f>IF('Items sous domaines Maths '!H286=2,'Items sous domaines Maths '!C286)</f>
        <v>0</v>
      </c>
      <c r="D282" s="8">
        <f>IF('Items sous domaines Maths '!H286=2,'Items sous domaines Maths '!D286,0)</f>
        <v>0</v>
      </c>
      <c r="E282" s="8">
        <f>IF('Items sous domaines Maths '!H286=2,'Items sous domaines Maths '!E286,0)</f>
        <v>0</v>
      </c>
      <c r="F282" s="9">
        <f>IF('Items sous domaines Maths '!H286=2,'Items sous domaines Maths '!F286,0)</f>
        <v>0</v>
      </c>
      <c r="G282">
        <f>IF('Items sous domaines Maths '!H286=2,'Items sous domaines Maths '!G286,0)</f>
        <v>0</v>
      </c>
    </row>
    <row r="283" spans="1:9" customFormat="1" ht="17.399999999999999" hidden="1" customHeight="1" thickBot="1" x14ac:dyDescent="0.3">
      <c r="A283" s="598"/>
      <c r="B283" s="8">
        <f>IF('Items sous domaines Maths '!H287=2,'Items sous domaines Maths '!B287,0)</f>
        <v>0</v>
      </c>
      <c r="C283" s="8" t="b">
        <f>IF('Items sous domaines Maths '!H287=2,'Items sous domaines Maths '!C287)</f>
        <v>0</v>
      </c>
      <c r="D283" s="8">
        <f>IF('Items sous domaines Maths '!H287=2,'Items sous domaines Maths '!D287,0)</f>
        <v>0</v>
      </c>
      <c r="E283" s="8">
        <f>IF('Items sous domaines Maths '!H287=2,'Items sous domaines Maths '!E287,0)</f>
        <v>0</v>
      </c>
      <c r="F283" s="9">
        <f>IF('Items sous domaines Maths '!H287=2,'Items sous domaines Maths '!F287,0)</f>
        <v>0</v>
      </c>
      <c r="G283">
        <f>IF('Items sous domaines Maths '!H287=2,'Items sous domaines Maths '!G287,0)</f>
        <v>0</v>
      </c>
    </row>
    <row r="284" spans="1:9" customFormat="1" ht="17.399999999999999" hidden="1" customHeight="1" thickBot="1" x14ac:dyDescent="0.3">
      <c r="A284" s="598"/>
      <c r="B284" s="8">
        <f>IF('Items sous domaines Maths '!H288=2,'Items sous domaines Maths '!B288,0)</f>
        <v>0</v>
      </c>
      <c r="C284" s="8" t="b">
        <f>IF('Items sous domaines Maths '!H288=2,'Items sous domaines Maths '!C288)</f>
        <v>0</v>
      </c>
      <c r="D284" s="8">
        <f>IF('Items sous domaines Maths '!H288=2,'Items sous domaines Maths '!D288,0)</f>
        <v>0</v>
      </c>
      <c r="E284" s="8">
        <f>IF('Items sous domaines Maths '!H288=2,'Items sous domaines Maths '!E288,0)</f>
        <v>0</v>
      </c>
      <c r="F284" s="9">
        <f>IF('Items sous domaines Maths '!H288=2,'Items sous domaines Maths '!F288,0)</f>
        <v>0</v>
      </c>
      <c r="G284">
        <f>IF('Items sous domaines Maths '!H288=2,'Items sous domaines Maths '!G288,0)</f>
        <v>0</v>
      </c>
    </row>
    <row r="285" spans="1:9" customFormat="1" ht="17.399999999999999" hidden="1" customHeight="1" thickBot="1" x14ac:dyDescent="0.3">
      <c r="A285" s="598"/>
      <c r="B285" s="8">
        <f>IF('Items sous domaines Maths '!H289=2,'Items sous domaines Maths '!B289,0)</f>
        <v>0</v>
      </c>
      <c r="C285" s="8" t="b">
        <f>IF('Items sous domaines Maths '!H289=2,'Items sous domaines Maths '!C289)</f>
        <v>0</v>
      </c>
      <c r="D285" s="8">
        <f>IF('Items sous domaines Maths '!H289=2,'Items sous domaines Maths '!D289,0)</f>
        <v>0</v>
      </c>
      <c r="E285" s="8">
        <f>IF('Items sous domaines Maths '!H289=2,'Items sous domaines Maths '!E289,0)</f>
        <v>0</v>
      </c>
      <c r="F285" s="9">
        <f>IF('Items sous domaines Maths '!H289=2,'Items sous domaines Maths '!F289,0)</f>
        <v>0</v>
      </c>
      <c r="G285">
        <f>IF('Items sous domaines Maths '!H289=2,'Items sous domaines Maths '!G289,0)</f>
        <v>0</v>
      </c>
    </row>
    <row r="286" spans="1:9" customFormat="1" ht="17.399999999999999" hidden="1" customHeight="1" thickBot="1" x14ac:dyDescent="0.3">
      <c r="A286" s="598"/>
      <c r="B286" s="8">
        <f>IF('Items sous domaines Maths '!H290=2,'Items sous domaines Maths '!B290,0)</f>
        <v>0</v>
      </c>
      <c r="C286" s="8" t="b">
        <f>IF('Items sous domaines Maths '!H290=2,'Items sous domaines Maths '!C290)</f>
        <v>0</v>
      </c>
      <c r="D286" s="8">
        <f>IF('Items sous domaines Maths '!H290=2,'Items sous domaines Maths '!D290,0)</f>
        <v>0</v>
      </c>
      <c r="E286" s="8">
        <f>IF('Items sous domaines Maths '!H290=2,'Items sous domaines Maths '!E290,0)</f>
        <v>0</v>
      </c>
      <c r="F286" s="9">
        <f>IF('Items sous domaines Maths '!H290=2,'Items sous domaines Maths '!F290,0)</f>
        <v>0</v>
      </c>
      <c r="G286">
        <f>IF('Items sous domaines Maths '!H290=2,'Items sous domaines Maths '!G290,0)</f>
        <v>0</v>
      </c>
    </row>
    <row r="287" spans="1:9" ht="19.95" customHeight="1" thickTop="1" x14ac:dyDescent="0.25">
      <c r="A287" s="619" t="s">
        <v>847</v>
      </c>
      <c r="B287" s="181" t="str">
        <f>IF('Items sous domaines Maths '!H291=2,'Items sous domaines Maths '!B291,0)</f>
        <v>Analyse</v>
      </c>
      <c r="C287" s="182" t="str">
        <f>IF('Items sous domaines Maths '!H291=2,'Items sous domaines Maths '!C291)</f>
        <v>Les équations différentielles</v>
      </c>
      <c r="D287" s="182">
        <f>IF('Items sous domaines Maths '!H291=2,'Items sous domaines Maths '!D291,0)</f>
        <v>0</v>
      </c>
      <c r="E287" s="182" t="str">
        <f>IF('Items sous domaines Maths '!H291=2,'Items sous domaines Maths '!E291,0)</f>
        <v>Méthode de variation de la constante</v>
      </c>
      <c r="F287" s="183">
        <f>IF('Items sous domaines Maths '!H291=2,'Items sous domaines Maths '!F291,0)</f>
        <v>0</v>
      </c>
      <c r="G287" s="648" t="s">
        <v>446</v>
      </c>
      <c r="H287" s="639" t="s">
        <v>288</v>
      </c>
      <c r="I287" s="184" t="s">
        <v>22</v>
      </c>
    </row>
    <row r="288" spans="1:9" ht="19.95" customHeight="1" x14ac:dyDescent="0.25">
      <c r="A288" s="620"/>
      <c r="B288" s="141" t="str">
        <f>IF('Items sous domaines Maths '!H292=2,'Items sous domaines Maths '!B292,0)</f>
        <v>Analyse</v>
      </c>
      <c r="C288" s="142" t="str">
        <f>IF('Items sous domaines Maths '!H292=2,'Items sous domaines Maths '!C292)</f>
        <v>Les équations différentielles</v>
      </c>
      <c r="D288" s="142" t="str">
        <f>IF('Items sous domaines Maths '!H292=2,'Items sous domaines Maths '!D292,0)</f>
        <v>Équations différentielles linéaires du second ordre à coefficients constants</v>
      </c>
      <c r="E288" s="142" t="str">
        <f>IF('Items sous domaines Maths '!H292=2,'Items sous domaines Maths '!E292,0)</f>
        <v>Généralités</v>
      </c>
      <c r="F288" s="143">
        <f>IF('Items sous domaines Maths '!H292=2,'Items sous domaines Maths '!F292,0)</f>
        <v>0</v>
      </c>
      <c r="G288" s="649"/>
      <c r="H288" s="470"/>
      <c r="I288" s="199"/>
    </row>
    <row r="289" spans="1:9" ht="19.95" customHeight="1" x14ac:dyDescent="0.25">
      <c r="A289" s="620"/>
      <c r="B289" s="144" t="str">
        <f>IF('Items sous domaines Maths '!H293=2,'Items sous domaines Maths '!B293,0)</f>
        <v>Analyse</v>
      </c>
      <c r="C289" s="145" t="str">
        <f>IF('Items sous domaines Maths '!H293=2,'Items sous domaines Maths '!C293)</f>
        <v>Les équations différentielles</v>
      </c>
      <c r="D289" s="145">
        <f>IF('Items sous domaines Maths '!H293=2,'Items sous domaines Maths '!D293,0)</f>
        <v>0</v>
      </c>
      <c r="E289" s="145" t="str">
        <f>IF('Items sous domaines Maths '!H293=2,'Items sous domaines Maths '!E293,0)</f>
        <v xml:space="preserve">Solutions de l’équation homogène </v>
      </c>
      <c r="F289" s="146">
        <f>IF('Items sous domaines Maths '!H293=2,'Items sous domaines Maths '!F293,0)</f>
        <v>0</v>
      </c>
      <c r="G289" s="649"/>
      <c r="H289" s="470"/>
      <c r="I289" s="199"/>
    </row>
    <row r="290" spans="1:9" ht="19.95" customHeight="1" x14ac:dyDescent="0.25">
      <c r="A290" s="620"/>
      <c r="B290" s="141" t="str">
        <f>IF('Items sous domaines Maths '!H294=2,'Items sous domaines Maths '!B294,0)</f>
        <v>Analyse</v>
      </c>
      <c r="C290" s="142" t="str">
        <f>IF('Items sous domaines Maths '!H294=2,'Items sous domaines Maths '!C294)</f>
        <v>Les équations différentielles</v>
      </c>
      <c r="D290" s="142">
        <f>IF('Items sous domaines Maths '!H294=2,'Items sous domaines Maths '!D294,0)</f>
        <v>0</v>
      </c>
      <c r="E290" s="142" t="str">
        <f>IF('Items sous domaines Maths '!H294=2,'Items sous domaines Maths '!E294,0)</f>
        <v>Solutions générales de l’équation avec second membre</v>
      </c>
      <c r="F290" s="143" t="str">
        <f>IF('Items sous domaines Maths '!H294=2,'Items sous domaines Maths '!F294,0)</f>
        <v>Principe de superposition.</v>
      </c>
      <c r="G290" s="649"/>
      <c r="H290" s="470" t="s">
        <v>462</v>
      </c>
      <c r="I290" s="199"/>
    </row>
    <row r="291" spans="1:9" ht="19.95" customHeight="1" x14ac:dyDescent="0.25">
      <c r="A291" s="620"/>
      <c r="B291" s="144" t="str">
        <f>IF('Items sous domaines Maths '!H295=2,'Items sous domaines Maths '!B295,0)</f>
        <v>Analyse</v>
      </c>
      <c r="C291" s="145" t="str">
        <f>IF('Items sous domaines Maths '!H295=2,'Items sous domaines Maths '!C295)</f>
        <v>Les équations différentielles</v>
      </c>
      <c r="D291" s="145">
        <f>IF('Items sous domaines Maths '!H295=2,'Items sous domaines Maths '!D295,0)</f>
        <v>0</v>
      </c>
      <c r="E291" s="145">
        <f>IF('Items sous domaines Maths '!H295=2,'Items sous domaines Maths '!E295,0)</f>
        <v>0</v>
      </c>
      <c r="F291" s="146" t="str">
        <f>IF('Items sous domaines Maths '!H295=2,'Items sous domaines Maths '!F295,0)</f>
        <v>Cas où d(x) est un polynôme.</v>
      </c>
      <c r="G291" s="649"/>
      <c r="H291" s="470"/>
      <c r="I291" s="199"/>
    </row>
    <row r="292" spans="1:9" ht="19.95" customHeight="1" x14ac:dyDescent="0.25">
      <c r="A292" s="620"/>
      <c r="B292" s="141" t="str">
        <f>IF('Items sous domaines Maths '!H296=2,'Items sous domaines Maths '!B296,0)</f>
        <v>Analyse</v>
      </c>
      <c r="C292" s="142" t="str">
        <f>IF('Items sous domaines Maths '!H296=2,'Items sous domaines Maths '!C296)</f>
        <v>Les équations différentielles</v>
      </c>
      <c r="D292" s="142">
        <f>IF('Items sous domaines Maths '!H296=2,'Items sous domaines Maths '!D296,0)</f>
        <v>0</v>
      </c>
      <c r="E292" s="142">
        <f>IF('Items sous domaines Maths '!H296=2,'Items sous domaines Maths '!E296,0)</f>
        <v>0</v>
      </c>
      <c r="F292" s="143" t="str">
        <f>IF('Items sous domaines Maths '!H296=2,'Items sous domaines Maths '!F296,0)</f>
        <v>Cas où d(x) est le produit d’un polynôme et d’une exponentielle.</v>
      </c>
      <c r="G292" s="649"/>
      <c r="H292" s="470"/>
      <c r="I292" s="199"/>
    </row>
    <row r="293" spans="1:9" ht="19.95" customHeight="1" x14ac:dyDescent="0.25">
      <c r="A293" s="620"/>
      <c r="B293" s="144" t="str">
        <f>IF('Items sous domaines Maths '!H297=2,'Items sous domaines Maths '!B297,0)</f>
        <v>Analyse</v>
      </c>
      <c r="C293" s="145" t="str">
        <f>IF('Items sous domaines Maths '!H297=2,'Items sous domaines Maths '!C297)</f>
        <v>Les équations différentielles</v>
      </c>
      <c r="D293" s="145">
        <f>IF('Items sous domaines Maths '!H297=2,'Items sous domaines Maths '!D297,0)</f>
        <v>0</v>
      </c>
      <c r="E293" s="145">
        <f>IF('Items sous domaines Maths '!H297=2,'Items sous domaines Maths '!E297,0)</f>
        <v>0</v>
      </c>
      <c r="F293" s="146" t="str">
        <f>IF('Items sous domaines Maths '!H297=2,'Items sous domaines Maths '!F297,0)</f>
        <v>Cas où d(x) est une combinaison linéaire de fonctions trigonométriques.</v>
      </c>
      <c r="G293" s="649"/>
      <c r="H293" s="470"/>
      <c r="I293" s="199"/>
    </row>
    <row r="294" spans="1:9" ht="19.95" customHeight="1" x14ac:dyDescent="0.25">
      <c r="A294" s="620"/>
      <c r="B294" s="141" t="str">
        <f>IF('Items sous domaines Maths '!H298=2,'Items sous domaines Maths '!B298,0)</f>
        <v>Analyse</v>
      </c>
      <c r="C294" s="142" t="str">
        <f>IF('Items sous domaines Maths '!H298=2,'Items sous domaines Maths '!C298)</f>
        <v>Les équations différentielles</v>
      </c>
      <c r="D294" s="142">
        <f>IF('Items sous domaines Maths '!H298=2,'Items sous domaines Maths '!D298,0)</f>
        <v>0</v>
      </c>
      <c r="E294" s="142">
        <f>IF('Items sous domaines Maths '!H298=2,'Items sous domaines Maths '!E298,0)</f>
        <v>0</v>
      </c>
      <c r="F294" s="143" t="str">
        <f>IF('Items sous domaines Maths '!H298=2,'Items sous domaines Maths '!F298,0)</f>
        <v>Cas où d(x) est le produit d’une fonction trigonométrique et d’une exponentielle.</v>
      </c>
      <c r="G294" s="649"/>
      <c r="H294" s="470"/>
      <c r="I294" s="199"/>
    </row>
    <row r="295" spans="1:9" ht="19.95" customHeight="1" thickBot="1" x14ac:dyDescent="0.3">
      <c r="A295" s="623"/>
      <c r="B295" s="192" t="str">
        <f>IF('Items sous domaines Maths '!H299=2,'Items sous domaines Maths '!B299,0)</f>
        <v>Analyse</v>
      </c>
      <c r="C295" s="193" t="str">
        <f>IF('Items sous domaines Maths '!H299=2,'Items sous domaines Maths '!C299)</f>
        <v>Les équations différentielles</v>
      </c>
      <c r="D295" s="193">
        <f>IF('Items sous domaines Maths '!H299=2,'Items sous domaines Maths '!D299,0)</f>
        <v>0</v>
      </c>
      <c r="E295" s="193" t="str">
        <f>IF('Items sous domaines Maths '!H299=2,'Items sous domaines Maths '!E299,0)</f>
        <v>Résolution par changement de variable</v>
      </c>
      <c r="F295" s="194">
        <f>IF('Items sous domaines Maths '!H299=2,'Items sous domaines Maths '!F299,0)</f>
        <v>0</v>
      </c>
      <c r="G295" s="650"/>
      <c r="H295" s="640"/>
      <c r="I295" s="189"/>
    </row>
    <row r="296" spans="1:9" customFormat="1" ht="17.399999999999999" hidden="1" customHeight="1" thickTop="1" thickBot="1" x14ac:dyDescent="0.3">
      <c r="B296">
        <f>IF('Items sous domaines Maths '!H300=2,'Items sous domaines Maths '!B300,0)</f>
        <v>0</v>
      </c>
      <c r="C296" t="b">
        <f>IF('Items sous domaines Maths '!H300=2,'Items sous domaines Maths '!C300)</f>
        <v>0</v>
      </c>
      <c r="D296">
        <f>IF('Items sous domaines Maths '!H300=2,'Items sous domaines Maths '!D300,0)</f>
        <v>0</v>
      </c>
      <c r="E296">
        <f>IF('Items sous domaines Maths '!H300=2,'Items sous domaines Maths '!E300,0)</f>
        <v>0</v>
      </c>
      <c r="F296" s="10">
        <f>IF('Items sous domaines Maths '!H300=2,'Items sous domaines Maths '!F300,0)</f>
        <v>0</v>
      </c>
      <c r="G296">
        <f>IF('Items sous domaines Maths '!H300=2,'Items sous domaines Maths '!G300,0)</f>
        <v>0</v>
      </c>
    </row>
    <row r="297" spans="1:9" customFormat="1" ht="17.399999999999999" hidden="1" customHeight="1" thickBot="1" x14ac:dyDescent="0.3">
      <c r="B297" s="8">
        <f>IF('Items sous domaines Maths '!H301=2,'Items sous domaines Maths '!B301,0)</f>
        <v>0</v>
      </c>
      <c r="C297" s="8" t="b">
        <f>IF('Items sous domaines Maths '!H301=2,'Items sous domaines Maths '!C301)</f>
        <v>0</v>
      </c>
      <c r="D297" s="8">
        <f>IF('Items sous domaines Maths '!H301=2,'Items sous domaines Maths '!D301,0)</f>
        <v>0</v>
      </c>
      <c r="E297" s="8">
        <f>IF('Items sous domaines Maths '!H301=2,'Items sous domaines Maths '!E301,0)</f>
        <v>0</v>
      </c>
      <c r="F297" s="9">
        <f>IF('Items sous domaines Maths '!H301=2,'Items sous domaines Maths '!F301,0)</f>
        <v>0</v>
      </c>
      <c r="G297">
        <f>IF('Items sous domaines Maths '!H301=2,'Items sous domaines Maths '!G301,0)</f>
        <v>0</v>
      </c>
    </row>
    <row r="298" spans="1:9" customFormat="1" ht="17.399999999999999" hidden="1" customHeight="1" thickBot="1" x14ac:dyDescent="0.3">
      <c r="B298" s="8">
        <f>IF('Items sous domaines Maths '!H302=2,'Items sous domaines Maths '!B302,0)</f>
        <v>0</v>
      </c>
      <c r="C298" s="8" t="b">
        <f>IF('Items sous domaines Maths '!H302=2,'Items sous domaines Maths '!C302)</f>
        <v>0</v>
      </c>
      <c r="D298" s="8">
        <f>IF('Items sous domaines Maths '!H302=2,'Items sous domaines Maths '!D302,0)</f>
        <v>0</v>
      </c>
      <c r="E298" s="8">
        <f>IF('Items sous domaines Maths '!H302=2,'Items sous domaines Maths '!E302,0)</f>
        <v>0</v>
      </c>
      <c r="F298" s="9">
        <f>IF('Items sous domaines Maths '!H302=2,'Items sous domaines Maths '!F302,0)</f>
        <v>0</v>
      </c>
      <c r="G298">
        <f>IF('Items sous domaines Maths '!H302=2,'Items sous domaines Maths '!G302,0)</f>
        <v>0</v>
      </c>
    </row>
    <row r="299" spans="1:9" customFormat="1" ht="17.399999999999999" hidden="1" customHeight="1" thickBot="1" x14ac:dyDescent="0.3">
      <c r="B299" s="8">
        <f>IF('Items sous domaines Maths '!H303=2,'Items sous domaines Maths '!B303,0)</f>
        <v>0</v>
      </c>
      <c r="C299" s="8" t="b">
        <f>IF('Items sous domaines Maths '!H303=2,'Items sous domaines Maths '!C303)</f>
        <v>0</v>
      </c>
      <c r="D299" s="8">
        <f>IF('Items sous domaines Maths '!H303=2,'Items sous domaines Maths '!D303,0)</f>
        <v>0</v>
      </c>
      <c r="E299" s="8">
        <f>IF('Items sous domaines Maths '!H303=2,'Items sous domaines Maths '!E303,0)</f>
        <v>0</v>
      </c>
      <c r="F299" s="9">
        <f>IF('Items sous domaines Maths '!H303=2,'Items sous domaines Maths '!F303,0)</f>
        <v>0</v>
      </c>
      <c r="G299">
        <f>IF('Items sous domaines Maths '!H303=2,'Items sous domaines Maths '!G303,0)</f>
        <v>0</v>
      </c>
    </row>
    <row r="300" spans="1:9" customFormat="1" ht="17.399999999999999" hidden="1" customHeight="1" thickBot="1" x14ac:dyDescent="0.3">
      <c r="B300" s="8">
        <f>IF('Items sous domaines Maths '!H304=2,'Items sous domaines Maths '!B304,0)</f>
        <v>0</v>
      </c>
      <c r="C300" s="8" t="b">
        <f>IF('Items sous domaines Maths '!H304=2,'Items sous domaines Maths '!C304)</f>
        <v>0</v>
      </c>
      <c r="D300" s="8">
        <f>IF('Items sous domaines Maths '!H304=2,'Items sous domaines Maths '!D304,0)</f>
        <v>0</v>
      </c>
      <c r="E300" s="8">
        <f>IF('Items sous domaines Maths '!H304=2,'Items sous domaines Maths '!E304,0)</f>
        <v>0</v>
      </c>
      <c r="F300" s="9">
        <f>IF('Items sous domaines Maths '!H304=2,'Items sous domaines Maths '!F304,0)</f>
        <v>0</v>
      </c>
      <c r="G300">
        <f>IF('Items sous domaines Maths '!H304=2,'Items sous domaines Maths '!G304,0)</f>
        <v>0</v>
      </c>
    </row>
    <row r="301" spans="1:9" customFormat="1" ht="17.399999999999999" hidden="1" customHeight="1" thickBot="1" x14ac:dyDescent="0.3">
      <c r="B301" s="8">
        <f>IF('Items sous domaines Maths '!H305=2,'Items sous domaines Maths '!B305,0)</f>
        <v>0</v>
      </c>
      <c r="C301" s="8" t="b">
        <f>IF('Items sous domaines Maths '!H305=2,'Items sous domaines Maths '!C305)</f>
        <v>0</v>
      </c>
      <c r="D301" s="8">
        <f>IF('Items sous domaines Maths '!H305=2,'Items sous domaines Maths '!D305,0)</f>
        <v>0</v>
      </c>
      <c r="E301" s="8">
        <f>IF('Items sous domaines Maths '!H305=2,'Items sous domaines Maths '!E305,0)</f>
        <v>0</v>
      </c>
      <c r="F301" s="9">
        <f>IF('Items sous domaines Maths '!H305=2,'Items sous domaines Maths '!F305,0)</f>
        <v>0</v>
      </c>
      <c r="G301">
        <f>IF('Items sous domaines Maths '!H305=2,'Items sous domaines Maths '!G305,0)</f>
        <v>0</v>
      </c>
    </row>
    <row r="302" spans="1:9" customFormat="1" ht="17.399999999999999" hidden="1" customHeight="1" thickBot="1" x14ac:dyDescent="0.3">
      <c r="B302" s="8">
        <f>IF('Items sous domaines Maths '!H306=2,'Items sous domaines Maths '!B306,0)</f>
        <v>0</v>
      </c>
      <c r="C302" s="8" t="b">
        <f>IF('Items sous domaines Maths '!H306=2,'Items sous domaines Maths '!C306)</f>
        <v>0</v>
      </c>
      <c r="D302" s="8">
        <f>IF('Items sous domaines Maths '!H306=2,'Items sous domaines Maths '!D306,0)</f>
        <v>0</v>
      </c>
      <c r="E302" s="8">
        <f>IF('Items sous domaines Maths '!H306=2,'Items sous domaines Maths '!E306,0)</f>
        <v>0</v>
      </c>
      <c r="F302" s="9">
        <f>IF('Items sous domaines Maths '!H306=2,'Items sous domaines Maths '!F306,0)</f>
        <v>0</v>
      </c>
      <c r="G302">
        <f>IF('Items sous domaines Maths '!H306=2,'Items sous domaines Maths '!G306,0)</f>
        <v>0</v>
      </c>
    </row>
    <row r="303" spans="1:9" customFormat="1" ht="17.399999999999999" hidden="1" customHeight="1" thickBot="1" x14ac:dyDescent="0.3">
      <c r="B303" s="8">
        <f>IF('Items sous domaines Maths '!H307=2,'Items sous domaines Maths '!B307,0)</f>
        <v>0</v>
      </c>
      <c r="C303" s="8" t="b">
        <f>IF('Items sous domaines Maths '!H307=2,'Items sous domaines Maths '!C307)</f>
        <v>0</v>
      </c>
      <c r="D303" s="8">
        <f>IF('Items sous domaines Maths '!H307=2,'Items sous domaines Maths '!D307,0)</f>
        <v>0</v>
      </c>
      <c r="E303" s="8">
        <f>IF('Items sous domaines Maths '!H307=2,'Items sous domaines Maths '!E307,0)</f>
        <v>0</v>
      </c>
      <c r="F303" s="9">
        <f>IF('Items sous domaines Maths '!H307=2,'Items sous domaines Maths '!F307,0)</f>
        <v>0</v>
      </c>
      <c r="G303">
        <f>IF('Items sous domaines Maths '!H307=2,'Items sous domaines Maths '!G307,0)</f>
        <v>0</v>
      </c>
    </row>
    <row r="304" spans="1:9" customFormat="1" ht="13.5" hidden="1" customHeight="1" thickBot="1" x14ac:dyDescent="0.3">
      <c r="B304" s="8">
        <f>IF('Items sous domaines Maths '!H308=2,'Items sous domaines Maths '!B308,0)</f>
        <v>0</v>
      </c>
      <c r="C304" s="8" t="b">
        <f>IF('Items sous domaines Maths '!H308=2,'Items sous domaines Maths '!C308)</f>
        <v>0</v>
      </c>
      <c r="D304" s="8">
        <f>IF('Items sous domaines Maths '!H308=2,'Items sous domaines Maths '!D308,0)</f>
        <v>0</v>
      </c>
      <c r="E304" s="8">
        <f>IF('Items sous domaines Maths '!H308=2,'Items sous domaines Maths '!E308,0)</f>
        <v>0</v>
      </c>
      <c r="F304" s="9">
        <f>IF('Items sous domaines Maths '!H308=2,'Items sous domaines Maths '!F308,0)</f>
        <v>0</v>
      </c>
      <c r="G304">
        <f>IF('Items sous domaines Maths '!H308=2,'Items sous domaines Maths '!G308,0)</f>
        <v>0</v>
      </c>
    </row>
    <row r="305" spans="1:7" customFormat="1" ht="13.5" hidden="1" customHeight="1" thickBot="1" x14ac:dyDescent="0.3">
      <c r="B305" s="8">
        <f>IF('Items sous domaines Maths '!H312=2,'Items sous domaines Maths '!B312,0)</f>
        <v>0</v>
      </c>
      <c r="C305" s="8" t="b">
        <f>IF('Items sous domaines Maths '!H312=2,'Items sous domaines Maths '!C312)</f>
        <v>0</v>
      </c>
      <c r="D305" s="8">
        <f>IF('Items sous domaines Maths '!H312=2,'Items sous domaines Maths '!D312,0)</f>
        <v>0</v>
      </c>
      <c r="E305" s="8">
        <f>IF('Items sous domaines Maths '!H312=2,'Items sous domaines Maths '!E312,0)</f>
        <v>0</v>
      </c>
      <c r="F305" s="9">
        <f>IF('Items sous domaines Maths '!H312=2,'Items sous domaines Maths '!F312,0)</f>
        <v>0</v>
      </c>
      <c r="G305">
        <f>IF('Items sous domaines Maths '!H312=2,'Items sous domaines Maths '!G312,0)</f>
        <v>0</v>
      </c>
    </row>
    <row r="306" spans="1:7" customFormat="1" ht="13.5" hidden="1" customHeight="1" thickBot="1" x14ac:dyDescent="0.3">
      <c r="B306" s="8">
        <f>IF('Items sous domaines Maths '!H313=2,'Items sous domaines Maths '!B313,0)</f>
        <v>0</v>
      </c>
      <c r="C306" s="8" t="b">
        <f>IF('Items sous domaines Maths '!H313=2,'Items sous domaines Maths '!C313)</f>
        <v>0</v>
      </c>
      <c r="D306" s="8">
        <f>IF('Items sous domaines Maths '!H313=2,'Items sous domaines Maths '!D313,0)</f>
        <v>0</v>
      </c>
      <c r="E306" s="8">
        <f>IF('Items sous domaines Maths '!H313=2,'Items sous domaines Maths '!E313,0)</f>
        <v>0</v>
      </c>
      <c r="F306" s="9">
        <f>IF('Items sous domaines Maths '!H313=2,'Items sous domaines Maths '!F313,0)</f>
        <v>0</v>
      </c>
      <c r="G306">
        <f>IF('Items sous domaines Maths '!H313=2,'Items sous domaines Maths '!G313,0)</f>
        <v>0</v>
      </c>
    </row>
    <row r="307" spans="1:7" customFormat="1" ht="13.5" hidden="1" customHeight="1" thickBot="1" x14ac:dyDescent="0.3">
      <c r="A307" s="633" t="s">
        <v>425</v>
      </c>
      <c r="B307" s="8">
        <f>IF('Items sous domaines Maths '!H314=2,'Items sous domaines Maths '!B314,0)</f>
        <v>0</v>
      </c>
      <c r="C307" s="8" t="b">
        <f>IF('Items sous domaines Maths '!H314=2,'Items sous domaines Maths '!C314)</f>
        <v>0</v>
      </c>
      <c r="D307" s="8">
        <f>IF('Items sous domaines Maths '!H314=2,'Items sous domaines Maths '!D314,0)</f>
        <v>0</v>
      </c>
      <c r="E307" s="8">
        <f>IF('Items sous domaines Maths '!H314=2,'Items sous domaines Maths '!E314,0)</f>
        <v>0</v>
      </c>
      <c r="F307" s="9">
        <f>IF('Items sous domaines Maths '!H314=2,'Items sous domaines Maths '!F314,0)</f>
        <v>0</v>
      </c>
      <c r="G307">
        <f>IF('Items sous domaines Maths '!H314=2,'Items sous domaines Maths '!G314,0)</f>
        <v>0</v>
      </c>
    </row>
    <row r="308" spans="1:7" customFormat="1" ht="13.5" hidden="1" customHeight="1" thickBot="1" x14ac:dyDescent="0.3">
      <c r="A308" s="627"/>
      <c r="B308" s="8">
        <f>IF('Items sous domaines Maths '!H315=2,'Items sous domaines Maths '!B315,0)</f>
        <v>0</v>
      </c>
      <c r="C308" s="8" t="b">
        <f>IF('Items sous domaines Maths '!H315=2,'Items sous domaines Maths '!C315)</f>
        <v>0</v>
      </c>
      <c r="D308" s="8">
        <f>IF('Items sous domaines Maths '!H315=2,'Items sous domaines Maths '!D315,0)</f>
        <v>0</v>
      </c>
      <c r="E308" s="8">
        <f>IF('Items sous domaines Maths '!H315=2,'Items sous domaines Maths '!E315,0)</f>
        <v>0</v>
      </c>
      <c r="F308" s="9">
        <f>IF('Items sous domaines Maths '!H315=2,'Items sous domaines Maths '!F315,0)</f>
        <v>0</v>
      </c>
      <c r="G308">
        <f>IF('Items sous domaines Maths '!H315=2,'Items sous domaines Maths '!G315,0)</f>
        <v>0</v>
      </c>
    </row>
    <row r="309" spans="1:7" customFormat="1" ht="13.5" hidden="1" customHeight="1" thickBot="1" x14ac:dyDescent="0.3">
      <c r="A309" s="627"/>
      <c r="B309" s="8">
        <f>IF('Items sous domaines Maths '!H316=2,'Items sous domaines Maths '!B316,0)</f>
        <v>0</v>
      </c>
      <c r="C309" s="8" t="b">
        <f>IF('Items sous domaines Maths '!H316=2,'Items sous domaines Maths '!C316)</f>
        <v>0</v>
      </c>
      <c r="D309" s="8">
        <f>IF('Items sous domaines Maths '!H316=2,'Items sous domaines Maths '!D316,0)</f>
        <v>0</v>
      </c>
      <c r="E309" s="8">
        <f>IF('Items sous domaines Maths '!H316=2,'Items sous domaines Maths '!E316,0)</f>
        <v>0</v>
      </c>
      <c r="F309" s="9">
        <f>IF('Items sous domaines Maths '!H316=2,'Items sous domaines Maths '!F316,0)</f>
        <v>0</v>
      </c>
      <c r="G309">
        <f>IF('Items sous domaines Maths '!H316=2,'Items sous domaines Maths '!G316,0)</f>
        <v>0</v>
      </c>
    </row>
    <row r="310" spans="1:7" customFormat="1" ht="13.5" hidden="1" customHeight="1" thickBot="1" x14ac:dyDescent="0.3">
      <c r="A310" s="627"/>
      <c r="B310" s="8">
        <f>IF('Items sous domaines Maths '!H317=2,'Items sous domaines Maths '!B317,0)</f>
        <v>0</v>
      </c>
      <c r="C310" s="8" t="b">
        <f>IF('Items sous domaines Maths '!H317=2,'Items sous domaines Maths '!C317)</f>
        <v>0</v>
      </c>
      <c r="D310" s="8">
        <f>IF('Items sous domaines Maths '!H317=2,'Items sous domaines Maths '!D317,0)</f>
        <v>0</v>
      </c>
      <c r="E310" s="8">
        <f>IF('Items sous domaines Maths '!H317=2,'Items sous domaines Maths '!E317,0)</f>
        <v>0</v>
      </c>
      <c r="F310" s="9">
        <f>IF('Items sous domaines Maths '!H317=2,'Items sous domaines Maths '!F317,0)</f>
        <v>0</v>
      </c>
      <c r="G310">
        <f>IF('Items sous domaines Maths '!H317=2,'Items sous domaines Maths '!G317,0)</f>
        <v>0</v>
      </c>
    </row>
    <row r="311" spans="1:7" customFormat="1" ht="13.5" hidden="1" customHeight="1" thickBot="1" x14ac:dyDescent="0.3">
      <c r="A311" s="627"/>
      <c r="B311" s="8">
        <f>IF('Items sous domaines Maths '!H318=2,'Items sous domaines Maths '!B318,0)</f>
        <v>0</v>
      </c>
      <c r="C311" s="8" t="b">
        <f>IF('Items sous domaines Maths '!H318=2,'Items sous domaines Maths '!C318)</f>
        <v>0</v>
      </c>
      <c r="D311" s="8">
        <f>IF('Items sous domaines Maths '!H318=2,'Items sous domaines Maths '!D318,0)</f>
        <v>0</v>
      </c>
      <c r="E311" s="8">
        <f>IF('Items sous domaines Maths '!H318=2,'Items sous domaines Maths '!E318,0)</f>
        <v>0</v>
      </c>
      <c r="F311" s="9">
        <f>IF('Items sous domaines Maths '!H318=2,'Items sous domaines Maths '!F318,0)</f>
        <v>0</v>
      </c>
      <c r="G311">
        <f>IF('Items sous domaines Maths '!H318=2,'Items sous domaines Maths '!G318,0)</f>
        <v>0</v>
      </c>
    </row>
    <row r="312" spans="1:7" customFormat="1" ht="13.5" hidden="1" customHeight="1" thickBot="1" x14ac:dyDescent="0.3">
      <c r="A312" s="627"/>
      <c r="B312" s="8">
        <f>IF('Items sous domaines Maths '!H319=2,'Items sous domaines Maths '!B319,0)</f>
        <v>0</v>
      </c>
      <c r="C312" s="8" t="b">
        <f>IF('Items sous domaines Maths '!H319=2,'Items sous domaines Maths '!C319)</f>
        <v>0</v>
      </c>
      <c r="D312" s="8">
        <f>IF('Items sous domaines Maths '!H319=2,'Items sous domaines Maths '!D319,0)</f>
        <v>0</v>
      </c>
      <c r="E312" s="8">
        <f>IF('Items sous domaines Maths '!H319=2,'Items sous domaines Maths '!E319,0)</f>
        <v>0</v>
      </c>
      <c r="F312" s="9">
        <f>IF('Items sous domaines Maths '!H319=2,'Items sous domaines Maths '!F319,0)</f>
        <v>0</v>
      </c>
      <c r="G312">
        <f>IF('Items sous domaines Maths '!H319=2,'Items sous domaines Maths '!G319,0)</f>
        <v>0</v>
      </c>
    </row>
    <row r="313" spans="1:7" customFormat="1" ht="13.5" hidden="1" customHeight="1" x14ac:dyDescent="0.25">
      <c r="A313" s="627"/>
      <c r="B313" s="8">
        <f>IF('Items sous domaines Maths '!H320=2,'Items sous domaines Maths '!B320,0)</f>
        <v>0</v>
      </c>
      <c r="C313" s="8" t="b">
        <f>IF('Items sous domaines Maths '!H320=2,'Items sous domaines Maths '!C320)</f>
        <v>0</v>
      </c>
      <c r="D313" s="8">
        <f>IF('Items sous domaines Maths '!H320=2,'Items sous domaines Maths '!D320,0)</f>
        <v>0</v>
      </c>
      <c r="E313" s="8">
        <f>IF('Items sous domaines Maths '!H320=2,'Items sous domaines Maths '!E320,0)</f>
        <v>0</v>
      </c>
      <c r="F313" s="9">
        <f>IF('Items sous domaines Maths '!H320=2,'Items sous domaines Maths '!F320,0)</f>
        <v>0</v>
      </c>
      <c r="G313">
        <f>IF('Items sous domaines Maths '!H320=2,'Items sous domaines Maths '!G320,0)</f>
        <v>0</v>
      </c>
    </row>
    <row r="314" spans="1:7" customFormat="1" ht="12.75" hidden="1" customHeight="1" x14ac:dyDescent="0.25">
      <c r="A314" s="598"/>
      <c r="B314">
        <f>IF('Items sous domaines Maths '!H321=2,'Items sous domaines Maths '!B321,0)</f>
        <v>0</v>
      </c>
      <c r="C314" t="b">
        <f>IF('Items sous domaines Maths '!H321=2,'Items sous domaines Maths '!C321)</f>
        <v>0</v>
      </c>
      <c r="D314">
        <f>IF('Items sous domaines Maths '!H321=2,'Items sous domaines Maths '!D321,0)</f>
        <v>0</v>
      </c>
      <c r="E314">
        <f>IF('Items sous domaines Maths '!H321=2,'Items sous domaines Maths '!E321,0)</f>
        <v>0</v>
      </c>
      <c r="F314">
        <f>IF('Items sous domaines Maths '!H321=2,'Items sous domaines Maths '!F321,0)</f>
        <v>0</v>
      </c>
      <c r="G314">
        <f>IF('Items sous domaines Maths '!H321=2,'Items sous domaines Maths '!G321,0)</f>
        <v>0</v>
      </c>
    </row>
    <row r="315" spans="1:7" customFormat="1" ht="13.5" hidden="1" customHeight="1" x14ac:dyDescent="0.25">
      <c r="A315" s="627"/>
      <c r="B315">
        <f>IF('Items sous domaines Maths '!H322=2,'Items sous domaines Maths '!B322,0)</f>
        <v>0</v>
      </c>
      <c r="C315" t="b">
        <f>IF('Items sous domaines Maths '!H322=2,'Items sous domaines Maths '!C322)</f>
        <v>0</v>
      </c>
      <c r="D315">
        <f>IF('Items sous domaines Maths '!H322=2,'Items sous domaines Maths '!D322,0)</f>
        <v>0</v>
      </c>
      <c r="E315">
        <f>IF('Items sous domaines Maths '!H322=2,'Items sous domaines Maths '!E322,0)</f>
        <v>0</v>
      </c>
      <c r="F315" s="10">
        <f>IF('Items sous domaines Maths '!H322=2,'Items sous domaines Maths '!F322,0)</f>
        <v>0</v>
      </c>
      <c r="G315">
        <f>IF('Items sous domaines Maths '!H322=2,'Items sous domaines Maths '!G322,0)</f>
        <v>0</v>
      </c>
    </row>
    <row r="316" spans="1:7" customFormat="1" ht="13.5" hidden="1" customHeight="1" x14ac:dyDescent="0.25">
      <c r="A316" s="598"/>
      <c r="B316">
        <f>IF('Items sous domaines Maths '!H323=2,'Items sous domaines Maths '!B323,0)</f>
        <v>0</v>
      </c>
      <c r="C316" t="b">
        <f>IF('Items sous domaines Maths '!H323=2,'Items sous domaines Maths '!C323)</f>
        <v>0</v>
      </c>
      <c r="D316">
        <f>IF('Items sous domaines Maths '!H323=2,'Items sous domaines Maths '!D323,0)</f>
        <v>0</v>
      </c>
      <c r="E316">
        <f>IF('Items sous domaines Maths '!H323=2,'Items sous domaines Maths '!E323,0)</f>
        <v>0</v>
      </c>
      <c r="F316">
        <f>IF('Items sous domaines Maths '!H323=2,'Items sous domaines Maths '!F323,0)</f>
        <v>0</v>
      </c>
      <c r="G316">
        <f>IF('Items sous domaines Maths '!H323=2,'Items sous domaines Maths '!G323,0)</f>
        <v>0</v>
      </c>
    </row>
    <row r="317" spans="1:7" customFormat="1" ht="13.5" hidden="1" customHeight="1" x14ac:dyDescent="0.25">
      <c r="A317" s="598"/>
      <c r="B317">
        <f>IF('Items sous domaines Maths '!H324=2,'Items sous domaines Maths '!B324,0)</f>
        <v>0</v>
      </c>
      <c r="C317" t="b">
        <f>IF('Items sous domaines Maths '!H324=2,'Items sous domaines Maths '!C324)</f>
        <v>0</v>
      </c>
      <c r="D317">
        <f>IF('Items sous domaines Maths '!H324=2,'Items sous domaines Maths '!D324,0)</f>
        <v>0</v>
      </c>
      <c r="E317">
        <f>IF('Items sous domaines Maths '!H324=2,'Items sous domaines Maths '!E324,0)</f>
        <v>0</v>
      </c>
      <c r="F317">
        <f>IF('Items sous domaines Maths '!H324=2,'Items sous domaines Maths '!F324,0)</f>
        <v>0</v>
      </c>
      <c r="G317">
        <f>IF('Items sous domaines Maths '!H324=2,'Items sous domaines Maths '!G324,0)</f>
        <v>0</v>
      </c>
    </row>
    <row r="318" spans="1:7" customFormat="1" ht="13.5" hidden="1" customHeight="1" thickBot="1" x14ac:dyDescent="0.3">
      <c r="B318">
        <f>IF('Items sous domaines Maths '!H325=2,'Items sous domaines Maths '!B325,0)</f>
        <v>0</v>
      </c>
      <c r="C318" t="b">
        <f>IF('Items sous domaines Maths '!H325=2,'Items sous domaines Maths '!C325)</f>
        <v>0</v>
      </c>
      <c r="D318">
        <f>IF('Items sous domaines Maths '!H325=2,'Items sous domaines Maths '!D325,0)</f>
        <v>0</v>
      </c>
      <c r="E318">
        <f>IF('Items sous domaines Maths '!H325=2,'Items sous domaines Maths '!E325,0)</f>
        <v>0</v>
      </c>
      <c r="F318" s="10">
        <f>IF('Items sous domaines Maths '!H325=2,'Items sous domaines Maths '!F325,0)</f>
        <v>0</v>
      </c>
      <c r="G318">
        <f>IF('Items sous domaines Maths '!H325=2,'Items sous domaines Maths '!G325,0)</f>
        <v>0</v>
      </c>
    </row>
    <row r="319" spans="1:7" customFormat="1" ht="13.5" hidden="1" customHeight="1" thickBot="1" x14ac:dyDescent="0.3">
      <c r="B319" s="8">
        <f>IF('Items sous domaines Maths '!H326=2,'Items sous domaines Maths '!B326,0)</f>
        <v>0</v>
      </c>
      <c r="C319" s="8" t="b">
        <f>IF('Items sous domaines Maths '!H326=2,'Items sous domaines Maths '!C326)</f>
        <v>0</v>
      </c>
      <c r="D319" s="8">
        <f>IF('Items sous domaines Maths '!H326=2,'Items sous domaines Maths '!D326,0)</f>
        <v>0</v>
      </c>
      <c r="E319" s="8">
        <f>IF('Items sous domaines Maths '!H326=2,'Items sous domaines Maths '!E326,0)</f>
        <v>0</v>
      </c>
      <c r="F319" s="9">
        <f>IF('Items sous domaines Maths '!H326=2,'Items sous domaines Maths '!F326,0)</f>
        <v>0</v>
      </c>
      <c r="G319">
        <f>IF('Items sous domaines Maths '!H326=2,'Items sous domaines Maths '!G326,0)</f>
        <v>0</v>
      </c>
    </row>
    <row r="320" spans="1:7" customFormat="1" ht="13.5" hidden="1" customHeight="1" thickBot="1" x14ac:dyDescent="0.3">
      <c r="B320" s="8">
        <f>IF('Items sous domaines Maths '!H327=2,'Items sous domaines Maths '!B327,0)</f>
        <v>0</v>
      </c>
      <c r="C320" s="8" t="b">
        <f>IF('Items sous domaines Maths '!H327=2,'Items sous domaines Maths '!C327)</f>
        <v>0</v>
      </c>
      <c r="D320" s="8">
        <f>IF('Items sous domaines Maths '!H327=2,'Items sous domaines Maths '!D327,0)</f>
        <v>0</v>
      </c>
      <c r="E320" s="8">
        <f>IF('Items sous domaines Maths '!H327=2,'Items sous domaines Maths '!E327,0)</f>
        <v>0</v>
      </c>
      <c r="F320" s="9">
        <f>IF('Items sous domaines Maths '!H327=2,'Items sous domaines Maths '!F327,0)</f>
        <v>0</v>
      </c>
      <c r="G320">
        <f>IF('Items sous domaines Maths '!H327=2,'Items sous domaines Maths '!G327,0)</f>
        <v>0</v>
      </c>
    </row>
    <row r="321" spans="2:7" customFormat="1" ht="13.5" hidden="1" customHeight="1" thickBot="1" x14ac:dyDescent="0.3">
      <c r="B321" s="8">
        <f>IF('Items sous domaines Maths '!H328=2,'Items sous domaines Maths '!B328,0)</f>
        <v>0</v>
      </c>
      <c r="C321" s="8" t="b">
        <f>IF('Items sous domaines Maths '!H328=2,'Items sous domaines Maths '!C328)</f>
        <v>0</v>
      </c>
      <c r="D321" s="8">
        <f>IF('Items sous domaines Maths '!H328=2,'Items sous domaines Maths '!D328,0)</f>
        <v>0</v>
      </c>
      <c r="E321" s="8">
        <f>IF('Items sous domaines Maths '!H328=2,'Items sous domaines Maths '!E328,0)</f>
        <v>0</v>
      </c>
      <c r="F321" s="9">
        <f>IF('Items sous domaines Maths '!H328=2,'Items sous domaines Maths '!F328,0)</f>
        <v>0</v>
      </c>
      <c r="G321">
        <f>IF('Items sous domaines Maths '!H328=2,'Items sous domaines Maths '!G328,0)</f>
        <v>0</v>
      </c>
    </row>
    <row r="322" spans="2:7" customFormat="1" ht="13.5" hidden="1" customHeight="1" thickBot="1" x14ac:dyDescent="0.3">
      <c r="B322" s="8">
        <f>IF('Items sous domaines Maths '!H329=2,'Items sous domaines Maths '!B329,0)</f>
        <v>0</v>
      </c>
      <c r="C322" s="8" t="b">
        <f>IF('Items sous domaines Maths '!H329=2,'Items sous domaines Maths '!C329)</f>
        <v>0</v>
      </c>
      <c r="D322" s="8">
        <f>IF('Items sous domaines Maths '!H329=2,'Items sous domaines Maths '!D329,0)</f>
        <v>0</v>
      </c>
      <c r="E322" s="8">
        <f>IF('Items sous domaines Maths '!H329=2,'Items sous domaines Maths '!E329,0)</f>
        <v>0</v>
      </c>
      <c r="F322" s="9">
        <f>IF('Items sous domaines Maths '!H329=2,'Items sous domaines Maths '!F329,0)</f>
        <v>0</v>
      </c>
      <c r="G322">
        <f>IF('Items sous domaines Maths '!H329=2,'Items sous domaines Maths '!G329,0)</f>
        <v>0</v>
      </c>
    </row>
    <row r="323" spans="2:7" customFormat="1" ht="13.5" hidden="1" customHeight="1" thickBot="1" x14ac:dyDescent="0.3">
      <c r="B323" s="8">
        <f>IF('Items sous domaines Maths '!H330=2,'Items sous domaines Maths '!B330,0)</f>
        <v>0</v>
      </c>
      <c r="C323" s="8" t="b">
        <f>IF('Items sous domaines Maths '!H330=2,'Items sous domaines Maths '!C330)</f>
        <v>0</v>
      </c>
      <c r="D323" s="8">
        <f>IF('Items sous domaines Maths '!H330=2,'Items sous domaines Maths '!D330,0)</f>
        <v>0</v>
      </c>
      <c r="E323" s="8">
        <f>IF('Items sous domaines Maths '!H330=2,'Items sous domaines Maths '!E330,0)</f>
        <v>0</v>
      </c>
      <c r="F323" s="9">
        <f>IF('Items sous domaines Maths '!H330=2,'Items sous domaines Maths '!F330,0)</f>
        <v>0</v>
      </c>
      <c r="G323">
        <f>IF('Items sous domaines Maths '!H330=2,'Items sous domaines Maths '!G330,0)</f>
        <v>0</v>
      </c>
    </row>
    <row r="324" spans="2:7" customFormat="1" ht="13.5" hidden="1" customHeight="1" thickBot="1" x14ac:dyDescent="0.3">
      <c r="B324" s="8">
        <f>IF('Items sous domaines Maths '!H331=2,'Items sous domaines Maths '!B331,0)</f>
        <v>0</v>
      </c>
      <c r="C324" s="8" t="b">
        <f>IF('Items sous domaines Maths '!H331=2,'Items sous domaines Maths '!C331)</f>
        <v>0</v>
      </c>
      <c r="D324" s="8">
        <f>IF('Items sous domaines Maths '!H331=2,'Items sous domaines Maths '!D331,0)</f>
        <v>0</v>
      </c>
      <c r="E324" s="8">
        <f>IF('Items sous domaines Maths '!H331=2,'Items sous domaines Maths '!E331,0)</f>
        <v>0</v>
      </c>
      <c r="F324" s="9">
        <f>IF('Items sous domaines Maths '!H331=2,'Items sous domaines Maths '!F331,0)</f>
        <v>0</v>
      </c>
      <c r="G324">
        <f>IF('Items sous domaines Maths '!H331=2,'Items sous domaines Maths '!G331,0)</f>
        <v>0</v>
      </c>
    </row>
    <row r="325" spans="2:7" customFormat="1" ht="13.5" hidden="1" customHeight="1" thickBot="1" x14ac:dyDescent="0.3">
      <c r="B325" s="8">
        <f>IF('Items sous domaines Maths '!H332=2,'Items sous domaines Maths '!B332,0)</f>
        <v>0</v>
      </c>
      <c r="C325" s="8" t="b">
        <f>IF('Items sous domaines Maths '!H332=2,'Items sous domaines Maths '!C332)</f>
        <v>0</v>
      </c>
      <c r="D325" s="8">
        <f>IF('Items sous domaines Maths '!H332=2,'Items sous domaines Maths '!D332,0)</f>
        <v>0</v>
      </c>
      <c r="E325" s="8">
        <f>IF('Items sous domaines Maths '!H332=2,'Items sous domaines Maths '!E332,0)</f>
        <v>0</v>
      </c>
      <c r="F325" s="9">
        <f>IF('Items sous domaines Maths '!H332=2,'Items sous domaines Maths '!F332,0)</f>
        <v>0</v>
      </c>
      <c r="G325">
        <f>IF('Items sous domaines Maths '!H332=2,'Items sous domaines Maths '!G332,0)</f>
        <v>0</v>
      </c>
    </row>
    <row r="326" spans="2:7" customFormat="1" ht="13.5" hidden="1" customHeight="1" thickBot="1" x14ac:dyDescent="0.3">
      <c r="B326" s="8">
        <f>IF('Items sous domaines Maths '!H333=2,'Items sous domaines Maths '!B333,0)</f>
        <v>0</v>
      </c>
      <c r="C326" s="8" t="b">
        <f>IF('Items sous domaines Maths '!H333=2,'Items sous domaines Maths '!C333)</f>
        <v>0</v>
      </c>
      <c r="D326" s="8">
        <f>IF('Items sous domaines Maths '!H333=2,'Items sous domaines Maths '!D333,0)</f>
        <v>0</v>
      </c>
      <c r="E326" s="8">
        <f>IF('Items sous domaines Maths '!H333=2,'Items sous domaines Maths '!E333,0)</f>
        <v>0</v>
      </c>
      <c r="F326" s="9">
        <f>IF('Items sous domaines Maths '!H333=2,'Items sous domaines Maths '!F333,0)</f>
        <v>0</v>
      </c>
      <c r="G326">
        <f>IF('Items sous domaines Maths '!H333=2,'Items sous domaines Maths '!G333,0)</f>
        <v>0</v>
      </c>
    </row>
    <row r="327" spans="2:7" customFormat="1" ht="13.5" hidden="1" customHeight="1" thickBot="1" x14ac:dyDescent="0.3">
      <c r="B327" s="8">
        <f>IF('Items sous domaines Maths '!H334=2,'Items sous domaines Maths '!B334,0)</f>
        <v>0</v>
      </c>
      <c r="C327" s="8" t="b">
        <f>IF('Items sous domaines Maths '!H334=2,'Items sous domaines Maths '!C334)</f>
        <v>0</v>
      </c>
      <c r="D327" s="8">
        <f>IF('Items sous domaines Maths '!H334=2,'Items sous domaines Maths '!D334,0)</f>
        <v>0</v>
      </c>
      <c r="E327" s="8">
        <f>IF('Items sous domaines Maths '!H334=2,'Items sous domaines Maths '!E334,0)</f>
        <v>0</v>
      </c>
      <c r="F327" s="9">
        <f>IF('Items sous domaines Maths '!H334=2,'Items sous domaines Maths '!F334,0)</f>
        <v>0</v>
      </c>
      <c r="G327">
        <f>IF('Items sous domaines Maths '!H334=2,'Items sous domaines Maths '!G334,0)</f>
        <v>0</v>
      </c>
    </row>
    <row r="328" spans="2:7" customFormat="1" ht="13.5" hidden="1" customHeight="1" thickBot="1" x14ac:dyDescent="0.3">
      <c r="B328" s="8">
        <f>IF('Items sous domaines Maths '!H335=2,'Items sous domaines Maths '!B335,0)</f>
        <v>0</v>
      </c>
      <c r="C328" s="8" t="b">
        <f>IF('Items sous domaines Maths '!H335=2,'Items sous domaines Maths '!C335)</f>
        <v>0</v>
      </c>
      <c r="D328" s="8">
        <f>IF('Items sous domaines Maths '!H335=2,'Items sous domaines Maths '!D335,0)</f>
        <v>0</v>
      </c>
      <c r="E328" s="8">
        <f>IF('Items sous domaines Maths '!H335=2,'Items sous domaines Maths '!E335,0)</f>
        <v>0</v>
      </c>
      <c r="F328" s="9">
        <f>IF('Items sous domaines Maths '!H335=2,'Items sous domaines Maths '!F335,0)</f>
        <v>0</v>
      </c>
      <c r="G328">
        <f>IF('Items sous domaines Maths '!H335=2,'Items sous domaines Maths '!G335,0)</f>
        <v>0</v>
      </c>
    </row>
    <row r="329" spans="2:7" customFormat="1" ht="13.5" hidden="1" customHeight="1" thickBot="1" x14ac:dyDescent="0.3">
      <c r="B329" s="8">
        <f>IF('Items sous domaines Maths '!H336=2,'Items sous domaines Maths '!B336,0)</f>
        <v>0</v>
      </c>
      <c r="C329" s="8" t="b">
        <f>IF('Items sous domaines Maths '!H336=2,'Items sous domaines Maths '!C336)</f>
        <v>0</v>
      </c>
      <c r="D329" s="8">
        <f>IF('Items sous domaines Maths '!H336=2,'Items sous domaines Maths '!D336,0)</f>
        <v>0</v>
      </c>
      <c r="E329" s="8">
        <f>IF('Items sous domaines Maths '!H336=2,'Items sous domaines Maths '!E336,0)</f>
        <v>0</v>
      </c>
      <c r="F329" s="9">
        <f>IF('Items sous domaines Maths '!H336=2,'Items sous domaines Maths '!F336,0)</f>
        <v>0</v>
      </c>
      <c r="G329">
        <f>IF('Items sous domaines Maths '!H336=2,'Items sous domaines Maths '!G336,0)</f>
        <v>0</v>
      </c>
    </row>
    <row r="330" spans="2:7" customFormat="1" ht="13.5" hidden="1" customHeight="1" thickBot="1" x14ac:dyDescent="0.3">
      <c r="B330" s="8">
        <f>IF('Items sous domaines Maths '!H337=2,'Items sous domaines Maths '!B337,0)</f>
        <v>0</v>
      </c>
      <c r="C330" s="8" t="b">
        <f>IF('Items sous domaines Maths '!H337=2,'Items sous domaines Maths '!C337)</f>
        <v>0</v>
      </c>
      <c r="D330" s="8">
        <f>IF('Items sous domaines Maths '!H337=2,'Items sous domaines Maths '!D337,0)</f>
        <v>0</v>
      </c>
      <c r="E330" s="8">
        <f>IF('Items sous domaines Maths '!H337=2,'Items sous domaines Maths '!E337,0)</f>
        <v>0</v>
      </c>
      <c r="F330" s="9">
        <f>IF('Items sous domaines Maths '!H337=2,'Items sous domaines Maths '!F337,0)</f>
        <v>0</v>
      </c>
      <c r="G330">
        <f>IF('Items sous domaines Maths '!H337=2,'Items sous domaines Maths '!G337,0)</f>
        <v>0</v>
      </c>
    </row>
    <row r="331" spans="2:7" customFormat="1" ht="13.5" hidden="1" customHeight="1" thickBot="1" x14ac:dyDescent="0.3">
      <c r="B331" s="8">
        <f>IF('Items sous domaines Maths '!H338=2,'Items sous domaines Maths '!B338,0)</f>
        <v>0</v>
      </c>
      <c r="C331" s="8" t="b">
        <f>IF('Items sous domaines Maths '!H338=2,'Items sous domaines Maths '!C338)</f>
        <v>0</v>
      </c>
      <c r="D331" s="8">
        <f>IF('Items sous domaines Maths '!H338=2,'Items sous domaines Maths '!D338,0)</f>
        <v>0</v>
      </c>
      <c r="E331" s="8">
        <f>IF('Items sous domaines Maths '!H338=2,'Items sous domaines Maths '!E338,0)</f>
        <v>0</v>
      </c>
      <c r="F331" s="9">
        <f>IF('Items sous domaines Maths '!H338=2,'Items sous domaines Maths '!F338,0)</f>
        <v>0</v>
      </c>
      <c r="G331">
        <f>IF('Items sous domaines Maths '!H338=2,'Items sous domaines Maths '!G338,0)</f>
        <v>0</v>
      </c>
    </row>
    <row r="332" spans="2:7" customFormat="1" ht="13.5" hidden="1" customHeight="1" thickBot="1" x14ac:dyDescent="0.3">
      <c r="B332" s="8">
        <f>IF('Items sous domaines Maths '!H339=2,'Items sous domaines Maths '!B339,0)</f>
        <v>0</v>
      </c>
      <c r="C332" s="8" t="b">
        <f>IF('Items sous domaines Maths '!H339=2,'Items sous domaines Maths '!C339)</f>
        <v>0</v>
      </c>
      <c r="D332" s="8">
        <f>IF('Items sous domaines Maths '!H339=2,'Items sous domaines Maths '!D339,0)</f>
        <v>0</v>
      </c>
      <c r="E332" s="8">
        <f>IF('Items sous domaines Maths '!H339=2,'Items sous domaines Maths '!E339,0)</f>
        <v>0</v>
      </c>
      <c r="F332" s="9">
        <f>IF('Items sous domaines Maths '!H339=2,'Items sous domaines Maths '!F339,0)</f>
        <v>0</v>
      </c>
      <c r="G332">
        <f>IF('Items sous domaines Maths '!H339=2,'Items sous domaines Maths '!G339,0)</f>
        <v>0</v>
      </c>
    </row>
    <row r="333" spans="2:7" customFormat="1" ht="17.399999999999999" hidden="1" customHeight="1" thickBot="1" x14ac:dyDescent="0.3">
      <c r="B333" s="8">
        <f>IF('Items sous domaines Maths '!H340=2,'Items sous domaines Maths '!B340,0)</f>
        <v>0</v>
      </c>
      <c r="C333" s="8" t="b">
        <f>IF('Items sous domaines Maths '!H340=2,'Items sous domaines Maths '!C340)</f>
        <v>0</v>
      </c>
      <c r="D333" s="8">
        <f>IF('Items sous domaines Maths '!H340=2,'Items sous domaines Maths '!D340,0)</f>
        <v>0</v>
      </c>
      <c r="E333" s="8">
        <f>IF('Items sous domaines Maths '!H340=2,'Items sous domaines Maths '!E340,0)</f>
        <v>0</v>
      </c>
      <c r="F333" s="9">
        <f>IF('Items sous domaines Maths '!H340=2,'Items sous domaines Maths '!F340,0)</f>
        <v>0</v>
      </c>
      <c r="G333">
        <f>IF('Items sous domaines Maths '!H340=2,'Items sous domaines Maths '!G340,0)</f>
        <v>0</v>
      </c>
    </row>
    <row r="334" spans="2:7" customFormat="1" ht="17.399999999999999" hidden="1" customHeight="1" thickBot="1" x14ac:dyDescent="0.3">
      <c r="B334" s="8">
        <f>IF('Items sous domaines Maths '!H341=2,'Items sous domaines Maths '!B341,0)</f>
        <v>0</v>
      </c>
      <c r="C334" s="8" t="b">
        <f>IF('Items sous domaines Maths '!H341=2,'Items sous domaines Maths '!C341)</f>
        <v>0</v>
      </c>
      <c r="D334" s="8">
        <f>IF('Items sous domaines Maths '!H341=2,'Items sous domaines Maths '!D341,0)</f>
        <v>0</v>
      </c>
      <c r="E334" s="8">
        <f>IF('Items sous domaines Maths '!H341=2,'Items sous domaines Maths '!E341,0)</f>
        <v>0</v>
      </c>
      <c r="F334" s="9">
        <f>IF('Items sous domaines Maths '!H341=2,'Items sous domaines Maths '!F341,0)</f>
        <v>0</v>
      </c>
      <c r="G334">
        <f>IF('Items sous domaines Maths '!H341=2,'Items sous domaines Maths '!G341,0)</f>
        <v>0</v>
      </c>
    </row>
    <row r="335" spans="2:7" customFormat="1" ht="17.399999999999999" hidden="1" customHeight="1" thickBot="1" x14ac:dyDescent="0.3">
      <c r="B335" s="8">
        <f>IF('Items sous domaines Maths '!H342=2,'Items sous domaines Maths '!B342,0)</f>
        <v>0</v>
      </c>
      <c r="C335" s="8" t="b">
        <f>IF('Items sous domaines Maths '!H342=2,'Items sous domaines Maths '!C342)</f>
        <v>0</v>
      </c>
      <c r="D335" s="8">
        <f>IF('Items sous domaines Maths '!H342=2,'Items sous domaines Maths '!D342,0)</f>
        <v>0</v>
      </c>
      <c r="E335" s="8">
        <f>IF('Items sous domaines Maths '!H342=2,'Items sous domaines Maths '!E342,0)</f>
        <v>0</v>
      </c>
      <c r="F335" s="9">
        <f>IF('Items sous domaines Maths '!H342=2,'Items sous domaines Maths '!F342,0)</f>
        <v>0</v>
      </c>
      <c r="G335">
        <f>IF('Items sous domaines Maths '!H342=2,'Items sous domaines Maths '!G342,0)</f>
        <v>0</v>
      </c>
    </row>
    <row r="336" spans="2:7" customFormat="1" ht="17.399999999999999" hidden="1" customHeight="1" thickBot="1" x14ac:dyDescent="0.3">
      <c r="B336" s="8">
        <f>IF('Items sous domaines Maths '!H343=2,'Items sous domaines Maths '!B343,0)</f>
        <v>0</v>
      </c>
      <c r="C336" s="8" t="b">
        <f>IF('Items sous domaines Maths '!H343=2,'Items sous domaines Maths '!C343)</f>
        <v>0</v>
      </c>
      <c r="D336" s="8">
        <f>IF('Items sous domaines Maths '!H343=2,'Items sous domaines Maths '!D343,0)</f>
        <v>0</v>
      </c>
      <c r="E336" s="8">
        <f>IF('Items sous domaines Maths '!H343=2,'Items sous domaines Maths '!E343,0)</f>
        <v>0</v>
      </c>
      <c r="F336" s="9">
        <f>IF('Items sous domaines Maths '!H343=2,'Items sous domaines Maths '!F343,0)</f>
        <v>0</v>
      </c>
      <c r="G336">
        <f>IF('Items sous domaines Maths '!H343=2,'Items sous domaines Maths '!G343,0)</f>
        <v>0</v>
      </c>
    </row>
    <row r="337" spans="1:9" customFormat="1" ht="17.399999999999999" hidden="1" customHeight="1" thickBot="1" x14ac:dyDescent="0.3">
      <c r="B337" s="8">
        <f>IF('Items sous domaines Maths '!H344=2,'Items sous domaines Maths '!B344,0)</f>
        <v>0</v>
      </c>
      <c r="C337" s="8" t="b">
        <f>IF('Items sous domaines Maths '!H344=2,'Items sous domaines Maths '!C344)</f>
        <v>0</v>
      </c>
      <c r="D337" s="8">
        <f>IF('Items sous domaines Maths '!H344=2,'Items sous domaines Maths '!D344,0)</f>
        <v>0</v>
      </c>
      <c r="E337" s="8">
        <f>IF('Items sous domaines Maths '!H344=2,'Items sous domaines Maths '!E344,0)</f>
        <v>0</v>
      </c>
      <c r="F337" s="9">
        <f>IF('Items sous domaines Maths '!H344=2,'Items sous domaines Maths '!F344,0)</f>
        <v>0</v>
      </c>
      <c r="G337">
        <f>IF('Items sous domaines Maths '!H344=2,'Items sous domaines Maths '!G344,0)</f>
        <v>0</v>
      </c>
    </row>
    <row r="338" spans="1:9" customFormat="1" ht="17.399999999999999" hidden="1" customHeight="1" thickBot="1" x14ac:dyDescent="0.3">
      <c r="B338" s="8">
        <f>IF('Items sous domaines Maths '!H345=2,'Items sous domaines Maths '!B345,0)</f>
        <v>0</v>
      </c>
      <c r="C338" s="8" t="b">
        <f>IF('Items sous domaines Maths '!H345=2,'Items sous domaines Maths '!C345)</f>
        <v>0</v>
      </c>
      <c r="D338" s="8">
        <f>IF('Items sous domaines Maths '!H345=2,'Items sous domaines Maths '!D345,0)</f>
        <v>0</v>
      </c>
      <c r="E338" s="8">
        <f>IF('Items sous domaines Maths '!H345=2,'Items sous domaines Maths '!E345,0)</f>
        <v>0</v>
      </c>
      <c r="F338" s="9">
        <f>IF('Items sous domaines Maths '!H345=2,'Items sous domaines Maths '!F345,0)</f>
        <v>0</v>
      </c>
      <c r="G338">
        <f>IF('Items sous domaines Maths '!H345=2,'Items sous domaines Maths '!G345,0)</f>
        <v>0</v>
      </c>
    </row>
    <row r="339" spans="1:9" customFormat="1" ht="17.399999999999999" hidden="1" customHeight="1" thickBot="1" x14ac:dyDescent="0.3">
      <c r="A339" s="13" t="s">
        <v>423</v>
      </c>
      <c r="B339" s="8">
        <f>IF('Items sous domaines Maths '!H346=2,'Items sous domaines Maths '!B346,0)</f>
        <v>0</v>
      </c>
      <c r="C339" s="8" t="b">
        <f>IF('Items sous domaines Maths '!H346=2,'Items sous domaines Maths '!C346)</f>
        <v>0</v>
      </c>
      <c r="D339" s="8">
        <f>IF('Items sous domaines Maths '!H346=2,'Items sous domaines Maths '!D346,0)</f>
        <v>0</v>
      </c>
      <c r="E339" s="8">
        <f>IF('Items sous domaines Maths '!H346=2,'Items sous domaines Maths '!E346,0)</f>
        <v>0</v>
      </c>
      <c r="F339" s="9">
        <f>IF('Items sous domaines Maths '!H346=2,'Items sous domaines Maths '!F346,0)</f>
        <v>0</v>
      </c>
      <c r="G339">
        <f>IF('Items sous domaines Maths '!H346=2,'Items sous domaines Maths '!G346,0)</f>
        <v>0</v>
      </c>
    </row>
    <row r="340" spans="1:9" customFormat="1" ht="17.399999999999999" hidden="1" customHeight="1" thickBot="1" x14ac:dyDescent="0.3">
      <c r="A340" s="14"/>
      <c r="B340" s="8">
        <f>IF('Items sous domaines Maths '!H347=2,'Items sous domaines Maths '!B347,0)</f>
        <v>0</v>
      </c>
      <c r="C340" s="8" t="b">
        <f>IF('Items sous domaines Maths '!H347=2,'Items sous domaines Maths '!C347)</f>
        <v>0</v>
      </c>
      <c r="D340" s="8">
        <f>IF('Items sous domaines Maths '!H347=2,'Items sous domaines Maths '!D347,0)</f>
        <v>0</v>
      </c>
      <c r="E340" s="8">
        <f>IF('Items sous domaines Maths '!H347=2,'Items sous domaines Maths '!E347,0)</f>
        <v>0</v>
      </c>
      <c r="F340" s="9">
        <f>IF('Items sous domaines Maths '!H347=2,'Items sous domaines Maths '!F347,0)</f>
        <v>0</v>
      </c>
      <c r="G340">
        <f>IF('Items sous domaines Maths '!H347=2,'Items sous domaines Maths '!G347,0)</f>
        <v>0</v>
      </c>
    </row>
    <row r="341" spans="1:9" customFormat="1" ht="17.399999999999999" hidden="1" customHeight="1" thickBot="1" x14ac:dyDescent="0.3">
      <c r="A341" s="14"/>
      <c r="B341" s="8">
        <f>IF('Items sous domaines Maths '!H348=2,'Items sous domaines Maths '!B348,0)</f>
        <v>0</v>
      </c>
      <c r="C341" s="8" t="b">
        <f>IF('Items sous domaines Maths '!H348=2,'Items sous domaines Maths '!C348)</f>
        <v>0</v>
      </c>
      <c r="D341" s="8">
        <f>IF('Items sous domaines Maths '!H348=2,'Items sous domaines Maths '!D348,0)</f>
        <v>0</v>
      </c>
      <c r="E341" s="8">
        <f>IF('Items sous domaines Maths '!H348=2,'Items sous domaines Maths '!E348,0)</f>
        <v>0</v>
      </c>
      <c r="F341" s="9">
        <f>IF('Items sous domaines Maths '!H348=2,'Items sous domaines Maths '!F348,0)</f>
        <v>0</v>
      </c>
      <c r="G341">
        <f>IF('Items sous domaines Maths '!H348=2,'Items sous domaines Maths '!G348,0)</f>
        <v>0</v>
      </c>
    </row>
    <row r="342" spans="1:9" customFormat="1" ht="17.399999999999999" hidden="1" customHeight="1" thickBot="1" x14ac:dyDescent="0.3">
      <c r="A342" s="14"/>
      <c r="B342" s="8">
        <f>IF('Items sous domaines Maths '!H349=2,'Items sous domaines Maths '!B349,0)</f>
        <v>0</v>
      </c>
      <c r="C342" s="8" t="b">
        <f>IF('Items sous domaines Maths '!H349=2,'Items sous domaines Maths '!C349)</f>
        <v>0</v>
      </c>
      <c r="D342" s="8">
        <f>IF('Items sous domaines Maths '!H349=2,'Items sous domaines Maths '!D349,0)</f>
        <v>0</v>
      </c>
      <c r="E342" s="8">
        <f>IF('Items sous domaines Maths '!H349=2,'Items sous domaines Maths '!E349,0)</f>
        <v>0</v>
      </c>
      <c r="F342" s="9">
        <f>IF('Items sous domaines Maths '!H349=2,'Items sous domaines Maths '!F349,0)</f>
        <v>0</v>
      </c>
      <c r="G342">
        <f>IF('Items sous domaines Maths '!H349=2,'Items sous domaines Maths '!G349,0)</f>
        <v>0</v>
      </c>
    </row>
    <row r="343" spans="1:9" customFormat="1" ht="17.399999999999999" hidden="1" customHeight="1" thickBot="1" x14ac:dyDescent="0.3">
      <c r="A343" s="14"/>
      <c r="B343" s="8">
        <f>IF('Items sous domaines Maths '!H350=2,'Items sous domaines Maths '!B350,0)</f>
        <v>0</v>
      </c>
      <c r="C343" s="8" t="b">
        <f>IF('Items sous domaines Maths '!H350=2,'Items sous domaines Maths '!C350)</f>
        <v>0</v>
      </c>
      <c r="D343" s="8">
        <f>IF('Items sous domaines Maths '!H350=2,'Items sous domaines Maths '!D350,0)</f>
        <v>0</v>
      </c>
      <c r="E343" s="8">
        <f>IF('Items sous domaines Maths '!H350=2,'Items sous domaines Maths '!E350,0)</f>
        <v>0</v>
      </c>
      <c r="F343" s="9">
        <f>IF('Items sous domaines Maths '!H350=2,'Items sous domaines Maths '!F350,0)</f>
        <v>0</v>
      </c>
      <c r="G343">
        <f>IF('Items sous domaines Maths '!H350=2,'Items sous domaines Maths '!G350,0)</f>
        <v>0</v>
      </c>
    </row>
    <row r="344" spans="1:9" customFormat="1" ht="13.5" hidden="1" customHeight="1" thickBot="1" x14ac:dyDescent="0.3">
      <c r="A344" s="14"/>
      <c r="B344" s="8">
        <f>IF('Items sous domaines Maths '!H351=2,'Items sous domaines Maths '!B351,0)</f>
        <v>0</v>
      </c>
      <c r="C344" s="8" t="b">
        <f>IF('Items sous domaines Maths '!H351=2,'Items sous domaines Maths '!C351)</f>
        <v>0</v>
      </c>
      <c r="D344" s="8">
        <f>IF('Items sous domaines Maths '!H351=2,'Items sous domaines Maths '!D351,0)</f>
        <v>0</v>
      </c>
      <c r="E344" s="8">
        <f>IF('Items sous domaines Maths '!H351=2,'Items sous domaines Maths '!E351,0)</f>
        <v>0</v>
      </c>
      <c r="F344" s="9">
        <f>IF('Items sous domaines Maths '!H351=2,'Items sous domaines Maths '!F351,0)</f>
        <v>0</v>
      </c>
      <c r="G344">
        <f>IF('Items sous domaines Maths '!H351=2,'Items sous domaines Maths '!G351,0)</f>
        <v>0</v>
      </c>
    </row>
    <row r="345" spans="1:9" customFormat="1" ht="13.5" hidden="1" customHeight="1" thickBot="1" x14ac:dyDescent="0.3">
      <c r="A345" s="14"/>
      <c r="B345" s="8">
        <f>IF('Items sous domaines Maths '!H352=2,'Items sous domaines Maths '!B352,0)</f>
        <v>0</v>
      </c>
      <c r="C345" s="8" t="b">
        <f>IF('Items sous domaines Maths '!H352=2,'Items sous domaines Maths '!C352)</f>
        <v>0</v>
      </c>
      <c r="D345" s="8">
        <f>IF('Items sous domaines Maths '!H352=2,'Items sous domaines Maths '!D352,0)</f>
        <v>0</v>
      </c>
      <c r="E345" s="8">
        <f>IF('Items sous domaines Maths '!H352=2,'Items sous domaines Maths '!E352,0)</f>
        <v>0</v>
      </c>
      <c r="F345" s="9">
        <f>IF('Items sous domaines Maths '!H352=2,'Items sous domaines Maths '!F352,0)</f>
        <v>0</v>
      </c>
      <c r="G345">
        <f>IF('Items sous domaines Maths '!H352=2,'Items sous domaines Maths '!G352,0)</f>
        <v>0</v>
      </c>
    </row>
    <row r="346" spans="1:9" customFormat="1" ht="12.75" hidden="1" customHeight="1" thickBot="1" x14ac:dyDescent="0.3">
      <c r="A346" s="14"/>
      <c r="B346" s="8">
        <f>IF('Items sous domaines Maths '!H353=2,'Items sous domaines Maths '!B353,0)</f>
        <v>0</v>
      </c>
      <c r="C346" s="8" t="b">
        <f>IF('Items sous domaines Maths '!H353=2,'Items sous domaines Maths '!C353)</f>
        <v>0</v>
      </c>
      <c r="D346" s="8">
        <f>IF('Items sous domaines Maths '!H353=2,'Items sous domaines Maths '!D353,0)</f>
        <v>0</v>
      </c>
      <c r="E346" s="8">
        <f>IF('Items sous domaines Maths '!H353=2,'Items sous domaines Maths '!E353,0)</f>
        <v>0</v>
      </c>
      <c r="F346" s="9">
        <f>IF('Items sous domaines Maths '!H353=2,'Items sous domaines Maths '!F353,0)</f>
        <v>0</v>
      </c>
      <c r="G346">
        <f>IF('Items sous domaines Maths '!H353=2,'Items sous domaines Maths '!G353,0)</f>
        <v>0</v>
      </c>
    </row>
    <row r="347" spans="1:9" customFormat="1" ht="13.5" hidden="1" customHeight="1" thickBot="1" x14ac:dyDescent="0.3">
      <c r="A347" s="14"/>
      <c r="B347" s="8">
        <f>IF('Items sous domaines Maths '!H354=2,'Items sous domaines Maths '!B354,0)</f>
        <v>0</v>
      </c>
      <c r="C347" s="8" t="b">
        <f>IF('Items sous domaines Maths '!H354=2,'Items sous domaines Maths '!C354)</f>
        <v>0</v>
      </c>
      <c r="D347" s="8">
        <f>IF('Items sous domaines Maths '!H354=2,'Items sous domaines Maths '!D354,0)</f>
        <v>0</v>
      </c>
      <c r="E347" s="8">
        <f>IF('Items sous domaines Maths '!H354=2,'Items sous domaines Maths '!E354,0)</f>
        <v>0</v>
      </c>
      <c r="F347" s="9">
        <f>IF('Items sous domaines Maths '!H354=2,'Items sous domaines Maths '!F354,0)</f>
        <v>0</v>
      </c>
      <c r="G347">
        <f>IF('Items sous domaines Maths '!H354=2,'Items sous domaines Maths '!G354,0)</f>
        <v>0</v>
      </c>
    </row>
    <row r="348" spans="1:9" ht="19.95" customHeight="1" thickTop="1" x14ac:dyDescent="0.25">
      <c r="A348" s="629" t="s">
        <v>848</v>
      </c>
      <c r="B348" s="181" t="str">
        <f>IF('Items sous domaines Maths '!H355=2,'Items sous domaines Maths '!B355,0)</f>
        <v>Probabilité et statistiques</v>
      </c>
      <c r="C348" s="182" t="str">
        <f>IF('Items sous domaines Maths '!H355=2,'Items sous domaines Maths '!C355)</f>
        <v>Les probabilités</v>
      </c>
      <c r="D348" s="182" t="str">
        <f>IF('Items sous domaines Maths '!H355=2,'Items sous domaines Maths '!D355,0)</f>
        <v>Variables aléatoires</v>
      </c>
      <c r="E348" s="182" t="str">
        <f>IF('Items sous domaines Maths '!H355=2,'Items sous domaines Maths '!E355,0)</f>
        <v xml:space="preserve">Variables aléatoires discrètes </v>
      </c>
      <c r="F348" s="183" t="str">
        <f>IF('Items sous domaines Maths '!H355=2,'Items sous domaines Maths '!F355,0)</f>
        <v>Loi (et fonction de répartition ?).</v>
      </c>
      <c r="G348" s="642" t="s">
        <v>463</v>
      </c>
      <c r="H348" s="577" t="s">
        <v>464</v>
      </c>
      <c r="I348" s="184" t="s">
        <v>22</v>
      </c>
    </row>
    <row r="349" spans="1:9" ht="19.95" customHeight="1" x14ac:dyDescent="0.25">
      <c r="A349" s="630"/>
      <c r="B349" s="141" t="str">
        <f>IF('Items sous domaines Maths '!H356=2,'Items sous domaines Maths '!B356,0)</f>
        <v>Probabilité et statistiques</v>
      </c>
      <c r="C349" s="142" t="str">
        <f>IF('Items sous domaines Maths '!H356=2,'Items sous domaines Maths '!C356)</f>
        <v>Les probabilités</v>
      </c>
      <c r="D349" s="142">
        <f>IF('Items sous domaines Maths '!H356=2,'Items sous domaines Maths '!D356,0)</f>
        <v>0</v>
      </c>
      <c r="E349" s="142">
        <f>IF('Items sous domaines Maths '!H356=2,'Items sous domaines Maths '!E356,0)</f>
        <v>0</v>
      </c>
      <c r="F349" s="143" t="str">
        <f>IF('Items sous domaines Maths '!H356=2,'Items sous domaines Maths '!F356,0)</f>
        <v xml:space="preserve">Espérance et variance. </v>
      </c>
      <c r="G349" s="643"/>
      <c r="H349" s="578"/>
      <c r="I349" s="199"/>
    </row>
    <row r="350" spans="1:9" ht="19.95" customHeight="1" x14ac:dyDescent="0.25">
      <c r="A350" s="630"/>
      <c r="B350" s="144" t="str">
        <f>IF('Items sous domaines Maths '!H357=2,'Items sous domaines Maths '!B357,0)</f>
        <v>Probabilité et statistiques</v>
      </c>
      <c r="C350" s="145" t="str">
        <f>IF('Items sous domaines Maths '!H357=2,'Items sous domaines Maths '!C357)</f>
        <v>Les probabilités</v>
      </c>
      <c r="D350" s="145">
        <f>IF('Items sous domaines Maths '!H357=2,'Items sous domaines Maths '!D357,0)</f>
        <v>0</v>
      </c>
      <c r="E350" s="145">
        <f>IF('Items sous domaines Maths '!H357=2,'Items sous domaines Maths '!E357,0)</f>
        <v>0</v>
      </c>
      <c r="F350" s="146" t="str">
        <f>IF('Items sous domaines Maths '!H357=2,'Items sous domaines Maths '!F357,0)</f>
        <v>Lois usuelles (Uniforme, Bernoulli, binomiale, géométrique, Poisson), lien entre loi uniforme et équiprobabilité.</v>
      </c>
      <c r="G350" s="643"/>
      <c r="H350" s="578"/>
      <c r="I350" s="199"/>
    </row>
    <row r="351" spans="1:9" ht="19.95" customHeight="1" x14ac:dyDescent="0.25">
      <c r="A351" s="630"/>
      <c r="B351" s="141" t="str">
        <f>IF('Items sous domaines Maths '!H358=2,'Items sous domaines Maths '!B358,0)</f>
        <v>Probabilité et statistiques</v>
      </c>
      <c r="C351" s="142" t="str">
        <f>IF('Items sous domaines Maths '!H358=2,'Items sous domaines Maths '!C358)</f>
        <v>Les probabilités</v>
      </c>
      <c r="D351" s="142">
        <f>IF('Items sous domaines Maths '!H358=2,'Items sous domaines Maths '!D358,0)</f>
        <v>0</v>
      </c>
      <c r="E351" s="142">
        <f>IF('Items sous domaines Maths '!H358=2,'Items sous domaines Maths '!E358,0)</f>
        <v>0</v>
      </c>
      <c r="F351" s="143" t="str">
        <f>IF('Items sous domaines Maths '!H358=2,'Items sous domaines Maths '!F358,0)</f>
        <v>Inégalité de Markov / Bienaymé-Tchebychev.</v>
      </c>
      <c r="G351" s="643"/>
      <c r="H351" s="578"/>
      <c r="I351" s="185" t="s">
        <v>126</v>
      </c>
    </row>
    <row r="352" spans="1:9" ht="19.95" customHeight="1" x14ac:dyDescent="0.25">
      <c r="A352" s="630"/>
      <c r="B352" s="144" t="str">
        <f>IF('Items sous domaines Maths '!H359=2,'Items sous domaines Maths '!B359,0)</f>
        <v>Probabilité et statistiques</v>
      </c>
      <c r="C352" s="145" t="str">
        <f>IF('Items sous domaines Maths '!H359=2,'Items sous domaines Maths '!C359)</f>
        <v>Les probabilités</v>
      </c>
      <c r="D352" s="145">
        <f>IF('Items sous domaines Maths '!H359=2,'Items sous domaines Maths '!D359,0)</f>
        <v>0</v>
      </c>
      <c r="E352" s="145" t="str">
        <f>IF('Items sous domaines Maths '!H359=2,'Items sous domaines Maths '!E359,0)</f>
        <v xml:space="preserve">Variables aléatoires continues </v>
      </c>
      <c r="F352" s="146" t="str">
        <f>IF('Items sous domaines Maths '!H359=2,'Items sous domaines Maths '!F359,0)</f>
        <v xml:space="preserve">Densité et fonction de répartition. </v>
      </c>
      <c r="G352" s="643"/>
      <c r="H352" s="578"/>
      <c r="I352" s="199"/>
    </row>
    <row r="353" spans="1:9" ht="19.95" customHeight="1" x14ac:dyDescent="0.25">
      <c r="A353" s="630"/>
      <c r="B353" s="141" t="str">
        <f>IF('Items sous domaines Maths '!H360=2,'Items sous domaines Maths '!B360,0)</f>
        <v>Probabilité et statistiques</v>
      </c>
      <c r="C353" s="142" t="str">
        <f>IF('Items sous domaines Maths '!H360=2,'Items sous domaines Maths '!C360)</f>
        <v>Les probabilités</v>
      </c>
      <c r="D353" s="142">
        <f>IF('Items sous domaines Maths '!H360=2,'Items sous domaines Maths '!D360,0)</f>
        <v>0</v>
      </c>
      <c r="E353" s="142">
        <f>IF('Items sous domaines Maths '!H360=2,'Items sous domaines Maths '!E360,0)</f>
        <v>0</v>
      </c>
      <c r="F353" s="143" t="str">
        <f>IF('Items sous domaines Maths '!H360=2,'Items sous domaines Maths '!F360,0)</f>
        <v>Espérance, variance, écart-type</v>
      </c>
      <c r="G353" s="643"/>
      <c r="H353" s="578"/>
      <c r="I353" s="199"/>
    </row>
    <row r="354" spans="1:9" ht="19.95" customHeight="1" x14ac:dyDescent="0.25">
      <c r="A354" s="630"/>
      <c r="B354" s="144" t="str">
        <f>IF('Items sous domaines Maths '!H361=2,'Items sous domaines Maths '!B361,0)</f>
        <v>Probabilité et statistiques</v>
      </c>
      <c r="C354" s="145" t="str">
        <f>IF('Items sous domaines Maths '!H361=2,'Items sous domaines Maths '!C361)</f>
        <v>Les probabilités</v>
      </c>
      <c r="D354" s="145">
        <f>IF('Items sous domaines Maths '!H361=2,'Items sous domaines Maths '!D361,0)</f>
        <v>0</v>
      </c>
      <c r="E354" s="145">
        <f>IF('Items sous domaines Maths '!H361=2,'Items sous domaines Maths '!E361,0)</f>
        <v>0</v>
      </c>
      <c r="F354" s="146" t="str">
        <f>IF('Items sous domaines Maths '!H361=2,'Items sous domaines Maths '!F361,0)</f>
        <v>Lois usuelles (uniforme, exponentielle, normale) + lois utilisées en statistiques ? (X2, Student, Fisher...).</v>
      </c>
      <c r="G354" s="643"/>
      <c r="H354" s="578"/>
      <c r="I354" s="199"/>
    </row>
    <row r="355" spans="1:9" ht="19.95" customHeight="1" x14ac:dyDescent="0.25">
      <c r="A355" s="630"/>
      <c r="B355" s="141" t="str">
        <f>IF('Items sous domaines Maths '!H362=2,'Items sous domaines Maths '!B362,0)</f>
        <v>Probabilité et statistiques</v>
      </c>
      <c r="C355" s="142" t="str">
        <f>IF('Items sous domaines Maths '!H362=2,'Items sous domaines Maths '!C362)</f>
        <v>Les probabilités</v>
      </c>
      <c r="D355" s="142">
        <f>IF('Items sous domaines Maths '!H362=2,'Items sous domaines Maths '!D362,0)</f>
        <v>0</v>
      </c>
      <c r="E355" s="142">
        <f>IF('Items sous domaines Maths '!H362=2,'Items sous domaines Maths '!E362,0)</f>
        <v>0</v>
      </c>
      <c r="F355" s="143" t="str">
        <f>IF('Items sous domaines Maths '!H362=2,'Items sous domaines Maths '!F362,0)</f>
        <v>Inégalité de Markov / Bienaymé-Tchebychev.</v>
      </c>
      <c r="G355" s="643"/>
      <c r="H355" s="578"/>
      <c r="I355" s="185" t="s">
        <v>355</v>
      </c>
    </row>
    <row r="356" spans="1:9" ht="19.95" customHeight="1" x14ac:dyDescent="0.25">
      <c r="A356" s="630"/>
      <c r="B356" s="144" t="str">
        <f>IF('Items sous domaines Maths '!H363=2,'Items sous domaines Maths '!B363,0)</f>
        <v>Probabilité et statistiques</v>
      </c>
      <c r="C356" s="145" t="str">
        <f>IF('Items sous domaines Maths '!H363=2,'Items sous domaines Maths '!C363)</f>
        <v>Les probabilités</v>
      </c>
      <c r="D356" s="145">
        <f>IF('Items sous domaines Maths '!H363=2,'Items sous domaines Maths '!D363,0)</f>
        <v>0</v>
      </c>
      <c r="E356" s="145">
        <f>IF('Items sous domaines Maths '!H363=2,'Items sous domaines Maths '!E363,0)</f>
        <v>0</v>
      </c>
      <c r="F356" s="146" t="str">
        <f>IF('Items sous domaines Maths '!H363=2,'Items sous domaines Maths '!F363,0)</f>
        <v>Loi des grands nombres / Lien avec les statistiques (échantillonnage / estimation).</v>
      </c>
      <c r="G356" s="643"/>
      <c r="H356" s="578"/>
      <c r="I356" s="199"/>
    </row>
    <row r="357" spans="1:9" ht="19.95" customHeight="1" thickBot="1" x14ac:dyDescent="0.3">
      <c r="A357" s="631"/>
      <c r="B357" s="186" t="str">
        <f>IF('Items sous domaines Maths '!H364=2,'Items sous domaines Maths '!B364,0)</f>
        <v>Probabilité et statistiques</v>
      </c>
      <c r="C357" s="187" t="str">
        <f>IF('Items sous domaines Maths '!H364=2,'Items sous domaines Maths '!C364)</f>
        <v>Les probabilités</v>
      </c>
      <c r="D357" s="187">
        <f>IF('Items sous domaines Maths '!H364=2,'Items sous domaines Maths '!D364,0)</f>
        <v>0</v>
      </c>
      <c r="E357" s="187">
        <f>IF('Items sous domaines Maths '!H364=2,'Items sous domaines Maths '!E364,0)</f>
        <v>0</v>
      </c>
      <c r="F357" s="188" t="str">
        <f>IF('Items sous domaines Maths '!H364=2,'Items sous domaines Maths '!F364,0)</f>
        <v>Théorème central limite / Théorème de Moivre-Laplace.</v>
      </c>
      <c r="G357" s="644"/>
      <c r="H357" s="579"/>
      <c r="I357" s="189"/>
    </row>
    <row r="358" spans="1:9" customFormat="1" ht="13.5" hidden="1" customHeight="1" thickTop="1" thickBot="1" x14ac:dyDescent="0.3">
      <c r="A358" s="7"/>
      <c r="B358">
        <f>IF('Items sous domaines Maths '!H366=2,'Items sous domaines Maths '!B366,0)</f>
        <v>0</v>
      </c>
      <c r="C358" t="b">
        <f>IF('Items sous domaines Maths '!H366=2,'Items sous domaines Maths '!C366)</f>
        <v>0</v>
      </c>
      <c r="D358">
        <f>IF('Items sous domaines Maths '!H366=2,'Items sous domaines Maths '!D366,0)</f>
        <v>0</v>
      </c>
      <c r="E358">
        <f>IF('Items sous domaines Maths '!H366=2,'Items sous domaines Maths '!E366,0)</f>
        <v>0</v>
      </c>
      <c r="F358" s="10">
        <f>IF('Items sous domaines Maths '!H366=2,'Items sous domaines Maths '!F366,0)</f>
        <v>0</v>
      </c>
      <c r="G358" s="647"/>
      <c r="H358" s="580"/>
    </row>
    <row r="359" spans="1:9" customFormat="1" ht="13.5" hidden="1" customHeight="1" thickBot="1" x14ac:dyDescent="0.3">
      <c r="A359" s="13"/>
      <c r="B359" s="8">
        <f>IF('Items sous domaines Maths '!H367=2,'Items sous domaines Maths '!B367,0)</f>
        <v>0</v>
      </c>
      <c r="C359" s="8" t="b">
        <f>IF('Items sous domaines Maths '!H367=2,'Items sous domaines Maths '!C367)</f>
        <v>0</v>
      </c>
      <c r="D359" s="8">
        <f>IF('Items sous domaines Maths '!H367=2,'Items sous domaines Maths '!D367,0)</f>
        <v>0</v>
      </c>
      <c r="E359" s="8">
        <f>IF('Items sous domaines Maths '!H367=2,'Items sous domaines Maths '!E367,0)</f>
        <v>0</v>
      </c>
      <c r="F359" s="9">
        <f>IF('Items sous domaines Maths '!H367=2,'Items sous domaines Maths '!F367,0)</f>
        <v>0</v>
      </c>
      <c r="G359" s="647"/>
      <c r="H359" s="580"/>
    </row>
    <row r="360" spans="1:9" customFormat="1" ht="13.5" hidden="1" customHeight="1" thickBot="1" x14ac:dyDescent="0.3">
      <c r="A360" s="14"/>
      <c r="B360" s="8">
        <f>IF('Items sous domaines Maths '!H368=2,'Items sous domaines Maths '!B368,0)</f>
        <v>0</v>
      </c>
      <c r="C360" s="8" t="b">
        <f>IF('Items sous domaines Maths '!H368=2,'Items sous domaines Maths '!C368)</f>
        <v>0</v>
      </c>
      <c r="D360" s="8">
        <f>IF('Items sous domaines Maths '!H368=2,'Items sous domaines Maths '!D368,0)</f>
        <v>0</v>
      </c>
      <c r="E360" s="8">
        <f>IF('Items sous domaines Maths '!H368=2,'Items sous domaines Maths '!E368,0)</f>
        <v>0</v>
      </c>
      <c r="F360" s="9">
        <f>IF('Items sous domaines Maths '!H368=2,'Items sous domaines Maths '!F368,0)</f>
        <v>0</v>
      </c>
      <c r="G360" s="647"/>
      <c r="H360" s="580"/>
    </row>
    <row r="361" spans="1:9" customFormat="1" ht="13.5" hidden="1" customHeight="1" thickBot="1" x14ac:dyDescent="0.3">
      <c r="A361" s="14"/>
      <c r="B361" s="8">
        <f>IF('Items sous domaines Maths '!H369=2,'Items sous domaines Maths '!B369,0)</f>
        <v>0</v>
      </c>
      <c r="C361" s="8" t="b">
        <f>IF('Items sous domaines Maths '!H369=2,'Items sous domaines Maths '!C369)</f>
        <v>0</v>
      </c>
      <c r="D361" s="8">
        <f>IF('Items sous domaines Maths '!H369=2,'Items sous domaines Maths '!D369,0)</f>
        <v>0</v>
      </c>
      <c r="E361" s="8">
        <f>IF('Items sous domaines Maths '!H369=2,'Items sous domaines Maths '!E369,0)</f>
        <v>0</v>
      </c>
      <c r="F361" s="9">
        <f>IF('Items sous domaines Maths '!H369=2,'Items sous domaines Maths '!F369,0)</f>
        <v>0</v>
      </c>
      <c r="G361" s="647"/>
      <c r="H361" s="580"/>
    </row>
    <row r="362" spans="1:9" customFormat="1" ht="13.5" hidden="1" customHeight="1" thickBot="1" x14ac:dyDescent="0.3">
      <c r="A362" s="14"/>
      <c r="B362" s="8">
        <f>IF('Items sous domaines Maths '!H370=2,'Items sous domaines Maths '!B370,0)</f>
        <v>0</v>
      </c>
      <c r="C362" s="8" t="b">
        <f>IF('Items sous domaines Maths '!H370=2,'Items sous domaines Maths '!C370)</f>
        <v>0</v>
      </c>
      <c r="D362" s="8">
        <f>IF('Items sous domaines Maths '!H370=2,'Items sous domaines Maths '!D370,0)</f>
        <v>0</v>
      </c>
      <c r="E362" s="8">
        <f>IF('Items sous domaines Maths '!H370=2,'Items sous domaines Maths '!E370,0)</f>
        <v>0</v>
      </c>
      <c r="F362" s="9">
        <f>IF('Items sous domaines Maths '!H370=2,'Items sous domaines Maths '!F370,0)</f>
        <v>0</v>
      </c>
      <c r="G362" s="647"/>
      <c r="H362" s="580"/>
    </row>
    <row r="363" spans="1:9" customFormat="1" ht="13.5" hidden="1" customHeight="1" thickBot="1" x14ac:dyDescent="0.3">
      <c r="A363" s="14"/>
      <c r="B363" s="8">
        <f>IF('Items sous domaines Maths '!H371=2,'Items sous domaines Maths '!B371,0)</f>
        <v>0</v>
      </c>
      <c r="C363" s="8" t="b">
        <f>IF('Items sous domaines Maths '!H371=2,'Items sous domaines Maths '!C371)</f>
        <v>0</v>
      </c>
      <c r="D363" s="8">
        <f>IF('Items sous domaines Maths '!H371=2,'Items sous domaines Maths '!D371,0)</f>
        <v>0</v>
      </c>
      <c r="E363" s="8">
        <f>IF('Items sous domaines Maths '!H371=2,'Items sous domaines Maths '!E371,0)</f>
        <v>0</v>
      </c>
      <c r="F363" s="9">
        <f>IF('Items sous domaines Maths '!H371=2,'Items sous domaines Maths '!F371,0)</f>
        <v>0</v>
      </c>
      <c r="G363" s="647"/>
      <c r="H363" s="580"/>
    </row>
    <row r="364" spans="1:9" customFormat="1" ht="13.5" hidden="1" customHeight="1" thickBot="1" x14ac:dyDescent="0.3">
      <c r="A364" s="14"/>
      <c r="B364" s="8">
        <f>IF('Items sous domaines Maths '!H372=2,'Items sous domaines Maths '!B372,0)</f>
        <v>0</v>
      </c>
      <c r="C364" s="8" t="b">
        <f>IF('Items sous domaines Maths '!H372=2,'Items sous domaines Maths '!C372)</f>
        <v>0</v>
      </c>
      <c r="D364" s="8">
        <f>IF('Items sous domaines Maths '!H372=2,'Items sous domaines Maths '!D372,0)</f>
        <v>0</v>
      </c>
      <c r="E364" s="8">
        <f>IF('Items sous domaines Maths '!H372=2,'Items sous domaines Maths '!E372,0)</f>
        <v>0</v>
      </c>
      <c r="F364" s="9">
        <f>IF('Items sous domaines Maths '!H372=2,'Items sous domaines Maths '!F372,0)</f>
        <v>0</v>
      </c>
      <c r="G364" s="647"/>
      <c r="H364" s="580"/>
    </row>
    <row r="365" spans="1:9" customFormat="1" ht="13.5" hidden="1" customHeight="1" thickBot="1" x14ac:dyDescent="0.3">
      <c r="A365" s="14"/>
      <c r="B365" s="8">
        <f>IF('Items sous domaines Maths '!H373=2,'Items sous domaines Maths '!B373,0)</f>
        <v>0</v>
      </c>
      <c r="C365" s="8" t="b">
        <f>IF('Items sous domaines Maths '!H373=2,'Items sous domaines Maths '!C373)</f>
        <v>0</v>
      </c>
      <c r="D365" s="8">
        <f>IF('Items sous domaines Maths '!H373=2,'Items sous domaines Maths '!D373,0)</f>
        <v>0</v>
      </c>
      <c r="E365" s="8">
        <f>IF('Items sous domaines Maths '!H373=2,'Items sous domaines Maths '!E373,0)</f>
        <v>0</v>
      </c>
      <c r="F365" s="9">
        <f>IF('Items sous domaines Maths '!H373=2,'Items sous domaines Maths '!F373,0)</f>
        <v>0</v>
      </c>
      <c r="G365" s="647"/>
      <c r="H365" s="580"/>
    </row>
    <row r="366" spans="1:9" ht="19.95" customHeight="1" thickTop="1" x14ac:dyDescent="0.25">
      <c r="A366" s="624" t="s">
        <v>432</v>
      </c>
      <c r="B366" s="181" t="str">
        <f>IF('Items sous domaines Maths '!H374=2,'Items sous domaines Maths '!B374,0)</f>
        <v>Probabilité et statistiques</v>
      </c>
      <c r="C366" s="182" t="str">
        <f>IF('Items sous domaines Maths '!H374=2,'Items sous domaines Maths '!C374)</f>
        <v>Les statistiques</v>
      </c>
      <c r="D366" s="182" t="str">
        <f>IF('Items sous domaines Maths '!H374=2,'Items sous domaines Maths '!D374,0)</f>
        <v>Statistiques a deux variables quantitatives</v>
      </c>
      <c r="E366" s="182" t="str">
        <f>IF('Items sous domaines Maths '!H374=2,'Items sous domaines Maths '!E374,0)</f>
        <v>Position du problème de régression linéaire</v>
      </c>
      <c r="F366" s="183" t="str">
        <f>IF('Items sous domaines Maths '!H374=2,'Items sous domaines Maths '!F374,0)</f>
        <v>Nuage de points.</v>
      </c>
      <c r="G366" s="642"/>
      <c r="H366" s="577"/>
      <c r="I366" s="178"/>
    </row>
    <row r="367" spans="1:9" ht="19.95" customHeight="1" x14ac:dyDescent="0.25">
      <c r="A367" s="625"/>
      <c r="B367" s="141" t="str">
        <f>IF('Items sous domaines Maths '!H375=2,'Items sous domaines Maths '!B375,0)</f>
        <v>Probabilité et statistiques</v>
      </c>
      <c r="C367" s="142" t="str">
        <f>IF('Items sous domaines Maths '!H375=2,'Items sous domaines Maths '!C375)</f>
        <v>Les statistiques</v>
      </c>
      <c r="D367" s="142">
        <f>IF('Items sous domaines Maths '!H375=2,'Items sous domaines Maths '!D375,0)</f>
        <v>0</v>
      </c>
      <c r="E367" s="142">
        <f>IF('Items sous domaines Maths '!H375=2,'Items sous domaines Maths '!E375,0)</f>
        <v>0</v>
      </c>
      <c r="F367" s="143" t="str">
        <f>IF('Items sous domaines Maths '!H375=2,'Items sous domaines Maths '!F375,0)</f>
        <v>Coefficient de corrélation linéaire.</v>
      </c>
      <c r="G367" s="643"/>
      <c r="H367" s="578"/>
      <c r="I367" s="185" t="s">
        <v>22</v>
      </c>
    </row>
    <row r="368" spans="1:9" ht="19.95" customHeight="1" x14ac:dyDescent="0.25">
      <c r="A368" s="625"/>
      <c r="B368" s="144" t="str">
        <f>IF('Items sous domaines Maths '!H376=2,'Items sous domaines Maths '!B376,0)</f>
        <v>Probabilité et statistiques</v>
      </c>
      <c r="C368" s="145" t="str">
        <f>IF('Items sous domaines Maths '!H376=2,'Items sous domaines Maths '!C376)</f>
        <v>Les statistiques</v>
      </c>
      <c r="D368" s="145">
        <f>IF('Items sous domaines Maths '!H376=2,'Items sous domaines Maths '!D376,0)</f>
        <v>0</v>
      </c>
      <c r="E368" s="145" t="str">
        <f>IF('Items sous domaines Maths '!H376=2,'Items sous domaines Maths '!E376,0)</f>
        <v>Ajustements linéaires ou non</v>
      </c>
      <c r="F368" s="146" t="str">
        <f>IF('Items sous domaines Maths '!H376=2,'Items sous domaines Maths '!F376,0)</f>
        <v>Méthode de Mayer (points moyens).</v>
      </c>
      <c r="G368" s="643"/>
      <c r="H368" s="578"/>
      <c r="I368" s="199"/>
    </row>
    <row r="369" spans="1:9" ht="19.95" customHeight="1" x14ac:dyDescent="0.25">
      <c r="A369" s="625"/>
      <c r="B369" s="141" t="str">
        <f>IF('Items sous domaines Maths '!H377=2,'Items sous domaines Maths '!B377,0)</f>
        <v>Probabilité et statistiques</v>
      </c>
      <c r="C369" s="142" t="str">
        <f>IF('Items sous domaines Maths '!H377=2,'Items sous domaines Maths '!C377)</f>
        <v>Les statistiques</v>
      </c>
      <c r="D369" s="142">
        <f>IF('Items sous domaines Maths '!H377=2,'Items sous domaines Maths '!D377,0)</f>
        <v>0</v>
      </c>
      <c r="E369" s="142">
        <f>IF('Items sous domaines Maths '!H377=2,'Items sous domaines Maths '!E377,0)</f>
        <v>0</v>
      </c>
      <c r="F369" s="143" t="str">
        <f>IF('Items sous domaines Maths '!H377=2,'Items sous domaines Maths '!F377,0)</f>
        <v>Méthode des points extrêmes.</v>
      </c>
      <c r="G369" s="643"/>
      <c r="H369" s="578"/>
      <c r="I369" s="185" t="s">
        <v>126</v>
      </c>
    </row>
    <row r="370" spans="1:9" ht="19.95" customHeight="1" x14ac:dyDescent="0.25">
      <c r="A370" s="625"/>
      <c r="B370" s="144" t="str">
        <f>IF('Items sous domaines Maths '!H378=2,'Items sous domaines Maths '!B378,0)</f>
        <v>Probabilité et statistiques</v>
      </c>
      <c r="C370" s="145" t="str">
        <f>IF('Items sous domaines Maths '!H378=2,'Items sous domaines Maths '!C378)</f>
        <v>Les statistiques</v>
      </c>
      <c r="D370" s="145">
        <f>IF('Items sous domaines Maths '!H378=2,'Items sous domaines Maths '!D378,0)</f>
        <v>0</v>
      </c>
      <c r="E370" s="145">
        <f>IF('Items sous domaines Maths '!H378=2,'Items sous domaines Maths '!E378,0)</f>
        <v>0</v>
      </c>
      <c r="F370" s="146" t="str">
        <f>IF('Items sous domaines Maths '!H378=2,'Items sous domaines Maths '!F378,0)</f>
        <v>Méthode des moindres carrés.</v>
      </c>
      <c r="G370" s="643"/>
      <c r="H370" s="578"/>
      <c r="I370" s="199"/>
    </row>
    <row r="371" spans="1:9" ht="19.95" customHeight="1" x14ac:dyDescent="0.25">
      <c r="A371" s="625"/>
      <c r="B371" s="141" t="str">
        <f>IF('Items sous domaines Maths '!H379=2,'Items sous domaines Maths '!B379,0)</f>
        <v>Probabilité et statistiques</v>
      </c>
      <c r="C371" s="142" t="str">
        <f>IF('Items sous domaines Maths '!H379=2,'Items sous domaines Maths '!C379)</f>
        <v>Les statistiques</v>
      </c>
      <c r="D371" s="142">
        <f>IF('Items sous domaines Maths '!H379=2,'Items sous domaines Maths '!D379,0)</f>
        <v>0</v>
      </c>
      <c r="E371" s="142">
        <f>IF('Items sous domaines Maths '!H379=2,'Items sous domaines Maths '!E379,0)</f>
        <v>0</v>
      </c>
      <c r="F371" s="143" t="str">
        <f>IF('Items sous domaines Maths '!H379=2,'Items sous domaines Maths '!F379,0)</f>
        <v>Autres méthodes faisant intervenir des changements de variables (exponentiel, logarithmiques…).</v>
      </c>
      <c r="G371" s="643"/>
      <c r="H371" s="578"/>
      <c r="I371" s="199"/>
    </row>
    <row r="372" spans="1:9" ht="19.95" customHeight="1" x14ac:dyDescent="0.25">
      <c r="A372" s="625"/>
      <c r="B372" s="144" t="str">
        <f>IF('Items sous domaines Maths '!H380=2,'Items sous domaines Maths '!B380,0)</f>
        <v>Probabilité et statistiques</v>
      </c>
      <c r="C372" s="145" t="str">
        <f>IF('Items sous domaines Maths '!H380=2,'Items sous domaines Maths '!C380)</f>
        <v>Les statistiques</v>
      </c>
      <c r="D372" s="145">
        <f>IF('Items sous domaines Maths '!H380=2,'Items sous domaines Maths '!D380,0)</f>
        <v>0</v>
      </c>
      <c r="E372" s="145">
        <f>IF('Items sous domaines Maths '!H380=2,'Items sous domaines Maths '!E380,0)</f>
        <v>0</v>
      </c>
      <c r="F372" s="146" t="str">
        <f>IF('Items sous domaines Maths '!H380=2,'Items sous domaines Maths '!F380,0)</f>
        <v>"Qualité" d'une régression linéaire</v>
      </c>
      <c r="G372" s="643"/>
      <c r="H372" s="578"/>
      <c r="I372" s="185" t="s">
        <v>355</v>
      </c>
    </row>
    <row r="373" spans="1:9" ht="19.95" customHeight="1" thickBot="1" x14ac:dyDescent="0.3">
      <c r="A373" s="662"/>
      <c r="B373" s="141" t="str">
        <f>IF('Items sous domaines Maths '!H381=2,'Items sous domaines Maths '!B381,0)</f>
        <v>Probabilité et statistiques</v>
      </c>
      <c r="C373" s="142" t="str">
        <f>IF('Items sous domaines Maths '!H381=2,'Items sous domaines Maths '!C381)</f>
        <v>Les statistiques</v>
      </c>
      <c r="D373" s="142">
        <f>IF('Items sous domaines Maths '!H381=2,'Items sous domaines Maths '!D381,0)</f>
        <v>0</v>
      </c>
      <c r="E373" s="142">
        <f>IF('Items sous domaines Maths '!H381=2,'Items sous domaines Maths '!E381,0)</f>
        <v>0</v>
      </c>
      <c r="F373" s="143" t="str">
        <f>IF('Items sous domaines Maths '!H381=2,'Items sous domaines Maths '!F381,0)</f>
        <v>Ajustements non linéaires.</v>
      </c>
      <c r="G373" s="643"/>
      <c r="H373" s="578"/>
      <c r="I373" s="199"/>
    </row>
    <row r="374" spans="1:9" ht="19.95" customHeight="1" x14ac:dyDescent="0.25">
      <c r="A374" s="663" t="s">
        <v>849</v>
      </c>
      <c r="B374" s="144" t="str">
        <f>IF('Items sous domaines Maths '!H383=2,'Items sous domaines Maths '!B383,0)</f>
        <v>Probabilité et statistiques</v>
      </c>
      <c r="C374" s="145" t="str">
        <f>IF('Items sous domaines Maths '!H383=2,'Items sous domaines Maths '!C383)</f>
        <v>Les statistiques</v>
      </c>
      <c r="D374" s="145" t="str">
        <f>IF('Items sous domaines Maths '!H383=2,'Items sous domaines Maths '!D383,0)</f>
        <v>Estimation / Echantillonnage</v>
      </c>
      <c r="E374" s="145" t="str">
        <f>IF('Items sous domaines Maths '!H383=2,'Items sous domaines Maths '!E383,0)</f>
        <v>Echantillonnage</v>
      </c>
      <c r="F374" s="146" t="str">
        <f>IF('Items sous domaines Maths '!H383=2,'Items sous domaines Maths '!F383,0)</f>
        <v>Notion d'échantillon.</v>
      </c>
      <c r="G374" s="643"/>
      <c r="H374" s="578"/>
      <c r="I374" s="199"/>
    </row>
    <row r="375" spans="1:9" ht="19.95" customHeight="1" x14ac:dyDescent="0.25">
      <c r="A375" s="625"/>
      <c r="B375" s="141" t="str">
        <f>IF('Items sous domaines Maths '!H384=2,'Items sous domaines Maths '!B384,0)</f>
        <v>Probabilité et statistiques</v>
      </c>
      <c r="C375" s="142" t="str">
        <f>IF('Items sous domaines Maths '!H384=2,'Items sous domaines Maths '!C384)</f>
        <v>Les statistiques</v>
      </c>
      <c r="D375" s="142">
        <f>IF('Items sous domaines Maths '!H384=2,'Items sous domaines Maths '!D384,0)</f>
        <v>0</v>
      </c>
      <c r="E375" s="142">
        <f>IF('Items sous domaines Maths '!H384=2,'Items sous domaines Maths '!E384,0)</f>
        <v>0</v>
      </c>
      <c r="F375" s="143" t="str">
        <f>IF('Items sous domaines Maths '!H384=2,'Items sous domaines Maths '!F384,0)</f>
        <v>Lois d'échantillonnage de la moyenne et de la fréquence.</v>
      </c>
      <c r="G375" s="643"/>
      <c r="H375" s="578"/>
      <c r="I375" s="199"/>
    </row>
    <row r="376" spans="1:9" ht="19.95" customHeight="1" x14ac:dyDescent="0.25">
      <c r="A376" s="625"/>
      <c r="B376" s="144" t="str">
        <f>IF('Items sous domaines Maths '!H385=2,'Items sous domaines Maths '!B385,0)</f>
        <v>Probabilité et statistiques</v>
      </c>
      <c r="C376" s="145" t="str">
        <f>IF('Items sous domaines Maths '!H385=2,'Items sous domaines Maths '!C385)</f>
        <v>Les statistiques</v>
      </c>
      <c r="D376" s="145">
        <f>IF('Items sous domaines Maths '!H385=2,'Items sous domaines Maths '!D385,0)</f>
        <v>0</v>
      </c>
      <c r="E376" s="145">
        <f>IF('Items sous domaines Maths '!H385=2,'Items sous domaines Maths '!E385,0)</f>
        <v>0</v>
      </c>
      <c r="F376" s="146" t="str">
        <f>IF('Items sous domaines Maths '!H385=2,'Items sous domaines Maths '!F385,0)</f>
        <v>Intervalle de fluctuation.</v>
      </c>
      <c r="G376" s="643"/>
      <c r="H376" s="578"/>
      <c r="I376" s="199"/>
    </row>
    <row r="377" spans="1:9" ht="19.95" customHeight="1" x14ac:dyDescent="0.25">
      <c r="A377" s="625"/>
      <c r="B377" s="141" t="str">
        <f>IF('Items sous domaines Maths '!H386=2,'Items sous domaines Maths '!B386,0)</f>
        <v>Probabilité et statistiques</v>
      </c>
      <c r="C377" s="142" t="str">
        <f>IF('Items sous domaines Maths '!H386=2,'Items sous domaines Maths '!C386)</f>
        <v>Les statistiques</v>
      </c>
      <c r="D377" s="142">
        <f>IF('Items sous domaines Maths '!H386=2,'Items sous domaines Maths '!D386,0)</f>
        <v>0</v>
      </c>
      <c r="E377" s="142" t="str">
        <f>IF('Items sous domaines Maths '!H386=2,'Items sous domaines Maths '!E386,0)</f>
        <v>Estimation</v>
      </c>
      <c r="F377" s="143" t="str">
        <f>IF('Items sous domaines Maths '!H386=2,'Items sous domaines Maths '!F386,0)</f>
        <v>Notion d'estimation (biais, ...).</v>
      </c>
      <c r="G377" s="643"/>
      <c r="H377" s="578"/>
      <c r="I377" s="199"/>
    </row>
    <row r="378" spans="1:9" ht="19.95" customHeight="1" x14ac:dyDescent="0.25">
      <c r="A378" s="625"/>
      <c r="B378" s="144" t="str">
        <f>IF('Items sous domaines Maths '!H387=2,'Items sous domaines Maths '!B387,0)</f>
        <v>Probabilité et statistiques</v>
      </c>
      <c r="C378" s="145" t="str">
        <f>IF('Items sous domaines Maths '!H387=2,'Items sous domaines Maths '!C387)</f>
        <v>Les statistiques</v>
      </c>
      <c r="D378" s="145">
        <f>IF('Items sous domaines Maths '!H387=2,'Items sous domaines Maths '!D387,0)</f>
        <v>0</v>
      </c>
      <c r="E378" s="145">
        <f>IF('Items sous domaines Maths '!H387=2,'Items sous domaines Maths '!E387,0)</f>
        <v>0</v>
      </c>
      <c r="F378" s="146" t="str">
        <f>IF('Items sous domaines Maths '!H387=2,'Items sous domaines Maths '!F387,0)</f>
        <v>Estimation ponctuelle de la moyenne et de la fréquence.</v>
      </c>
      <c r="G378" s="643"/>
      <c r="H378" s="578"/>
      <c r="I378" s="199"/>
    </row>
    <row r="379" spans="1:9" ht="19.95" customHeight="1" thickBot="1" x14ac:dyDescent="0.3">
      <c r="A379" s="626"/>
      <c r="B379" s="186" t="str">
        <f>IF('Items sous domaines Maths '!H388=2,'Items sous domaines Maths '!B388,0)</f>
        <v>Probabilité et statistiques</v>
      </c>
      <c r="C379" s="187" t="str">
        <f>IF('Items sous domaines Maths '!H388=2,'Items sous domaines Maths '!C388)</f>
        <v>Les statistiques</v>
      </c>
      <c r="D379" s="187">
        <f>IF('Items sous domaines Maths '!H388=2,'Items sous domaines Maths '!D388,0)</f>
        <v>0</v>
      </c>
      <c r="E379" s="187">
        <f>IF('Items sous domaines Maths '!H388=2,'Items sous domaines Maths '!E388,0)</f>
        <v>0</v>
      </c>
      <c r="F379" s="188" t="str">
        <f>IF('Items sous domaines Maths '!H388=2,'Items sous domaines Maths '!F388,0)</f>
        <v>Estimation par intervalle de confiance de la moyenne et de la fréquence.</v>
      </c>
      <c r="G379" s="644"/>
      <c r="H379" s="579"/>
      <c r="I379" s="189"/>
    </row>
    <row r="380" spans="1:9" customFormat="1" ht="14.4" hidden="1" thickTop="1" thickBot="1" x14ac:dyDescent="0.3">
      <c r="B380">
        <f>IF('Items sous domaines Maths '!H389=2,'Items sous domaines Maths '!B389,0)</f>
        <v>0</v>
      </c>
      <c r="C380" t="b">
        <f>IF('Items sous domaines Maths '!H389=2,'Items sous domaines Maths '!C389)</f>
        <v>0</v>
      </c>
      <c r="D380">
        <f>IF('Items sous domaines Maths '!H389=2,'Items sous domaines Maths '!D389,0)</f>
        <v>0</v>
      </c>
      <c r="E380">
        <f>IF('Items sous domaines Maths '!H389=2,'Items sous domaines Maths '!E389,0)</f>
        <v>0</v>
      </c>
      <c r="F380" s="10">
        <f>IF('Items sous domaines Maths '!H389=2,'Items sous domaines Maths '!F389,0)</f>
        <v>0</v>
      </c>
      <c r="G380">
        <f>IF('Items sous domaines Maths '!H389=2,'Items sous domaines Maths '!G389,0)</f>
        <v>0</v>
      </c>
    </row>
    <row r="381" spans="1:9" customFormat="1" ht="13.8" hidden="1" thickTop="1" x14ac:dyDescent="0.25">
      <c r="B381" s="8">
        <f>IF('Items sous domaines Maths '!H390=2,'Items sous domaines Maths '!B390,0)</f>
        <v>0</v>
      </c>
      <c r="C381" s="8" t="b">
        <f>IF('Items sous domaines Maths '!H390=2,'Items sous domaines Maths '!C390)</f>
        <v>0</v>
      </c>
      <c r="D381" s="8">
        <f>IF('Items sous domaines Maths '!H390=2,'Items sous domaines Maths '!D390,0)</f>
        <v>0</v>
      </c>
      <c r="E381" s="8">
        <f>IF('Items sous domaines Maths '!H390=2,'Items sous domaines Maths '!E390,0)</f>
        <v>0</v>
      </c>
      <c r="F381" s="9">
        <f>IF('Items sous domaines Maths '!H390=2,'Items sous domaines Maths '!F390,0)</f>
        <v>0</v>
      </c>
      <c r="G381">
        <f>IF('Items sous domaines Maths '!H390=2,'Items sous domaines Maths '!G390,0)</f>
        <v>0</v>
      </c>
    </row>
    <row r="382" spans="1:9" customFormat="1" ht="13.8" hidden="1" thickTop="1" x14ac:dyDescent="0.25">
      <c r="B382" s="8">
        <f>IF('Items sous domaines Maths '!H391=2,'Items sous domaines Maths '!B391,0)</f>
        <v>0</v>
      </c>
      <c r="C382" s="8" t="b">
        <f>IF('Items sous domaines Maths '!H391=2,'Items sous domaines Maths '!C391)</f>
        <v>0</v>
      </c>
      <c r="D382" s="8">
        <f>IF('Items sous domaines Maths '!H391=2,'Items sous domaines Maths '!D391,0)</f>
        <v>0</v>
      </c>
      <c r="E382" s="8">
        <f>IF('Items sous domaines Maths '!H391=2,'Items sous domaines Maths '!E391,0)</f>
        <v>0</v>
      </c>
      <c r="F382" s="9">
        <f>IF('Items sous domaines Maths '!H391=2,'Items sous domaines Maths '!F391,0)</f>
        <v>0</v>
      </c>
      <c r="G382">
        <f>IF('Items sous domaines Maths '!H391=2,'Items sous domaines Maths '!G391,0)</f>
        <v>0</v>
      </c>
    </row>
    <row r="383" spans="1:9" customFormat="1" ht="13.8" hidden="1" thickTop="1" x14ac:dyDescent="0.25">
      <c r="B383" s="8">
        <f>IF('Items sous domaines Maths '!H392=2,'Items sous domaines Maths '!B392,0)</f>
        <v>0</v>
      </c>
      <c r="C383" s="8" t="b">
        <f>IF('Items sous domaines Maths '!H392=2,'Items sous domaines Maths '!C392)</f>
        <v>0</v>
      </c>
      <c r="D383" s="8">
        <f>IF('Items sous domaines Maths '!H392=2,'Items sous domaines Maths '!D392,0)</f>
        <v>0</v>
      </c>
      <c r="E383" s="8">
        <f>IF('Items sous domaines Maths '!H392=2,'Items sous domaines Maths '!E392,0)</f>
        <v>0</v>
      </c>
      <c r="F383" s="9">
        <f>IF('Items sous domaines Maths '!H392=2,'Items sous domaines Maths '!F392,0)</f>
        <v>0</v>
      </c>
      <c r="G383">
        <f>IF('Items sous domaines Maths '!H392=2,'Items sous domaines Maths '!G392,0)</f>
        <v>0</v>
      </c>
    </row>
    <row r="384" spans="1:9" customFormat="1" ht="13.8" hidden="1" thickTop="1" x14ac:dyDescent="0.25">
      <c r="B384" s="8">
        <f>IF('Items sous domaines Maths '!H393=2,'Items sous domaines Maths '!B393,0)</f>
        <v>0</v>
      </c>
      <c r="C384" s="8" t="b">
        <f>IF('Items sous domaines Maths '!H393=2,'Items sous domaines Maths '!C393)</f>
        <v>0</v>
      </c>
      <c r="D384" s="8">
        <f>IF('Items sous domaines Maths '!H393=2,'Items sous domaines Maths '!D393,0)</f>
        <v>0</v>
      </c>
      <c r="E384" s="8">
        <f>IF('Items sous domaines Maths '!H393=2,'Items sous domaines Maths '!E393,0)</f>
        <v>0</v>
      </c>
      <c r="F384" s="9">
        <f>IF('Items sous domaines Maths '!H393=2,'Items sous domaines Maths '!F393,0)</f>
        <v>0</v>
      </c>
      <c r="G384">
        <f>IF('Items sous domaines Maths '!H393=2,'Items sous domaines Maths '!G393,0)</f>
        <v>0</v>
      </c>
    </row>
    <row r="385" spans="2:8" customFormat="1" ht="13.8" hidden="1" thickTop="1" x14ac:dyDescent="0.25">
      <c r="B385" s="8">
        <f>IF('Items sous domaines Maths '!H394=2,'Items sous domaines Maths '!B394,0)</f>
        <v>0</v>
      </c>
      <c r="C385" s="8" t="b">
        <f>IF('Items sous domaines Maths '!H394=2,'Items sous domaines Maths '!C394)</f>
        <v>0</v>
      </c>
      <c r="D385" s="8">
        <f>IF('Items sous domaines Maths '!H394=2,'Items sous domaines Maths '!D394,0)</f>
        <v>0</v>
      </c>
      <c r="E385" s="8">
        <f>IF('Items sous domaines Maths '!H394=2,'Items sous domaines Maths '!E394,0)</f>
        <v>0</v>
      </c>
      <c r="F385" s="9">
        <f>IF('Items sous domaines Maths '!H394=2,'Items sous domaines Maths '!F394,0)</f>
        <v>0</v>
      </c>
      <c r="G385">
        <f>IF('Items sous domaines Maths '!H394=2,'Items sous domaines Maths '!G394,0)</f>
        <v>0</v>
      </c>
    </row>
    <row r="386" spans="2:8" customFormat="1" ht="13.8" hidden="1" thickTop="1" x14ac:dyDescent="0.25">
      <c r="B386" s="8">
        <f>IF('Items sous domaines Maths '!H395=2,'Items sous domaines Maths '!B395,0)</f>
        <v>0</v>
      </c>
      <c r="C386" s="8" t="b">
        <f>IF('Items sous domaines Maths '!H395=2,'Items sous domaines Maths '!C395)</f>
        <v>0</v>
      </c>
      <c r="D386" s="8">
        <f>IF('Items sous domaines Maths '!H395=2,'Items sous domaines Maths '!D395,0)</f>
        <v>0</v>
      </c>
      <c r="E386" s="8">
        <f>IF('Items sous domaines Maths '!H395=2,'Items sous domaines Maths '!E395,0)</f>
        <v>0</v>
      </c>
      <c r="F386" s="9">
        <f>IF('Items sous domaines Maths '!H395=2,'Items sous domaines Maths '!F395,0)</f>
        <v>0</v>
      </c>
      <c r="G386">
        <f>IF('Items sous domaines Maths '!H395=2,'Items sous domaines Maths '!G395,0)</f>
        <v>0</v>
      </c>
    </row>
    <row r="387" spans="2:8" customFormat="1" ht="13.8" hidden="1" thickTop="1" x14ac:dyDescent="0.25">
      <c r="B387" s="8">
        <f>IF('Items sous domaines Maths '!H396=2,'Items sous domaines Maths '!B396,0)</f>
        <v>0</v>
      </c>
      <c r="C387" s="8" t="b">
        <f>IF('Items sous domaines Maths '!H396=2,'Items sous domaines Maths '!C396)</f>
        <v>0</v>
      </c>
      <c r="D387" s="8">
        <f>IF('Items sous domaines Maths '!H396=2,'Items sous domaines Maths '!D396,0)</f>
        <v>0</v>
      </c>
      <c r="E387" s="8">
        <f>IF('Items sous domaines Maths '!H396=2,'Items sous domaines Maths '!E396,0)</f>
        <v>0</v>
      </c>
      <c r="F387" s="9">
        <f>IF('Items sous domaines Maths '!H396=2,'Items sous domaines Maths '!F396,0)</f>
        <v>0</v>
      </c>
      <c r="G387">
        <f>IF('Items sous domaines Maths '!H396=2,'Items sous domaines Maths '!G396,0)</f>
        <v>0</v>
      </c>
    </row>
    <row r="388" spans="2:8" customFormat="1" ht="13.8" hidden="1" thickTop="1" x14ac:dyDescent="0.25">
      <c r="B388" s="8">
        <f>IF('Items sous domaines Maths '!H397=2,'Items sous domaines Maths '!B397,0)</f>
        <v>0</v>
      </c>
      <c r="C388" s="8" t="b">
        <f>IF('Items sous domaines Maths '!H397=2,'Items sous domaines Maths '!C397)</f>
        <v>0</v>
      </c>
      <c r="D388" s="8">
        <f>IF('Items sous domaines Maths '!H397=2,'Items sous domaines Maths '!D397,0)</f>
        <v>0</v>
      </c>
      <c r="E388" s="8">
        <f>IF('Items sous domaines Maths '!H397=2,'Items sous domaines Maths '!E397,0)</f>
        <v>0</v>
      </c>
      <c r="F388" s="9">
        <f>IF('Items sous domaines Maths '!H397=2,'Items sous domaines Maths '!F397,0)</f>
        <v>0</v>
      </c>
      <c r="G388">
        <f>IF('Items sous domaines Maths '!H397=2,'Items sous domaines Maths '!G397,0)</f>
        <v>0</v>
      </c>
    </row>
    <row r="389" spans="2:8" customFormat="1" ht="13.8" hidden="1" thickTop="1" x14ac:dyDescent="0.25">
      <c r="B389" s="8">
        <f>IF('Items sous domaines Maths '!H398=2,'Items sous domaines Maths '!B398,0)</f>
        <v>0</v>
      </c>
      <c r="C389" s="8" t="b">
        <f>IF('Items sous domaines Maths '!H398=2,'Items sous domaines Maths '!C398)</f>
        <v>0</v>
      </c>
      <c r="D389" s="8">
        <f>IF('Items sous domaines Maths '!H398=2,'Items sous domaines Maths '!D398,0)</f>
        <v>0</v>
      </c>
      <c r="E389" s="8">
        <f>IF('Items sous domaines Maths '!H398=2,'Items sous domaines Maths '!E398,0)</f>
        <v>0</v>
      </c>
      <c r="F389" s="9">
        <f>IF('Items sous domaines Maths '!H398=2,'Items sous domaines Maths '!F398,0)</f>
        <v>0</v>
      </c>
      <c r="G389">
        <f>IF('Items sous domaines Maths '!H398=2,'Items sous domaines Maths '!G398,0)</f>
        <v>0</v>
      </c>
    </row>
    <row r="390" spans="2:8" customFormat="1" ht="13.8" hidden="1" thickTop="1" x14ac:dyDescent="0.25">
      <c r="B390" s="8">
        <f>IF('Items sous domaines Maths '!H399=2,'Items sous domaines Maths '!B399,0)</f>
        <v>0</v>
      </c>
      <c r="C390" s="8" t="b">
        <f>IF('Items sous domaines Maths '!H399=2,'Items sous domaines Maths '!C399)</f>
        <v>0</v>
      </c>
      <c r="D390" s="8">
        <f>IF('Items sous domaines Maths '!H399=2,'Items sous domaines Maths '!D399,0)</f>
        <v>0</v>
      </c>
      <c r="E390" s="8">
        <f>IF('Items sous domaines Maths '!H399=2,'Items sous domaines Maths '!E399,0)</f>
        <v>0</v>
      </c>
      <c r="F390" s="9">
        <f>IF('Items sous domaines Maths '!H399=2,'Items sous domaines Maths '!F399,0)</f>
        <v>0</v>
      </c>
      <c r="G390">
        <f>IF('Items sous domaines Maths '!H399=2,'Items sous domaines Maths '!G399,0)</f>
        <v>0</v>
      </c>
    </row>
    <row r="391" spans="2:8" customFormat="1" ht="13.8" hidden="1" thickTop="1" x14ac:dyDescent="0.25">
      <c r="B391" s="8">
        <f>IF('Items sous domaines Maths '!H400=2,'Items sous domaines Maths '!B400,0)</f>
        <v>0</v>
      </c>
      <c r="C391" s="8" t="b">
        <f>IF('Items sous domaines Maths '!H400=2,'Items sous domaines Maths '!C400)</f>
        <v>0</v>
      </c>
      <c r="D391" s="8">
        <f>IF('Items sous domaines Maths '!H400=2,'Items sous domaines Maths '!D400,0)</f>
        <v>0</v>
      </c>
      <c r="E391" s="8">
        <f>IF('Items sous domaines Maths '!H400=2,'Items sous domaines Maths '!E400,0)</f>
        <v>0</v>
      </c>
      <c r="F391" s="9">
        <f>IF('Items sous domaines Maths '!H400=2,'Items sous domaines Maths '!F400,0)</f>
        <v>0</v>
      </c>
      <c r="G391">
        <f>IF('Items sous domaines Maths '!H400=2,'Items sous domaines Maths '!G400,0)</f>
        <v>0</v>
      </c>
      <c r="H391" s="3"/>
    </row>
    <row r="392" spans="2:8" customFormat="1" ht="13.8" hidden="1" thickTop="1" x14ac:dyDescent="0.25">
      <c r="B392" s="8">
        <f>IF('Items sous domaines Maths '!H416=2,'Items sous domaines Maths '!B416,0)</f>
        <v>0</v>
      </c>
      <c r="C392" s="8" t="b">
        <f>IF('Items sous domaines Maths '!H416=2,'Items sous domaines Maths '!C416)</f>
        <v>0</v>
      </c>
      <c r="D392" s="8">
        <f>IF('Items sous domaines Maths '!H416=2,'Items sous domaines Maths '!D416,0)</f>
        <v>0</v>
      </c>
      <c r="E392" s="8">
        <f>IF('Items sous domaines Maths '!H416=2,'Items sous domaines Maths '!E416,0)</f>
        <v>0</v>
      </c>
      <c r="F392" s="9">
        <f>IF('Items sous domaines Maths '!H416=2,'Items sous domaines Maths '!F416,0)</f>
        <v>0</v>
      </c>
      <c r="G392">
        <f>IF('Items sous domaines Maths '!H416=2,'Items sous domaines Maths '!G416,0)</f>
        <v>0</v>
      </c>
      <c r="H392" s="3"/>
    </row>
    <row r="393" spans="2:8" customFormat="1" ht="13.8" hidden="1" thickTop="1" x14ac:dyDescent="0.25">
      <c r="B393" s="8">
        <f>IF('Items sous domaines Maths '!H417=2,'Items sous domaines Maths '!B417,0)</f>
        <v>0</v>
      </c>
      <c r="C393" s="8" t="b">
        <f>IF('Items sous domaines Maths '!H417=2,'Items sous domaines Maths '!C417)</f>
        <v>0</v>
      </c>
      <c r="D393" s="8">
        <f>IF('Items sous domaines Maths '!H417=2,'Items sous domaines Maths '!D417,0)</f>
        <v>0</v>
      </c>
      <c r="E393" s="8">
        <f>IF('Items sous domaines Maths '!H417=2,'Items sous domaines Maths '!E417,0)</f>
        <v>0</v>
      </c>
      <c r="F393" s="9">
        <f>IF('Items sous domaines Maths '!H417=2,'Items sous domaines Maths '!#REF!,0)</f>
        <v>0</v>
      </c>
      <c r="G393">
        <f>IF('Items sous domaines Maths '!H417=2,'Items sous domaines Maths '!G417,0)</f>
        <v>0</v>
      </c>
      <c r="H393" s="3"/>
    </row>
    <row r="394" spans="2:8" customFormat="1" ht="13.8" hidden="1" thickTop="1" x14ac:dyDescent="0.25">
      <c r="B394" s="8">
        <f>IF('Items sous domaines Maths '!H418=2,'Items sous domaines Maths '!B418,0)</f>
        <v>0</v>
      </c>
      <c r="C394" s="8" t="b">
        <f>IF('Items sous domaines Maths '!H418=2,'Items sous domaines Maths '!C418)</f>
        <v>0</v>
      </c>
      <c r="D394" s="8">
        <f>IF('Items sous domaines Maths '!H418=2,'Items sous domaines Maths '!D418,0)</f>
        <v>0</v>
      </c>
      <c r="E394" s="8">
        <f>IF('Items sous domaines Maths '!H418=2,'Items sous domaines Maths '!E418,0)</f>
        <v>0</v>
      </c>
      <c r="F394" s="9">
        <f>IF('Items sous domaines Maths '!H418=2,'Items sous domaines Maths '!F417,0)</f>
        <v>0</v>
      </c>
      <c r="G394">
        <f>IF('Items sous domaines Maths '!H418=2,'Items sous domaines Maths '!G418,0)</f>
        <v>0</v>
      </c>
      <c r="H394" s="3"/>
    </row>
    <row r="395" spans="2:8" customFormat="1" ht="13.8" hidden="1" thickTop="1" x14ac:dyDescent="0.25">
      <c r="B395" s="8">
        <f>IF('Items sous domaines Maths '!H419=2,'Items sous domaines Maths '!B419,0)</f>
        <v>0</v>
      </c>
      <c r="C395" s="8" t="b">
        <f>IF('Items sous domaines Maths '!H419=2,'Items sous domaines Maths '!C419)</f>
        <v>0</v>
      </c>
      <c r="D395" s="8">
        <f>IF('Items sous domaines Maths '!H419=2,'Items sous domaines Maths '!D419,0)</f>
        <v>0</v>
      </c>
      <c r="E395" s="8">
        <f>IF('Items sous domaines Maths '!H419=2,'Items sous domaines Maths '!E419,0)</f>
        <v>0</v>
      </c>
      <c r="F395" s="9">
        <f>IF('Items sous domaines Maths '!H419=2,'Items sous domaines Maths '!F418,0)</f>
        <v>0</v>
      </c>
      <c r="G395">
        <f>IF('Items sous domaines Maths '!H419=2,'Items sous domaines Maths '!G419,0)</f>
        <v>0</v>
      </c>
      <c r="H395" s="3"/>
    </row>
    <row r="396" spans="2:8" customFormat="1" ht="13.8" hidden="1" thickTop="1" x14ac:dyDescent="0.25">
      <c r="B396" s="8">
        <f>IF('Items sous domaines Maths '!H420=2,'Items sous domaines Maths '!B420,0)</f>
        <v>0</v>
      </c>
      <c r="C396" s="8" t="b">
        <f>IF('Items sous domaines Maths '!H420=2,'Items sous domaines Maths '!C420)</f>
        <v>0</v>
      </c>
      <c r="D396" s="8">
        <f>IF('Items sous domaines Maths '!H420=2,'Items sous domaines Maths '!D420,0)</f>
        <v>0</v>
      </c>
      <c r="E396" s="8">
        <f>IF('Items sous domaines Maths '!H420=2,'Items sous domaines Maths '!E420,0)</f>
        <v>0</v>
      </c>
      <c r="F396" s="9">
        <f>IF('Items sous domaines Maths '!H420=2,'Items sous domaines Maths '!F419,0)</f>
        <v>0</v>
      </c>
      <c r="G396">
        <f>IF('Items sous domaines Maths '!H420=2,'Items sous domaines Maths '!G420,0)</f>
        <v>0</v>
      </c>
      <c r="H396" s="3"/>
    </row>
    <row r="397" spans="2:8" customFormat="1" ht="13.8" hidden="1" thickTop="1" x14ac:dyDescent="0.25">
      <c r="B397" s="8">
        <f>IF('Items sous domaines Maths '!H421=2,'Items sous domaines Maths '!B421,0)</f>
        <v>0</v>
      </c>
      <c r="C397" s="8" t="b">
        <f>IF('Items sous domaines Maths '!H421=2,'Items sous domaines Maths '!C421)</f>
        <v>0</v>
      </c>
      <c r="D397" s="8">
        <f>IF('Items sous domaines Maths '!H421=2,'Items sous domaines Maths '!D421,0)</f>
        <v>0</v>
      </c>
      <c r="E397" s="8">
        <f>IF('Items sous domaines Maths '!H421=2,'Items sous domaines Maths '!E421,0)</f>
        <v>0</v>
      </c>
      <c r="F397" s="9">
        <f>IF('Items sous domaines Maths '!H421=2,'Items sous domaines Maths '!F420,0)</f>
        <v>0</v>
      </c>
      <c r="G397">
        <f>IF('Items sous domaines Maths '!H421=2,'Items sous domaines Maths '!G421,0)</f>
        <v>0</v>
      </c>
      <c r="H397" s="3"/>
    </row>
    <row r="398" spans="2:8" customFormat="1" ht="13.8" hidden="1" thickTop="1" x14ac:dyDescent="0.25">
      <c r="B398" s="8">
        <f>IF('Items sous domaines Maths '!H422=2,'Items sous domaines Maths '!B422,0)</f>
        <v>0</v>
      </c>
      <c r="C398" s="8" t="b">
        <f>IF('Items sous domaines Maths '!H422=2,'Items sous domaines Maths '!C422)</f>
        <v>0</v>
      </c>
      <c r="D398" s="8">
        <f>IF('Items sous domaines Maths '!H422=2,'Items sous domaines Maths '!D422,0)</f>
        <v>0</v>
      </c>
      <c r="E398" s="8">
        <f>IF('Items sous domaines Maths '!H422=2,'Items sous domaines Maths '!E422,0)</f>
        <v>0</v>
      </c>
      <c r="F398" s="9">
        <f>IF('Items sous domaines Maths '!H422=2,'Items sous domaines Maths '!F421,0)</f>
        <v>0</v>
      </c>
      <c r="G398">
        <f>IF('Items sous domaines Maths '!H422=2,'Items sous domaines Maths '!G422,0)</f>
        <v>0</v>
      </c>
      <c r="H398" s="3"/>
    </row>
    <row r="399" spans="2:8" customFormat="1" ht="13.8" hidden="1" thickTop="1" x14ac:dyDescent="0.25">
      <c r="B399" s="8">
        <f>IF('Items sous domaines Maths '!H423=2,'Items sous domaines Maths '!B423,0)</f>
        <v>0</v>
      </c>
      <c r="C399" s="8" t="b">
        <f>IF('Items sous domaines Maths '!H423=2,'Items sous domaines Maths '!C423)</f>
        <v>0</v>
      </c>
      <c r="D399" s="8">
        <f>IF('Items sous domaines Maths '!H423=2,'Items sous domaines Maths '!D423,0)</f>
        <v>0</v>
      </c>
      <c r="E399" s="8">
        <f>IF('Items sous domaines Maths '!H423=2,'Items sous domaines Maths '!E423,0)</f>
        <v>0</v>
      </c>
      <c r="F399" s="9">
        <f>IF('Items sous domaines Maths '!H423=2,'Items sous domaines Maths '!F422,0)</f>
        <v>0</v>
      </c>
      <c r="G399">
        <f>IF('Items sous domaines Maths '!H423=2,'Items sous domaines Maths '!G423,0)</f>
        <v>0</v>
      </c>
      <c r="H399" s="3"/>
    </row>
    <row r="400" spans="2:8" customFormat="1" ht="13.8" hidden="1" thickTop="1" x14ac:dyDescent="0.25">
      <c r="B400" s="8">
        <f>IF('Items sous domaines Maths '!H424=2,'Items sous domaines Maths '!B424,0)</f>
        <v>0</v>
      </c>
      <c r="C400" s="8" t="b">
        <f>IF('Items sous domaines Maths '!H424=2,'Items sous domaines Maths '!C424)</f>
        <v>0</v>
      </c>
      <c r="D400" s="8">
        <f>IF('Items sous domaines Maths '!H424=2,'Items sous domaines Maths '!D424,0)</f>
        <v>0</v>
      </c>
      <c r="E400" s="8">
        <f>IF('Items sous domaines Maths '!H424=2,'Items sous domaines Maths '!E424,0)</f>
        <v>0</v>
      </c>
      <c r="F400" s="9">
        <f>IF('Items sous domaines Maths '!H424=2,'Items sous domaines Maths '!F423,0)</f>
        <v>0</v>
      </c>
      <c r="G400">
        <f>IF('Items sous domaines Maths '!H424=2,'Items sous domaines Maths '!G424,0)</f>
        <v>0</v>
      </c>
      <c r="H400" s="3"/>
    </row>
    <row r="401" spans="2:8" customFormat="1" ht="13.8" hidden="1" thickTop="1" x14ac:dyDescent="0.25">
      <c r="B401" s="8">
        <f>IF('Items sous domaines Maths '!H425=2,'Items sous domaines Maths '!B425,0)</f>
        <v>0</v>
      </c>
      <c r="C401" s="8" t="b">
        <f>IF('Items sous domaines Maths '!H425=2,'Items sous domaines Maths '!C425)</f>
        <v>0</v>
      </c>
      <c r="D401" s="8">
        <f>IF('Items sous domaines Maths '!H425=2,'Items sous domaines Maths '!D425,0)</f>
        <v>0</v>
      </c>
      <c r="E401" s="8">
        <f>IF('Items sous domaines Maths '!H425=2,'Items sous domaines Maths '!E425,0)</f>
        <v>0</v>
      </c>
      <c r="F401" s="9">
        <f>IF('Items sous domaines Maths '!H425=2,'Items sous domaines Maths '!F424,0)</f>
        <v>0</v>
      </c>
      <c r="G401">
        <f>IF('Items sous domaines Maths '!H425=2,'Items sous domaines Maths '!G425,0)</f>
        <v>0</v>
      </c>
      <c r="H401" s="3"/>
    </row>
    <row r="402" spans="2:8" customFormat="1" ht="13.8" hidden="1" thickTop="1" x14ac:dyDescent="0.25">
      <c r="B402" s="8">
        <f>IF('Items sous domaines Maths '!H426=2,'Items sous domaines Maths '!B426,0)</f>
        <v>0</v>
      </c>
      <c r="C402" s="8" t="b">
        <f>IF('Items sous domaines Maths '!H426=2,'Items sous domaines Maths '!C426)</f>
        <v>0</v>
      </c>
      <c r="D402" s="8">
        <f>IF('Items sous domaines Maths '!H426=2,'Items sous domaines Maths '!D426,0)</f>
        <v>0</v>
      </c>
      <c r="E402" s="8">
        <f>IF('Items sous domaines Maths '!H426=2,'Items sous domaines Maths '!E426,0)</f>
        <v>0</v>
      </c>
      <c r="F402" s="9">
        <f>IF('Items sous domaines Maths '!H426=2,'Items sous domaines Maths '!F425,0)</f>
        <v>0</v>
      </c>
      <c r="G402">
        <f>IF('Items sous domaines Maths '!H426=2,'Items sous domaines Maths '!G426,0)</f>
        <v>0</v>
      </c>
      <c r="H402" s="3"/>
    </row>
    <row r="403" spans="2:8" customFormat="1" ht="13.8" hidden="1" thickTop="1" x14ac:dyDescent="0.25">
      <c r="B403" s="8">
        <f>IF('Items sous domaines Maths '!H427=2,'Items sous domaines Maths '!B427,0)</f>
        <v>0</v>
      </c>
      <c r="C403" s="8" t="b">
        <f>IF('Items sous domaines Maths '!H427=2,'Items sous domaines Maths '!C427)</f>
        <v>0</v>
      </c>
      <c r="D403" s="8">
        <f>IF('Items sous domaines Maths '!H427=2,'Items sous domaines Maths '!D427,0)</f>
        <v>0</v>
      </c>
      <c r="E403" s="8">
        <f>IF('Items sous domaines Maths '!H427=2,'Items sous domaines Maths '!E427,0)</f>
        <v>0</v>
      </c>
      <c r="F403" s="9">
        <f>IF('Items sous domaines Maths '!H427=2,'Items sous domaines Maths '!F426,0)</f>
        <v>0</v>
      </c>
      <c r="G403">
        <f>IF('Items sous domaines Maths '!H427=2,'Items sous domaines Maths '!G427,0)</f>
        <v>0</v>
      </c>
      <c r="H403" s="3"/>
    </row>
    <row r="404" spans="2:8" customFormat="1" ht="13.8" hidden="1" thickTop="1" x14ac:dyDescent="0.25">
      <c r="B404" s="8">
        <f>IF('Items sous domaines Maths '!H428=2,'Items sous domaines Maths '!B428,0)</f>
        <v>0</v>
      </c>
      <c r="C404" s="8" t="b">
        <f>IF('Items sous domaines Maths '!H428=2,'Items sous domaines Maths '!C428)</f>
        <v>0</v>
      </c>
      <c r="D404" s="8">
        <f>IF('Items sous domaines Maths '!H428=2,'Items sous domaines Maths '!D428,0)</f>
        <v>0</v>
      </c>
      <c r="E404" s="8">
        <f>IF('Items sous domaines Maths '!H428=2,'Items sous domaines Maths '!E428,0)</f>
        <v>0</v>
      </c>
      <c r="F404" s="9">
        <f>IF('Items sous domaines Maths '!H428=2,'Items sous domaines Maths '!#REF!,0)</f>
        <v>0</v>
      </c>
      <c r="G404">
        <f>IF('Items sous domaines Maths '!H428=2,'Items sous domaines Maths '!G428,0)</f>
        <v>0</v>
      </c>
      <c r="H404" s="3"/>
    </row>
    <row r="405" spans="2:8" customFormat="1" ht="13.8" hidden="1" thickTop="1" x14ac:dyDescent="0.25">
      <c r="B405" s="8">
        <f>IF('Items sous domaines Maths '!H429=2,'Items sous domaines Maths '!B429,0)</f>
        <v>0</v>
      </c>
      <c r="C405" s="8" t="b">
        <f>IF('Items sous domaines Maths '!H429=2,'Items sous domaines Maths '!C429)</f>
        <v>0</v>
      </c>
      <c r="D405" s="8">
        <f>IF('Items sous domaines Maths '!H429=2,'Items sous domaines Maths '!D429,0)</f>
        <v>0</v>
      </c>
      <c r="E405" s="8">
        <f>IF('Items sous domaines Maths '!H429=2,'Items sous domaines Maths '!E429,0)</f>
        <v>0</v>
      </c>
      <c r="F405" s="9">
        <f>IF('Items sous domaines Maths '!H429=2,'Items sous domaines Maths '!#REF!,0)</f>
        <v>0</v>
      </c>
      <c r="G405">
        <f>IF('Items sous domaines Maths '!H429=2,'Items sous domaines Maths '!G429,0)</f>
        <v>0</v>
      </c>
      <c r="H405" s="3"/>
    </row>
    <row r="406" spans="2:8" customFormat="1" ht="13.8" hidden="1" thickTop="1" x14ac:dyDescent="0.25">
      <c r="B406" s="8">
        <f>IF('Items sous domaines Maths '!G430=2,'Items sous domaines Maths '!B430,0)</f>
        <v>0</v>
      </c>
      <c r="C406" s="8" t="b">
        <f>IF('Items sous domaines Maths '!G430=2,'Items sous domaines Maths '!C430)</f>
        <v>0</v>
      </c>
      <c r="D406" s="8">
        <f>IF('Items sous domaines Maths '!G430=2,'Items sous domaines Maths '!D430,0)</f>
        <v>0</v>
      </c>
      <c r="E406" s="8">
        <f>IF('Items sous domaines Maths '!G430=2,'Items sous domaines Maths '!E430,0)</f>
        <v>0</v>
      </c>
      <c r="F406" s="9">
        <f>IF('Items sous domaines Maths '!G430=2,'Items sous domaines Maths '!#REF!,0)</f>
        <v>0</v>
      </c>
      <c r="G406">
        <f>IF('Items sous domaines Maths '!G430=2,'Items sous domaines Maths '!F430,0)</f>
        <v>0</v>
      </c>
      <c r="H406" s="3"/>
    </row>
    <row r="407" spans="2:8" customFormat="1" ht="13.8" hidden="1" thickTop="1" x14ac:dyDescent="0.25">
      <c r="B407" s="8">
        <f>IF('Items sous domaines Maths '!G431=2,'Items sous domaines Maths '!B431,0)</f>
        <v>0</v>
      </c>
      <c r="C407" s="8" t="b">
        <f>IF('Items sous domaines Maths '!G431=2,'Items sous domaines Maths '!C431)</f>
        <v>0</v>
      </c>
      <c r="D407" s="8">
        <f>IF('Items sous domaines Maths '!G431=2,'Items sous domaines Maths '!D431,0)</f>
        <v>0</v>
      </c>
      <c r="E407" s="8">
        <f>IF('Items sous domaines Maths '!G431=2,'Items sous domaines Maths '!E431,0)</f>
        <v>0</v>
      </c>
      <c r="F407" s="9">
        <f>IF('Items sous domaines Maths '!G431=2,'Items sous domaines Maths '!F427,0)</f>
        <v>0</v>
      </c>
      <c r="G407">
        <f>IF('Items sous domaines Maths '!G431=2,'Items sous domaines Maths '!F431,0)</f>
        <v>0</v>
      </c>
      <c r="H407" s="3"/>
    </row>
    <row r="408" spans="2:8" customFormat="1" ht="13.8" hidden="1" thickTop="1" x14ac:dyDescent="0.25">
      <c r="B408" s="8">
        <f>IF('Items sous domaines Maths '!G432=2,'Items sous domaines Maths '!B432,0)</f>
        <v>0</v>
      </c>
      <c r="C408" s="8" t="b">
        <f>IF('Items sous domaines Maths '!G432=2,'Items sous domaines Maths '!C432)</f>
        <v>0</v>
      </c>
      <c r="D408" s="8">
        <f>IF('Items sous domaines Maths '!G432=2,'Items sous domaines Maths '!D432,0)</f>
        <v>0</v>
      </c>
      <c r="E408" s="8">
        <f>IF('Items sous domaines Maths '!G432=2,'Items sous domaines Maths '!E432,0)</f>
        <v>0</v>
      </c>
      <c r="F408" s="9">
        <f>IF('Items sous domaines Maths '!G432=2,'Items sous domaines Maths '!#REF!,0)</f>
        <v>0</v>
      </c>
      <c r="G408">
        <f>IF('Items sous domaines Maths '!G432=2,'Items sous domaines Maths '!F432,0)</f>
        <v>0</v>
      </c>
      <c r="H408" s="3"/>
    </row>
    <row r="409" spans="2:8" customFormat="1" ht="13.8" hidden="1" thickTop="1" x14ac:dyDescent="0.25">
      <c r="B409" s="8">
        <f>IF('Items sous domaines Maths '!G433=2,'Items sous domaines Maths '!B433,0)</f>
        <v>0</v>
      </c>
      <c r="C409" s="8" t="b">
        <f>IF('Items sous domaines Maths '!G433=2,'Items sous domaines Maths '!C433)</f>
        <v>0</v>
      </c>
      <c r="D409" s="8">
        <f>IF('Items sous domaines Maths '!G433=2,'Items sous domaines Maths '!D433,0)</f>
        <v>0</v>
      </c>
      <c r="E409" s="8">
        <f>IF('Items sous domaines Maths '!G433=2,'Items sous domaines Maths '!E433,0)</f>
        <v>0</v>
      </c>
      <c r="F409" s="9">
        <f>IF('Items sous domaines Maths '!G433=2,'Items sous domaines Maths '!F428,0)</f>
        <v>0</v>
      </c>
      <c r="G409">
        <f>IF('Items sous domaines Maths '!G433=2,'Items sous domaines Maths '!F433,0)</f>
        <v>0</v>
      </c>
      <c r="H409" s="3"/>
    </row>
    <row r="410" spans="2:8" customFormat="1" ht="13.8" hidden="1" thickTop="1" x14ac:dyDescent="0.25">
      <c r="B410" s="8">
        <f>IF('Items sous domaines Maths '!G434=2,'Items sous domaines Maths '!B434,0)</f>
        <v>0</v>
      </c>
      <c r="C410" s="8" t="b">
        <f>IF('Items sous domaines Maths '!G434=2,'Items sous domaines Maths '!C434)</f>
        <v>0</v>
      </c>
      <c r="D410" s="8">
        <f>IF('Items sous domaines Maths '!G434=2,'Items sous domaines Maths '!D434,0)</f>
        <v>0</v>
      </c>
      <c r="E410" s="8">
        <f>IF('Items sous domaines Maths '!G434=2,'Items sous domaines Maths '!E434,0)</f>
        <v>0</v>
      </c>
      <c r="F410" s="9">
        <f>IF('Items sous domaines Maths '!G434=2,'Items sous domaines Maths '!#REF!,0)</f>
        <v>0</v>
      </c>
      <c r="G410">
        <f>IF('Items sous domaines Maths '!G434=2,'Items sous domaines Maths '!F434,0)</f>
        <v>0</v>
      </c>
      <c r="H410" s="3"/>
    </row>
    <row r="411" spans="2:8" customFormat="1" ht="13.8" hidden="1" thickTop="1" x14ac:dyDescent="0.25">
      <c r="B411" s="8">
        <f>IF('Items sous domaines Maths '!G435=2,'Items sous domaines Maths '!B435,0)</f>
        <v>0</v>
      </c>
      <c r="C411" s="8" t="b">
        <f>IF('Items sous domaines Maths '!G435=2,'Items sous domaines Maths '!C435)</f>
        <v>0</v>
      </c>
      <c r="D411" s="8">
        <f>IF('Items sous domaines Maths '!G435=2,'Items sous domaines Maths '!D435,0)</f>
        <v>0</v>
      </c>
      <c r="E411" s="8">
        <f>IF('Items sous domaines Maths '!G435=2,'Items sous domaines Maths '!E435,0)</f>
        <v>0</v>
      </c>
      <c r="F411" s="9">
        <f>IF('Items sous domaines Maths '!G435=2,'Items sous domaines Maths '!F429,0)</f>
        <v>0</v>
      </c>
      <c r="G411">
        <f>IF('Items sous domaines Maths '!G435=2,'Items sous domaines Maths '!F435,0)</f>
        <v>0</v>
      </c>
      <c r="H411" s="3"/>
    </row>
    <row r="412" spans="2:8" customFormat="1" ht="13.8" hidden="1" thickTop="1" x14ac:dyDescent="0.25">
      <c r="B412" s="8">
        <f>IF('Items sous domaines Maths '!G436=2,'Items sous domaines Maths '!B436,0)</f>
        <v>0</v>
      </c>
      <c r="C412" s="8" t="b">
        <f>IF('Items sous domaines Maths '!G436=2,'Items sous domaines Maths '!C436)</f>
        <v>0</v>
      </c>
      <c r="D412" s="8">
        <f>IF('Items sous domaines Maths '!G436=2,'Items sous domaines Maths '!D436,0)</f>
        <v>0</v>
      </c>
      <c r="E412" s="8">
        <f>IF('Items sous domaines Maths '!G436=2,'Items sous domaines Maths '!E436,0)</f>
        <v>0</v>
      </c>
      <c r="F412" s="9">
        <f>IF('Items sous domaines Maths '!G436=2,'Items sous domaines Maths '!#REF!,0)</f>
        <v>0</v>
      </c>
      <c r="G412">
        <f>IF('Items sous domaines Maths '!G436=2,'Items sous domaines Maths '!F436,0)</f>
        <v>0</v>
      </c>
      <c r="H412" s="3"/>
    </row>
    <row r="413" spans="2:8" customFormat="1" ht="13.8" hidden="1" thickTop="1" x14ac:dyDescent="0.25">
      <c r="B413" s="8">
        <f>IF('Items sous domaines Maths '!G437=2,'Items sous domaines Maths '!B437,0)</f>
        <v>0</v>
      </c>
      <c r="C413" s="8" t="b">
        <f>IF('Items sous domaines Maths '!G437=2,'Items sous domaines Maths '!C437)</f>
        <v>0</v>
      </c>
      <c r="D413" s="8">
        <f>IF('Items sous domaines Maths '!G437=2,'Items sous domaines Maths '!D437,0)</f>
        <v>0</v>
      </c>
      <c r="E413" s="8">
        <f>IF('Items sous domaines Maths '!G437=2,'Items sous domaines Maths '!E437,0)</f>
        <v>0</v>
      </c>
      <c r="F413" s="9">
        <f>IF('Items sous domaines Maths '!G437=2,'Items sous domaines Maths '!#REF!,0)</f>
        <v>0</v>
      </c>
      <c r="G413">
        <f>IF('Items sous domaines Maths '!G437=2,'Items sous domaines Maths '!F437,0)</f>
        <v>0</v>
      </c>
      <c r="H413" s="3"/>
    </row>
    <row r="414" spans="2:8" customFormat="1" ht="13.8" hidden="1" thickTop="1" x14ac:dyDescent="0.25">
      <c r="B414" s="8">
        <f>IF('Items sous domaines Maths '!G438=2,'Items sous domaines Maths '!B438,0)</f>
        <v>0</v>
      </c>
      <c r="C414" s="8" t="b">
        <f>IF('Items sous domaines Maths '!G438=2,'Items sous domaines Maths '!C438)</f>
        <v>0</v>
      </c>
      <c r="D414" s="8">
        <f>IF('Items sous domaines Maths '!G438=2,'Items sous domaines Maths '!D438,0)</f>
        <v>0</v>
      </c>
      <c r="E414" s="8">
        <f>IF('Items sous domaines Maths '!G438=2,'Items sous domaines Maths '!E438,0)</f>
        <v>0</v>
      </c>
      <c r="F414" s="9">
        <f>IF('Items sous domaines Maths '!G438=2,'Items sous domaines Maths '!#REF!,0)</f>
        <v>0</v>
      </c>
      <c r="G414">
        <f>IF('Items sous domaines Maths '!G438=2,'Items sous domaines Maths '!F438,0)</f>
        <v>0</v>
      </c>
      <c r="H414" s="3"/>
    </row>
    <row r="415" spans="2:8" customFormat="1" ht="13.8" hidden="1" thickTop="1" x14ac:dyDescent="0.25">
      <c r="B415" s="8">
        <f>IF('Items sous domaines Maths '!G439=2,'Items sous domaines Maths '!B439,0)</f>
        <v>0</v>
      </c>
      <c r="C415" s="8" t="b">
        <f>IF('Items sous domaines Maths '!G439=2,'Items sous domaines Maths '!C439)</f>
        <v>0</v>
      </c>
      <c r="D415" s="8">
        <f>IF('Items sous domaines Maths '!G439=2,'Items sous domaines Maths '!D439,0)</f>
        <v>0</v>
      </c>
      <c r="E415" s="8">
        <f>IF('Items sous domaines Maths '!G439=2,'Items sous domaines Maths '!E439,0)</f>
        <v>0</v>
      </c>
      <c r="F415" s="9">
        <f>IF('Items sous domaines Maths '!G439=2,'Items sous domaines Maths '!#REF!,0)</f>
        <v>0</v>
      </c>
      <c r="G415">
        <f>IF('Items sous domaines Maths '!G439=2,'Items sous domaines Maths '!F439,0)</f>
        <v>0</v>
      </c>
      <c r="H415" s="3"/>
    </row>
    <row r="416" spans="2:8" customFormat="1" ht="13.8" hidden="1" thickTop="1" x14ac:dyDescent="0.25">
      <c r="B416" s="8">
        <f>IF('Items sous domaines Maths '!G440=2,'Items sous domaines Maths '!B440,0)</f>
        <v>0</v>
      </c>
      <c r="C416" s="8" t="b">
        <f>IF('Items sous domaines Maths '!G440=2,'Items sous domaines Maths '!C440)</f>
        <v>0</v>
      </c>
      <c r="D416" s="8">
        <f>IF('Items sous domaines Maths '!G440=2,'Items sous domaines Maths '!D440,0)</f>
        <v>0</v>
      </c>
      <c r="E416" s="8">
        <f>IF('Items sous domaines Maths '!G440=2,'Items sous domaines Maths '!E440,0)</f>
        <v>0</v>
      </c>
      <c r="F416" s="9">
        <f>IF('Items sous domaines Maths '!G440=2,'Items sous domaines Maths '!#REF!,0)</f>
        <v>0</v>
      </c>
      <c r="G416">
        <f>IF('Items sous domaines Maths '!G440=2,'Items sous domaines Maths '!F440,0)</f>
        <v>0</v>
      </c>
      <c r="H416" s="3"/>
    </row>
    <row r="417" spans="2:8" customFormat="1" ht="13.8" hidden="1" thickTop="1" x14ac:dyDescent="0.25">
      <c r="B417" s="8">
        <f>IF('Items sous domaines Maths '!G441=2,'Items sous domaines Maths '!B441,0)</f>
        <v>0</v>
      </c>
      <c r="C417" s="8" t="b">
        <f>IF('Items sous domaines Maths '!G441=2,'Items sous domaines Maths '!C441)</f>
        <v>0</v>
      </c>
      <c r="D417" s="8">
        <f>IF('Items sous domaines Maths '!G441=2,'Items sous domaines Maths '!D441,0)</f>
        <v>0</v>
      </c>
      <c r="E417" s="8">
        <f>IF('Items sous domaines Maths '!G441=2,'Items sous domaines Maths '!E441,0)</f>
        <v>0</v>
      </c>
      <c r="F417" s="9">
        <f>IF('Items sous domaines Maths '!G441=2,'Items sous domaines Maths '!#REF!,0)</f>
        <v>0</v>
      </c>
      <c r="G417">
        <f>IF('Items sous domaines Maths '!G441=2,'Items sous domaines Maths '!F441,0)</f>
        <v>0</v>
      </c>
      <c r="H417" s="3"/>
    </row>
    <row r="418" spans="2:8" customFormat="1" ht="13.8" hidden="1" thickTop="1" x14ac:dyDescent="0.25">
      <c r="B418" s="8">
        <f>IF('Items sous domaines Maths '!G442=2,'Items sous domaines Maths '!B442,0)</f>
        <v>0</v>
      </c>
      <c r="C418" s="8" t="b">
        <f>IF('Items sous domaines Maths '!G442=2,'Items sous domaines Maths '!C442)</f>
        <v>0</v>
      </c>
      <c r="D418" s="8">
        <f>IF('Items sous domaines Maths '!G442=2,'Items sous domaines Maths '!D442,0)</f>
        <v>0</v>
      </c>
      <c r="E418" s="8">
        <f>IF('Items sous domaines Maths '!G442=2,'Items sous domaines Maths '!E442,0)</f>
        <v>0</v>
      </c>
      <c r="F418" s="9">
        <f>IF('Items sous domaines Maths '!G442=2,'Items sous domaines Maths '!#REF!,0)</f>
        <v>0</v>
      </c>
      <c r="G418">
        <f>IF('Items sous domaines Maths '!G442=2,'Items sous domaines Maths '!F442,0)</f>
        <v>0</v>
      </c>
      <c r="H418" s="3"/>
    </row>
    <row r="419" spans="2:8" customFormat="1" ht="13.8" hidden="1" thickTop="1" x14ac:dyDescent="0.25">
      <c r="B419" s="8">
        <f>IF('Items sous domaines Maths '!G443=2,'Items sous domaines Maths '!B443,0)</f>
        <v>0</v>
      </c>
      <c r="C419" s="8" t="b">
        <f>IF('Items sous domaines Maths '!G443=2,'Items sous domaines Maths '!C443)</f>
        <v>0</v>
      </c>
      <c r="D419" s="8">
        <f>IF('Items sous domaines Maths '!G443=2,'Items sous domaines Maths '!D443,0)</f>
        <v>0</v>
      </c>
      <c r="E419" s="8">
        <f>IF('Items sous domaines Maths '!G443=2,'Items sous domaines Maths '!E443,0)</f>
        <v>0</v>
      </c>
      <c r="F419" s="9">
        <f>IF('Items sous domaines Maths '!G443=2,'Items sous domaines Maths '!#REF!,0)</f>
        <v>0</v>
      </c>
      <c r="G419">
        <f>IF('Items sous domaines Maths '!G443=2,'Items sous domaines Maths '!F443,0)</f>
        <v>0</v>
      </c>
      <c r="H419" s="3"/>
    </row>
    <row r="420" spans="2:8" customFormat="1" ht="13.8" hidden="1" thickTop="1" x14ac:dyDescent="0.25">
      <c r="B420" s="8">
        <f>IF('Items sous domaines Maths '!G444=2,'Items sous domaines Maths '!B444,0)</f>
        <v>0</v>
      </c>
      <c r="C420" s="8" t="b">
        <f>IF('Items sous domaines Maths '!G444=2,'Items sous domaines Maths '!C444)</f>
        <v>0</v>
      </c>
      <c r="D420" s="8">
        <f>IF('Items sous domaines Maths '!G444=2,'Items sous domaines Maths '!D444,0)</f>
        <v>0</v>
      </c>
      <c r="E420" s="8">
        <f>IF('Items sous domaines Maths '!G444=2,'Items sous domaines Maths '!E444,0)</f>
        <v>0</v>
      </c>
      <c r="F420" s="9">
        <f>IF('Items sous domaines Maths '!G444=2,'Items sous domaines Maths '!#REF!,0)</f>
        <v>0</v>
      </c>
      <c r="G420">
        <f>IF('Items sous domaines Maths '!G444=2,'Items sous domaines Maths '!F444,0)</f>
        <v>0</v>
      </c>
      <c r="H420" s="3"/>
    </row>
    <row r="421" spans="2:8" customFormat="1" ht="13.8" hidden="1" thickTop="1" x14ac:dyDescent="0.25">
      <c r="B421" s="8">
        <f>IF('Items sous domaines Maths '!G445=2,'Items sous domaines Maths '!B445,0)</f>
        <v>0</v>
      </c>
      <c r="C421" s="8" t="b">
        <f>IF('Items sous domaines Maths '!G445=2,'Items sous domaines Maths '!C445)</f>
        <v>0</v>
      </c>
      <c r="D421" s="8">
        <f>IF('Items sous domaines Maths '!G445=2,'Items sous domaines Maths '!D445,0)</f>
        <v>0</v>
      </c>
      <c r="E421" s="8">
        <f>IF('Items sous domaines Maths '!G445=2,'Items sous domaines Maths '!E445,0)</f>
        <v>0</v>
      </c>
      <c r="F421" s="9">
        <f>IF('Items sous domaines Maths '!G445=2,'Items sous domaines Maths '!#REF!,0)</f>
        <v>0</v>
      </c>
      <c r="G421">
        <f>IF('Items sous domaines Maths '!G445=2,'Items sous domaines Maths '!F445,0)</f>
        <v>0</v>
      </c>
      <c r="H421" s="3"/>
    </row>
    <row r="422" spans="2:8" customFormat="1" ht="13.8" hidden="1" thickTop="1" x14ac:dyDescent="0.25">
      <c r="B422" s="8">
        <f>IF('Items sous domaines Maths '!G446=2,'Items sous domaines Maths '!B446,0)</f>
        <v>0</v>
      </c>
      <c r="C422" s="8" t="b">
        <f>IF('Items sous domaines Maths '!G446=2,'Items sous domaines Maths '!C446)</f>
        <v>0</v>
      </c>
      <c r="D422" s="8">
        <f>IF('Items sous domaines Maths '!G446=2,'Items sous domaines Maths '!D446,0)</f>
        <v>0</v>
      </c>
      <c r="E422" s="8">
        <f>IF('Items sous domaines Maths '!G446=2,'Items sous domaines Maths '!E446,0)</f>
        <v>0</v>
      </c>
      <c r="F422" s="9">
        <f>IF('Items sous domaines Maths '!G446=2,'Items sous domaines Maths '!#REF!,0)</f>
        <v>0</v>
      </c>
      <c r="G422">
        <f>IF('Items sous domaines Maths '!G446=2,'Items sous domaines Maths '!F446,0)</f>
        <v>0</v>
      </c>
      <c r="H422" s="3"/>
    </row>
    <row r="423" spans="2:8" customFormat="1" ht="13.8" hidden="1" thickTop="1" x14ac:dyDescent="0.25">
      <c r="B423" s="8">
        <f>IF('Items sous domaines Maths '!G447=2,'Items sous domaines Maths '!B447,0)</f>
        <v>0</v>
      </c>
      <c r="C423" s="8" t="b">
        <f>IF('Items sous domaines Maths '!G447=2,'Items sous domaines Maths '!C447)</f>
        <v>0</v>
      </c>
      <c r="D423" s="8">
        <f>IF('Items sous domaines Maths '!G447=2,'Items sous domaines Maths '!D447,0)</f>
        <v>0</v>
      </c>
      <c r="E423" s="8">
        <f>IF('Items sous domaines Maths '!G447=2,'Items sous domaines Maths '!E447,0)</f>
        <v>0</v>
      </c>
      <c r="F423" s="9">
        <f>IF('Items sous domaines Maths '!G447=2,'Items sous domaines Maths '!#REF!,0)</f>
        <v>0</v>
      </c>
      <c r="G423">
        <f>IF('Items sous domaines Maths '!G447=2,'Items sous domaines Maths '!F447,0)</f>
        <v>0</v>
      </c>
      <c r="H423" s="3"/>
    </row>
    <row r="424" spans="2:8" customFormat="1" ht="13.8" hidden="1" thickTop="1" x14ac:dyDescent="0.25">
      <c r="B424" s="8">
        <f>IF('Items sous domaines Maths '!G448=2,'Items sous domaines Maths '!B448,0)</f>
        <v>0</v>
      </c>
      <c r="C424" s="8" t="b">
        <f>IF('Items sous domaines Maths '!G448=2,'Items sous domaines Maths '!C448)</f>
        <v>0</v>
      </c>
      <c r="D424" s="8">
        <f>IF('Items sous domaines Maths '!G448=2,'Items sous domaines Maths '!D448,0)</f>
        <v>0</v>
      </c>
      <c r="E424" s="8">
        <f>IF('Items sous domaines Maths '!G448=2,'Items sous domaines Maths '!E448,0)</f>
        <v>0</v>
      </c>
      <c r="F424" s="9">
        <f>IF('Items sous domaines Maths '!G448=2,'Items sous domaines Maths '!#REF!,0)</f>
        <v>0</v>
      </c>
      <c r="G424">
        <f>IF('Items sous domaines Maths '!G448=2,'Items sous domaines Maths '!F448,0)</f>
        <v>0</v>
      </c>
      <c r="H424" s="3"/>
    </row>
    <row r="425" spans="2:8" customFormat="1" ht="13.8" hidden="1" thickTop="1" x14ac:dyDescent="0.25">
      <c r="B425" s="8">
        <f>IF('Items sous domaines Maths '!G449=2,'Items sous domaines Maths '!B449,0)</f>
        <v>0</v>
      </c>
      <c r="C425" s="8" t="b">
        <f>IF('Items sous domaines Maths '!G449=2,'Items sous domaines Maths '!C449)</f>
        <v>0</v>
      </c>
      <c r="D425" s="8">
        <f>IF('Items sous domaines Maths '!G449=2,'Items sous domaines Maths '!D449,0)</f>
        <v>0</v>
      </c>
      <c r="E425" s="8">
        <f>IF('Items sous domaines Maths '!G449=2,'Items sous domaines Maths '!E449,0)</f>
        <v>0</v>
      </c>
      <c r="F425" s="9">
        <f>IF('Items sous domaines Maths '!G449=2,'Items sous domaines Maths '!#REF!,0)</f>
        <v>0</v>
      </c>
      <c r="G425">
        <f>IF('Items sous domaines Maths '!G449=2,'Items sous domaines Maths '!F449,0)</f>
        <v>0</v>
      </c>
      <c r="H425" s="3"/>
    </row>
    <row r="426" spans="2:8" customFormat="1" ht="13.8" hidden="1" thickTop="1" x14ac:dyDescent="0.25">
      <c r="B426" s="8">
        <f>IF('Items sous domaines Maths '!G450=2,'Items sous domaines Maths '!B450,0)</f>
        <v>0</v>
      </c>
      <c r="C426" s="8" t="b">
        <f>IF('Items sous domaines Maths '!G450=2,'Items sous domaines Maths '!C450)</f>
        <v>0</v>
      </c>
      <c r="D426" s="8">
        <f>IF('Items sous domaines Maths '!G450=2,'Items sous domaines Maths '!D450,0)</f>
        <v>0</v>
      </c>
      <c r="E426" s="8">
        <f>IF('Items sous domaines Maths '!G450=2,'Items sous domaines Maths '!E450,0)</f>
        <v>0</v>
      </c>
      <c r="F426" s="9">
        <f>IF('Items sous domaines Maths '!G450=2,'Items sous domaines Maths '!#REF!,0)</f>
        <v>0</v>
      </c>
      <c r="G426">
        <f>IF('Items sous domaines Maths '!G450=2,'Items sous domaines Maths '!F450,0)</f>
        <v>0</v>
      </c>
      <c r="H426" s="3"/>
    </row>
    <row r="427" spans="2:8" customFormat="1" ht="13.8" hidden="1" thickTop="1" x14ac:dyDescent="0.25">
      <c r="B427" s="8">
        <f>IF('Items sous domaines Maths '!G451=2,'Items sous domaines Maths '!B451,0)</f>
        <v>0</v>
      </c>
      <c r="C427" s="8" t="b">
        <f>IF('Items sous domaines Maths '!G451=2,'Items sous domaines Maths '!C451)</f>
        <v>0</v>
      </c>
      <c r="D427" s="8">
        <f>IF('Items sous domaines Maths '!G451=2,'Items sous domaines Maths '!D451,0)</f>
        <v>0</v>
      </c>
      <c r="E427" s="8">
        <f>IF('Items sous domaines Maths '!G451=2,'Items sous domaines Maths '!E451,0)</f>
        <v>0</v>
      </c>
      <c r="F427" s="9">
        <f>IF('Items sous domaines Maths '!G451=2,'Items sous domaines Maths '!#REF!,0)</f>
        <v>0</v>
      </c>
      <c r="G427">
        <f>IF('Items sous domaines Maths '!G451=2,'Items sous domaines Maths '!F451,0)</f>
        <v>0</v>
      </c>
      <c r="H427" s="3"/>
    </row>
    <row r="428" spans="2:8" customFormat="1" ht="13.8" hidden="1" thickTop="1" x14ac:dyDescent="0.25">
      <c r="B428" s="8">
        <f>IF('Items sous domaines Maths '!H452=2,'Items sous domaines Maths '!B452,0)</f>
        <v>0</v>
      </c>
      <c r="C428" s="8" t="b">
        <f>IF('Items sous domaines Maths '!H452=2,'Items sous domaines Maths '!C452)</f>
        <v>0</v>
      </c>
      <c r="D428" s="8">
        <f>IF('Items sous domaines Maths '!H452=2,'Items sous domaines Maths '!D452,0)</f>
        <v>0</v>
      </c>
      <c r="E428" s="8">
        <f>IF('Items sous domaines Maths '!H452=2,'Items sous domaines Maths '!E452,0)</f>
        <v>0</v>
      </c>
      <c r="F428" s="9">
        <f>IF('Items sous domaines Maths '!H452=2,'Items sous domaines Maths '!#REF!,0)</f>
        <v>0</v>
      </c>
      <c r="G428">
        <f>IF('Items sous domaines Maths '!H452=2,'Items sous domaines Maths '!G452,0)</f>
        <v>0</v>
      </c>
      <c r="H428" s="3"/>
    </row>
    <row r="429" spans="2:8" customFormat="1" ht="13.8" hidden="1" thickTop="1" x14ac:dyDescent="0.25">
      <c r="B429" s="8">
        <f>IF('Items sous domaines Maths '!H453=2,'Items sous domaines Maths '!B453,0)</f>
        <v>0</v>
      </c>
      <c r="C429" s="8" t="b">
        <f>IF('Items sous domaines Maths '!H453=2,'Items sous domaines Maths '!C453)</f>
        <v>0</v>
      </c>
      <c r="D429" s="8">
        <f>IF('Items sous domaines Maths '!H453=2,'Items sous domaines Maths '!D453,0)</f>
        <v>0</v>
      </c>
      <c r="E429" s="8">
        <f>IF('Items sous domaines Maths '!H453=2,'Items sous domaines Maths '!E453,0)</f>
        <v>0</v>
      </c>
      <c r="F429" s="9">
        <f>IF('Items sous domaines Maths '!H453=2,'Items sous domaines Maths '!#REF!,0)</f>
        <v>0</v>
      </c>
      <c r="G429">
        <f>IF('Items sous domaines Maths '!H453=2,'Items sous domaines Maths '!G453,0)</f>
        <v>0</v>
      </c>
      <c r="H429" s="3"/>
    </row>
    <row r="430" spans="2:8" customFormat="1" ht="13.8" hidden="1" thickTop="1" x14ac:dyDescent="0.25">
      <c r="B430" s="8">
        <f>IF('Items sous domaines Maths '!H454=2,'Items sous domaines Maths '!B454,0)</f>
        <v>0</v>
      </c>
      <c r="C430" s="8" t="b">
        <f>IF('Items sous domaines Maths '!H454=2,'Items sous domaines Maths '!C454)</f>
        <v>0</v>
      </c>
      <c r="D430" s="8">
        <f>IF('Items sous domaines Maths '!H454=2,'Items sous domaines Maths '!D454,0)</f>
        <v>0</v>
      </c>
      <c r="E430" s="8">
        <f>IF('Items sous domaines Maths '!H454=2,'Items sous domaines Maths '!E454,0)</f>
        <v>0</v>
      </c>
      <c r="F430" s="9">
        <f>IF('Items sous domaines Maths '!H454=2,'Items sous domaines Maths '!#REF!,0)</f>
        <v>0</v>
      </c>
      <c r="G430">
        <f>IF('Items sous domaines Maths '!H454=2,'Items sous domaines Maths '!G454,0)</f>
        <v>0</v>
      </c>
      <c r="H430" s="3"/>
    </row>
    <row r="431" spans="2:8" customFormat="1" ht="13.8" hidden="1" thickTop="1" x14ac:dyDescent="0.25">
      <c r="B431" s="8">
        <f>IF('Items sous domaines Maths '!H455=2,'Items sous domaines Maths '!B455,0)</f>
        <v>0</v>
      </c>
      <c r="C431" s="8" t="b">
        <f>IF('Items sous domaines Maths '!H455=2,'Items sous domaines Maths '!C455)</f>
        <v>0</v>
      </c>
      <c r="D431" s="8">
        <f>IF('Items sous domaines Maths '!H455=2,'Items sous domaines Maths '!D455,0)</f>
        <v>0</v>
      </c>
      <c r="E431" s="8">
        <f>IF('Items sous domaines Maths '!H455=2,'Items sous domaines Maths '!E455,0)</f>
        <v>0</v>
      </c>
      <c r="F431" s="9">
        <f>IF('Items sous domaines Maths '!H455=2,'Items sous domaines Maths '!#REF!,0)</f>
        <v>0</v>
      </c>
      <c r="G431">
        <f>IF('Items sous domaines Maths '!H455=2,'Items sous domaines Maths '!G455,0)</f>
        <v>0</v>
      </c>
      <c r="H431" s="3"/>
    </row>
    <row r="432" spans="2:8" customFormat="1" ht="13.8" hidden="1" thickTop="1" x14ac:dyDescent="0.25">
      <c r="B432" s="8">
        <f>IF('Items sous domaines Maths '!H456=2,'Items sous domaines Maths '!B456,0)</f>
        <v>0</v>
      </c>
      <c r="C432" s="8" t="b">
        <f>IF('Items sous domaines Maths '!H456=2,'Items sous domaines Maths '!C456)</f>
        <v>0</v>
      </c>
      <c r="D432" s="8">
        <f>IF('Items sous domaines Maths '!H456=2,'Items sous domaines Maths '!D456,0)</f>
        <v>0</v>
      </c>
      <c r="E432" s="8">
        <f>IF('Items sous domaines Maths '!H456=2,'Items sous domaines Maths '!E456,0)</f>
        <v>0</v>
      </c>
      <c r="F432" s="9">
        <f>IF('Items sous domaines Maths '!H456=2,'Items sous domaines Maths '!#REF!,0)</f>
        <v>0</v>
      </c>
      <c r="G432">
        <f>IF('Items sous domaines Maths '!H456=2,'Items sous domaines Maths '!G456,0)</f>
        <v>0</v>
      </c>
      <c r="H432" s="3"/>
    </row>
    <row r="433" spans="2:8" customFormat="1" ht="13.8" hidden="1" thickTop="1" x14ac:dyDescent="0.25">
      <c r="B433" s="8">
        <f>IF('Items sous domaines Maths '!H457=2,'Items sous domaines Maths '!B457,0)</f>
        <v>0</v>
      </c>
      <c r="C433" s="8" t="b">
        <f>IF('Items sous domaines Maths '!H457=2,'Items sous domaines Maths '!C457)</f>
        <v>0</v>
      </c>
      <c r="D433" s="8">
        <f>IF('Items sous domaines Maths '!H457=2,'Items sous domaines Maths '!D457,0)</f>
        <v>0</v>
      </c>
      <c r="E433" s="8">
        <f>IF('Items sous domaines Maths '!H457=2,'Items sous domaines Maths '!E457,0)</f>
        <v>0</v>
      </c>
      <c r="F433" s="9">
        <f>IF('Items sous domaines Maths '!H457=2,'Items sous domaines Maths '!#REF!,0)</f>
        <v>0</v>
      </c>
      <c r="G433">
        <f>IF('Items sous domaines Maths '!H457=2,'Items sous domaines Maths '!G457,0)</f>
        <v>0</v>
      </c>
      <c r="H433" s="3"/>
    </row>
    <row r="434" spans="2:8" customFormat="1" ht="13.8" hidden="1" thickTop="1" x14ac:dyDescent="0.25">
      <c r="B434" s="8">
        <f>IF('Items sous domaines Maths '!H458=2,'Items sous domaines Maths '!B458,0)</f>
        <v>0</v>
      </c>
      <c r="C434" s="8" t="b">
        <f>IF('Items sous domaines Maths '!H458=2,'Items sous domaines Maths '!C458)</f>
        <v>0</v>
      </c>
      <c r="D434" s="8">
        <f>IF('Items sous domaines Maths '!H458=2,'Items sous domaines Maths '!D458,0)</f>
        <v>0</v>
      </c>
      <c r="E434" s="8">
        <f>IF('Items sous domaines Maths '!H458=2,'Items sous domaines Maths '!E458,0)</f>
        <v>0</v>
      </c>
      <c r="F434" s="9">
        <f>IF('Items sous domaines Maths '!H458=2,'Items sous domaines Maths '!F452,0)</f>
        <v>0</v>
      </c>
      <c r="G434">
        <f>IF('Items sous domaines Maths '!H458=2,'Items sous domaines Maths '!G458,0)</f>
        <v>0</v>
      </c>
      <c r="H434" s="3"/>
    </row>
    <row r="435" spans="2:8" customFormat="1" ht="13.8" hidden="1" thickTop="1" x14ac:dyDescent="0.25">
      <c r="B435" s="8">
        <f>IF('Items sous domaines Maths '!H459=2,'Items sous domaines Maths '!B459,0)</f>
        <v>0</v>
      </c>
      <c r="C435" s="8" t="b">
        <f>IF('Items sous domaines Maths '!H459=2,'Items sous domaines Maths '!C459)</f>
        <v>0</v>
      </c>
      <c r="D435" s="8">
        <f>IF('Items sous domaines Maths '!H459=2,'Items sous domaines Maths '!D459,0)</f>
        <v>0</v>
      </c>
      <c r="E435" s="8">
        <f>IF('Items sous domaines Maths '!H459=2,'Items sous domaines Maths '!E459,0)</f>
        <v>0</v>
      </c>
      <c r="F435" s="9">
        <f>IF('Items sous domaines Maths '!H459=2,'Items sous domaines Maths '!F453,0)</f>
        <v>0</v>
      </c>
      <c r="G435">
        <f>IF('Items sous domaines Maths '!H459=2,'Items sous domaines Maths '!G459,0)</f>
        <v>0</v>
      </c>
      <c r="H435" s="3"/>
    </row>
    <row r="436" spans="2:8" customFormat="1" ht="13.8" hidden="1" thickTop="1" x14ac:dyDescent="0.25">
      <c r="B436" s="8">
        <f>IF('Items sous domaines Maths '!H460=2,'Items sous domaines Maths '!B460,0)</f>
        <v>0</v>
      </c>
      <c r="C436" s="8" t="b">
        <f>IF('Items sous domaines Maths '!H460=2,'Items sous domaines Maths '!C460)</f>
        <v>0</v>
      </c>
      <c r="D436" s="8">
        <f>IF('Items sous domaines Maths '!H460=2,'Items sous domaines Maths '!D460,0)</f>
        <v>0</v>
      </c>
      <c r="E436" s="8">
        <f>IF('Items sous domaines Maths '!H460=2,'Items sous domaines Maths '!E460,0)</f>
        <v>0</v>
      </c>
      <c r="F436" s="9">
        <f>IF('Items sous domaines Maths '!H460=2,'Items sous domaines Maths '!F454,0)</f>
        <v>0</v>
      </c>
      <c r="G436">
        <f>IF('Items sous domaines Maths '!H460=2,'Items sous domaines Maths '!G460,0)</f>
        <v>0</v>
      </c>
      <c r="H436" s="3"/>
    </row>
    <row r="437" spans="2:8" customFormat="1" ht="13.8" hidden="1" thickTop="1" x14ac:dyDescent="0.25">
      <c r="B437" s="8">
        <f>IF('Items sous domaines Maths '!H461=2,'Items sous domaines Maths '!B461,0)</f>
        <v>0</v>
      </c>
      <c r="C437" s="8" t="b">
        <f>IF('Items sous domaines Maths '!H461=2,'Items sous domaines Maths '!C461)</f>
        <v>0</v>
      </c>
      <c r="D437" s="8">
        <f>IF('Items sous domaines Maths '!H461=2,'Items sous domaines Maths '!D461,0)</f>
        <v>0</v>
      </c>
      <c r="E437" s="8">
        <f>IF('Items sous domaines Maths '!H461=2,'Items sous domaines Maths '!E461,0)</f>
        <v>0</v>
      </c>
      <c r="F437" s="9">
        <f>IF('Items sous domaines Maths '!H461=2,'Items sous domaines Maths '!F455,0)</f>
        <v>0</v>
      </c>
      <c r="G437">
        <f>IF('Items sous domaines Maths '!H461=2,'Items sous domaines Maths '!G461,0)</f>
        <v>0</v>
      </c>
      <c r="H437" s="3"/>
    </row>
    <row r="438" spans="2:8" customFormat="1" ht="13.8" hidden="1" thickTop="1" x14ac:dyDescent="0.25">
      <c r="B438" s="8">
        <f>IF('Items sous domaines Maths '!H462=2,'Items sous domaines Maths '!B462,0)</f>
        <v>0</v>
      </c>
      <c r="C438" s="8" t="b">
        <f>IF('Items sous domaines Maths '!H462=2,'Items sous domaines Maths '!C462)</f>
        <v>0</v>
      </c>
      <c r="D438" s="8">
        <f>IF('Items sous domaines Maths '!H462=2,'Items sous domaines Maths '!D462,0)</f>
        <v>0</v>
      </c>
      <c r="E438" s="8">
        <f>IF('Items sous domaines Maths '!H462=2,'Items sous domaines Maths '!E462,0)</f>
        <v>0</v>
      </c>
      <c r="F438" s="9">
        <f>IF('Items sous domaines Maths '!H462=2,'Items sous domaines Maths '!F456,0)</f>
        <v>0</v>
      </c>
      <c r="G438">
        <f>IF('Items sous domaines Maths '!H462=2,'Items sous domaines Maths '!G462,0)</f>
        <v>0</v>
      </c>
      <c r="H438" s="3"/>
    </row>
    <row r="439" spans="2:8" customFormat="1" ht="13.8" hidden="1" thickTop="1" x14ac:dyDescent="0.25">
      <c r="B439" s="8">
        <f>IF('Items sous domaines Maths '!H463=2,'Items sous domaines Maths '!B463,0)</f>
        <v>0</v>
      </c>
      <c r="C439" s="8" t="b">
        <f>IF('Items sous domaines Maths '!H463=2,'Items sous domaines Maths '!C463)</f>
        <v>0</v>
      </c>
      <c r="D439" s="8">
        <f>IF('Items sous domaines Maths '!H463=2,'Items sous domaines Maths '!D463,0)</f>
        <v>0</v>
      </c>
      <c r="E439" s="8">
        <f>IF('Items sous domaines Maths '!H463=2,'Items sous domaines Maths '!E463,0)</f>
        <v>0</v>
      </c>
      <c r="F439" s="9">
        <f>IF('Items sous domaines Maths '!H463=2,'Items sous domaines Maths '!F457,0)</f>
        <v>0</v>
      </c>
      <c r="G439">
        <f>IF('Items sous domaines Maths '!H463=2,'Items sous domaines Maths '!G463,0)</f>
        <v>0</v>
      </c>
      <c r="H439" s="3"/>
    </row>
    <row r="440" spans="2:8" customFormat="1" ht="13.8" hidden="1" thickTop="1" x14ac:dyDescent="0.25">
      <c r="B440" s="8">
        <f>IF('Items sous domaines Maths '!H464=2,'Items sous domaines Maths '!B464,0)</f>
        <v>0</v>
      </c>
      <c r="C440" s="8" t="b">
        <f>IF('Items sous domaines Maths '!H464=2,'Items sous domaines Maths '!C464)</f>
        <v>0</v>
      </c>
      <c r="D440" s="8">
        <f>IF('Items sous domaines Maths '!H464=2,'Items sous domaines Maths '!D464,0)</f>
        <v>0</v>
      </c>
      <c r="E440" s="8">
        <f>IF('Items sous domaines Maths '!H464=2,'Items sous domaines Maths '!E464,0)</f>
        <v>0</v>
      </c>
      <c r="F440" s="9">
        <f>IF('Items sous domaines Maths '!H464=2,'Items sous domaines Maths '!F458,0)</f>
        <v>0</v>
      </c>
      <c r="G440">
        <f>IF('Items sous domaines Maths '!H464=2,'Items sous domaines Maths '!G464,0)</f>
        <v>0</v>
      </c>
      <c r="H440" s="3"/>
    </row>
    <row r="441" spans="2:8" customFormat="1" ht="13.8" hidden="1" thickTop="1" x14ac:dyDescent="0.25">
      <c r="B441" s="8">
        <f>IF('Items sous domaines Maths '!H465=2,'Items sous domaines Maths '!B465,0)</f>
        <v>0</v>
      </c>
      <c r="C441" s="8" t="b">
        <f>IF('Items sous domaines Maths '!H465=2,'Items sous domaines Maths '!C465)</f>
        <v>0</v>
      </c>
      <c r="D441" s="8">
        <f>IF('Items sous domaines Maths '!H465=2,'Items sous domaines Maths '!D465,0)</f>
        <v>0</v>
      </c>
      <c r="E441" s="8">
        <f>IF('Items sous domaines Maths '!H465=2,'Items sous domaines Maths '!E465,0)</f>
        <v>0</v>
      </c>
      <c r="F441" s="9">
        <f>IF('Items sous domaines Maths '!H465=2,'Items sous domaines Maths '!F459,0)</f>
        <v>0</v>
      </c>
      <c r="G441">
        <f>IF('Items sous domaines Maths '!H465=2,'Items sous domaines Maths '!G465,0)</f>
        <v>0</v>
      </c>
      <c r="H441" s="3"/>
    </row>
    <row r="442" spans="2:8" customFormat="1" ht="13.8" hidden="1" thickTop="1" x14ac:dyDescent="0.25">
      <c r="B442" s="8">
        <f>IF('Items sous domaines Maths '!H466=2,'Items sous domaines Maths '!B466,0)</f>
        <v>0</v>
      </c>
      <c r="C442" s="8" t="b">
        <f>IF('Items sous domaines Maths '!H466=2,'Items sous domaines Maths '!C466)</f>
        <v>0</v>
      </c>
      <c r="D442" s="8">
        <f>IF('Items sous domaines Maths '!H466=2,'Items sous domaines Maths '!D466,0)</f>
        <v>0</v>
      </c>
      <c r="E442" s="8">
        <f>IF('Items sous domaines Maths '!H466=2,'Items sous domaines Maths '!E466,0)</f>
        <v>0</v>
      </c>
      <c r="F442" s="9">
        <f>IF('Items sous domaines Maths '!H466=2,'Items sous domaines Maths '!F460,0)</f>
        <v>0</v>
      </c>
      <c r="G442">
        <f>IF('Items sous domaines Maths '!H466=2,'Items sous domaines Maths '!G466,0)</f>
        <v>0</v>
      </c>
      <c r="H442" s="3"/>
    </row>
    <row r="443" spans="2:8" customFormat="1" ht="13.8" hidden="1" thickTop="1" x14ac:dyDescent="0.25">
      <c r="B443" s="8">
        <f>IF('Items sous domaines Maths '!H467=2,'Items sous domaines Maths '!B467,0)</f>
        <v>0</v>
      </c>
      <c r="C443" s="8" t="b">
        <f>IF('Items sous domaines Maths '!H467=2,'Items sous domaines Maths '!C467)</f>
        <v>0</v>
      </c>
      <c r="D443" s="8">
        <f>IF('Items sous domaines Maths '!H467=2,'Items sous domaines Maths '!D467,0)</f>
        <v>0</v>
      </c>
      <c r="E443" s="8">
        <f>IF('Items sous domaines Maths '!H467=2,'Items sous domaines Maths '!E467,0)</f>
        <v>0</v>
      </c>
      <c r="F443" s="9">
        <f>IF('Items sous domaines Maths '!H467=2,'Items sous domaines Maths '!F461,0)</f>
        <v>0</v>
      </c>
      <c r="G443">
        <f>IF('Items sous domaines Maths '!H467=2,'Items sous domaines Maths '!G467,0)</f>
        <v>0</v>
      </c>
      <c r="H443" s="3"/>
    </row>
    <row r="444" spans="2:8" customFormat="1" ht="13.8" hidden="1" thickTop="1" x14ac:dyDescent="0.25">
      <c r="B444" s="8">
        <f>IF('Items sous domaines Maths '!H468=2,'Items sous domaines Maths '!B468,0)</f>
        <v>0</v>
      </c>
      <c r="C444" s="8" t="b">
        <f>IF('Items sous domaines Maths '!H468=2,'Items sous domaines Maths '!C468)</f>
        <v>0</v>
      </c>
      <c r="D444" s="8">
        <f>IF('Items sous domaines Maths '!H468=2,'Items sous domaines Maths '!D468,0)</f>
        <v>0</v>
      </c>
      <c r="E444" s="8">
        <f>IF('Items sous domaines Maths '!H468=2,'Items sous domaines Maths '!E468,0)</f>
        <v>0</v>
      </c>
      <c r="F444" s="9">
        <f>IF('Items sous domaines Maths '!H468=2,'Items sous domaines Maths '!F462,0)</f>
        <v>0</v>
      </c>
      <c r="G444">
        <f>IF('Items sous domaines Maths '!H468=2,'Items sous domaines Maths '!G468,0)</f>
        <v>0</v>
      </c>
      <c r="H444" s="3"/>
    </row>
    <row r="445" spans="2:8" customFormat="1" ht="13.8" hidden="1" thickTop="1" x14ac:dyDescent="0.25">
      <c r="B445" s="8">
        <f>IF('Items sous domaines Maths '!H469=2,'Items sous domaines Maths '!B469,0)</f>
        <v>0</v>
      </c>
      <c r="C445" s="8" t="b">
        <f>IF('Items sous domaines Maths '!H469=2,'Items sous domaines Maths '!C469)</f>
        <v>0</v>
      </c>
      <c r="D445" s="8">
        <f>IF('Items sous domaines Maths '!H469=2,'Items sous domaines Maths '!D469,0)</f>
        <v>0</v>
      </c>
      <c r="E445" s="8">
        <f>IF('Items sous domaines Maths '!H469=2,'Items sous domaines Maths '!E469,0)</f>
        <v>0</v>
      </c>
      <c r="F445" s="9">
        <f>IF('Items sous domaines Maths '!H469=2,'Items sous domaines Maths '!F463,0)</f>
        <v>0</v>
      </c>
      <c r="G445">
        <f>IF('Items sous domaines Maths '!H469=2,'Items sous domaines Maths '!G469,0)</f>
        <v>0</v>
      </c>
      <c r="H445" s="3"/>
    </row>
    <row r="446" spans="2:8" customFormat="1" ht="13.8" hidden="1" thickTop="1" x14ac:dyDescent="0.25">
      <c r="B446" s="8">
        <f>IF('Items sous domaines Maths '!H470=2,'Items sous domaines Maths '!B470,0)</f>
        <v>0</v>
      </c>
      <c r="C446" s="8" t="b">
        <f>IF('Items sous domaines Maths '!H470=2,'Items sous domaines Maths '!C470)</f>
        <v>0</v>
      </c>
      <c r="D446" s="8">
        <f>IF('Items sous domaines Maths '!H470=2,'Items sous domaines Maths '!D470,0)</f>
        <v>0</v>
      </c>
      <c r="E446" s="8">
        <f>IF('Items sous domaines Maths '!H470=2,'Items sous domaines Maths '!E470,0)</f>
        <v>0</v>
      </c>
      <c r="F446" s="9">
        <f>IF('Items sous domaines Maths '!H470=2,'Items sous domaines Maths '!F464,0)</f>
        <v>0</v>
      </c>
      <c r="G446">
        <f>IF('Items sous domaines Maths '!H470=2,'Items sous domaines Maths '!G470,0)</f>
        <v>0</v>
      </c>
      <c r="H446" s="3"/>
    </row>
    <row r="447" spans="2:8" customFormat="1" ht="13.8" hidden="1" thickTop="1" x14ac:dyDescent="0.25">
      <c r="B447" s="8">
        <f>IF('Items sous domaines Maths '!H471=2,'Items sous domaines Maths '!B471,0)</f>
        <v>0</v>
      </c>
      <c r="C447" s="8" t="b">
        <f>IF('Items sous domaines Maths '!H471=2,'Items sous domaines Maths '!C471)</f>
        <v>0</v>
      </c>
      <c r="D447" s="8">
        <f>IF('Items sous domaines Maths '!H471=2,'Items sous domaines Maths '!D471,0)</f>
        <v>0</v>
      </c>
      <c r="E447" s="8">
        <f>IF('Items sous domaines Maths '!H471=2,'Items sous domaines Maths '!E471,0)</f>
        <v>0</v>
      </c>
      <c r="F447" s="9">
        <f>IF('Items sous domaines Maths '!H471=2,'Items sous domaines Maths '!F465,0)</f>
        <v>0</v>
      </c>
      <c r="G447">
        <f>IF('Items sous domaines Maths '!H471=2,'Items sous domaines Maths '!G471,0)</f>
        <v>0</v>
      </c>
      <c r="H447" s="3"/>
    </row>
    <row r="448" spans="2:8" customFormat="1" ht="13.8" hidden="1" thickTop="1" x14ac:dyDescent="0.25">
      <c r="B448" s="8">
        <f>IF('Items sous domaines Maths '!H472=2,'Items sous domaines Maths '!B472,0)</f>
        <v>0</v>
      </c>
      <c r="C448" s="8" t="b">
        <f>IF('Items sous domaines Maths '!H472=2,'Items sous domaines Maths '!C472)</f>
        <v>0</v>
      </c>
      <c r="D448" s="8">
        <f>IF('Items sous domaines Maths '!H472=2,'Items sous domaines Maths '!D472,0)</f>
        <v>0</v>
      </c>
      <c r="E448" s="8">
        <f>IF('Items sous domaines Maths '!H472=2,'Items sous domaines Maths '!E472,0)</f>
        <v>0</v>
      </c>
      <c r="F448" s="9">
        <f>IF('Items sous domaines Maths '!H472=2,'Items sous domaines Maths '!F466,0)</f>
        <v>0</v>
      </c>
      <c r="G448">
        <f>IF('Items sous domaines Maths '!H472=2,'Items sous domaines Maths '!G472,0)</f>
        <v>0</v>
      </c>
      <c r="H448" s="3"/>
    </row>
    <row r="449" spans="2:8" customFormat="1" ht="13.8" hidden="1" thickTop="1" x14ac:dyDescent="0.25">
      <c r="B449" s="8">
        <f>IF('Items sous domaines Maths '!H473=2,'Items sous domaines Maths '!B473,0)</f>
        <v>0</v>
      </c>
      <c r="C449" s="8" t="b">
        <f>IF('Items sous domaines Maths '!H473=2,'Items sous domaines Maths '!C473)</f>
        <v>0</v>
      </c>
      <c r="D449" s="8">
        <f>IF('Items sous domaines Maths '!H473=2,'Items sous domaines Maths '!D473,0)</f>
        <v>0</v>
      </c>
      <c r="E449" s="8">
        <f>IF('Items sous domaines Maths '!H473=2,'Items sous domaines Maths '!E473,0)</f>
        <v>0</v>
      </c>
      <c r="F449" s="9">
        <f>IF('Items sous domaines Maths '!H473=2,'Items sous domaines Maths '!F467,0)</f>
        <v>0</v>
      </c>
      <c r="G449">
        <f>IF('Items sous domaines Maths '!H473=2,'Items sous domaines Maths '!G473,0)</f>
        <v>0</v>
      </c>
      <c r="H449" s="3"/>
    </row>
    <row r="450" spans="2:8" customFormat="1" ht="13.8" hidden="1" thickTop="1" x14ac:dyDescent="0.25">
      <c r="B450" s="8">
        <f>IF('Items sous domaines Maths '!H474=2,'Items sous domaines Maths '!B474,0)</f>
        <v>0</v>
      </c>
      <c r="C450" s="8" t="b">
        <f>IF('Items sous domaines Maths '!H474=2,'Items sous domaines Maths '!C474)</f>
        <v>0</v>
      </c>
      <c r="D450" s="8">
        <f>IF('Items sous domaines Maths '!H474=2,'Items sous domaines Maths '!D474,0)</f>
        <v>0</v>
      </c>
      <c r="E450" s="8">
        <f>IF('Items sous domaines Maths '!H474=2,'Items sous domaines Maths '!E474,0)</f>
        <v>0</v>
      </c>
      <c r="F450" s="9">
        <f>IF('Items sous domaines Maths '!H474=2,'Items sous domaines Maths '!F468,0)</f>
        <v>0</v>
      </c>
      <c r="G450">
        <f>IF('Items sous domaines Maths '!H474=2,'Items sous domaines Maths '!G474,0)</f>
        <v>0</v>
      </c>
      <c r="H450" s="3"/>
    </row>
    <row r="451" spans="2:8" customFormat="1" ht="13.8" hidden="1" thickTop="1" x14ac:dyDescent="0.25">
      <c r="B451" s="8">
        <f>IF('Items sous domaines Maths '!H475=2,'Items sous domaines Maths '!B475,0)</f>
        <v>0</v>
      </c>
      <c r="C451" s="8" t="b">
        <f>IF('Items sous domaines Maths '!H475=2,'Items sous domaines Maths '!C475)</f>
        <v>0</v>
      </c>
      <c r="D451" s="8">
        <f>IF('Items sous domaines Maths '!H475=2,'Items sous domaines Maths '!D475,0)</f>
        <v>0</v>
      </c>
      <c r="E451" s="8">
        <f>IF('Items sous domaines Maths '!H475=2,'Items sous domaines Maths '!E475,0)</f>
        <v>0</v>
      </c>
      <c r="F451" s="9">
        <f>IF('Items sous domaines Maths '!H475=2,'Items sous domaines Maths '!F469,0)</f>
        <v>0</v>
      </c>
      <c r="G451">
        <f>IF('Items sous domaines Maths '!H475=2,'Items sous domaines Maths '!G475,0)</f>
        <v>0</v>
      </c>
      <c r="H451" s="3"/>
    </row>
    <row r="452" spans="2:8" customFormat="1" ht="13.8" hidden="1" thickTop="1" x14ac:dyDescent="0.25">
      <c r="B452" s="8">
        <f>IF('Items sous domaines Maths '!H476=2,'Items sous domaines Maths '!B476,0)</f>
        <v>0</v>
      </c>
      <c r="C452" s="8" t="b">
        <f>IF('Items sous domaines Maths '!H476=2,'Items sous domaines Maths '!C476)</f>
        <v>0</v>
      </c>
      <c r="D452" s="8">
        <f>IF('Items sous domaines Maths '!H476=2,'Items sous domaines Maths '!D476,0)</f>
        <v>0</v>
      </c>
      <c r="E452" s="8">
        <f>IF('Items sous domaines Maths '!H476=2,'Items sous domaines Maths '!E476,0)</f>
        <v>0</v>
      </c>
      <c r="F452" s="9">
        <f>IF('Items sous domaines Maths '!H476=2,'Items sous domaines Maths '!F470,0)</f>
        <v>0</v>
      </c>
      <c r="G452">
        <f>IF('Items sous domaines Maths '!H476=2,'Items sous domaines Maths '!G476,0)</f>
        <v>0</v>
      </c>
      <c r="H452" s="3"/>
    </row>
    <row r="453" spans="2:8" customFormat="1" ht="13.8" hidden="1" thickTop="1" x14ac:dyDescent="0.25">
      <c r="B453" s="8">
        <f>IF('Items sous domaines Maths '!H477=2,'Items sous domaines Maths '!B477,0)</f>
        <v>0</v>
      </c>
      <c r="C453" s="8" t="b">
        <f>IF('Items sous domaines Maths '!H477=2,'Items sous domaines Maths '!C477)</f>
        <v>0</v>
      </c>
      <c r="D453" s="8">
        <f>IF('Items sous domaines Maths '!H477=2,'Items sous domaines Maths '!D477,0)</f>
        <v>0</v>
      </c>
      <c r="E453" s="8">
        <f>IF('Items sous domaines Maths '!H477=2,'Items sous domaines Maths '!E477,0)</f>
        <v>0</v>
      </c>
      <c r="F453" s="9">
        <f>IF('Items sous domaines Maths '!H477=2,'Items sous domaines Maths '!F471,0)</f>
        <v>0</v>
      </c>
      <c r="G453">
        <f>IF('Items sous domaines Maths '!H477=2,'Items sous domaines Maths '!G477,0)</f>
        <v>0</v>
      </c>
      <c r="H453" s="3"/>
    </row>
    <row r="454" spans="2:8" customFormat="1" ht="13.8" hidden="1" thickTop="1" x14ac:dyDescent="0.25">
      <c r="B454" s="8">
        <f>IF('Items sous domaines Maths '!H478=2,'Items sous domaines Maths '!B478,0)</f>
        <v>0</v>
      </c>
      <c r="C454" s="8" t="b">
        <f>IF('Items sous domaines Maths '!H478=2,'Items sous domaines Maths '!C478)</f>
        <v>0</v>
      </c>
      <c r="D454" s="8">
        <f>IF('Items sous domaines Maths '!H478=2,'Items sous domaines Maths '!D478,0)</f>
        <v>0</v>
      </c>
      <c r="E454" s="8">
        <f>IF('Items sous domaines Maths '!H478=2,'Items sous domaines Maths '!E478,0)</f>
        <v>0</v>
      </c>
      <c r="F454" s="9">
        <f>IF('Items sous domaines Maths '!H478=2,'Items sous domaines Maths '!F472,0)</f>
        <v>0</v>
      </c>
      <c r="G454">
        <f>IF('Items sous domaines Maths '!H478=2,'Items sous domaines Maths '!G478,0)</f>
        <v>0</v>
      </c>
      <c r="H454" s="3"/>
    </row>
    <row r="455" spans="2:8" customFormat="1" ht="13.8" hidden="1" thickTop="1" x14ac:dyDescent="0.25">
      <c r="B455" s="8">
        <f>IF('Items sous domaines Maths '!H479=2,'Items sous domaines Maths '!B479,0)</f>
        <v>0</v>
      </c>
      <c r="C455" s="8" t="b">
        <f>IF('Items sous domaines Maths '!H479=2,'Items sous domaines Maths '!C479)</f>
        <v>0</v>
      </c>
      <c r="D455" s="8">
        <f>IF('Items sous domaines Maths '!H479=2,'Items sous domaines Maths '!D479,0)</f>
        <v>0</v>
      </c>
      <c r="E455" s="8">
        <f>IF('Items sous domaines Maths '!H479=2,'Items sous domaines Maths '!E479,0)</f>
        <v>0</v>
      </c>
      <c r="F455" s="9">
        <f>IF('Items sous domaines Maths '!H479=2,'Items sous domaines Maths '!F473,0)</f>
        <v>0</v>
      </c>
      <c r="G455">
        <f>IF('Items sous domaines Maths '!H479=2,'Items sous domaines Maths '!G479,0)</f>
        <v>0</v>
      </c>
      <c r="H455" s="3"/>
    </row>
    <row r="456" spans="2:8" customFormat="1" ht="13.8" hidden="1" thickTop="1" x14ac:dyDescent="0.25">
      <c r="B456" s="8">
        <f>IF('Items sous domaines Maths '!H480=2,'Items sous domaines Maths '!B480,0)</f>
        <v>0</v>
      </c>
      <c r="C456" s="8" t="b">
        <f>IF('Items sous domaines Maths '!H480=2,'Items sous domaines Maths '!C480)</f>
        <v>0</v>
      </c>
      <c r="D456" s="8">
        <f>IF('Items sous domaines Maths '!H480=2,'Items sous domaines Maths '!D480,0)</f>
        <v>0</v>
      </c>
      <c r="E456" s="8">
        <f>IF('Items sous domaines Maths '!H480=2,'Items sous domaines Maths '!E480,0)</f>
        <v>0</v>
      </c>
      <c r="F456" s="9">
        <f>IF('Items sous domaines Maths '!H480=2,'Items sous domaines Maths '!F474,0)</f>
        <v>0</v>
      </c>
      <c r="G456">
        <f>IF('Items sous domaines Maths '!H480=2,'Items sous domaines Maths '!G480,0)</f>
        <v>0</v>
      </c>
      <c r="H456" s="3"/>
    </row>
    <row r="457" spans="2:8" customFormat="1" ht="13.8" hidden="1" thickTop="1" x14ac:dyDescent="0.25">
      <c r="B457" s="8">
        <f>IF('Items sous domaines Maths '!H481=2,'Items sous domaines Maths '!B481,0)</f>
        <v>0</v>
      </c>
      <c r="C457" s="8" t="b">
        <f>IF('Items sous domaines Maths '!H481=2,'Items sous domaines Maths '!C481)</f>
        <v>0</v>
      </c>
      <c r="D457" s="8">
        <f>IF('Items sous domaines Maths '!H481=2,'Items sous domaines Maths '!D481,0)</f>
        <v>0</v>
      </c>
      <c r="E457" s="8">
        <f>IF('Items sous domaines Maths '!H481=2,'Items sous domaines Maths '!E481,0)</f>
        <v>0</v>
      </c>
      <c r="F457" s="9">
        <f>IF('Items sous domaines Maths '!H481=2,'Items sous domaines Maths '!F475,0)</f>
        <v>0</v>
      </c>
      <c r="G457">
        <f>IF('Items sous domaines Maths '!H481=2,'Items sous domaines Maths '!G481,0)</f>
        <v>0</v>
      </c>
      <c r="H457" s="3"/>
    </row>
    <row r="458" spans="2:8" customFormat="1" ht="13.8" hidden="1" thickTop="1" x14ac:dyDescent="0.25">
      <c r="B458" s="8">
        <f>IF('Items sous domaines Maths '!H482=2,'Items sous domaines Maths '!B482,0)</f>
        <v>0</v>
      </c>
      <c r="C458" s="8" t="b">
        <f>IF('Items sous domaines Maths '!H482=2,'Items sous domaines Maths '!C482)</f>
        <v>0</v>
      </c>
      <c r="D458" s="8">
        <f>IF('Items sous domaines Maths '!H482=2,'Items sous domaines Maths '!D482,0)</f>
        <v>0</v>
      </c>
      <c r="E458" s="8">
        <f>IF('Items sous domaines Maths '!H482=2,'Items sous domaines Maths '!E482,0)</f>
        <v>0</v>
      </c>
      <c r="F458" s="9">
        <f>IF('Items sous domaines Maths '!H482=2,'Items sous domaines Maths '!F476,0)</f>
        <v>0</v>
      </c>
      <c r="G458">
        <f>IF('Items sous domaines Maths '!H482=2,'Items sous domaines Maths '!G482,0)</f>
        <v>0</v>
      </c>
      <c r="H458" s="3"/>
    </row>
    <row r="459" spans="2:8" customFormat="1" ht="13.8" hidden="1" thickTop="1" x14ac:dyDescent="0.25">
      <c r="B459" s="8">
        <f>IF('Items sous domaines Maths '!H483=2,'Items sous domaines Maths '!B483,0)</f>
        <v>0</v>
      </c>
      <c r="C459" s="8" t="b">
        <f>IF('Items sous domaines Maths '!H483=2,'Items sous domaines Maths '!C483)</f>
        <v>0</v>
      </c>
      <c r="D459" s="8">
        <f>IF('Items sous domaines Maths '!H483=2,'Items sous domaines Maths '!D483,0)</f>
        <v>0</v>
      </c>
      <c r="E459" s="8">
        <f>IF('Items sous domaines Maths '!H483=2,'Items sous domaines Maths '!E483,0)</f>
        <v>0</v>
      </c>
      <c r="F459" s="9">
        <f>IF('Items sous domaines Maths '!H483=2,'Items sous domaines Maths '!F477,0)</f>
        <v>0</v>
      </c>
      <c r="G459">
        <f>IF('Items sous domaines Maths '!H483=2,'Items sous domaines Maths '!G483,0)</f>
        <v>0</v>
      </c>
      <c r="H459" s="3"/>
    </row>
    <row r="460" spans="2:8" customFormat="1" ht="13.8" hidden="1" thickTop="1" x14ac:dyDescent="0.25">
      <c r="B460" s="8">
        <f>IF('Items sous domaines Maths '!H484=2,'Items sous domaines Maths '!B484,0)</f>
        <v>0</v>
      </c>
      <c r="C460" s="8" t="b">
        <f>IF('Items sous domaines Maths '!H484=2,'Items sous domaines Maths '!C484)</f>
        <v>0</v>
      </c>
      <c r="D460" s="8">
        <f>IF('Items sous domaines Maths '!H484=2,'Items sous domaines Maths '!D484,0)</f>
        <v>0</v>
      </c>
      <c r="E460" s="8">
        <f>IF('Items sous domaines Maths '!H484=2,'Items sous domaines Maths '!E484,0)</f>
        <v>0</v>
      </c>
      <c r="F460" s="9">
        <f>IF('Items sous domaines Maths '!H484=2,'Items sous domaines Maths '!F478,0)</f>
        <v>0</v>
      </c>
      <c r="G460">
        <f>IF('Items sous domaines Maths '!H484=2,'Items sous domaines Maths '!G484,0)</f>
        <v>0</v>
      </c>
      <c r="H460" s="3"/>
    </row>
    <row r="461" spans="2:8" customFormat="1" ht="13.8" hidden="1" thickTop="1" x14ac:dyDescent="0.25">
      <c r="B461" s="8">
        <f>IF('Items sous domaines Maths '!H485=2,'Items sous domaines Maths '!B485,0)</f>
        <v>0</v>
      </c>
      <c r="C461" s="8" t="b">
        <f>IF('Items sous domaines Maths '!H485=2,'Items sous domaines Maths '!C485)</f>
        <v>0</v>
      </c>
      <c r="D461" s="8">
        <f>IF('Items sous domaines Maths '!H485=2,'Items sous domaines Maths '!D485,0)</f>
        <v>0</v>
      </c>
      <c r="E461" s="8">
        <f>IF('Items sous domaines Maths '!H485=2,'Items sous domaines Maths '!E485,0)</f>
        <v>0</v>
      </c>
      <c r="F461" s="9">
        <f>IF('Items sous domaines Maths '!H485=2,'Items sous domaines Maths '!F479,0)</f>
        <v>0</v>
      </c>
      <c r="G461">
        <f>IF('Items sous domaines Maths '!H485=2,'Items sous domaines Maths '!G485,0)</f>
        <v>0</v>
      </c>
      <c r="H461" s="3"/>
    </row>
    <row r="462" spans="2:8" customFormat="1" ht="13.8" hidden="1" thickTop="1" x14ac:dyDescent="0.25">
      <c r="B462" s="8">
        <f>IF('Items sous domaines Maths '!H486=2,'Items sous domaines Maths '!B486,0)</f>
        <v>0</v>
      </c>
      <c r="C462" s="8" t="b">
        <f>IF('Items sous domaines Maths '!H486=2,'Items sous domaines Maths '!C486)</f>
        <v>0</v>
      </c>
      <c r="D462" s="8">
        <f>IF('Items sous domaines Maths '!H486=2,'Items sous domaines Maths '!D486,0)</f>
        <v>0</v>
      </c>
      <c r="E462" s="8">
        <f>IF('Items sous domaines Maths '!H486=2,'Items sous domaines Maths '!E486,0)</f>
        <v>0</v>
      </c>
      <c r="F462" s="9">
        <f>IF('Items sous domaines Maths '!H486=2,'Items sous domaines Maths '!F480,0)</f>
        <v>0</v>
      </c>
      <c r="G462">
        <f>IF('Items sous domaines Maths '!H486=2,'Items sous domaines Maths '!G486,0)</f>
        <v>0</v>
      </c>
      <c r="H462" s="3"/>
    </row>
    <row r="463" spans="2:8" customFormat="1" ht="13.8" hidden="1" thickTop="1" x14ac:dyDescent="0.25">
      <c r="B463" s="8">
        <f>IF('Items sous domaines Maths '!H487=2,'Items sous domaines Maths '!B487,0)</f>
        <v>0</v>
      </c>
      <c r="C463" s="8" t="b">
        <f>IF('Items sous domaines Maths '!H487=2,'Items sous domaines Maths '!C487)</f>
        <v>0</v>
      </c>
      <c r="D463" s="8">
        <f>IF('Items sous domaines Maths '!H487=2,'Items sous domaines Maths '!D487,0)</f>
        <v>0</v>
      </c>
      <c r="E463" s="8">
        <f>IF('Items sous domaines Maths '!H487=2,'Items sous domaines Maths '!E487,0)</f>
        <v>0</v>
      </c>
      <c r="F463" s="9">
        <f>IF('Items sous domaines Maths '!H487=2,'Items sous domaines Maths '!F481,0)</f>
        <v>0</v>
      </c>
      <c r="G463">
        <f>IF('Items sous domaines Maths '!H487=2,'Items sous domaines Maths '!G487,0)</f>
        <v>0</v>
      </c>
      <c r="H463" s="3"/>
    </row>
    <row r="464" spans="2:8" customFormat="1" ht="13.8" hidden="1" thickTop="1" x14ac:dyDescent="0.25">
      <c r="B464" s="8">
        <f>IF('Items sous domaines Maths '!H488=2,'Items sous domaines Maths '!B488,0)</f>
        <v>0</v>
      </c>
      <c r="C464" s="8" t="b">
        <f>IF('Items sous domaines Maths '!H488=2,'Items sous domaines Maths '!C488)</f>
        <v>0</v>
      </c>
      <c r="D464" s="8">
        <f>IF('Items sous domaines Maths '!H488=2,'Items sous domaines Maths '!D488,0)</f>
        <v>0</v>
      </c>
      <c r="E464" s="8">
        <f>IF('Items sous domaines Maths '!H488=2,'Items sous domaines Maths '!E488,0)</f>
        <v>0</v>
      </c>
      <c r="F464" s="9">
        <f>IF('Items sous domaines Maths '!H488=2,'Items sous domaines Maths '!F482,0)</f>
        <v>0</v>
      </c>
      <c r="G464">
        <f>IF('Items sous domaines Maths '!H488=2,'Items sous domaines Maths '!G488,0)</f>
        <v>0</v>
      </c>
      <c r="H464" s="3"/>
    </row>
    <row r="465" spans="2:8" customFormat="1" ht="13.8" hidden="1" thickTop="1" x14ac:dyDescent="0.25">
      <c r="B465" s="8">
        <f>IF('Items sous domaines Maths '!H489=2,'Items sous domaines Maths '!B489,0)</f>
        <v>0</v>
      </c>
      <c r="C465" s="8" t="b">
        <f>IF('Items sous domaines Maths '!H489=2,'Items sous domaines Maths '!C489)</f>
        <v>0</v>
      </c>
      <c r="D465" s="8">
        <f>IF('Items sous domaines Maths '!H489=2,'Items sous domaines Maths '!D489,0)</f>
        <v>0</v>
      </c>
      <c r="E465" s="8">
        <f>IF('Items sous domaines Maths '!H489=2,'Items sous domaines Maths '!E489,0)</f>
        <v>0</v>
      </c>
      <c r="F465" s="9">
        <f>IF('Items sous domaines Maths '!H489=2,'Items sous domaines Maths '!F483,0)</f>
        <v>0</v>
      </c>
      <c r="G465">
        <f>IF('Items sous domaines Maths '!H489=2,'Items sous domaines Maths '!G489,0)</f>
        <v>0</v>
      </c>
      <c r="H465" s="3"/>
    </row>
    <row r="466" spans="2:8" customFormat="1" ht="13.8" hidden="1" thickTop="1" x14ac:dyDescent="0.25">
      <c r="B466" s="8">
        <f>IF('Items sous domaines Maths '!H490=2,'Items sous domaines Maths '!B490,0)</f>
        <v>0</v>
      </c>
      <c r="C466" s="8" t="b">
        <f>IF('Items sous domaines Maths '!H490=2,'Items sous domaines Maths '!C490)</f>
        <v>0</v>
      </c>
      <c r="D466" s="8">
        <f>IF('Items sous domaines Maths '!H490=2,'Items sous domaines Maths '!D490,0)</f>
        <v>0</v>
      </c>
      <c r="E466" s="8">
        <f>IF('Items sous domaines Maths '!H490=2,'Items sous domaines Maths '!E490,0)</f>
        <v>0</v>
      </c>
      <c r="F466" s="9">
        <f>IF('Items sous domaines Maths '!H490=2,'Items sous domaines Maths '!F484,0)</f>
        <v>0</v>
      </c>
      <c r="G466">
        <f>IF('Items sous domaines Maths '!H490=2,'Items sous domaines Maths '!G490,0)</f>
        <v>0</v>
      </c>
      <c r="H466" s="3"/>
    </row>
    <row r="467" spans="2:8" customFormat="1" ht="13.8" hidden="1" thickTop="1" x14ac:dyDescent="0.25">
      <c r="B467" s="8">
        <f>IF('Items sous domaines Maths '!H491=2,'Items sous domaines Maths '!B491,0)</f>
        <v>0</v>
      </c>
      <c r="C467" s="8" t="b">
        <f>IF('Items sous domaines Maths '!H491=2,'Items sous domaines Maths '!C491)</f>
        <v>0</v>
      </c>
      <c r="D467" s="8">
        <f>IF('Items sous domaines Maths '!H491=2,'Items sous domaines Maths '!D491,0)</f>
        <v>0</v>
      </c>
      <c r="E467" s="8">
        <f>IF('Items sous domaines Maths '!H491=2,'Items sous domaines Maths '!E491,0)</f>
        <v>0</v>
      </c>
      <c r="F467" s="9">
        <f>IF('Items sous domaines Maths '!H491=2,'Items sous domaines Maths '!F485,0)</f>
        <v>0</v>
      </c>
      <c r="G467">
        <f>IF('Items sous domaines Maths '!H491=2,'Items sous domaines Maths '!G491,0)</f>
        <v>0</v>
      </c>
      <c r="H467" s="3"/>
    </row>
    <row r="468" spans="2:8" customFormat="1" ht="13.8" hidden="1" thickTop="1" x14ac:dyDescent="0.25">
      <c r="B468" s="8">
        <f>IF('Items sous domaines Maths '!H492=2,'Items sous domaines Maths '!B492,0)</f>
        <v>0</v>
      </c>
      <c r="C468" s="8" t="b">
        <f>IF('Items sous domaines Maths '!H492=2,'Items sous domaines Maths '!C492)</f>
        <v>0</v>
      </c>
      <c r="D468" s="8">
        <f>IF('Items sous domaines Maths '!H492=2,'Items sous domaines Maths '!D492,0)</f>
        <v>0</v>
      </c>
      <c r="E468" s="8">
        <f>IF('Items sous domaines Maths '!H492=2,'Items sous domaines Maths '!E492,0)</f>
        <v>0</v>
      </c>
      <c r="F468" s="9">
        <f>IF('Items sous domaines Maths '!H492=2,'Items sous domaines Maths '!F486,0)</f>
        <v>0</v>
      </c>
      <c r="G468">
        <f>IF('Items sous domaines Maths '!H492=2,'Items sous domaines Maths '!G492,0)</f>
        <v>0</v>
      </c>
      <c r="H468" s="3"/>
    </row>
    <row r="469" spans="2:8" customFormat="1" ht="13.8" hidden="1" thickTop="1" x14ac:dyDescent="0.25">
      <c r="B469" s="8">
        <f>IF('Items sous domaines Maths '!H493=2,'Items sous domaines Maths '!B493,0)</f>
        <v>0</v>
      </c>
      <c r="C469" s="8" t="b">
        <f>IF('Items sous domaines Maths '!H493=2,'Items sous domaines Maths '!C493)</f>
        <v>0</v>
      </c>
      <c r="D469" s="8">
        <f>IF('Items sous domaines Maths '!H493=2,'Items sous domaines Maths '!D493,0)</f>
        <v>0</v>
      </c>
      <c r="E469" s="8">
        <f>IF('Items sous domaines Maths '!H493=2,'Items sous domaines Maths '!E493,0)</f>
        <v>0</v>
      </c>
      <c r="F469" s="9">
        <f>IF('Items sous domaines Maths '!H493=2,'Items sous domaines Maths '!F487,0)</f>
        <v>0</v>
      </c>
      <c r="G469">
        <f>IF('Items sous domaines Maths '!H493=2,'Items sous domaines Maths '!G493,0)</f>
        <v>0</v>
      </c>
      <c r="H469" s="3"/>
    </row>
    <row r="470" spans="2:8" customFormat="1" ht="13.8" hidden="1" thickTop="1" x14ac:dyDescent="0.25">
      <c r="B470" s="8">
        <f>IF('Items sous domaines Maths '!H494=2,'Items sous domaines Maths '!B494,0)</f>
        <v>0</v>
      </c>
      <c r="C470" s="8" t="b">
        <f>IF('Items sous domaines Maths '!H494=2,'Items sous domaines Maths '!C494)</f>
        <v>0</v>
      </c>
      <c r="D470" s="8">
        <f>IF('Items sous domaines Maths '!H494=2,'Items sous domaines Maths '!D494,0)</f>
        <v>0</v>
      </c>
      <c r="E470" s="8">
        <f>IF('Items sous domaines Maths '!H494=2,'Items sous domaines Maths '!E494,0)</f>
        <v>0</v>
      </c>
      <c r="F470" s="9">
        <f>IF('Items sous domaines Maths '!H494=2,'Items sous domaines Maths '!F488,0)</f>
        <v>0</v>
      </c>
      <c r="G470">
        <f>IF('Items sous domaines Maths '!H494=2,'Items sous domaines Maths '!G494,0)</f>
        <v>0</v>
      </c>
      <c r="H470" s="3"/>
    </row>
    <row r="471" spans="2:8" customFormat="1" ht="13.8" hidden="1" thickTop="1" x14ac:dyDescent="0.25">
      <c r="B471" s="8">
        <f>IF('Items sous domaines Maths '!H495=2,'Items sous domaines Maths '!B495,0)</f>
        <v>0</v>
      </c>
      <c r="C471" s="8" t="b">
        <f>IF('Items sous domaines Maths '!H495=2,'Items sous domaines Maths '!C495)</f>
        <v>0</v>
      </c>
      <c r="D471" s="8">
        <f>IF('Items sous domaines Maths '!H495=2,'Items sous domaines Maths '!D495,0)</f>
        <v>0</v>
      </c>
      <c r="E471" s="8">
        <f>IF('Items sous domaines Maths '!H495=2,'Items sous domaines Maths '!E495,0)</f>
        <v>0</v>
      </c>
      <c r="F471" s="9">
        <f>IF('Items sous domaines Maths '!H495=2,'Items sous domaines Maths '!F489,0)</f>
        <v>0</v>
      </c>
      <c r="G471">
        <f>IF('Items sous domaines Maths '!H495=2,'Items sous domaines Maths '!G495,0)</f>
        <v>0</v>
      </c>
      <c r="H471" s="3"/>
    </row>
    <row r="472" spans="2:8" customFormat="1" ht="13.8" hidden="1" thickTop="1" x14ac:dyDescent="0.25">
      <c r="B472" s="8">
        <f>IF('Items sous domaines Maths '!H496=2,'Items sous domaines Maths '!B496,0)</f>
        <v>0</v>
      </c>
      <c r="C472" s="8" t="b">
        <f>IF('Items sous domaines Maths '!H496=2,'Items sous domaines Maths '!C496)</f>
        <v>0</v>
      </c>
      <c r="D472" s="8">
        <f>IF('Items sous domaines Maths '!H496=2,'Items sous domaines Maths '!D496,0)</f>
        <v>0</v>
      </c>
      <c r="E472" s="8">
        <f>IF('Items sous domaines Maths '!H496=2,'Items sous domaines Maths '!E496,0)</f>
        <v>0</v>
      </c>
      <c r="F472" s="9">
        <f>IF('Items sous domaines Maths '!H496=2,'Items sous domaines Maths '!F490,0)</f>
        <v>0</v>
      </c>
      <c r="G472">
        <f>IF('Items sous domaines Maths '!H496=2,'Items sous domaines Maths '!G496,0)</f>
        <v>0</v>
      </c>
      <c r="H472" s="3"/>
    </row>
    <row r="473" spans="2:8" customFormat="1" ht="13.8" hidden="1" thickTop="1" x14ac:dyDescent="0.25">
      <c r="B473" s="8">
        <f>IF('Items sous domaines Maths '!H497=2,'Items sous domaines Maths '!B497,0)</f>
        <v>0</v>
      </c>
      <c r="C473" s="8" t="b">
        <f>IF('Items sous domaines Maths '!H497=2,'Items sous domaines Maths '!C497)</f>
        <v>0</v>
      </c>
      <c r="D473" s="8">
        <f>IF('Items sous domaines Maths '!H497=2,'Items sous domaines Maths '!D497,0)</f>
        <v>0</v>
      </c>
      <c r="E473" s="8">
        <f>IF('Items sous domaines Maths '!H497=2,'Items sous domaines Maths '!E497,0)</f>
        <v>0</v>
      </c>
      <c r="F473" s="9">
        <f>IF('Items sous domaines Maths '!H497=2,'Items sous domaines Maths '!F491,0)</f>
        <v>0</v>
      </c>
      <c r="G473">
        <f>IF('Items sous domaines Maths '!H497=2,'Items sous domaines Maths '!G497,0)</f>
        <v>0</v>
      </c>
      <c r="H473" s="3"/>
    </row>
    <row r="474" spans="2:8" customFormat="1" ht="13.8" hidden="1" thickTop="1" x14ac:dyDescent="0.25">
      <c r="B474" s="8">
        <f>IF('Items sous domaines Maths '!H498=2,'Items sous domaines Maths '!B498,0)</f>
        <v>0</v>
      </c>
      <c r="C474" s="8" t="b">
        <f>IF('Items sous domaines Maths '!H498=2,'Items sous domaines Maths '!C498)</f>
        <v>0</v>
      </c>
      <c r="D474" s="8">
        <f>IF('Items sous domaines Maths '!H498=2,'Items sous domaines Maths '!D498,0)</f>
        <v>0</v>
      </c>
      <c r="E474" s="8">
        <f>IF('Items sous domaines Maths '!H498=2,'Items sous domaines Maths '!E498,0)</f>
        <v>0</v>
      </c>
      <c r="F474" s="9">
        <f>IF('Items sous domaines Maths '!H498=2,'Items sous domaines Maths '!F492,0)</f>
        <v>0</v>
      </c>
      <c r="G474">
        <f>IF('Items sous domaines Maths '!H498=2,'Items sous domaines Maths '!G498,0)</f>
        <v>0</v>
      </c>
      <c r="H474" s="3"/>
    </row>
    <row r="475" spans="2:8" customFormat="1" ht="13.8" hidden="1" thickTop="1" x14ac:dyDescent="0.25">
      <c r="B475" s="8">
        <f>IF('Items sous domaines Maths '!H499=2,'Items sous domaines Maths '!B499,0)</f>
        <v>0</v>
      </c>
      <c r="C475" s="8" t="b">
        <f>IF('Items sous domaines Maths '!H499=2,'Items sous domaines Maths '!C499)</f>
        <v>0</v>
      </c>
      <c r="D475" s="8">
        <f>IF('Items sous domaines Maths '!H499=2,'Items sous domaines Maths '!D499,0)</f>
        <v>0</v>
      </c>
      <c r="E475" s="8">
        <f>IF('Items sous domaines Maths '!H499=2,'Items sous domaines Maths '!E499,0)</f>
        <v>0</v>
      </c>
      <c r="F475" s="9">
        <f>IF('Items sous domaines Maths '!H499=2,'Items sous domaines Maths '!F493,0)</f>
        <v>0</v>
      </c>
      <c r="G475">
        <f>IF('Items sous domaines Maths '!H499=2,'Items sous domaines Maths '!G499,0)</f>
        <v>0</v>
      </c>
      <c r="H475" s="3"/>
    </row>
    <row r="476" spans="2:8" customFormat="1" ht="13.8" hidden="1" thickTop="1" x14ac:dyDescent="0.25">
      <c r="B476" s="8">
        <f>IF('Items sous domaines Maths '!H500=2,'Items sous domaines Maths '!B500,0)</f>
        <v>0</v>
      </c>
      <c r="C476" s="8" t="b">
        <f>IF('Items sous domaines Maths '!H500=2,'Items sous domaines Maths '!C500)</f>
        <v>0</v>
      </c>
      <c r="D476" s="8">
        <f>IF('Items sous domaines Maths '!H500=2,'Items sous domaines Maths '!D500,0)</f>
        <v>0</v>
      </c>
      <c r="E476" s="8">
        <f>IF('Items sous domaines Maths '!H500=2,'Items sous domaines Maths '!E500,0)</f>
        <v>0</v>
      </c>
      <c r="F476" s="9">
        <f>IF('Items sous domaines Maths '!H500=2,'Items sous domaines Maths '!F494,0)</f>
        <v>0</v>
      </c>
      <c r="G476">
        <f>IF('Items sous domaines Maths '!H500=2,'Items sous domaines Maths '!G500,0)</f>
        <v>0</v>
      </c>
      <c r="H476" s="3"/>
    </row>
    <row r="477" spans="2:8" customFormat="1" ht="13.8" hidden="1" thickTop="1" x14ac:dyDescent="0.25">
      <c r="B477" s="8">
        <f>IF('Items sous domaines Maths '!H501=2,'Items sous domaines Maths '!B501,0)</f>
        <v>0</v>
      </c>
      <c r="C477" s="8" t="b">
        <f>IF('Items sous domaines Maths '!H501=2,'Items sous domaines Maths '!C501)</f>
        <v>0</v>
      </c>
      <c r="D477" s="8">
        <f>IF('Items sous domaines Maths '!H501=2,'Items sous domaines Maths '!D501,0)</f>
        <v>0</v>
      </c>
      <c r="E477" s="8">
        <f>IF('Items sous domaines Maths '!H501=2,'Items sous domaines Maths '!E501,0)</f>
        <v>0</v>
      </c>
      <c r="F477" s="9">
        <f>IF('Items sous domaines Maths '!H501=2,'Items sous domaines Maths '!F495,0)</f>
        <v>0</v>
      </c>
      <c r="G477">
        <f>IF('Items sous domaines Maths '!H501=2,'Items sous domaines Maths '!G501,0)</f>
        <v>0</v>
      </c>
      <c r="H477" s="3"/>
    </row>
    <row r="478" spans="2:8" customFormat="1" ht="13.8" hidden="1" thickTop="1" x14ac:dyDescent="0.25">
      <c r="B478" s="8">
        <f>IF('Items sous domaines Maths '!H502=2,'Items sous domaines Maths '!B502,0)</f>
        <v>0</v>
      </c>
      <c r="C478" s="8" t="b">
        <f>IF('Items sous domaines Maths '!H502=2,'Items sous domaines Maths '!C502)</f>
        <v>0</v>
      </c>
      <c r="D478" s="8">
        <f>IF('Items sous domaines Maths '!H502=2,'Items sous domaines Maths '!D502,0)</f>
        <v>0</v>
      </c>
      <c r="E478" s="8">
        <f>IF('Items sous domaines Maths '!H502=2,'Items sous domaines Maths '!E502,0)</f>
        <v>0</v>
      </c>
      <c r="F478" s="9">
        <f>IF('Items sous domaines Maths '!H502=2,'Items sous domaines Maths '!F496,0)</f>
        <v>0</v>
      </c>
      <c r="G478">
        <f>IF('Items sous domaines Maths '!H502=2,'Items sous domaines Maths '!G502,0)</f>
        <v>0</v>
      </c>
      <c r="H478" s="3"/>
    </row>
    <row r="479" spans="2:8" customFormat="1" ht="13.8" hidden="1" thickTop="1" x14ac:dyDescent="0.25">
      <c r="B479" s="8">
        <f>IF('Items sous domaines Maths '!H503=2,'Items sous domaines Maths '!B503,0)</f>
        <v>0</v>
      </c>
      <c r="C479" s="8" t="b">
        <f>IF('Items sous domaines Maths '!H503=2,'Items sous domaines Maths '!C503)</f>
        <v>0</v>
      </c>
      <c r="D479" s="8">
        <f>IF('Items sous domaines Maths '!H503=2,'Items sous domaines Maths '!D503,0)</f>
        <v>0</v>
      </c>
      <c r="E479" s="8">
        <f>IF('Items sous domaines Maths '!H503=2,'Items sous domaines Maths '!E503,0)</f>
        <v>0</v>
      </c>
      <c r="F479" s="9">
        <f>IF('Items sous domaines Maths '!H503=2,'Items sous domaines Maths '!F497,0)</f>
        <v>0</v>
      </c>
      <c r="G479">
        <f>IF('Items sous domaines Maths '!H503=2,'Items sous domaines Maths '!G503,0)</f>
        <v>0</v>
      </c>
      <c r="H479" s="3"/>
    </row>
    <row r="480" spans="2:8" customFormat="1" ht="13.8" hidden="1" thickTop="1" x14ac:dyDescent="0.25">
      <c r="B480" s="8">
        <f>IF('Items sous domaines Maths '!H504=2,'Items sous domaines Maths '!B504,0)</f>
        <v>0</v>
      </c>
      <c r="C480" s="8" t="b">
        <f>IF('Items sous domaines Maths '!H504=2,'Items sous domaines Maths '!C504)</f>
        <v>0</v>
      </c>
      <c r="D480" s="8">
        <f>IF('Items sous domaines Maths '!H504=2,'Items sous domaines Maths '!D504,0)</f>
        <v>0</v>
      </c>
      <c r="E480" s="8">
        <f>IF('Items sous domaines Maths '!H504=2,'Items sous domaines Maths '!E504,0)</f>
        <v>0</v>
      </c>
      <c r="F480" s="9">
        <f>IF('Items sous domaines Maths '!H504=2,'Items sous domaines Maths '!F498,0)</f>
        <v>0</v>
      </c>
      <c r="G480">
        <f>IF('Items sous domaines Maths '!H504=2,'Items sous domaines Maths '!G504,0)</f>
        <v>0</v>
      </c>
      <c r="H480" s="3"/>
    </row>
    <row r="481" spans="2:8" customFormat="1" ht="13.8" hidden="1" thickTop="1" x14ac:dyDescent="0.25">
      <c r="B481" s="8">
        <f>IF('Items sous domaines Maths '!H505=2,'Items sous domaines Maths '!B505,0)</f>
        <v>0</v>
      </c>
      <c r="C481" s="8" t="b">
        <f>IF('Items sous domaines Maths '!H505=2,'Items sous domaines Maths '!C505)</f>
        <v>0</v>
      </c>
      <c r="D481" s="8">
        <f>IF('Items sous domaines Maths '!H505=2,'Items sous domaines Maths '!D505,0)</f>
        <v>0</v>
      </c>
      <c r="E481" s="8">
        <f>IF('Items sous domaines Maths '!H505=2,'Items sous domaines Maths '!E505,0)</f>
        <v>0</v>
      </c>
      <c r="F481" s="9">
        <f>IF('Items sous domaines Maths '!H505=2,'Items sous domaines Maths '!F499,0)</f>
        <v>0</v>
      </c>
      <c r="G481">
        <f>IF('Items sous domaines Maths '!H505=2,'Items sous domaines Maths '!G505,0)</f>
        <v>0</v>
      </c>
      <c r="H481" s="3"/>
    </row>
    <row r="482" spans="2:8" customFormat="1" ht="13.8" hidden="1" thickTop="1" x14ac:dyDescent="0.25">
      <c r="B482" s="8">
        <f>IF('Items sous domaines Maths '!H506=2,'Items sous domaines Maths '!B506,0)</f>
        <v>0</v>
      </c>
      <c r="C482" s="8" t="b">
        <f>IF('Items sous domaines Maths '!H506=2,'Items sous domaines Maths '!C506)</f>
        <v>0</v>
      </c>
      <c r="D482" s="8">
        <f>IF('Items sous domaines Maths '!H506=2,'Items sous domaines Maths '!D506,0)</f>
        <v>0</v>
      </c>
      <c r="E482" s="8">
        <f>IF('Items sous domaines Maths '!H506=2,'Items sous domaines Maths '!E506,0)</f>
        <v>0</v>
      </c>
      <c r="F482" s="9">
        <f>IF('Items sous domaines Maths '!H506=2,'Items sous domaines Maths '!F500,0)</f>
        <v>0</v>
      </c>
      <c r="G482">
        <f>IF('Items sous domaines Maths '!H506=2,'Items sous domaines Maths '!G506,0)</f>
        <v>0</v>
      </c>
      <c r="H482" s="3"/>
    </row>
    <row r="483" spans="2:8" customFormat="1" ht="13.8" hidden="1" thickTop="1" x14ac:dyDescent="0.25">
      <c r="B483" s="8">
        <f>IF('Items sous domaines Maths '!H507=2,'Items sous domaines Maths '!B507,0)</f>
        <v>0</v>
      </c>
      <c r="C483" s="8" t="b">
        <f>IF('Items sous domaines Maths '!H507=2,'Items sous domaines Maths '!C507)</f>
        <v>0</v>
      </c>
      <c r="D483" s="8">
        <f>IF('Items sous domaines Maths '!H507=2,'Items sous domaines Maths '!D507,0)</f>
        <v>0</v>
      </c>
      <c r="E483" s="8">
        <f>IF('Items sous domaines Maths '!H507=2,'Items sous domaines Maths '!E507,0)</f>
        <v>0</v>
      </c>
      <c r="F483" s="9">
        <f>IF('Items sous domaines Maths '!H507=2,'Items sous domaines Maths '!F501,0)</f>
        <v>0</v>
      </c>
      <c r="G483">
        <f>IF('Items sous domaines Maths '!H507=2,'Items sous domaines Maths '!G507,0)</f>
        <v>0</v>
      </c>
      <c r="H483" s="3"/>
    </row>
    <row r="484" spans="2:8" customFormat="1" ht="13.8" hidden="1" thickTop="1" x14ac:dyDescent="0.25">
      <c r="B484" s="8">
        <f>IF('Items sous domaines Maths '!H508=2,'Items sous domaines Maths '!B508,0)</f>
        <v>0</v>
      </c>
      <c r="C484" s="8" t="b">
        <f>IF('Items sous domaines Maths '!H508=2,'Items sous domaines Maths '!C508)</f>
        <v>0</v>
      </c>
      <c r="D484" s="8">
        <f>IF('Items sous domaines Maths '!H508=2,'Items sous domaines Maths '!D508,0)</f>
        <v>0</v>
      </c>
      <c r="E484" s="8">
        <f>IF('Items sous domaines Maths '!H508=2,'Items sous domaines Maths '!E508,0)</f>
        <v>0</v>
      </c>
      <c r="F484" s="9">
        <f>IF('Items sous domaines Maths '!H508=2,'Items sous domaines Maths '!F502,0)</f>
        <v>0</v>
      </c>
      <c r="G484">
        <f>IF('Items sous domaines Maths '!H508=2,'Items sous domaines Maths '!G508,0)</f>
        <v>0</v>
      </c>
      <c r="H484" s="3"/>
    </row>
    <row r="485" spans="2:8" customFormat="1" ht="13.8" hidden="1" thickTop="1" x14ac:dyDescent="0.25">
      <c r="B485" s="8">
        <f>IF('Items sous domaines Maths '!H509=2,'Items sous domaines Maths '!B509,0)</f>
        <v>0</v>
      </c>
      <c r="C485" s="8" t="b">
        <f>IF('Items sous domaines Maths '!H509=2,'Items sous domaines Maths '!C509)</f>
        <v>0</v>
      </c>
      <c r="D485" s="8">
        <f>IF('Items sous domaines Maths '!H509=2,'Items sous domaines Maths '!D509,0)</f>
        <v>0</v>
      </c>
      <c r="E485" s="8">
        <f>IF('Items sous domaines Maths '!H509=2,'Items sous domaines Maths '!E509,0)</f>
        <v>0</v>
      </c>
      <c r="F485" s="9">
        <f>IF('Items sous domaines Maths '!H509=2,'Items sous domaines Maths '!F503,0)</f>
        <v>0</v>
      </c>
      <c r="G485">
        <f>IF('Items sous domaines Maths '!H509=2,'Items sous domaines Maths '!G509,0)</f>
        <v>0</v>
      </c>
      <c r="H485" s="3"/>
    </row>
    <row r="486" spans="2:8" customFormat="1" ht="13.8" hidden="1" thickTop="1" x14ac:dyDescent="0.25">
      <c r="B486" s="8">
        <f>IF('Items sous domaines Maths '!H510=2,'Items sous domaines Maths '!B510,0)</f>
        <v>0</v>
      </c>
      <c r="C486" s="8" t="b">
        <f>IF('Items sous domaines Maths '!H510=2,'Items sous domaines Maths '!C510)</f>
        <v>0</v>
      </c>
      <c r="D486" s="8">
        <f>IF('Items sous domaines Maths '!H510=2,'Items sous domaines Maths '!D510,0)</f>
        <v>0</v>
      </c>
      <c r="E486" s="8">
        <f>IF('Items sous domaines Maths '!H510=2,'Items sous domaines Maths '!E510,0)</f>
        <v>0</v>
      </c>
      <c r="F486" s="9">
        <f>IF('Items sous domaines Maths '!H510=2,'Items sous domaines Maths '!F504,0)</f>
        <v>0</v>
      </c>
      <c r="G486">
        <f>IF('Items sous domaines Maths '!H510=2,'Items sous domaines Maths '!G510,0)</f>
        <v>0</v>
      </c>
      <c r="H486" s="3"/>
    </row>
    <row r="487" spans="2:8" customFormat="1" ht="13.2" hidden="1" x14ac:dyDescent="0.25">
      <c r="B487" s="8">
        <f>IF('Items sous domaines Maths '!H511=2,'Items sous domaines Maths '!B511,0)</f>
        <v>0</v>
      </c>
      <c r="C487" s="8" t="b">
        <f>IF('Items sous domaines Maths '!H511=2,'Items sous domaines Maths '!C511)</f>
        <v>0</v>
      </c>
      <c r="D487" s="8">
        <f>IF('Items sous domaines Maths '!H511=2,'Items sous domaines Maths '!D511,0)</f>
        <v>0</v>
      </c>
      <c r="E487" s="8">
        <f>IF('Items sous domaines Maths '!H511=2,'Items sous domaines Maths '!E511,0)</f>
        <v>0</v>
      </c>
      <c r="F487" s="9">
        <f>IF('Items sous domaines Maths '!H511=2,'Items sous domaines Maths '!F505,0)</f>
        <v>0</v>
      </c>
      <c r="G487">
        <f>IF('Items sous domaines Maths '!H511=2,'Items sous domaines Maths '!G511,0)</f>
        <v>0</v>
      </c>
      <c r="H487" s="3"/>
    </row>
    <row r="488" spans="2:8" customFormat="1" thickTop="1" x14ac:dyDescent="0.25">
      <c r="C488" s="1"/>
      <c r="D488" s="6"/>
      <c r="E488" s="6"/>
      <c r="F488" s="5"/>
      <c r="G488" s="4"/>
      <c r="H488" s="3"/>
    </row>
    <row r="489" spans="2:8" x14ac:dyDescent="0.25">
      <c r="H489" s="114"/>
    </row>
  </sheetData>
  <autoFilter ref="A3:Y488" xr:uid="{00000000-0009-0000-0000-000007000000}">
    <filterColumn colId="1">
      <filters blank="1">
        <filter val="Algèbre"/>
        <filter val="Analyse"/>
        <filter val="Probabilité et statistiques"/>
      </filters>
    </filterColumn>
  </autoFilter>
  <mergeCells count="44">
    <mergeCell ref="A366:A373"/>
    <mergeCell ref="A374:A379"/>
    <mergeCell ref="A252:A262"/>
    <mergeCell ref="A59:A68"/>
    <mergeCell ref="A85:A107"/>
    <mergeCell ref="A109:A123"/>
    <mergeCell ref="A125:A133"/>
    <mergeCell ref="A154:A185"/>
    <mergeCell ref="A187:A188"/>
    <mergeCell ref="A189:A206"/>
    <mergeCell ref="A230:A243"/>
    <mergeCell ref="A211:A225"/>
    <mergeCell ref="A279:A286"/>
    <mergeCell ref="A307:A317"/>
    <mergeCell ref="A287:A295"/>
    <mergeCell ref="A348:A357"/>
    <mergeCell ref="A1:G1"/>
    <mergeCell ref="A2:G2"/>
    <mergeCell ref="G53:G57"/>
    <mergeCell ref="G7:G10"/>
    <mergeCell ref="G26:G27"/>
    <mergeCell ref="A36:A57"/>
    <mergeCell ref="H2:I2"/>
    <mergeCell ref="H3:I4"/>
    <mergeCell ref="H7:H10"/>
    <mergeCell ref="A7:A10"/>
    <mergeCell ref="A26:A27"/>
    <mergeCell ref="G91:G107"/>
    <mergeCell ref="G211:G225"/>
    <mergeCell ref="G348:G379"/>
    <mergeCell ref="G287:G295"/>
    <mergeCell ref="G252:G262"/>
    <mergeCell ref="G230:G243"/>
    <mergeCell ref="G125:G133"/>
    <mergeCell ref="H53:H69"/>
    <mergeCell ref="I53:I69"/>
    <mergeCell ref="H348:H379"/>
    <mergeCell ref="H252:H262"/>
    <mergeCell ref="H230:H243"/>
    <mergeCell ref="H211:H225"/>
    <mergeCell ref="H125:H133"/>
    <mergeCell ref="H91:H107"/>
    <mergeCell ref="H290:H295"/>
    <mergeCell ref="H287:H289"/>
  </mergeCells>
  <hyperlinks>
    <hyperlink ref="H7" r:id="rId1" xr:uid="{00000000-0004-0000-0700-000000000000}"/>
    <hyperlink ref="H53" r:id="rId2" xr:uid="{00000000-0004-0000-0700-000001000000}"/>
    <hyperlink ref="I53" r:id="rId3" xr:uid="{00000000-0004-0000-0700-000002000000}"/>
    <hyperlink ref="H125" r:id="rId4" display="https://uel.unisciel.fr/mathematiques/geometrie_analytique/geometrie_analytique/co/geometrie_analytique.html" xr:uid="{00000000-0004-0000-0700-000003000000}"/>
    <hyperlink ref="H91" r:id="rId5" display="https://uel.unisciel.fr/physique/outils_nancy/outils_nancy_ch11/co/apprendre_ch11.html" xr:uid="{00000000-0004-0000-0700-000004000000}"/>
    <hyperlink ref="H211" r:id="rId6" display="http://pac.unisciel.fr/fonctions-de-variables/" xr:uid="{00000000-0004-0000-0700-000005000000}"/>
    <hyperlink ref="H230" r:id="rId7" display="https://uel.unisciel.fr/mathematiques/dev_limites/dev_limites/co/dev_limites.html" xr:uid="{00000000-0004-0000-0700-000006000000}"/>
    <hyperlink ref="H252" r:id="rId8" xr:uid="{00000000-0004-0000-0700-000007000000}"/>
    <hyperlink ref="H287" r:id="rId9" display="https://uel.unisciel.fr/mathematiques/eq_diff/eq_diff/co/eq_diff.html" xr:uid="{00000000-0004-0000-0700-000008000000}"/>
    <hyperlink ref="H290" r:id="rId10" display="https://uel.unisciel.fr/mathematiques/sys_diff/sys_diff/co/sys_diff.html" xr:uid="{00000000-0004-0000-0700-000009000000}"/>
    <hyperlink ref="H348" r:id="rId11" xr:uid="{00000000-0004-0000-0700-00000A000000}"/>
    <hyperlink ref="I7" r:id="rId12" xr:uid="{00000000-0004-0000-0700-00000B000000}"/>
    <hyperlink ref="I8" r:id="rId13" xr:uid="{00000000-0004-0000-0700-00000C000000}"/>
    <hyperlink ref="I9" r:id="rId14" xr:uid="{00000000-0004-0000-0700-00000D000000}"/>
    <hyperlink ref="I92" r:id="rId15" xr:uid="{00000000-0004-0000-0700-00000E000000}"/>
    <hyperlink ref="J53" r:id="rId16" xr:uid="{00000000-0004-0000-0700-00000F000000}"/>
    <hyperlink ref="J54" r:id="rId17" xr:uid="{00000000-0004-0000-0700-000010000000}"/>
    <hyperlink ref="J55" r:id="rId18" xr:uid="{00000000-0004-0000-0700-000011000000}"/>
    <hyperlink ref="I125" r:id="rId19" xr:uid="{00000000-0004-0000-0700-000012000000}"/>
    <hyperlink ref="I127" r:id="rId20" xr:uid="{00000000-0004-0000-0700-000013000000}"/>
    <hyperlink ref="I211" r:id="rId21" xr:uid="{00000000-0004-0000-0700-000014000000}"/>
    <hyperlink ref="I287" r:id="rId22" xr:uid="{00000000-0004-0000-0700-000015000000}"/>
    <hyperlink ref="I253" r:id="rId23" xr:uid="{00000000-0004-0000-0700-000016000000}"/>
    <hyperlink ref="I367" r:id="rId24" xr:uid="{00000000-0004-0000-0700-000017000000}"/>
    <hyperlink ref="I369" r:id="rId25" xr:uid="{00000000-0004-0000-0700-000018000000}"/>
    <hyperlink ref="I372" r:id="rId26" xr:uid="{00000000-0004-0000-0700-000019000000}"/>
    <hyperlink ref="I348" r:id="rId27" xr:uid="{00000000-0004-0000-0700-00001A000000}"/>
    <hyperlink ref="I351" r:id="rId28" xr:uid="{00000000-0004-0000-0700-00001B000000}"/>
    <hyperlink ref="I355" r:id="rId29" xr:uid="{00000000-0004-0000-0700-00001C000000}"/>
  </hyperlinks>
  <pageMargins left="0.7" right="0.7" top="0.75" bottom="0.75" header="0.3" footer="0.3"/>
  <pageSetup paperSize="9" orientation="portrait" r:id="rId3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5C88DA"/>
  </sheetPr>
  <dimension ref="A1:I484"/>
  <sheetViews>
    <sheetView zoomScale="70" zoomScaleNormal="70" workbookViewId="0">
      <selection activeCell="F390" sqref="F390:F391"/>
    </sheetView>
  </sheetViews>
  <sheetFormatPr baseColWidth="10" defaultColWidth="11.44140625" defaultRowHeight="18" x14ac:dyDescent="0.25"/>
  <cols>
    <col min="1" max="1" width="32.6640625" style="118" customWidth="1"/>
    <col min="2" max="2" width="25.6640625" style="61" customWidth="1"/>
    <col min="3" max="3" width="30.6640625" style="119" customWidth="1"/>
    <col min="4" max="4" width="60.6640625" style="120" customWidth="1"/>
    <col min="5" max="5" width="62.6640625" style="120" customWidth="1"/>
    <col min="6" max="6" width="93.5546875" style="121" customWidth="1"/>
    <col min="7" max="7" width="40.6640625" style="122" customWidth="1"/>
    <col min="8" max="8" width="60.6640625" style="61" customWidth="1"/>
    <col min="9" max="9" width="23.44140625" style="61" customWidth="1"/>
    <col min="10" max="16384" width="11.44140625" style="61"/>
  </cols>
  <sheetData>
    <row r="1" spans="1:9" ht="46.2" customHeight="1" thickTop="1" thickBot="1" x14ac:dyDescent="0.3">
      <c r="A1" s="656" t="s">
        <v>441</v>
      </c>
      <c r="B1" s="657"/>
      <c r="C1" s="657"/>
      <c r="D1" s="657"/>
      <c r="E1" s="657"/>
      <c r="F1" s="657"/>
      <c r="G1" s="657"/>
      <c r="H1" s="177"/>
      <c r="I1" s="178"/>
    </row>
    <row r="2" spans="1:9" ht="42" customHeight="1" thickBot="1" x14ac:dyDescent="0.3">
      <c r="A2" s="685" t="s">
        <v>514</v>
      </c>
      <c r="B2" s="686"/>
      <c r="C2" s="686"/>
      <c r="D2" s="686"/>
      <c r="E2" s="686"/>
      <c r="F2" s="686"/>
      <c r="G2" s="686"/>
      <c r="H2" s="492"/>
      <c r="I2" s="652"/>
    </row>
    <row r="3" spans="1:9" s="116" customFormat="1" ht="17.399999999999999" customHeight="1" thickBot="1" x14ac:dyDescent="0.3">
      <c r="A3" s="233" t="str">
        <f>'A1 CPI S1'!A3</f>
        <v>EE du DS</v>
      </c>
      <c r="B3" s="234" t="str">
        <f>'A1 CPI S1'!B3</f>
        <v>Domaine</v>
      </c>
      <c r="C3" s="234" t="str">
        <f>'A1 CPI S1'!C3</f>
        <v>Discipline</v>
      </c>
      <c r="D3" s="234" t="str">
        <f>'A1 CPI S1'!D3</f>
        <v>Chapitres</v>
      </c>
      <c r="E3" s="234" t="str">
        <f>'A1 CPI S1'!E3</f>
        <v>Thèmes</v>
      </c>
      <c r="F3" s="234" t="str">
        <f>'A1 CPI S1'!F3</f>
        <v>Détail des chapitres</v>
      </c>
      <c r="G3" s="234" t="str">
        <f>'A1 CPI S1'!G3</f>
        <v>Utilisation</v>
      </c>
      <c r="H3" s="671"/>
      <c r="I3" s="672"/>
    </row>
    <row r="4" spans="1:9" customFormat="1" ht="25.2" hidden="1" customHeight="1" thickTop="1" thickBot="1" x14ac:dyDescent="0.3">
      <c r="A4" s="687" t="s">
        <v>484</v>
      </c>
      <c r="B4">
        <f>IF(OR('Items sous domaines Maths '!H8=3,'Items sous domaines Maths '!J8=3 ),'Items sous domaines Maths '!B8,0)</f>
        <v>0</v>
      </c>
      <c r="C4" t="b">
        <f>IF(OR('Items sous domaines Maths '!H8=3,'Items sous domaines Maths '!J8=3 ),'Items sous domaines Maths '!C8)</f>
        <v>0</v>
      </c>
      <c r="D4">
        <f>IF(OR('Items sous domaines Maths '!H8=3,'Items sous domaines Maths '!J8=3 ),'Items sous domaines Maths '!D8,0)</f>
        <v>0</v>
      </c>
      <c r="E4">
        <f>IF(OR('Items sous domaines Maths '!H8=3,'Items sous domaines Maths '!J8=3 ),'Items sous domaines Maths '!E8,0)</f>
        <v>0</v>
      </c>
      <c r="F4" s="10">
        <f>IF(OR('Items sous domaines Maths '!H8=3,'Items sous domaines Maths '!J8=3 ),'Items sous domaines Maths '!F8,0)</f>
        <v>0</v>
      </c>
      <c r="G4">
        <f>IF('Items sous domaines Maths '!H8=1,'Items sous domaines Maths '!G8,0)</f>
        <v>0</v>
      </c>
    </row>
    <row r="5" spans="1:9" customFormat="1" ht="22.2" hidden="1" customHeight="1" thickBot="1" x14ac:dyDescent="0.3">
      <c r="A5" s="687"/>
      <c r="B5" s="8">
        <f>IF(OR('Items sous domaines Maths '!H9=3,'Items sous domaines Maths '!J9=3 ),'Items sous domaines Maths '!B9,0)</f>
        <v>0</v>
      </c>
      <c r="C5" s="8" t="b">
        <f>IF(OR('Items sous domaines Maths '!H9=3,'Items sous domaines Maths '!J9=3 ),'Items sous domaines Maths '!C9)</f>
        <v>0</v>
      </c>
      <c r="D5" s="8">
        <f>IF(OR('Items sous domaines Maths '!H9=3,'Items sous domaines Maths '!J9=3 ),'Items sous domaines Maths '!D9,0)</f>
        <v>0</v>
      </c>
      <c r="E5" s="8">
        <f>IF(OR('Items sous domaines Maths '!H9=3,'Items sous domaines Maths '!J9=3 ),'Items sous domaines Maths '!E9,0)</f>
        <v>0</v>
      </c>
      <c r="F5" s="9">
        <f>IF(OR('Items sous domaines Maths '!H9=3,'Items sous domaines Maths '!J9=3 ),'Items sous domaines Maths '!F9,0)</f>
        <v>0</v>
      </c>
      <c r="G5">
        <f>IF('Items sous domaines Maths '!H9=1,'Items sous domaines Maths '!G9,0)</f>
        <v>0</v>
      </c>
    </row>
    <row r="6" spans="1:9" customFormat="1" ht="17.399999999999999" hidden="1" customHeight="1" thickBot="1" x14ac:dyDescent="0.3">
      <c r="A6" s="687"/>
      <c r="B6" s="8">
        <f>IF(OR('Items sous domaines Maths '!H10=3,'Items sous domaines Maths '!J10=3 ),'Items sous domaines Maths '!B10,0)</f>
        <v>0</v>
      </c>
      <c r="C6" s="8" t="b">
        <f>IF(OR('Items sous domaines Maths '!H10=3,'Items sous domaines Maths '!J10=3 ),'Items sous domaines Maths '!C10)</f>
        <v>0</v>
      </c>
      <c r="D6" s="8">
        <f>IF(OR('Items sous domaines Maths '!H10=3,'Items sous domaines Maths '!J10=3 ),'Items sous domaines Maths '!D10,0)</f>
        <v>0</v>
      </c>
      <c r="E6" s="8">
        <f>IF(OR('Items sous domaines Maths '!H10=3,'Items sous domaines Maths '!J10=3 ),'Items sous domaines Maths '!E10,0)</f>
        <v>0</v>
      </c>
      <c r="F6" s="9">
        <f>IF(OR('Items sous domaines Maths '!H10=3,'Items sous domaines Maths '!J10=3 ),'Items sous domaines Maths '!F10,0)</f>
        <v>0</v>
      </c>
      <c r="G6">
        <f>IF('Items sous domaines Maths '!H10=1,'Items sous domaines Maths '!G10,0)</f>
        <v>0</v>
      </c>
    </row>
    <row r="7" spans="1:9" customFormat="1" ht="17.399999999999999" hidden="1" customHeight="1" thickBot="1" x14ac:dyDescent="0.3">
      <c r="A7" s="687"/>
      <c r="B7" s="8">
        <f>IF(OR('Items sous domaines Maths '!H11=3,'Items sous domaines Maths '!J11=3 ),'Items sous domaines Maths '!B11,0)</f>
        <v>0</v>
      </c>
      <c r="C7" s="8" t="b">
        <f>IF(OR('Items sous domaines Maths '!H11=3,'Items sous domaines Maths '!J11=3 ),'Items sous domaines Maths '!C11)</f>
        <v>0</v>
      </c>
      <c r="D7" s="8">
        <f>IF(OR('Items sous domaines Maths '!H11=3,'Items sous domaines Maths '!J11=3 ),'Items sous domaines Maths '!D11,0)</f>
        <v>0</v>
      </c>
      <c r="E7" s="8">
        <f>IF(OR('Items sous domaines Maths '!H11=3,'Items sous domaines Maths '!J11=3 ),'Items sous domaines Maths '!E11,0)</f>
        <v>0</v>
      </c>
      <c r="F7" s="9">
        <f>IF(OR('Items sous domaines Maths '!H11=3,'Items sous domaines Maths '!J11=3 ),'Items sous domaines Maths '!F11,0)</f>
        <v>0</v>
      </c>
      <c r="G7">
        <f>IF('Items sous domaines Maths '!H11=1,'Items sous domaines Maths '!G11,0)</f>
        <v>0</v>
      </c>
    </row>
    <row r="8" spans="1:9" customFormat="1" ht="30.6" hidden="1" customHeight="1" thickBot="1" x14ac:dyDescent="0.3">
      <c r="A8" s="687"/>
      <c r="B8" s="8">
        <f>IF(OR('Items sous domaines Maths '!H12=3,'Items sous domaines Maths '!J12=3 ),'Items sous domaines Maths '!B12,0)</f>
        <v>0</v>
      </c>
      <c r="C8" s="8" t="b">
        <f>IF(OR('Items sous domaines Maths '!H12=3,'Items sous domaines Maths '!J12=3 ),'Items sous domaines Maths '!C12)</f>
        <v>0</v>
      </c>
      <c r="D8" s="8">
        <f>IF(OR('Items sous domaines Maths '!H12=3,'Items sous domaines Maths '!J12=3 ),'Items sous domaines Maths '!D12,0)</f>
        <v>0</v>
      </c>
      <c r="E8" s="8">
        <f>IF(OR('Items sous domaines Maths '!H12=3,'Items sous domaines Maths '!J12=3 ),'Items sous domaines Maths '!E12,0)</f>
        <v>0</v>
      </c>
      <c r="F8" s="9">
        <f>IF(OR('Items sous domaines Maths '!H12=3,'Items sous domaines Maths '!J12=3 ),'Items sous domaines Maths '!F12,0)</f>
        <v>0</v>
      </c>
      <c r="G8">
        <f>IF('Items sous domaines Maths '!H12=1,'Items sous domaines Maths '!G12,0)</f>
        <v>0</v>
      </c>
    </row>
    <row r="9" spans="1:9" customFormat="1" ht="27" hidden="1" customHeight="1" thickBot="1" x14ac:dyDescent="0.3">
      <c r="A9" s="687"/>
      <c r="B9" s="8">
        <f>IF(OR('Items sous domaines Maths '!H13=3,'Items sous domaines Maths '!J13=3 ),'Items sous domaines Maths '!B13,0)</f>
        <v>0</v>
      </c>
      <c r="C9" s="8" t="b">
        <f>IF(OR('Items sous domaines Maths '!H13=3,'Items sous domaines Maths '!J13=3 ),'Items sous domaines Maths '!C13)</f>
        <v>0</v>
      </c>
      <c r="D9" s="8">
        <f>IF(OR('Items sous domaines Maths '!H13=3,'Items sous domaines Maths '!J13=3 ),'Items sous domaines Maths '!D13,0)</f>
        <v>0</v>
      </c>
      <c r="E9" s="8">
        <f>IF(OR('Items sous domaines Maths '!H13=3,'Items sous domaines Maths '!J13=3 ),'Items sous domaines Maths '!E13,0)</f>
        <v>0</v>
      </c>
      <c r="F9" s="9">
        <f>IF(OR('Items sous domaines Maths '!H13=3,'Items sous domaines Maths '!J13=3 ),'Items sous domaines Maths '!F13,0)</f>
        <v>0</v>
      </c>
      <c r="G9">
        <f>IF('Items sous domaines Maths '!H13=1,'Items sous domaines Maths '!G13,0)</f>
        <v>0</v>
      </c>
    </row>
    <row r="10" spans="1:9" customFormat="1" ht="17.399999999999999" hidden="1" customHeight="1" thickBot="1" x14ac:dyDescent="0.3">
      <c r="A10" s="687"/>
      <c r="B10" s="8">
        <f>IF(OR('Items sous domaines Maths '!H14=3,'Items sous domaines Maths '!J14=3 ),'Items sous domaines Maths '!B14,0)</f>
        <v>0</v>
      </c>
      <c r="C10" s="8" t="b">
        <f>IF(OR('Items sous domaines Maths '!H14=3,'Items sous domaines Maths '!J14=3 ),'Items sous domaines Maths '!C14)</f>
        <v>0</v>
      </c>
      <c r="D10" s="8">
        <f>IF(OR('Items sous domaines Maths '!H14=3,'Items sous domaines Maths '!J14=3 ),'Items sous domaines Maths '!D14,0)</f>
        <v>0</v>
      </c>
      <c r="E10" s="8">
        <f>IF(OR('Items sous domaines Maths '!H14=3,'Items sous domaines Maths '!J14=3 ),'Items sous domaines Maths '!E14,0)</f>
        <v>0</v>
      </c>
      <c r="F10" s="9">
        <f>IF(OR('Items sous domaines Maths '!H14=3,'Items sous domaines Maths '!J14=3 ),'Items sous domaines Maths '!F14,0)</f>
        <v>0</v>
      </c>
      <c r="G10">
        <f>IF('Items sous domaines Maths '!H14=1,'Items sous domaines Maths '!G14,0)</f>
        <v>0</v>
      </c>
    </row>
    <row r="11" spans="1:9" customFormat="1" ht="17.399999999999999" hidden="1" customHeight="1" thickBot="1" x14ac:dyDescent="0.3">
      <c r="A11" s="687"/>
      <c r="B11" s="8">
        <f>IF(OR('Items sous domaines Maths '!H15=3,'Items sous domaines Maths '!J15=3 ),'Items sous domaines Maths '!B15,0)</f>
        <v>0</v>
      </c>
      <c r="C11" s="8" t="b">
        <f>IF(OR('Items sous domaines Maths '!H15=3,'Items sous domaines Maths '!J15=3 ),'Items sous domaines Maths '!C15)</f>
        <v>0</v>
      </c>
      <c r="D11" s="8">
        <f>IF(OR('Items sous domaines Maths '!H15=3,'Items sous domaines Maths '!J15=3 ),'Items sous domaines Maths '!D15,0)</f>
        <v>0</v>
      </c>
      <c r="E11" s="8">
        <f>IF(OR('Items sous domaines Maths '!H15=3,'Items sous domaines Maths '!J15=3 ),'Items sous domaines Maths '!E15,0)</f>
        <v>0</v>
      </c>
      <c r="F11" s="9">
        <f>IF(OR('Items sous domaines Maths '!H15=3,'Items sous domaines Maths '!J15=3 ),'Items sous domaines Maths '!F15,0)</f>
        <v>0</v>
      </c>
      <c r="G11">
        <f>IF('Items sous domaines Maths '!H15=1,'Items sous domaines Maths '!G15,0)</f>
        <v>0</v>
      </c>
    </row>
    <row r="12" spans="1:9" customFormat="1" ht="17.399999999999999" hidden="1" customHeight="1" thickBot="1" x14ac:dyDescent="0.3">
      <c r="A12" s="687"/>
      <c r="B12" s="8">
        <f>IF(OR('Items sous domaines Maths '!H16=3,'Items sous domaines Maths '!J16=3 ),'Items sous domaines Maths '!B16,0)</f>
        <v>0</v>
      </c>
      <c r="C12" s="8" t="b">
        <f>IF(OR('Items sous domaines Maths '!H16=3,'Items sous domaines Maths '!J16=3 ),'Items sous domaines Maths '!C16)</f>
        <v>0</v>
      </c>
      <c r="D12" s="8">
        <f>IF(OR('Items sous domaines Maths '!H16=3,'Items sous domaines Maths '!J16=3 ),'Items sous domaines Maths '!D16,0)</f>
        <v>0</v>
      </c>
      <c r="E12" s="8">
        <f>IF(OR('Items sous domaines Maths '!H16=3,'Items sous domaines Maths '!J16=3 ),'Items sous domaines Maths '!E16,0)</f>
        <v>0</v>
      </c>
      <c r="F12" s="9">
        <f>IF(OR('Items sous domaines Maths '!H16=3,'Items sous domaines Maths '!J16=3 ),'Items sous domaines Maths '!F16,0)</f>
        <v>0</v>
      </c>
      <c r="G12">
        <f>IF('Items sous domaines Maths '!H16=1,'Items sous domaines Maths '!G16,0)</f>
        <v>0</v>
      </c>
    </row>
    <row r="13" spans="1:9" customFormat="1" ht="17.399999999999999" hidden="1" customHeight="1" thickBot="1" x14ac:dyDescent="0.3">
      <c r="A13" s="687"/>
      <c r="B13" s="8">
        <f>IF(OR('Items sous domaines Maths '!H17=3,'Items sous domaines Maths '!J17=3 ),'Items sous domaines Maths '!B17,0)</f>
        <v>0</v>
      </c>
      <c r="C13" s="8" t="b">
        <f>IF(OR('Items sous domaines Maths '!H17=3,'Items sous domaines Maths '!J17=3 ),'Items sous domaines Maths '!C17)</f>
        <v>0</v>
      </c>
      <c r="D13" s="8">
        <f>IF(OR('Items sous domaines Maths '!H17=3,'Items sous domaines Maths '!J17=3 ),'Items sous domaines Maths '!D17,0)</f>
        <v>0</v>
      </c>
      <c r="E13" s="8">
        <f>IF(OR('Items sous domaines Maths '!H17=3,'Items sous domaines Maths '!J17=3 ),'Items sous domaines Maths '!E17,0)</f>
        <v>0</v>
      </c>
      <c r="F13" s="9">
        <f>IF(OR('Items sous domaines Maths '!H17=3,'Items sous domaines Maths '!J17=3 ),'Items sous domaines Maths '!F17,0)</f>
        <v>0</v>
      </c>
      <c r="G13">
        <f>IF('Items sous domaines Maths '!H17=1,'Items sous domaines Maths '!G17,0)</f>
        <v>0</v>
      </c>
    </row>
    <row r="14" spans="1:9" customFormat="1" ht="17.399999999999999" hidden="1" customHeight="1" thickBot="1" x14ac:dyDescent="0.3">
      <c r="A14" s="687"/>
      <c r="B14" s="8">
        <f>IF(OR('Items sous domaines Maths '!H18=3,'Items sous domaines Maths '!J18=3 ),'Items sous domaines Maths '!B18,0)</f>
        <v>0</v>
      </c>
      <c r="C14" s="8" t="b">
        <f>IF(OR('Items sous domaines Maths '!H18=3,'Items sous domaines Maths '!J18=3 ),'Items sous domaines Maths '!C18)</f>
        <v>0</v>
      </c>
      <c r="D14" s="8">
        <f>IF(OR('Items sous domaines Maths '!H18=3,'Items sous domaines Maths '!J18=3 ),'Items sous domaines Maths '!D18,0)</f>
        <v>0</v>
      </c>
      <c r="E14" s="8">
        <f>IF(OR('Items sous domaines Maths '!H18=3,'Items sous domaines Maths '!J18=3 ),'Items sous domaines Maths '!E18,0)</f>
        <v>0</v>
      </c>
      <c r="F14" s="9">
        <f>IF(OR('Items sous domaines Maths '!H18=3,'Items sous domaines Maths '!J18=3 ),'Items sous domaines Maths '!F18,0)</f>
        <v>0</v>
      </c>
      <c r="G14">
        <f>IF('Items sous domaines Maths '!H18=1,'Items sous domaines Maths '!G18,0)</f>
        <v>0</v>
      </c>
    </row>
    <row r="15" spans="1:9" customFormat="1" ht="17.399999999999999" hidden="1" customHeight="1" thickBot="1" x14ac:dyDescent="0.3">
      <c r="A15" s="687"/>
      <c r="B15" s="8">
        <f>IF(OR('Items sous domaines Maths '!H19=3,'Items sous domaines Maths '!J19=3 ),'Items sous domaines Maths '!B19,0)</f>
        <v>0</v>
      </c>
      <c r="C15" s="8" t="b">
        <f>IF(OR('Items sous domaines Maths '!H19=3,'Items sous domaines Maths '!J19=3 ),'Items sous domaines Maths '!C19)</f>
        <v>0</v>
      </c>
      <c r="D15" s="8">
        <f>IF(OR('Items sous domaines Maths '!H19=3,'Items sous domaines Maths '!J19=3 ),'Items sous domaines Maths '!D19,0)</f>
        <v>0</v>
      </c>
      <c r="E15" s="8">
        <f>IF(OR('Items sous domaines Maths '!H19=3,'Items sous domaines Maths '!J19=3 ),'Items sous domaines Maths '!E19,0)</f>
        <v>0</v>
      </c>
      <c r="F15" s="9">
        <f>IF(OR('Items sous domaines Maths '!H19=3,'Items sous domaines Maths '!J19=3 ),'Items sous domaines Maths '!F19,0)</f>
        <v>0</v>
      </c>
      <c r="G15">
        <f>IF('Items sous domaines Maths '!H19=1,'Items sous domaines Maths '!G19,0)</f>
        <v>0</v>
      </c>
    </row>
    <row r="16" spans="1:9" customFormat="1" ht="17.399999999999999" hidden="1" customHeight="1" thickBot="1" x14ac:dyDescent="0.3">
      <c r="A16" s="687"/>
      <c r="B16" s="8">
        <f>IF(OR('Items sous domaines Maths '!H20=3,'Items sous domaines Maths '!J20=3 ),'Items sous domaines Maths '!B20,0)</f>
        <v>0</v>
      </c>
      <c r="C16" s="8" t="b">
        <f>IF(OR('Items sous domaines Maths '!H20=3,'Items sous domaines Maths '!J20=3 ),'Items sous domaines Maths '!C20)</f>
        <v>0</v>
      </c>
      <c r="D16" s="8">
        <f>IF(OR('Items sous domaines Maths '!H20=3,'Items sous domaines Maths '!J20=3 ),'Items sous domaines Maths '!D20,0)</f>
        <v>0</v>
      </c>
      <c r="E16" s="8">
        <f>IF(OR('Items sous domaines Maths '!H20=3,'Items sous domaines Maths '!J20=3 ),'Items sous domaines Maths '!E20,0)</f>
        <v>0</v>
      </c>
      <c r="F16" s="9">
        <f>IF(OR('Items sous domaines Maths '!H20=3,'Items sous domaines Maths '!J20=3 ),'Items sous domaines Maths '!F20,0)</f>
        <v>0</v>
      </c>
      <c r="G16">
        <f>IF('Items sous domaines Maths '!H20=1,'Items sous domaines Maths '!G20,0)</f>
        <v>0</v>
      </c>
    </row>
    <row r="17" spans="1:7" customFormat="1" ht="17.399999999999999" hidden="1" customHeight="1" thickBot="1" x14ac:dyDescent="0.3">
      <c r="A17" s="687"/>
      <c r="B17" s="8">
        <f>IF(OR('Items sous domaines Maths '!H21=3,'Items sous domaines Maths '!J21=3 ),'Items sous domaines Maths '!B21,0)</f>
        <v>0</v>
      </c>
      <c r="C17" s="8" t="b">
        <f>IF(OR('Items sous domaines Maths '!H21=3,'Items sous domaines Maths '!J21=3 ),'Items sous domaines Maths '!C21)</f>
        <v>0</v>
      </c>
      <c r="D17" s="8">
        <f>IF(OR('Items sous domaines Maths '!H21=3,'Items sous domaines Maths '!J21=3 ),'Items sous domaines Maths '!D21,0)</f>
        <v>0</v>
      </c>
      <c r="E17" s="8">
        <f>IF(OR('Items sous domaines Maths '!H21=3,'Items sous domaines Maths '!J21=3 ),'Items sous domaines Maths '!E21,0)</f>
        <v>0</v>
      </c>
      <c r="F17" s="9">
        <f>IF(OR('Items sous domaines Maths '!H21=3,'Items sous domaines Maths '!J21=3 ),'Items sous domaines Maths '!F21,0)</f>
        <v>0</v>
      </c>
      <c r="G17">
        <f>IF('Items sous domaines Maths '!H21=1,'Items sous domaines Maths '!G21,0)</f>
        <v>0</v>
      </c>
    </row>
    <row r="18" spans="1:7" customFormat="1" ht="17.399999999999999" hidden="1" customHeight="1" thickBot="1" x14ac:dyDescent="0.3">
      <c r="A18" s="687"/>
      <c r="B18" s="8">
        <f>IF(OR('Items sous domaines Maths '!H22=3,'Items sous domaines Maths '!J22=3 ),'Items sous domaines Maths '!B22,0)</f>
        <v>0</v>
      </c>
      <c r="C18" s="8" t="b">
        <f>IF(OR('Items sous domaines Maths '!H22=3,'Items sous domaines Maths '!J22=3 ),'Items sous domaines Maths '!C22)</f>
        <v>0</v>
      </c>
      <c r="D18" s="8">
        <f>IF(OR('Items sous domaines Maths '!H22=3,'Items sous domaines Maths '!J22=3 ),'Items sous domaines Maths '!D22,0)</f>
        <v>0</v>
      </c>
      <c r="E18" s="8">
        <f>IF(OR('Items sous domaines Maths '!H22=3,'Items sous domaines Maths '!J22=3 ),'Items sous domaines Maths '!E22,0)</f>
        <v>0</v>
      </c>
      <c r="F18" s="9">
        <f>IF(OR('Items sous domaines Maths '!H22=3,'Items sous domaines Maths '!J22=3 ),'Items sous domaines Maths '!F22,0)</f>
        <v>0</v>
      </c>
      <c r="G18">
        <f>IF('Items sous domaines Maths '!H22=1,'Items sous domaines Maths '!G22,0)</f>
        <v>0</v>
      </c>
    </row>
    <row r="19" spans="1:7" customFormat="1" ht="17.399999999999999" hidden="1" customHeight="1" thickBot="1" x14ac:dyDescent="0.3">
      <c r="A19" s="687"/>
      <c r="B19" s="8">
        <f>IF(OR('Items sous domaines Maths '!H23=3,'Items sous domaines Maths '!J23=3 ),'Items sous domaines Maths '!B23,0)</f>
        <v>0</v>
      </c>
      <c r="C19" s="8" t="b">
        <f>IF(OR('Items sous domaines Maths '!H23=3,'Items sous domaines Maths '!J23=3 ),'Items sous domaines Maths '!C23)</f>
        <v>0</v>
      </c>
      <c r="D19" s="8">
        <f>IF(OR('Items sous domaines Maths '!H23=3,'Items sous domaines Maths '!J23=3 ),'Items sous domaines Maths '!D23,0)</f>
        <v>0</v>
      </c>
      <c r="E19" s="8">
        <f>IF(OR('Items sous domaines Maths '!H23=3,'Items sous domaines Maths '!J23=3 ),'Items sous domaines Maths '!E23,0)</f>
        <v>0</v>
      </c>
      <c r="F19" s="9">
        <f>IF(OR('Items sous domaines Maths '!H23=3,'Items sous domaines Maths '!J23=3 ),'Items sous domaines Maths '!F23,0)</f>
        <v>0</v>
      </c>
      <c r="G19">
        <f>IF('Items sous domaines Maths '!H23=1,'Items sous domaines Maths '!G23,0)</f>
        <v>0</v>
      </c>
    </row>
    <row r="20" spans="1:7" customFormat="1" ht="17.399999999999999" hidden="1" customHeight="1" thickBot="1" x14ac:dyDescent="0.3">
      <c r="A20" s="687"/>
      <c r="B20" s="8">
        <f>IF(OR('Items sous domaines Maths '!H24=3,'Items sous domaines Maths '!J24=3 ),'Items sous domaines Maths '!B24,0)</f>
        <v>0</v>
      </c>
      <c r="C20" s="8" t="b">
        <f>IF(OR('Items sous domaines Maths '!H24=3,'Items sous domaines Maths '!J24=3 ),'Items sous domaines Maths '!C24)</f>
        <v>0</v>
      </c>
      <c r="D20" s="8">
        <f>IF(OR('Items sous domaines Maths '!H24=3,'Items sous domaines Maths '!J24=3 ),'Items sous domaines Maths '!D24,0)</f>
        <v>0</v>
      </c>
      <c r="E20" s="8">
        <f>IF(OR('Items sous domaines Maths '!H24=3,'Items sous domaines Maths '!J24=3 ),'Items sous domaines Maths '!E24,0)</f>
        <v>0</v>
      </c>
      <c r="F20" s="9">
        <f>IF(OR('Items sous domaines Maths '!H24=3,'Items sous domaines Maths '!J24=3 ),'Items sous domaines Maths '!F24,0)</f>
        <v>0</v>
      </c>
      <c r="G20">
        <f>IF('Items sous domaines Maths '!H24=1,'Items sous domaines Maths '!G24,0)</f>
        <v>0</v>
      </c>
    </row>
    <row r="21" spans="1:7" customFormat="1" ht="17.399999999999999" hidden="1" customHeight="1" thickBot="1" x14ac:dyDescent="0.3">
      <c r="A21" s="687"/>
      <c r="B21" s="8">
        <f>IF(OR('Items sous domaines Maths '!H25=3,'Items sous domaines Maths '!J25=3 ),'Items sous domaines Maths '!B25,0)</f>
        <v>0</v>
      </c>
      <c r="C21" s="8" t="b">
        <f>IF(OR('Items sous domaines Maths '!H25=3,'Items sous domaines Maths '!J25=3 ),'Items sous domaines Maths '!C25)</f>
        <v>0</v>
      </c>
      <c r="D21" s="8">
        <f>IF(OR('Items sous domaines Maths '!H25=3,'Items sous domaines Maths '!J25=3 ),'Items sous domaines Maths '!D25,0)</f>
        <v>0</v>
      </c>
      <c r="E21" s="8">
        <f>IF(OR('Items sous domaines Maths '!H25=3,'Items sous domaines Maths '!J25=3 ),'Items sous domaines Maths '!E25,0)</f>
        <v>0</v>
      </c>
      <c r="F21" s="9">
        <f>IF(OR('Items sous domaines Maths '!H25=3,'Items sous domaines Maths '!J25=3 ),'Items sous domaines Maths '!F25,0)</f>
        <v>0</v>
      </c>
      <c r="G21">
        <f>IF('Items sous domaines Maths '!H25=1,'Items sous domaines Maths '!G25,0)</f>
        <v>0</v>
      </c>
    </row>
    <row r="22" spans="1:7" customFormat="1" ht="17.399999999999999" hidden="1" customHeight="1" thickBot="1" x14ac:dyDescent="0.3">
      <c r="A22" s="687"/>
      <c r="B22" s="8">
        <f>IF(OR('Items sous domaines Maths '!H26=3,'Items sous domaines Maths '!J26=3 ),'Items sous domaines Maths '!B26,0)</f>
        <v>0</v>
      </c>
      <c r="C22" s="8" t="b">
        <f>IF(OR('Items sous domaines Maths '!H26=3,'Items sous domaines Maths '!J26=3 ),'Items sous domaines Maths '!C26)</f>
        <v>0</v>
      </c>
      <c r="D22" s="8">
        <f>IF(OR('Items sous domaines Maths '!H26=3,'Items sous domaines Maths '!J26=3 ),'Items sous domaines Maths '!D26,0)</f>
        <v>0</v>
      </c>
      <c r="E22" s="8">
        <f>IF(OR('Items sous domaines Maths '!H26=3,'Items sous domaines Maths '!J26=3 ),'Items sous domaines Maths '!E26,0)</f>
        <v>0</v>
      </c>
      <c r="F22" s="9">
        <f>IF(OR('Items sous domaines Maths '!H26=3,'Items sous domaines Maths '!J26=3 ),'Items sous domaines Maths '!F26,0)</f>
        <v>0</v>
      </c>
      <c r="G22">
        <f>IF('Items sous domaines Maths '!H26=1,'Items sous domaines Maths '!G26,0)</f>
        <v>0</v>
      </c>
    </row>
    <row r="23" spans="1:7" customFormat="1" ht="17.399999999999999" hidden="1" customHeight="1" thickBot="1" x14ac:dyDescent="0.3">
      <c r="A23" s="687"/>
      <c r="B23" s="8">
        <f>IF(OR('Items sous domaines Maths '!H27=3,'Items sous domaines Maths '!J27=3 ),'Items sous domaines Maths '!B27,0)</f>
        <v>0</v>
      </c>
      <c r="C23" s="8" t="b">
        <f>IF(OR('Items sous domaines Maths '!H27=3,'Items sous domaines Maths '!J27=3 ),'Items sous domaines Maths '!C27)</f>
        <v>0</v>
      </c>
      <c r="D23" s="8">
        <f>IF(OR('Items sous domaines Maths '!H27=3,'Items sous domaines Maths '!J27=3 ),'Items sous domaines Maths '!D27,0)</f>
        <v>0</v>
      </c>
      <c r="E23" s="8">
        <f>IF(OR('Items sous domaines Maths '!H27=3,'Items sous domaines Maths '!J27=3 ),'Items sous domaines Maths '!E27,0)</f>
        <v>0</v>
      </c>
      <c r="F23" s="9">
        <f>IF(OR('Items sous domaines Maths '!H27=3,'Items sous domaines Maths '!J27=3 ),'Items sous domaines Maths '!F27,0)</f>
        <v>0</v>
      </c>
      <c r="G23">
        <f>IF('Items sous domaines Maths '!H27=1,'Items sous domaines Maths '!G27,0)</f>
        <v>0</v>
      </c>
    </row>
    <row r="24" spans="1:7" customFormat="1" ht="17.399999999999999" hidden="1" customHeight="1" thickBot="1" x14ac:dyDescent="0.3">
      <c r="A24" s="687"/>
      <c r="B24" s="8">
        <f>IF(OR('Items sous domaines Maths '!H28=3,'Items sous domaines Maths '!J28=3 ),'Items sous domaines Maths '!B28,0)</f>
        <v>0</v>
      </c>
      <c r="C24" s="8" t="b">
        <f>IF(OR('Items sous domaines Maths '!H28=3,'Items sous domaines Maths '!J28=3 ),'Items sous domaines Maths '!C28)</f>
        <v>0</v>
      </c>
      <c r="D24" s="8">
        <f>IF(OR('Items sous domaines Maths '!H28=3,'Items sous domaines Maths '!J28=3 ),'Items sous domaines Maths '!D28,0)</f>
        <v>0</v>
      </c>
      <c r="E24" s="8">
        <f>IF(OR('Items sous domaines Maths '!H28=3,'Items sous domaines Maths '!J28=3 ),'Items sous domaines Maths '!E28,0)</f>
        <v>0</v>
      </c>
      <c r="F24" s="9">
        <f>IF(OR('Items sous domaines Maths '!H28=3,'Items sous domaines Maths '!J28=3 ),'Items sous domaines Maths '!F28,0)</f>
        <v>0</v>
      </c>
      <c r="G24">
        <f>IF('Items sous domaines Maths '!H28=1,'Items sous domaines Maths '!G28,0)</f>
        <v>0</v>
      </c>
    </row>
    <row r="25" spans="1:7" customFormat="1" ht="17.399999999999999" hidden="1" customHeight="1" thickBot="1" x14ac:dyDescent="0.3">
      <c r="A25" s="687"/>
      <c r="B25" s="8">
        <f>IF(OR('Items sous domaines Maths '!H29=3,'Items sous domaines Maths '!J29=3 ),'Items sous domaines Maths '!B29,0)</f>
        <v>0</v>
      </c>
      <c r="C25" s="8" t="b">
        <f>IF(OR('Items sous domaines Maths '!H29=3,'Items sous domaines Maths '!J29=3 ),'Items sous domaines Maths '!C29)</f>
        <v>0</v>
      </c>
      <c r="D25" s="8">
        <f>IF(OR('Items sous domaines Maths '!H29=3,'Items sous domaines Maths '!J29=3 ),'Items sous domaines Maths '!D29,0)</f>
        <v>0</v>
      </c>
      <c r="E25" s="8">
        <f>IF(OR('Items sous domaines Maths '!H29=3,'Items sous domaines Maths '!J29=3 ),'Items sous domaines Maths '!E29,0)</f>
        <v>0</v>
      </c>
      <c r="F25" s="9">
        <f>IF(OR('Items sous domaines Maths '!H29=3,'Items sous domaines Maths '!J29=3 ),'Items sous domaines Maths '!F29,0)</f>
        <v>0</v>
      </c>
      <c r="G25">
        <f>IF('Items sous domaines Maths '!H29=1,'Items sous domaines Maths '!G29,0)</f>
        <v>0</v>
      </c>
    </row>
    <row r="26" spans="1:7" customFormat="1" ht="22.2" hidden="1" customHeight="1" thickBot="1" x14ac:dyDescent="0.3">
      <c r="A26" s="687"/>
      <c r="B26" s="8">
        <f>IF(OR('Items sous domaines Maths '!H30=3,'Items sous domaines Maths '!J30=3 ),'Items sous domaines Maths '!B30,0)</f>
        <v>0</v>
      </c>
      <c r="C26" s="8" t="b">
        <f>IF(OR('Items sous domaines Maths '!H30=3,'Items sous domaines Maths '!J30=3 ),'Items sous domaines Maths '!C30)</f>
        <v>0</v>
      </c>
      <c r="D26" s="8">
        <f>IF(OR('Items sous domaines Maths '!H30=3,'Items sous domaines Maths '!J30=3 ),'Items sous domaines Maths '!D30,0)</f>
        <v>0</v>
      </c>
      <c r="E26" s="8">
        <f>IF(OR('Items sous domaines Maths '!H30=3,'Items sous domaines Maths '!J30=3 ),'Items sous domaines Maths '!E30,0)</f>
        <v>0</v>
      </c>
      <c r="F26" s="9">
        <f>IF(OR('Items sous domaines Maths '!H30=3,'Items sous domaines Maths '!J30=3 ),'Items sous domaines Maths '!F30,0)</f>
        <v>0</v>
      </c>
      <c r="G26">
        <f>IF('Items sous domaines Maths '!H30=1,'Items sous domaines Maths '!G30,0)</f>
        <v>0</v>
      </c>
    </row>
    <row r="27" spans="1:7" s="2" customFormat="1" ht="17.399999999999999" hidden="1" customHeight="1" thickBot="1" x14ac:dyDescent="0.3">
      <c r="A27" s="687"/>
      <c r="B27" s="8">
        <f>IF(OR('Items sous domaines Maths '!H31=3,'Items sous domaines Maths '!J31=3 ),'Items sous domaines Maths '!B31,0)</f>
        <v>0</v>
      </c>
      <c r="C27" s="8" t="b">
        <f>IF(OR('Items sous domaines Maths '!H31=3,'Items sous domaines Maths '!J31=3 ),'Items sous domaines Maths '!C31)</f>
        <v>0</v>
      </c>
      <c r="D27" s="8">
        <f>IF(OR('Items sous domaines Maths '!H31=3,'Items sous domaines Maths '!J31=3 ),'Items sous domaines Maths '!D31,0)</f>
        <v>0</v>
      </c>
      <c r="E27" s="8">
        <f>IF(OR('Items sous domaines Maths '!H31=3,'Items sous domaines Maths '!J31=3 ),'Items sous domaines Maths '!E31,0)</f>
        <v>0</v>
      </c>
      <c r="F27" s="9">
        <f>IF(OR('Items sous domaines Maths '!H31=3,'Items sous domaines Maths '!J31=3 ),'Items sous domaines Maths '!F31,0)</f>
        <v>0</v>
      </c>
      <c r="G27">
        <f>IF('Items sous domaines Maths '!H31=1,'Items sous domaines Maths '!G31,0)</f>
        <v>0</v>
      </c>
    </row>
    <row r="28" spans="1:7" s="2" customFormat="1" ht="17.399999999999999" hidden="1" customHeight="1" thickBot="1" x14ac:dyDescent="0.3">
      <c r="A28" s="687"/>
      <c r="B28" s="8">
        <f>IF(OR('Items sous domaines Maths '!H32=3,'Items sous domaines Maths '!J32=3 ),'Items sous domaines Maths '!B32,0)</f>
        <v>0</v>
      </c>
      <c r="C28" s="8" t="b">
        <f>IF(OR('Items sous domaines Maths '!H32=3,'Items sous domaines Maths '!J32=3 ),'Items sous domaines Maths '!C32)</f>
        <v>0</v>
      </c>
      <c r="D28" s="8">
        <f>IF(OR('Items sous domaines Maths '!H32=3,'Items sous domaines Maths '!J32=3 ),'Items sous domaines Maths '!D32,0)</f>
        <v>0</v>
      </c>
      <c r="E28" s="8">
        <f>IF(OR('Items sous domaines Maths '!H32=3,'Items sous domaines Maths '!J32=3 ),'Items sous domaines Maths '!E32,0)</f>
        <v>0</v>
      </c>
      <c r="F28" s="9">
        <f>IF(OR('Items sous domaines Maths '!H32=3,'Items sous domaines Maths '!J32=3 ),'Items sous domaines Maths '!F32,0)</f>
        <v>0</v>
      </c>
      <c r="G28">
        <f>IF('Items sous domaines Maths '!H32=1,'Items sous domaines Maths '!G32,0)</f>
        <v>0</v>
      </c>
    </row>
    <row r="29" spans="1:7" s="2" customFormat="1" ht="17.399999999999999" hidden="1" customHeight="1" thickBot="1" x14ac:dyDescent="0.3">
      <c r="A29" s="687"/>
      <c r="B29" s="8">
        <f>IF(OR('Items sous domaines Maths '!H33=3,'Items sous domaines Maths '!J33=3 ),'Items sous domaines Maths '!B33,0)</f>
        <v>0</v>
      </c>
      <c r="C29" s="8" t="b">
        <f>IF(OR('Items sous domaines Maths '!H33=3,'Items sous domaines Maths '!J33=3 ),'Items sous domaines Maths '!C33)</f>
        <v>0</v>
      </c>
      <c r="D29" s="8">
        <f>IF(OR('Items sous domaines Maths '!H33=3,'Items sous domaines Maths '!J33=3 ),'Items sous domaines Maths '!D33,0)</f>
        <v>0</v>
      </c>
      <c r="E29" s="8">
        <f>IF(OR('Items sous domaines Maths '!H33=3,'Items sous domaines Maths '!J33=3 ),'Items sous domaines Maths '!E33,0)</f>
        <v>0</v>
      </c>
      <c r="F29" s="9">
        <f>IF(OR('Items sous domaines Maths '!H33=3,'Items sous domaines Maths '!J33=3 ),'Items sous domaines Maths '!F33,0)</f>
        <v>0</v>
      </c>
      <c r="G29">
        <f>IF('Items sous domaines Maths '!H33=1,'Items sous domaines Maths '!G33,0)</f>
        <v>0</v>
      </c>
    </row>
    <row r="30" spans="1:7" s="2" customFormat="1" ht="17.399999999999999" hidden="1" customHeight="1" thickBot="1" x14ac:dyDescent="0.3">
      <c r="A30" s="687"/>
      <c r="B30" s="8">
        <f>IF(OR('Items sous domaines Maths '!H34=3,'Items sous domaines Maths '!J34=3 ),'Items sous domaines Maths '!B34,0)</f>
        <v>0</v>
      </c>
      <c r="C30" s="8" t="b">
        <f>IF(OR('Items sous domaines Maths '!H34=3,'Items sous domaines Maths '!J34=3 ),'Items sous domaines Maths '!C34)</f>
        <v>0</v>
      </c>
      <c r="D30" s="8">
        <f>IF(OR('Items sous domaines Maths '!H34=3,'Items sous domaines Maths '!J34=3 ),'Items sous domaines Maths '!D34,0)</f>
        <v>0</v>
      </c>
      <c r="E30" s="8">
        <f>IF(OR('Items sous domaines Maths '!H34=3,'Items sous domaines Maths '!J34=3 ),'Items sous domaines Maths '!E34,0)</f>
        <v>0</v>
      </c>
      <c r="F30" s="9">
        <f>IF(OR('Items sous domaines Maths '!H34=3,'Items sous domaines Maths '!J34=3 ),'Items sous domaines Maths '!F34,0)</f>
        <v>0</v>
      </c>
      <c r="G30">
        <f>IF('Items sous domaines Maths '!H34=1,'Items sous domaines Maths '!G34,0)</f>
        <v>0</v>
      </c>
    </row>
    <row r="31" spans="1:7" s="2" customFormat="1" ht="17.399999999999999" hidden="1" customHeight="1" thickBot="1" x14ac:dyDescent="0.3">
      <c r="A31" s="687"/>
      <c r="B31" s="8">
        <f>IF(OR('Items sous domaines Maths '!H35=3,'Items sous domaines Maths '!J35=3 ),'Items sous domaines Maths '!B35,0)</f>
        <v>0</v>
      </c>
      <c r="C31" s="8" t="b">
        <f>IF(OR('Items sous domaines Maths '!H35=3,'Items sous domaines Maths '!J35=3 ),'Items sous domaines Maths '!C35)</f>
        <v>0</v>
      </c>
      <c r="D31" s="8">
        <f>IF(OR('Items sous domaines Maths '!H35=3,'Items sous domaines Maths '!J35=3 ),'Items sous domaines Maths '!D35,0)</f>
        <v>0</v>
      </c>
      <c r="E31" s="8">
        <f>IF(OR('Items sous domaines Maths '!H35=3,'Items sous domaines Maths '!J35=3 ),'Items sous domaines Maths '!E35,0)</f>
        <v>0</v>
      </c>
      <c r="F31" s="9">
        <f>IF(OR('Items sous domaines Maths '!H35=3,'Items sous domaines Maths '!J35=3 ),'Items sous domaines Maths '!F35,0)</f>
        <v>0</v>
      </c>
      <c r="G31">
        <f>IF('Items sous domaines Maths '!H35=1,'Items sous domaines Maths '!G35,0)</f>
        <v>0</v>
      </c>
    </row>
    <row r="32" spans="1:7" s="2" customFormat="1" ht="17.399999999999999" hidden="1" customHeight="1" thickBot="1" x14ac:dyDescent="0.3">
      <c r="A32" s="687"/>
      <c r="B32" s="8">
        <f>IF(OR('Items sous domaines Maths '!H36=3,'Items sous domaines Maths '!J36=3 ),'Items sous domaines Maths '!B36,0)</f>
        <v>0</v>
      </c>
      <c r="C32" s="8" t="b">
        <f>IF(OR('Items sous domaines Maths '!H36=3,'Items sous domaines Maths '!J36=3 ),'Items sous domaines Maths '!C36)</f>
        <v>0</v>
      </c>
      <c r="D32" s="8">
        <f>IF(OR('Items sous domaines Maths '!H36=3,'Items sous domaines Maths '!J36=3 ),'Items sous domaines Maths '!D36,0)</f>
        <v>0</v>
      </c>
      <c r="E32" s="8">
        <f>IF(OR('Items sous domaines Maths '!H36=3,'Items sous domaines Maths '!J36=3 ),'Items sous domaines Maths '!E36,0)</f>
        <v>0</v>
      </c>
      <c r="F32" s="9">
        <f>IF(OR('Items sous domaines Maths '!H36=3,'Items sous domaines Maths '!J36=3 ),'Items sous domaines Maths '!F36,0)</f>
        <v>0</v>
      </c>
      <c r="G32">
        <f>IF('Items sous domaines Maths '!H36=1,'Items sous domaines Maths '!G36,0)</f>
        <v>0</v>
      </c>
    </row>
    <row r="33" spans="1:9" s="2" customFormat="1" ht="17.399999999999999" hidden="1" customHeight="1" thickBot="1" x14ac:dyDescent="0.3">
      <c r="A33" s="687"/>
      <c r="B33" s="8">
        <f>IF(OR('Items sous domaines Maths '!H37=3,'Items sous domaines Maths '!J37=3 ),'Items sous domaines Maths '!B37,0)</f>
        <v>0</v>
      </c>
      <c r="C33" s="8" t="b">
        <f>IF(OR('Items sous domaines Maths '!H37=3,'Items sous domaines Maths '!J37=3 ),'Items sous domaines Maths '!C37)</f>
        <v>0</v>
      </c>
      <c r="D33" s="8">
        <f>IF(OR('Items sous domaines Maths '!H37=3,'Items sous domaines Maths '!J37=3 ),'Items sous domaines Maths '!D37,0)</f>
        <v>0</v>
      </c>
      <c r="E33" s="8">
        <f>IF(OR('Items sous domaines Maths '!H37=3,'Items sous domaines Maths '!J37=3 ),'Items sous domaines Maths '!E37,0)</f>
        <v>0</v>
      </c>
      <c r="F33" s="9">
        <f>IF(OR('Items sous domaines Maths '!H37=3,'Items sous domaines Maths '!J37=3 ),'Items sous domaines Maths '!F37,0)</f>
        <v>0</v>
      </c>
      <c r="G33">
        <f>IF('Items sous domaines Maths '!H37=1,'Items sous domaines Maths '!G37,0)</f>
        <v>0</v>
      </c>
    </row>
    <row r="34" spans="1:9" customFormat="1" ht="17.399999999999999" hidden="1" customHeight="1" thickBot="1" x14ac:dyDescent="0.3">
      <c r="A34" s="687"/>
      <c r="B34" s="8">
        <f>IF(OR('Items sous domaines Maths '!H38=3,'Items sous domaines Maths '!J38=3 ),'Items sous domaines Maths '!B38,0)</f>
        <v>0</v>
      </c>
      <c r="C34" s="8" t="b">
        <f>IF(OR('Items sous domaines Maths '!H38=3,'Items sous domaines Maths '!J38=3 ),'Items sous domaines Maths '!C38)</f>
        <v>0</v>
      </c>
      <c r="D34" s="8">
        <f>IF(OR('Items sous domaines Maths '!H38=3,'Items sous domaines Maths '!J38=3 ),'Items sous domaines Maths '!D38,0)</f>
        <v>0</v>
      </c>
      <c r="E34" s="8">
        <f>IF(OR('Items sous domaines Maths '!H38=3,'Items sous domaines Maths '!J38=3 ),'Items sous domaines Maths '!E38,0)</f>
        <v>0</v>
      </c>
      <c r="F34" s="9">
        <f>IF(OR('Items sous domaines Maths '!H38=3,'Items sous domaines Maths '!J38=3 ),'Items sous domaines Maths '!F38,0)</f>
        <v>0</v>
      </c>
      <c r="G34">
        <f>IF('Items sous domaines Maths '!H38=1,'Items sous domaines Maths '!G38,0)</f>
        <v>0</v>
      </c>
    </row>
    <row r="35" spans="1:9" customFormat="1" ht="17.399999999999999" hidden="1" customHeight="1" thickBot="1" x14ac:dyDescent="0.3">
      <c r="A35" s="687"/>
      <c r="B35" s="8">
        <f>IF(OR('Items sous domaines Maths '!H39=3,'Items sous domaines Maths '!J39=3 ),'Items sous domaines Maths '!B39,0)</f>
        <v>0</v>
      </c>
      <c r="C35" s="8" t="b">
        <f>IF(OR('Items sous domaines Maths '!H39=3,'Items sous domaines Maths '!J39=3 ),'Items sous domaines Maths '!C39)</f>
        <v>0</v>
      </c>
      <c r="D35" s="8">
        <f>IF(OR('Items sous domaines Maths '!H39=3,'Items sous domaines Maths '!J39=3 ),'Items sous domaines Maths '!D39,0)</f>
        <v>0</v>
      </c>
      <c r="E35" s="8">
        <f>IF(OR('Items sous domaines Maths '!H39=3,'Items sous domaines Maths '!J39=3 ),'Items sous domaines Maths '!E39,0)</f>
        <v>0</v>
      </c>
      <c r="F35" s="9">
        <f>IF(OR('Items sous domaines Maths '!H39=3,'Items sous domaines Maths '!J39=3 ),'Items sous domaines Maths '!F39,0)</f>
        <v>0</v>
      </c>
      <c r="G35">
        <f>IF('Items sous domaines Maths '!H39=1,'Items sous domaines Maths '!G39,0)</f>
        <v>0</v>
      </c>
    </row>
    <row r="36" spans="1:9" ht="19.95" customHeight="1" thickTop="1" x14ac:dyDescent="0.25">
      <c r="A36" s="688"/>
      <c r="B36" s="181" t="str">
        <f>IF(OR('Items sous domaines Maths '!H40=3,'Items sous domaines Maths '!J40=3 ),'Items sous domaines Maths '!B40,0)</f>
        <v>Algèbre</v>
      </c>
      <c r="C36" s="182" t="str">
        <f>IF(OR('Items sous domaines Maths '!H40=3,'Items sous domaines Maths '!J40=3 ),'Items sous domaines Maths '!C40)</f>
        <v>Les nombres complexes</v>
      </c>
      <c r="D36" s="182" t="str">
        <f>IF(OR('Items sous domaines Maths '!H40=3,'Items sous domaines Maths '!J40=3 ),'Items sous domaines Maths '!D40,0)</f>
        <v>Définition et écriture algébrique des nombres complexes</v>
      </c>
      <c r="E36" s="182" t="str">
        <f>IF(OR('Items sous domaines Maths '!H40=3,'Items sous domaines Maths '!J40=3 ),'Items sous domaines Maths '!E40,0)</f>
        <v>Définition</v>
      </c>
      <c r="F36" s="183" t="str">
        <f>IF(OR('Items sous domaines Maths '!H40=3,'Items sous domaines Maths '!J40=3 ),'Items sous domaines Maths '!F40,0)</f>
        <v>Connaître l'écriture algébrique, la partie réelle et imaginaire d'un nombre complexe</v>
      </c>
      <c r="G36" s="642" t="s">
        <v>466</v>
      </c>
      <c r="H36" s="676" t="s">
        <v>467</v>
      </c>
      <c r="I36" s="235"/>
    </row>
    <row r="37" spans="1:9" ht="19.95" customHeight="1" x14ac:dyDescent="0.25">
      <c r="A37" s="689"/>
      <c r="B37" s="141" t="str">
        <f>IF(OR('Items sous domaines Maths '!H41=3,'Items sous domaines Maths '!J41=3 ),'Items sous domaines Maths '!B41,0)</f>
        <v>Algèbre</v>
      </c>
      <c r="C37" s="142" t="str">
        <f>IF(OR('Items sous domaines Maths '!H41=3,'Items sous domaines Maths '!J41=3 ),'Items sous domaines Maths '!C41)</f>
        <v>Les nombres complexes</v>
      </c>
      <c r="D37" s="142">
        <f>IF(OR('Items sous domaines Maths '!H41=3,'Items sous domaines Maths '!J41=3 ),'Items sous domaines Maths '!D41,0)</f>
        <v>0</v>
      </c>
      <c r="E37" s="142">
        <f>IF(OR('Items sous domaines Maths '!H41=3,'Items sous domaines Maths '!J41=3 ),'Items sous domaines Maths '!E41,0)</f>
        <v>0</v>
      </c>
      <c r="F37" s="143" t="str">
        <f>IF(OR('Items sous domaines Maths '!H41=3,'Items sous domaines Maths '!J41=3 ),'Items sous domaines Maths '!F41,0)</f>
        <v>Savoir faire des opérations sur les nombres complexes.</v>
      </c>
      <c r="G37" s="643"/>
      <c r="H37" s="602"/>
      <c r="I37" s="236"/>
    </row>
    <row r="38" spans="1:9" ht="19.95" customHeight="1" x14ac:dyDescent="0.25">
      <c r="A38" s="689"/>
      <c r="B38" s="144" t="str">
        <f>IF(OR('Items sous domaines Maths '!H42=3,'Items sous domaines Maths '!J42=3 ),'Items sous domaines Maths '!B42,0)</f>
        <v>Algèbre</v>
      </c>
      <c r="C38" s="145" t="str">
        <f>IF(OR('Items sous domaines Maths '!H42=3,'Items sous domaines Maths '!J42=3 ),'Items sous domaines Maths '!C42)</f>
        <v>Les nombres complexes</v>
      </c>
      <c r="D38" s="145">
        <f>IF(OR('Items sous domaines Maths '!H42=3,'Items sous domaines Maths '!J42=3 ),'Items sous domaines Maths '!D42,0)</f>
        <v>0</v>
      </c>
      <c r="E38" s="145">
        <f>IF(OR('Items sous domaines Maths '!H42=3,'Items sous domaines Maths '!J42=3 ),'Items sous domaines Maths '!E42,0)</f>
        <v>0</v>
      </c>
      <c r="F38" s="146" t="str">
        <f>IF(OR('Items sous domaines Maths '!H42=3,'Items sous domaines Maths '!J42=3 ),'Items sous domaines Maths '!F42,0)</f>
        <v>Connaître et savoir calculer le conjugué d'un nombre complexe. Connaître les propriétés du conjugué et son utilité dans l'écriture des fractions complexes sous forme algébrique.</v>
      </c>
      <c r="G38" s="643"/>
      <c r="H38" s="602"/>
      <c r="I38" s="236"/>
    </row>
    <row r="39" spans="1:9" ht="19.95" customHeight="1" x14ac:dyDescent="0.25">
      <c r="A39" s="689"/>
      <c r="B39" s="141" t="str">
        <f>IF(OR('Items sous domaines Maths '!H43=3,'Items sous domaines Maths '!J43=3 ),'Items sous domaines Maths '!B43,0)</f>
        <v>Algèbre</v>
      </c>
      <c r="C39" s="142" t="str">
        <f>IF(OR('Items sous domaines Maths '!H43=3,'Items sous domaines Maths '!J43=3 ),'Items sous domaines Maths '!C43)</f>
        <v>Les nombres complexes</v>
      </c>
      <c r="D39" s="142">
        <f>IF(OR('Items sous domaines Maths '!H43=3,'Items sous domaines Maths '!J43=3 ),'Items sous domaines Maths '!D43,0)</f>
        <v>0</v>
      </c>
      <c r="E39" s="142">
        <f>IF(OR('Items sous domaines Maths '!H43=3,'Items sous domaines Maths '!J43=3 ),'Items sous domaines Maths '!E43,0)</f>
        <v>0</v>
      </c>
      <c r="F39" s="143" t="str">
        <f>IF(OR('Items sous domaines Maths '!H43=3,'Items sous domaines Maths '!J43=3 ),'Items sous domaines Maths '!F43,0)</f>
        <v>Savoir associer un point du plan à un nombre complexe, affixe d’un point du plan, affixe d’un vecteur du plan (dentifier C au plan usuel muni d’un repère orthonormé direct)</v>
      </c>
      <c r="G39" s="643"/>
      <c r="H39" s="602"/>
      <c r="I39" s="236"/>
    </row>
    <row r="40" spans="1:9" ht="19.95" customHeight="1" x14ac:dyDescent="0.25">
      <c r="A40" s="689"/>
      <c r="B40" s="144" t="str">
        <f>IF(OR('Items sous domaines Maths '!H44=3,'Items sous domaines Maths '!J44=3 ),'Items sous domaines Maths '!B44,0)</f>
        <v>Algèbre</v>
      </c>
      <c r="C40" s="145" t="str">
        <f>IF(OR('Items sous domaines Maths '!H44=3,'Items sous domaines Maths '!J44=3 ),'Items sous domaines Maths '!C44)</f>
        <v>Les nombres complexes</v>
      </c>
      <c r="D40" s="145">
        <f>IF(OR('Items sous domaines Maths '!H44=3,'Items sous domaines Maths '!J44=3 ),'Items sous domaines Maths '!D44,0)</f>
        <v>0</v>
      </c>
      <c r="E40" s="145" t="str">
        <f>IF(OR('Items sous domaines Maths '!H44=3,'Items sous domaines Maths '!J44=3 ),'Items sous domaines Maths '!E44,0)</f>
        <v>Module d’un nombre complexe</v>
      </c>
      <c r="F40" s="146" t="str">
        <f>IF(OR('Items sous domaines Maths '!H44=3,'Items sous domaines Maths '!J44=3 ),'Items sous domaines Maths '!F44,0)</f>
        <v>Savoir calculer un module d'un nombre complexe.</v>
      </c>
      <c r="G40" s="643"/>
      <c r="H40" s="602"/>
      <c r="I40" s="236"/>
    </row>
    <row r="41" spans="1:9" ht="19.95" customHeight="1" x14ac:dyDescent="0.25">
      <c r="A41" s="689"/>
      <c r="B41" s="141" t="str">
        <f>IF(OR('Items sous domaines Maths '!H45=3,'Items sous domaines Maths '!J45=3 ),'Items sous domaines Maths '!B45,0)</f>
        <v>Algèbre</v>
      </c>
      <c r="C41" s="142" t="str">
        <f>IF(OR('Items sous domaines Maths '!H45=3,'Items sous domaines Maths '!J45=3 ),'Items sous domaines Maths '!C45)</f>
        <v>Les nombres complexes</v>
      </c>
      <c r="D41" s="142">
        <f>IF(OR('Items sous domaines Maths '!H45=3,'Items sous domaines Maths '!J45=3 ),'Items sous domaines Maths '!D45,0)</f>
        <v>0</v>
      </c>
      <c r="E41" s="142">
        <f>IF(OR('Items sous domaines Maths '!H45=3,'Items sous domaines Maths '!J45=3 ),'Items sous domaines Maths '!E45,0)</f>
        <v>0</v>
      </c>
      <c r="F41" s="143" t="str">
        <f>IF(OR('Items sous domaines Maths '!H45=3,'Items sous domaines Maths '!J45=3 ),'Items sous domaines Maths '!F45,0)</f>
        <v>Connaître l'interprétation géométrique d'un module et repérer les images des affixes de même module.</v>
      </c>
      <c r="G41" s="643"/>
      <c r="H41" s="602"/>
      <c r="I41" s="236"/>
    </row>
    <row r="42" spans="1:9" ht="19.95" customHeight="1" x14ac:dyDescent="0.25">
      <c r="A42" s="689"/>
      <c r="B42" s="144" t="str">
        <f>IF(OR('Items sous domaines Maths '!H46=3,'Items sous domaines Maths '!J46=3 ),'Items sous domaines Maths '!B46,0)</f>
        <v>Algèbre</v>
      </c>
      <c r="C42" s="145" t="str">
        <f>IF(OR('Items sous domaines Maths '!H46=3,'Items sous domaines Maths '!J46=3 ),'Items sous domaines Maths '!C46)</f>
        <v>Les nombres complexes</v>
      </c>
      <c r="D42" s="145">
        <f>IF(OR('Items sous domaines Maths '!H46=3,'Items sous domaines Maths '!J46=3 ),'Items sous domaines Maths '!D46,0)</f>
        <v>0</v>
      </c>
      <c r="E42" s="145">
        <f>IF(OR('Items sous domaines Maths '!H46=3,'Items sous domaines Maths '!J46=3 ),'Items sous domaines Maths '!E46,0)</f>
        <v>0</v>
      </c>
      <c r="F42" s="146" t="str">
        <f>IF(OR('Items sous domaines Maths '!H46=3,'Items sous domaines Maths '!J46=3 ),'Items sous domaines Maths '!F46,0)</f>
        <v xml:space="preserve">Savoir calculer le module d’un produit, d’un quotient. </v>
      </c>
      <c r="G42" s="643"/>
      <c r="H42" s="602"/>
      <c r="I42" s="236"/>
    </row>
    <row r="43" spans="1:9" ht="19.95" customHeight="1" x14ac:dyDescent="0.25">
      <c r="A43" s="689"/>
      <c r="B43" s="141" t="str">
        <f>IF(OR('Items sous domaines Maths '!H47=3,'Items sous domaines Maths '!J47=3 ),'Items sous domaines Maths '!B47,0)</f>
        <v>Algèbre</v>
      </c>
      <c r="C43" s="142" t="str">
        <f>IF(OR('Items sous domaines Maths '!H47=3,'Items sous domaines Maths '!J47=3 ),'Items sous domaines Maths '!C47)</f>
        <v>Les nombres complexes</v>
      </c>
      <c r="D43" s="142">
        <f>IF(OR('Items sous domaines Maths '!H47=3,'Items sous domaines Maths '!J47=3 ),'Items sous domaines Maths '!D47,0)</f>
        <v>0</v>
      </c>
      <c r="E43" s="142">
        <f>IF(OR('Items sous domaines Maths '!H47=3,'Items sous domaines Maths '!J47=3 ),'Items sous domaines Maths '!E47,0)</f>
        <v>0</v>
      </c>
      <c r="F43" s="143" t="str">
        <f>IF(OR('Items sous domaines Maths '!H47=3,'Items sous domaines Maths '!J47=3 ),'Items sous domaines Maths '!F47,0)</f>
        <v>Savoir résoudre des équations du type |z-zA|=|z-zB| et |z-zA|=R &gt; 0</v>
      </c>
      <c r="G43" s="643"/>
      <c r="H43" s="602"/>
      <c r="I43" s="236"/>
    </row>
    <row r="44" spans="1:9" ht="19.95" customHeight="1" x14ac:dyDescent="0.25">
      <c r="A44" s="689"/>
      <c r="B44" s="144" t="str">
        <f>IF(OR('Items sous domaines Maths '!H48=3,'Items sous domaines Maths '!J48=3 ),'Items sous domaines Maths '!B48,0)</f>
        <v>Algèbre</v>
      </c>
      <c r="C44" s="145" t="str">
        <f>IF(OR('Items sous domaines Maths '!H48=3,'Items sous domaines Maths '!J48=3 ),'Items sous domaines Maths '!C48)</f>
        <v>Les nombres complexes</v>
      </c>
      <c r="D44" s="145" t="str">
        <f>IF(OR('Items sous domaines Maths '!H48=3,'Items sous domaines Maths '!J48=3 ),'Items sous domaines Maths '!D48,0)</f>
        <v xml:space="preserve"> Forme trigonométrique et exponentielle d'un nombre complexe</v>
      </c>
      <c r="E44" s="145" t="str">
        <f>IF(OR('Items sous domaines Maths '!H48=3,'Items sous domaines Maths '!J48=3 ),'Items sous domaines Maths '!E48,0)</f>
        <v>Argument d'un nombre complexe et forme trigonometrique</v>
      </c>
      <c r="F44" s="146" t="str">
        <f>IF(OR('Items sous domaines Maths '!H48=3,'Items sous domaines Maths '!J48=3 ),'Items sous domaines Maths '!F48,0)</f>
        <v>Connaître le cercle trigonométrique. Savoir repérer un point du cercle avec les fonctions circulaires sinus et cosinus. Connaître les formules des angles associés, cos(a±b), sin(a±b), cos(2a), sin(2a),</v>
      </c>
      <c r="G44" s="643"/>
      <c r="H44" s="602"/>
      <c r="I44" s="236"/>
    </row>
    <row r="45" spans="1:9" ht="19.95" customHeight="1" x14ac:dyDescent="0.25">
      <c r="A45" s="689"/>
      <c r="B45" s="141" t="str">
        <f>IF(OR('Items sous domaines Maths '!H49=3,'Items sous domaines Maths '!J49=3 ),'Items sous domaines Maths '!B49,0)</f>
        <v>Algèbre</v>
      </c>
      <c r="C45" s="142" t="str">
        <f>IF(OR('Items sous domaines Maths '!H49=3,'Items sous domaines Maths '!J49=3 ),'Items sous domaines Maths '!C49)</f>
        <v>Les nombres complexes</v>
      </c>
      <c r="D45" s="142">
        <f>IF(OR('Items sous domaines Maths '!H49=3,'Items sous domaines Maths '!J49=3 ),'Items sous domaines Maths '!D49,0)</f>
        <v>0</v>
      </c>
      <c r="E45" s="142">
        <f>IF(OR('Items sous domaines Maths '!H49=3,'Items sous domaines Maths '!J49=3 ),'Items sous domaines Maths '!E49,0)</f>
        <v>0</v>
      </c>
      <c r="F45" s="143" t="str">
        <f>IF(OR('Items sous domaines Maths '!H49=3,'Items sous domaines Maths '!J49=3 ),'Items sous domaines Maths '!F49,0)</f>
        <v xml:space="preserve">Savoir calculer l'argument d'un nombre complexe à partir de sa forme algébrique et connaître l'interprétation géométrique de l'argument. </v>
      </c>
      <c r="G45" s="643"/>
      <c r="H45" s="602"/>
      <c r="I45" s="236"/>
    </row>
    <row r="46" spans="1:9" ht="19.95" customHeight="1" x14ac:dyDescent="0.25">
      <c r="A46" s="689"/>
      <c r="B46" s="144" t="str">
        <f>IF(OR('Items sous domaines Maths '!H50=3,'Items sous domaines Maths '!J50=3 ),'Items sous domaines Maths '!B50,0)</f>
        <v>Algèbre</v>
      </c>
      <c r="C46" s="145" t="str">
        <f>IF(OR('Items sous domaines Maths '!H50=3,'Items sous domaines Maths '!J50=3 ),'Items sous domaines Maths '!C50)</f>
        <v>Les nombres complexes</v>
      </c>
      <c r="D46" s="145">
        <f>IF(OR('Items sous domaines Maths '!H50=3,'Items sous domaines Maths '!J50=3 ),'Items sous domaines Maths '!D50,0)</f>
        <v>0</v>
      </c>
      <c r="E46" s="145">
        <f>IF(OR('Items sous domaines Maths '!H50=3,'Items sous domaines Maths '!J50=3 ),'Items sous domaines Maths '!E50,0)</f>
        <v>0</v>
      </c>
      <c r="F46" s="146" t="str">
        <f>IF(OR('Items sous domaines Maths '!H50=3,'Items sous domaines Maths '!J50=3 ),'Items sous domaines Maths '!F50,0)</f>
        <v xml:space="preserve">Savoir calculer l'argument d’un produit, d’un quotient. </v>
      </c>
      <c r="G46" s="643"/>
      <c r="H46" s="602"/>
      <c r="I46" s="236"/>
    </row>
    <row r="47" spans="1:9" ht="19.95" customHeight="1" x14ac:dyDescent="0.25">
      <c r="A47" s="689"/>
      <c r="B47" s="141" t="str">
        <f>IF(OR('Items sous domaines Maths '!H51=3,'Items sous domaines Maths '!J51=3 ),'Items sous domaines Maths '!B51,0)</f>
        <v>Algèbre</v>
      </c>
      <c r="C47" s="142" t="str">
        <f>IF(OR('Items sous domaines Maths '!H51=3,'Items sous domaines Maths '!J51=3 ),'Items sous domaines Maths '!C51)</f>
        <v>Les nombres complexes</v>
      </c>
      <c r="D47" s="142">
        <f>IF(OR('Items sous domaines Maths '!H51=3,'Items sous domaines Maths '!J51=3 ),'Items sous domaines Maths '!D51,0)</f>
        <v>0</v>
      </c>
      <c r="E47" s="142">
        <f>IF(OR('Items sous domaines Maths '!H51=3,'Items sous domaines Maths '!J51=3 ),'Items sous domaines Maths '!E51,0)</f>
        <v>0</v>
      </c>
      <c r="F47" s="143" t="str">
        <f>IF(OR('Items sous domaines Maths '!H51=3,'Items sous domaines Maths '!J51=3 ),'Items sous domaines Maths '!F51,0)</f>
        <v>Savoir passer de la forme algébrique à la forme trigonométrique d'un nombre complexe.</v>
      </c>
      <c r="G47" s="643"/>
      <c r="H47" s="602"/>
      <c r="I47" s="236"/>
    </row>
    <row r="48" spans="1:9" ht="19.95" customHeight="1" x14ac:dyDescent="0.25">
      <c r="A48" s="689"/>
      <c r="B48" s="144" t="str">
        <f>IF(OR('Items sous domaines Maths '!H52=3,'Items sous domaines Maths '!J52=3 ),'Items sous domaines Maths '!B52,0)</f>
        <v>Algèbre</v>
      </c>
      <c r="C48" s="145" t="str">
        <f>IF(OR('Items sous domaines Maths '!H52=3,'Items sous domaines Maths '!J52=3 ),'Items sous domaines Maths '!C52)</f>
        <v>Les nombres complexes</v>
      </c>
      <c r="D48" s="145">
        <f>IF(OR('Items sous domaines Maths '!H52=3,'Items sous domaines Maths '!J52=3 ),'Items sous domaines Maths '!D52,0)</f>
        <v>0</v>
      </c>
      <c r="E48" s="145" t="str">
        <f>IF(OR('Items sous domaines Maths '!H52=3,'Items sous domaines Maths '!J52=3 ),'Items sous domaines Maths '!E52,0)</f>
        <v>Complexes de module 1 et forme exponentielle d'un nombre complexe</v>
      </c>
      <c r="F48" s="146" t="str">
        <f>IF(OR('Items sous domaines Maths '!H52=3,'Items sous domaines Maths '!J52=3 ),'Items sous domaines Maths '!F52,0)</f>
        <v>Définition de exp(it) pour t réel.</v>
      </c>
      <c r="G48" s="643"/>
      <c r="H48" s="602"/>
      <c r="I48" s="236"/>
    </row>
    <row r="49" spans="1:9" ht="19.95" customHeight="1" x14ac:dyDescent="0.25">
      <c r="A49" s="689"/>
      <c r="B49" s="141" t="str">
        <f>IF(OR('Items sous domaines Maths '!H53=3,'Items sous domaines Maths '!J53=3 ),'Items sous domaines Maths '!B53,0)</f>
        <v>Algèbre</v>
      </c>
      <c r="C49" s="142" t="str">
        <f>IF(OR('Items sous domaines Maths '!H53=3,'Items sous domaines Maths '!J53=3 ),'Items sous domaines Maths '!C53)</f>
        <v>Les nombres complexes</v>
      </c>
      <c r="D49" s="142">
        <f>IF(OR('Items sous domaines Maths '!H53=3,'Items sous domaines Maths '!J53=3 ),'Items sous domaines Maths '!D53,0)</f>
        <v>0</v>
      </c>
      <c r="E49" s="142">
        <f>IF(OR('Items sous domaines Maths '!H53=3,'Items sous domaines Maths '!J53=3 ),'Items sous domaines Maths '!E53,0)</f>
        <v>0</v>
      </c>
      <c r="F49" s="143" t="str">
        <f>IF(OR('Items sous domaines Maths '!H53=3,'Items sous domaines Maths '!J53=3 ),'Items sous domaines Maths '!F53,0)</f>
        <v>Savoir réaliser des opérations avec les nombres complexes.</v>
      </c>
      <c r="G49" s="643"/>
      <c r="H49" s="602"/>
      <c r="I49" s="236"/>
    </row>
    <row r="50" spans="1:9" s="123" customFormat="1" ht="19.95" customHeight="1" x14ac:dyDescent="0.25">
      <c r="A50" s="689"/>
      <c r="B50" s="144" t="str">
        <f>IF(OR('Items sous domaines Maths '!H54=3,'Items sous domaines Maths '!J54=3 ),'Items sous domaines Maths '!B54,0)</f>
        <v>Algèbre</v>
      </c>
      <c r="C50" s="145" t="str">
        <f>IF(OR('Items sous domaines Maths '!H54=3,'Items sous domaines Maths '!J54=3 ),'Items sous domaines Maths '!C54)</f>
        <v>Les nombres complexes</v>
      </c>
      <c r="D50" s="145">
        <f>IF(OR('Items sous domaines Maths '!H54=3,'Items sous domaines Maths '!J54=3 ),'Items sous domaines Maths '!D54,0)</f>
        <v>0</v>
      </c>
      <c r="E50" s="145">
        <f>IF(OR('Items sous domaines Maths '!H54=3,'Items sous domaines Maths '!J54=3 ),'Items sous domaines Maths '!E54,0)</f>
        <v>0</v>
      </c>
      <c r="F50" s="146" t="str">
        <f>IF(OR('Items sous domaines Maths '!H54=3,'Items sous domaines Maths '!J54=3 ),'Items sous domaines Maths '!F54,0)</f>
        <v>Connaître l'écriture exponentielle d'un nombre complexe sous la forme r.exp(it).</v>
      </c>
      <c r="G50" s="643"/>
      <c r="H50" s="602"/>
      <c r="I50" s="236"/>
    </row>
    <row r="51" spans="1:9" ht="19.95" customHeight="1" x14ac:dyDescent="0.25">
      <c r="A51" s="689"/>
      <c r="B51" s="141" t="str">
        <f>IF(OR('Items sous domaines Maths '!H55=3,'Items sous domaines Maths '!J55=3 ),'Items sous domaines Maths '!B55,0)</f>
        <v>Algèbre</v>
      </c>
      <c r="C51" s="142" t="str">
        <f>IF(OR('Items sous domaines Maths '!H55=3,'Items sous domaines Maths '!J55=3 ),'Items sous domaines Maths '!C55)</f>
        <v>Les nombres complexes</v>
      </c>
      <c r="D51" s="142">
        <f>IF(OR('Items sous domaines Maths '!H55=3,'Items sous domaines Maths '!J55=3 ),'Items sous domaines Maths '!D55,0)</f>
        <v>0</v>
      </c>
      <c r="E51" s="142">
        <f>IF(OR('Items sous domaines Maths '!H55=3,'Items sous domaines Maths '!J55=3 ),'Items sous domaines Maths '!E55,0)</f>
        <v>0</v>
      </c>
      <c r="F51" s="143" t="str">
        <f>IF(OR('Items sous domaines Maths '!H55=3,'Items sous domaines Maths '!J55=3 ),'Items sous domaines Maths '!F55,0)</f>
        <v>Connaître les formules de Moivre et d'Euler. Savoir factoriser 1±exp(it)</v>
      </c>
      <c r="G51" s="643"/>
      <c r="H51" s="602"/>
      <c r="I51" s="236"/>
    </row>
    <row r="52" spans="1:9" ht="19.95" customHeight="1" x14ac:dyDescent="0.25">
      <c r="A52" s="689"/>
      <c r="B52" s="144" t="str">
        <f>IF(OR('Items sous domaines Maths '!H56=3,'Items sous domaines Maths '!J56=3 ),'Items sous domaines Maths '!B56,0)</f>
        <v>Algèbre</v>
      </c>
      <c r="C52" s="145" t="str">
        <f>IF(OR('Items sous domaines Maths '!H56=3,'Items sous domaines Maths '!J56=3 ),'Items sous domaines Maths '!C56)</f>
        <v>Les nombres complexes</v>
      </c>
      <c r="D52" s="145" t="str">
        <f>IF(OR('Items sous domaines Maths '!H56=3,'Items sous domaines Maths '!J56=3 ),'Items sous domaines Maths '!D56,0)</f>
        <v>Solutions complexes d'équations polynomiales</v>
      </c>
      <c r="E52" s="145" t="str">
        <f>IF(OR('Items sous domaines Maths '!H56=3,'Items sous domaines Maths '!J56=3 ),'Items sous domaines Maths '!E56,0)</f>
        <v>Equations du second degré</v>
      </c>
      <c r="F52" s="146" t="str">
        <f>IF(OR('Items sous domaines Maths '!H56=3,'Items sous domaines Maths '!J56=3 ),'Items sous domaines Maths '!F56,0)</f>
        <v>Connaître la méthode permettant de calculer les racines carrées d’un nombre complexe.</v>
      </c>
      <c r="G52" s="643"/>
      <c r="H52" s="602"/>
      <c r="I52" s="236"/>
    </row>
    <row r="53" spans="1:9" ht="19.95" customHeight="1" x14ac:dyDescent="0.25">
      <c r="A53" s="689"/>
      <c r="B53" s="141" t="str">
        <f>IF(OR('Items sous domaines Maths '!H57=3,'Items sous domaines Maths '!J57=3 ),'Items sous domaines Maths '!B57,0)</f>
        <v>Algèbre</v>
      </c>
      <c r="C53" s="142" t="str">
        <f>IF(OR('Items sous domaines Maths '!H57=3,'Items sous domaines Maths '!J57=3 ),'Items sous domaines Maths '!C57)</f>
        <v>Les nombres complexes</v>
      </c>
      <c r="D53" s="142">
        <f>IF(OR('Items sous domaines Maths '!H57=3,'Items sous domaines Maths '!J57=3 ),'Items sous domaines Maths '!D57,0)</f>
        <v>0</v>
      </c>
      <c r="E53" s="142">
        <f>IF(OR('Items sous domaines Maths '!H57=3,'Items sous domaines Maths '!J57=3 ),'Items sous domaines Maths '!E57,0)</f>
        <v>0</v>
      </c>
      <c r="F53" s="143" t="str">
        <f>IF(OR('Items sous domaines Maths '!H57=3,'Items sous domaines Maths '!J57=3 ),'Items sous domaines Maths '!F57,0)</f>
        <v>Savoir résudre les équations du second degré à coefficients complexes (discriminant complexe)</v>
      </c>
      <c r="G53" s="643"/>
      <c r="H53" s="602"/>
      <c r="I53" s="236"/>
    </row>
    <row r="54" spans="1:9" ht="19.95" customHeight="1" x14ac:dyDescent="0.25">
      <c r="A54" s="689"/>
      <c r="B54" s="144" t="str">
        <f>IF(OR('Items sous domaines Maths '!H58=3,'Items sous domaines Maths '!J58=3 ),'Items sous domaines Maths '!B58,0)</f>
        <v>Algèbre</v>
      </c>
      <c r="C54" s="145" t="str">
        <f>IF(OR('Items sous domaines Maths '!H58=3,'Items sous domaines Maths '!J58=3 ),'Items sous domaines Maths '!C58)</f>
        <v>Les nombres complexes</v>
      </c>
      <c r="D54" s="145">
        <f>IF(OR('Items sous domaines Maths '!H58=3,'Items sous domaines Maths '!J58=3 ),'Items sous domaines Maths '!D58,0)</f>
        <v>0</v>
      </c>
      <c r="E54" s="145" t="str">
        <f>IF(OR('Items sous domaines Maths '!H58=3,'Items sous domaines Maths '!J58=3 ),'Items sous domaines Maths '!E58,0)</f>
        <v>Racines n-ièmes</v>
      </c>
      <c r="F54" s="146" t="str">
        <f>IF(OR('Items sous domaines Maths '!H58=3,'Items sous domaines Maths '!J58=3 ),'Items sous domaines Maths '!F58,0)</f>
        <v>Connaître la description des racines n-ièmes de l’unité et la représentation géometrique des solutions.</v>
      </c>
      <c r="G54" s="643"/>
      <c r="H54" s="602"/>
      <c r="I54" s="236"/>
    </row>
    <row r="55" spans="1:9" ht="19.95" customHeight="1" x14ac:dyDescent="0.25">
      <c r="A55" s="689"/>
      <c r="B55" s="141" t="str">
        <f>IF(OR('Items sous domaines Maths '!H59=3,'Items sous domaines Maths '!J59=3 ),'Items sous domaines Maths '!B59,0)</f>
        <v>Algèbre</v>
      </c>
      <c r="C55" s="142" t="str">
        <f>IF(OR('Items sous domaines Maths '!H59=3,'Items sous domaines Maths '!J59=3 ),'Items sous domaines Maths '!C59)</f>
        <v>Les nombres complexes</v>
      </c>
      <c r="D55" s="142">
        <f>IF(OR('Items sous domaines Maths '!H59=3,'Items sous domaines Maths '!J59=3 ),'Items sous domaines Maths '!D59,0)</f>
        <v>0</v>
      </c>
      <c r="E55" s="142">
        <f>IF(OR('Items sous domaines Maths '!H59=3,'Items sous domaines Maths '!J59=3 ),'Items sous domaines Maths '!E59,0)</f>
        <v>0</v>
      </c>
      <c r="F55" s="143" t="str">
        <f>IF(OR('Items sous domaines Maths '!H59=3,'Items sous domaines Maths '!J59=3 ),'Items sous domaines Maths '!F59,0)</f>
        <v>Savoir résoudre les équations du type quation z ^n = a avec a complexe.</v>
      </c>
      <c r="G55" s="643"/>
      <c r="H55" s="602"/>
      <c r="I55" s="236"/>
    </row>
    <row r="56" spans="1:9" ht="19.95" customHeight="1" x14ac:dyDescent="0.25">
      <c r="A56" s="689"/>
      <c r="B56" s="144" t="str">
        <f>IF(OR('Items sous domaines Maths '!H60=3,'Items sous domaines Maths '!J60=3 ),'Items sous domaines Maths '!B60,0)</f>
        <v>Algèbre</v>
      </c>
      <c r="C56" s="145" t="str">
        <f>IF(OR('Items sous domaines Maths '!H60=3,'Items sous domaines Maths '!J60=3 ),'Items sous domaines Maths '!C60)</f>
        <v>Les nombres complexes</v>
      </c>
      <c r="D56" s="145" t="str">
        <f>IF(OR('Items sous domaines Maths '!H60=3,'Items sous domaines Maths '!J60=3 ),'Items sous domaines Maths '!D60,0)</f>
        <v>Nombre complexes et géometrie plane</v>
      </c>
      <c r="E56" s="145" t="str">
        <f>IF(OR('Items sous domaines Maths '!H60=3,'Items sous domaines Maths '!J60=3 ),'Items sous domaines Maths '!E60,0)</f>
        <v>Traduction de l'aligenment et de l'orthogonlité. Transformations z→ ̅z et interpretation géometrique.</v>
      </c>
      <c r="F56" s="146" t="str">
        <f>IF(OR('Items sous domaines Maths '!H60=3,'Items sous domaines Maths '!J60=3 ),'Items sous domaines Maths '!F60,0)</f>
        <v>Savoir traduite l'alignement et l'orthogonalité à l'aide de l'argument</v>
      </c>
      <c r="G56" s="643"/>
      <c r="H56" s="602"/>
      <c r="I56" s="236"/>
    </row>
    <row r="57" spans="1:9" ht="19.95" customHeight="1" thickBot="1" x14ac:dyDescent="0.3">
      <c r="A57" s="690"/>
      <c r="B57" s="186" t="str">
        <f>IF(OR('Items sous domaines Maths '!H61=3,'Items sous domaines Maths '!J61=3 ),'Items sous domaines Maths '!B61,0)</f>
        <v>Algèbre</v>
      </c>
      <c r="C57" s="187" t="str">
        <f>IF(OR('Items sous domaines Maths '!H61=3,'Items sous domaines Maths '!J61=3 ),'Items sous domaines Maths '!C61)</f>
        <v>Les nombres complexes</v>
      </c>
      <c r="D57" s="187">
        <f>IF(OR('Items sous domaines Maths '!H61=3,'Items sous domaines Maths '!J61=3 ),'Items sous domaines Maths '!D61,0)</f>
        <v>0</v>
      </c>
      <c r="E57" s="187" t="str">
        <f>IF(OR('Items sous domaines Maths '!H61=3,'Items sous domaines Maths '!J61=3 ),'Items sous domaines Maths '!E61,0)</f>
        <v xml:space="preserve"> Transformations classiques du plan : translation, rotation homothetie, similitude.</v>
      </c>
      <c r="F57" s="188" t="str">
        <f>IF(OR('Items sous domaines Maths '!H61=3,'Items sous domaines Maths '!J61=3 ),'Items sous domaines Maths '!F61,0)</f>
        <v>Savoir résoudre les équations du type quation z ^n = a avec a complexe.</v>
      </c>
      <c r="G57" s="644"/>
      <c r="H57" s="677"/>
      <c r="I57" s="237"/>
    </row>
    <row r="58" spans="1:9" customFormat="1" ht="30" hidden="1" customHeight="1" thickTop="1" thickBot="1" x14ac:dyDescent="0.3">
      <c r="A58" s="687"/>
      <c r="B58">
        <f>IF(OR('Items sous domaines Maths '!H62=3,'Items sous domaines Maths '!J62=3 ),'Items sous domaines Maths '!B62,0)</f>
        <v>0</v>
      </c>
      <c r="C58" t="b">
        <f>IF(OR('Items sous domaines Maths '!H62=3,'Items sous domaines Maths '!J62=3 ),'Items sous domaines Maths '!C62)</f>
        <v>0</v>
      </c>
      <c r="D58">
        <f>IF(OR('Items sous domaines Maths '!H62=3,'Items sous domaines Maths '!J62=3 ),'Items sous domaines Maths '!D62,0)</f>
        <v>0</v>
      </c>
      <c r="E58">
        <f>IF(OR('Items sous domaines Maths '!H62=3,'Items sous domaines Maths '!J62=3 ),'Items sous domaines Maths '!E62,0)</f>
        <v>0</v>
      </c>
      <c r="F58" s="10">
        <f>IF(OR('Items sous domaines Maths '!H62=3,'Items sous domaines Maths '!J62=3 ),'Items sous domaines Maths '!F62,0)</f>
        <v>0</v>
      </c>
      <c r="G58" s="647"/>
      <c r="H58" s="597"/>
    </row>
    <row r="59" spans="1:9" ht="19.95" customHeight="1" thickTop="1" x14ac:dyDescent="0.25">
      <c r="A59" s="688"/>
      <c r="B59" s="181" t="str">
        <f>IF(OR('Items sous domaines Maths '!H63=3,'Items sous domaines Maths '!J63=3 ),'Items sous domaines Maths '!B63,0)</f>
        <v>Algèbre</v>
      </c>
      <c r="C59" s="182" t="str">
        <f>IF(OR('Items sous domaines Maths '!H63=3,'Items sous domaines Maths '!J63=3 ),'Items sous domaines Maths '!C63)</f>
        <v>Les polynômes</v>
      </c>
      <c r="D59" s="182" t="str">
        <f>IF(OR('Items sous domaines Maths '!H63=3,'Items sous domaines Maths '!J63=3 ),'Items sous domaines Maths '!D63,0)</f>
        <v>Présentation de l'ensemble IK[X]</v>
      </c>
      <c r="E59" s="182" t="str">
        <f>IF(OR('Items sous domaines Maths '!H63=3,'Items sous domaines Maths '!J63=3 ),'Items sous domaines Maths '!E63,0)</f>
        <v>Degré</v>
      </c>
      <c r="F59" s="183" t="str">
        <f>IF(OR('Items sous domaines Maths '!H63=3,'Items sous domaines Maths '!J63=3 ),'Items sous domaines Maths '!F63,0)</f>
        <v>Savoir repérer le coefficient dominant, terme de plus haurt degré, polynôme nul, polynôme unitaire.</v>
      </c>
      <c r="G59" s="642"/>
      <c r="H59" s="676"/>
      <c r="I59" s="235"/>
    </row>
    <row r="60" spans="1:9" ht="19.95" customHeight="1" x14ac:dyDescent="0.25">
      <c r="A60" s="689"/>
      <c r="B60" s="141" t="str">
        <f>IF(OR('Items sous domaines Maths '!H64=3,'Items sous domaines Maths '!J64=3 ),'Items sous domaines Maths '!B64,0)</f>
        <v>Algèbre</v>
      </c>
      <c r="C60" s="142" t="str">
        <f>IF(OR('Items sous domaines Maths '!H64=3,'Items sous domaines Maths '!J64=3 ),'Items sous domaines Maths '!C64)</f>
        <v>Les polynômes</v>
      </c>
      <c r="D60" s="142">
        <f>IF(OR('Items sous domaines Maths '!H64=3,'Items sous domaines Maths '!J64=3 ),'Items sous domaines Maths '!D64,0)</f>
        <v>0</v>
      </c>
      <c r="E60" s="142">
        <f>IF(OR('Items sous domaines Maths '!H64=3,'Items sous domaines Maths '!J64=3 ),'Items sous domaines Maths '!E64,0)</f>
        <v>0</v>
      </c>
      <c r="F60" s="143" t="str">
        <f>IF(OR('Items sous domaines Maths '!H64=3,'Items sous domaines Maths '!J64=3 ),'Items sous domaines Maths '!F64,0)</f>
        <v>Savoir trouver le degré d'une somme, d'un produit, d'une composée.</v>
      </c>
      <c r="G60" s="643"/>
      <c r="H60" s="602"/>
      <c r="I60" s="236"/>
    </row>
    <row r="61" spans="1:9" ht="19.95" customHeight="1" x14ac:dyDescent="0.25">
      <c r="A61" s="689"/>
      <c r="B61" s="144" t="str">
        <f>IF(OR('Items sous domaines Maths '!H65=3,'Items sous domaines Maths '!J65=3 ),'Items sous domaines Maths '!B65,0)</f>
        <v>Algèbre</v>
      </c>
      <c r="C61" s="145" t="str">
        <f>IF(OR('Items sous domaines Maths '!H65=3,'Items sous domaines Maths '!J65=3 ),'Items sous domaines Maths '!C65)</f>
        <v>Les polynômes</v>
      </c>
      <c r="D61" s="145">
        <f>IF(OR('Items sous domaines Maths '!H65=3,'Items sous domaines Maths '!J65=3 ),'Items sous domaines Maths '!D65,0)</f>
        <v>0</v>
      </c>
      <c r="E61" s="145" t="str">
        <f>IF(OR('Items sous domaines Maths '!H65=3,'Items sous domaines Maths '!J65=3 ),'Items sous domaines Maths '!E65,0)</f>
        <v>Opérations</v>
      </c>
      <c r="F61" s="146" t="str">
        <f>IF(OR('Items sous domaines Maths '!H65=3,'Items sous domaines Maths '!J65=3 ),'Items sous domaines Maths '!F65,0)</f>
        <v>Savoir effectuer la somme, produit, composée de deux polynômes.</v>
      </c>
      <c r="G61" s="643"/>
      <c r="H61" s="602"/>
      <c r="I61" s="236"/>
    </row>
    <row r="62" spans="1:9" ht="19.95" customHeight="1" x14ac:dyDescent="0.25">
      <c r="A62" s="689"/>
      <c r="B62" s="141" t="str">
        <f>IF(OR('Items sous domaines Maths '!H66=3,'Items sous domaines Maths '!J66=3 ),'Items sous domaines Maths '!B66,0)</f>
        <v>Algèbre</v>
      </c>
      <c r="C62" s="142" t="str">
        <f>IF(OR('Items sous domaines Maths '!H66=3,'Items sous domaines Maths '!J66=3 ),'Items sous domaines Maths '!C66)</f>
        <v>Les polynômes</v>
      </c>
      <c r="D62" s="142">
        <f>IF(OR('Items sous domaines Maths '!H66=3,'Items sous domaines Maths '!J66=3 ),'Items sous domaines Maths '!D66,0)</f>
        <v>0</v>
      </c>
      <c r="E62" s="142" t="str">
        <f>IF(OR('Items sous domaines Maths '!H66=3,'Items sous domaines Maths '!J66=3 ),'Items sous domaines Maths '!E66,0)</f>
        <v>Divisibilité et division euclidienne dans IK[X]</v>
      </c>
      <c r="F62" s="143" t="str">
        <f>IF(OR('Items sous domaines Maths '!H66=3,'Items sous domaines Maths '!J66=3 ),'Items sous domaines Maths '!F66,0)</f>
        <v>Savoir effectuer une division posée suivant les puissances décroissantes, polynômes premiers entre eux.</v>
      </c>
      <c r="G62" s="643"/>
      <c r="H62" s="602"/>
      <c r="I62" s="236"/>
    </row>
    <row r="63" spans="1:9" ht="19.95" customHeight="1" x14ac:dyDescent="0.25">
      <c r="A63" s="689"/>
      <c r="B63" s="144" t="str">
        <f>IF(OR('Items sous domaines Maths '!H67=3,'Items sous domaines Maths '!J67=3 ),'Items sous domaines Maths '!B67,0)</f>
        <v>Algèbre</v>
      </c>
      <c r="C63" s="145" t="str">
        <f>IF(OR('Items sous domaines Maths '!H67=3,'Items sous domaines Maths '!J67=3 ),'Items sous domaines Maths '!C67)</f>
        <v>Les polynômes</v>
      </c>
      <c r="D63" s="145" t="str">
        <f>IF(OR('Items sous domaines Maths '!H67=3,'Items sous domaines Maths '!J67=3 ),'Items sous domaines Maths '!D67,0)</f>
        <v>Dérivation des polynomes</v>
      </c>
      <c r="E63" s="145" t="str">
        <f>IF(OR('Items sous domaines Maths '!H67=3,'Items sous domaines Maths '!J67=3 ),'Items sous domaines Maths '!E67,0)</f>
        <v>Polynôme dérivé et degré</v>
      </c>
      <c r="F63" s="146" t="str">
        <f>IF(OR('Items sous domaines Maths '!H67=3,'Items sous domaines Maths '!J67=3 ),'Items sous domaines Maths '!F67,0)</f>
        <v>Connaître l'écriture du polynôme dérivé d'ordre 1 et d'ordres supérieurs. Connaître la formule de la dérivée du monôme de degré n pour tout n.</v>
      </c>
      <c r="G63" s="643"/>
      <c r="H63" s="602"/>
      <c r="I63" s="236"/>
    </row>
    <row r="64" spans="1:9" ht="19.95" customHeight="1" x14ac:dyDescent="0.25">
      <c r="A64" s="689"/>
      <c r="B64" s="141" t="str">
        <f>IF(OR('Items sous domaines Maths '!H68=3,'Items sous domaines Maths '!J68=3 ),'Items sous domaines Maths '!B68,0)</f>
        <v>Algèbre</v>
      </c>
      <c r="C64" s="142" t="str">
        <f>IF(OR('Items sous domaines Maths '!H68=3,'Items sous domaines Maths '!J68=3 ),'Items sous domaines Maths '!C68)</f>
        <v>Les polynômes</v>
      </c>
      <c r="D64" s="142">
        <f>IF(OR('Items sous domaines Maths '!H68=3,'Items sous domaines Maths '!J68=3 ),'Items sous domaines Maths '!D68,0)</f>
        <v>0</v>
      </c>
      <c r="E64" s="142">
        <f>IF(OR('Items sous domaines Maths '!H68=3,'Items sous domaines Maths '!J68=3 ),'Items sous domaines Maths '!E68,0)</f>
        <v>0</v>
      </c>
      <c r="F64" s="143" t="str">
        <f>IF(OR('Items sous domaines Maths '!H68=3,'Items sous domaines Maths '!J68=3 ),'Items sous domaines Maths '!F68,0)</f>
        <v>Connaître la formule de Leibniz : savoir l'appliquer à la dérivation d'un produit de polynômes.</v>
      </c>
      <c r="G64" s="643"/>
      <c r="H64" s="602"/>
      <c r="I64" s="236"/>
    </row>
    <row r="65" spans="1:9" ht="19.95" customHeight="1" x14ac:dyDescent="0.25">
      <c r="A65" s="689"/>
      <c r="B65" s="144" t="str">
        <f>IF(OR('Items sous domaines Maths '!H69=3,'Items sous domaines Maths '!J69=3 ),'Items sous domaines Maths '!B69,0)</f>
        <v>Algèbre</v>
      </c>
      <c r="C65" s="145" t="str">
        <f>IF(OR('Items sous domaines Maths '!H69=3,'Items sous domaines Maths '!J69=3 ),'Items sous domaines Maths '!C69)</f>
        <v>Les polynômes</v>
      </c>
      <c r="D65" s="145">
        <f>IF(OR('Items sous domaines Maths '!H69=3,'Items sous domaines Maths '!J69=3 ),'Items sous domaines Maths '!D69,0)</f>
        <v>0</v>
      </c>
      <c r="E65" s="145" t="str">
        <f>IF(OR('Items sous domaines Maths '!H69=3,'Items sous domaines Maths '!J69=3 ),'Items sous domaines Maths '!E69,0)</f>
        <v>Formules de Taylor</v>
      </c>
      <c r="F65" s="146" t="str">
        <f>IF(OR('Items sous domaines Maths '!H69=3,'Items sous domaines Maths '!J69=3 ),'Items sous domaines Maths '!F69,0)</f>
        <v>Savoir établir la formules de Taylor d'un polynôme, à un ordre n, en 0 et en a réel donné.</v>
      </c>
      <c r="G65" s="643"/>
      <c r="H65" s="602"/>
      <c r="I65" s="236"/>
    </row>
    <row r="66" spans="1:9" ht="19.95" customHeight="1" x14ac:dyDescent="0.25">
      <c r="A66" s="689"/>
      <c r="B66" s="141" t="str">
        <f>IF(OR('Items sous domaines Maths '!H70=3,'Items sous domaines Maths '!J70=3 ),'Items sous domaines Maths '!B70,0)</f>
        <v>Algèbre</v>
      </c>
      <c r="C66" s="142" t="str">
        <f>IF(OR('Items sous domaines Maths '!H70=3,'Items sous domaines Maths '!J70=3 ),'Items sous domaines Maths '!C70)</f>
        <v>Les polynômes</v>
      </c>
      <c r="D66" s="142" t="str">
        <f>IF(OR('Items sous domaines Maths '!H70=3,'Items sous domaines Maths '!J70=3 ),'Items sous domaines Maths '!D70,0)</f>
        <v>Décomposition en facteurs irreductibles</v>
      </c>
      <c r="E66" s="142" t="str">
        <f>IF(OR('Items sous domaines Maths '!H70=3,'Items sous domaines Maths '!J70=3 ),'Items sous domaines Maths '!E70,0)</f>
        <v xml:space="preserve">Racines (ou zéros) d’un polynôme. </v>
      </c>
      <c r="F66" s="143" t="str">
        <f>IF(OR('Items sous domaines Maths '!H70=3,'Items sous domaines Maths '!J70=3 ),'Items sous domaines Maths '!F70,0)</f>
        <v>Connaître les techniques de détermination des racines d'un polynôme et les factorisations qui en découlent (polynômes d'ordre 2, 3 et plus).</v>
      </c>
      <c r="G66" s="643"/>
      <c r="H66" s="602"/>
      <c r="I66" s="236"/>
    </row>
    <row r="67" spans="1:9" ht="19.95" customHeight="1" x14ac:dyDescent="0.25">
      <c r="A67" s="689"/>
      <c r="B67" s="144" t="str">
        <f>IF(OR('Items sous domaines Maths '!H71=3,'Items sous domaines Maths '!J71=3 ),'Items sous domaines Maths '!B71,0)</f>
        <v>Algèbre</v>
      </c>
      <c r="C67" s="145" t="str">
        <f>IF(OR('Items sous domaines Maths '!H71=3,'Items sous domaines Maths '!J71=3 ),'Items sous domaines Maths '!C71)</f>
        <v>Les polynômes</v>
      </c>
      <c r="D67" s="145">
        <f>IF(OR('Items sous domaines Maths '!H71=3,'Items sous domaines Maths '!J71=3 ),'Items sous domaines Maths '!D71,0)</f>
        <v>0</v>
      </c>
      <c r="E67" s="145" t="str">
        <f>IF(OR('Items sous domaines Maths '!H71=3,'Items sous domaines Maths '!J71=3 ),'Items sous domaines Maths '!E71,0)</f>
        <v xml:space="preserve">Multiplicité d’une racine. </v>
      </c>
      <c r="F67" s="146" t="str">
        <f>IF(OR('Items sous domaines Maths '!H71=3,'Items sous domaines Maths '!J71=3 ),'Items sous domaines Maths '!F71,0)</f>
        <v>Savoir caractériser l'ordre de multiplicité d'une racine par l'annulation des dérivées successives.</v>
      </c>
      <c r="G67" s="643"/>
      <c r="H67" s="602"/>
      <c r="I67" s="236"/>
    </row>
    <row r="68" spans="1:9" ht="19.95" customHeight="1" x14ac:dyDescent="0.25">
      <c r="A68" s="689"/>
      <c r="B68" s="141" t="str">
        <f>IF(OR('Items sous domaines Maths '!H72=3,'Items sous domaines Maths '!J72=3 ),'Items sous domaines Maths '!B72,0)</f>
        <v>Algèbre</v>
      </c>
      <c r="C68" s="142" t="str">
        <f>IF(OR('Items sous domaines Maths '!H72=3,'Items sous domaines Maths '!J72=3 ),'Items sous domaines Maths '!C72)</f>
        <v>Les polynômes</v>
      </c>
      <c r="D68" s="142">
        <f>IF(OR('Items sous domaines Maths '!H72=3,'Items sous domaines Maths '!J72=3 ),'Items sous domaines Maths '!D72,0)</f>
        <v>0</v>
      </c>
      <c r="E68" s="142">
        <f>IF(OR('Items sous domaines Maths '!H72=3,'Items sous domaines Maths '!J72=3 ),'Items sous domaines Maths '!E72,0)</f>
        <v>0</v>
      </c>
      <c r="F68" s="143" t="str">
        <f>IF(OR('Items sous domaines Maths '!H72=3,'Items sous domaines Maths '!J72=3 ),'Items sous domaines Maths '!F72,0)</f>
        <v xml:space="preserve">Savoir que le nombre de racines d’un polynôme P non nul est majoré par le degré de P. </v>
      </c>
      <c r="G68" s="643"/>
      <c r="H68" s="602"/>
      <c r="I68" s="236"/>
    </row>
    <row r="69" spans="1:9" ht="19.95" customHeight="1" x14ac:dyDescent="0.25">
      <c r="A69" s="689"/>
      <c r="B69" s="144" t="str">
        <f>IF(OR('Items sous domaines Maths '!H73=3,'Items sous domaines Maths '!J73=3 ),'Items sous domaines Maths '!B73,0)</f>
        <v>Algèbre</v>
      </c>
      <c r="C69" s="145" t="str">
        <f>IF(OR('Items sous domaines Maths '!H73=3,'Items sous domaines Maths '!J73=3 ),'Items sous domaines Maths '!C73)</f>
        <v>Les polynômes</v>
      </c>
      <c r="D69" s="145">
        <f>IF(OR('Items sous domaines Maths '!H73=3,'Items sous domaines Maths '!J73=3 ),'Items sous domaines Maths '!D73,0)</f>
        <v>0</v>
      </c>
      <c r="E69" s="145" t="str">
        <f>IF(OR('Items sous domaines Maths '!H73=3,'Items sous domaines Maths '!J73=3 ),'Items sous domaines Maths '!E73,0)</f>
        <v>Décomposition dans C[X] et R[X]</v>
      </c>
      <c r="F69" s="146" t="str">
        <f>IF(OR('Items sous domaines Maths '!H73=3,'Items sous domaines Maths '!J73=3 ),'Items sous domaines Maths '!F73,0)</f>
        <v>Polynôme scindé sur K. Théorie de la décomposition dans l'ensemble des complexes.</v>
      </c>
      <c r="G69" s="643"/>
      <c r="H69" s="602"/>
      <c r="I69" s="236"/>
    </row>
    <row r="70" spans="1:9" ht="19.95" customHeight="1" thickBot="1" x14ac:dyDescent="0.3">
      <c r="A70" s="690"/>
      <c r="B70" s="186" t="str">
        <f>IF(OR('Items sous domaines Maths '!H74=3,'Items sous domaines Maths '!J74=3 ),'Items sous domaines Maths '!B74,0)</f>
        <v>Algèbre</v>
      </c>
      <c r="C70" s="187" t="str">
        <f>IF(OR('Items sous domaines Maths '!H74=3,'Items sous domaines Maths '!J74=3 ),'Items sous domaines Maths '!C74)</f>
        <v>Les polynômes</v>
      </c>
      <c r="D70" s="187">
        <f>IF(OR('Items sous domaines Maths '!H74=3,'Items sous domaines Maths '!J74=3 ),'Items sous domaines Maths '!D74,0)</f>
        <v>0</v>
      </c>
      <c r="E70" s="187">
        <f>IF(OR('Items sous domaines Maths '!H74=3,'Items sous domaines Maths '!J74=3 ),'Items sous domaines Maths '!E74,0)</f>
        <v>0</v>
      </c>
      <c r="F70" s="188" t="str">
        <f>IF(OR('Items sous domaines Maths '!H74=3,'Items sous domaines Maths '!J74=3 ),'Items sous domaines Maths '!F74,0)</f>
        <v>Savoir décomposer un polynôme en facteurs irreductibles. Savoir passer de la décomposition dans C à celle dans R.</v>
      </c>
      <c r="G70" s="644"/>
      <c r="H70" s="677"/>
      <c r="I70" s="237"/>
    </row>
    <row r="71" spans="1:9" customFormat="1" ht="17.399999999999999" hidden="1" customHeight="1" thickTop="1" thickBot="1" x14ac:dyDescent="0.3">
      <c r="A71" s="687"/>
      <c r="B71">
        <f>IF(OR('Items sous domaines Maths '!H75=3,'Items sous domaines Maths '!J75=3 ),'Items sous domaines Maths '!B75,0)</f>
        <v>0</v>
      </c>
      <c r="C71" t="b">
        <f>IF(OR('Items sous domaines Maths '!H75=3,'Items sous domaines Maths '!J75=3 ),'Items sous domaines Maths '!C75)</f>
        <v>0</v>
      </c>
      <c r="D71">
        <f>IF(OR('Items sous domaines Maths '!H75=3,'Items sous domaines Maths '!J75=3 ),'Items sous domaines Maths '!D75,0)</f>
        <v>0</v>
      </c>
      <c r="E71">
        <f>IF(OR('Items sous domaines Maths '!H75=3,'Items sous domaines Maths '!J75=3 ),'Items sous domaines Maths '!E75,0)</f>
        <v>0</v>
      </c>
      <c r="F71" s="10">
        <f>IF(OR('Items sous domaines Maths '!H75=3,'Items sous domaines Maths '!J75=3 ),'Items sous domaines Maths '!F75,0)</f>
        <v>0</v>
      </c>
      <c r="G71" s="647"/>
      <c r="H71" s="597"/>
    </row>
    <row r="72" spans="1:9" customFormat="1" ht="17.399999999999999" hidden="1" customHeight="1" thickBot="1" x14ac:dyDescent="0.3">
      <c r="A72" s="687"/>
      <c r="B72" s="8">
        <f>IF(OR('Items sous domaines Maths '!H76=3,'Items sous domaines Maths '!J76=3 ),'Items sous domaines Maths '!B76,0)</f>
        <v>0</v>
      </c>
      <c r="C72" s="8" t="b">
        <f>IF(OR('Items sous domaines Maths '!H76=3,'Items sous domaines Maths '!J76=3 ),'Items sous domaines Maths '!C76)</f>
        <v>0</v>
      </c>
      <c r="D72" s="8">
        <f>IF(OR('Items sous domaines Maths '!H76=3,'Items sous domaines Maths '!J76=3 ),'Items sous domaines Maths '!D76,0)</f>
        <v>0</v>
      </c>
      <c r="E72" s="8">
        <f>IF(OR('Items sous domaines Maths '!H76=3,'Items sous domaines Maths '!J76=3 ),'Items sous domaines Maths '!E76,0)</f>
        <v>0</v>
      </c>
      <c r="F72" s="9">
        <f>IF(OR('Items sous domaines Maths '!H76=3,'Items sous domaines Maths '!J76=3 ),'Items sous domaines Maths '!F76,0)</f>
        <v>0</v>
      </c>
      <c r="G72" s="647"/>
      <c r="H72" s="597"/>
    </row>
    <row r="73" spans="1:9" customFormat="1" ht="17.399999999999999" hidden="1" customHeight="1" thickBot="1" x14ac:dyDescent="0.3">
      <c r="A73" s="687"/>
      <c r="B73" s="8">
        <f>IF(OR('Items sous domaines Maths '!H77=3,'Items sous domaines Maths '!J77=3 ),'Items sous domaines Maths '!B77,0)</f>
        <v>0</v>
      </c>
      <c r="C73" s="8" t="b">
        <f>IF(OR('Items sous domaines Maths '!H77=3,'Items sous domaines Maths '!J77=3 ),'Items sous domaines Maths '!C77)</f>
        <v>0</v>
      </c>
      <c r="D73" s="8">
        <f>IF(OR('Items sous domaines Maths '!H77=3,'Items sous domaines Maths '!J77=3 ),'Items sous domaines Maths '!D77,0)</f>
        <v>0</v>
      </c>
      <c r="E73" s="8">
        <f>IF(OR('Items sous domaines Maths '!H77=3,'Items sous domaines Maths '!J77=3 ),'Items sous domaines Maths '!E77,0)</f>
        <v>0</v>
      </c>
      <c r="F73" s="9">
        <f>IF(OR('Items sous domaines Maths '!H77=3,'Items sous domaines Maths '!J77=3 ),'Items sous domaines Maths '!F77,0)</f>
        <v>0</v>
      </c>
      <c r="G73" s="647"/>
      <c r="H73" s="597"/>
    </row>
    <row r="74" spans="1:9" customFormat="1" ht="17.399999999999999" hidden="1" customHeight="1" thickBot="1" x14ac:dyDescent="0.3">
      <c r="A74" s="687"/>
      <c r="B74" s="8">
        <f>IF(OR('Items sous domaines Maths '!H78=3,'Items sous domaines Maths '!J78=3 ),'Items sous domaines Maths '!B78,0)</f>
        <v>0</v>
      </c>
      <c r="C74" s="8" t="b">
        <f>IF(OR('Items sous domaines Maths '!H78=3,'Items sous domaines Maths '!J78=3 ),'Items sous domaines Maths '!C78)</f>
        <v>0</v>
      </c>
      <c r="D74" s="8">
        <f>IF(OR('Items sous domaines Maths '!H78=3,'Items sous domaines Maths '!J78=3 ),'Items sous domaines Maths '!D78,0)</f>
        <v>0</v>
      </c>
      <c r="E74" s="8">
        <f>IF(OR('Items sous domaines Maths '!H78=3,'Items sous domaines Maths '!J78=3 ),'Items sous domaines Maths '!E78,0)</f>
        <v>0</v>
      </c>
      <c r="F74" s="9">
        <f>IF(OR('Items sous domaines Maths '!H78=3,'Items sous domaines Maths '!J78=3 ),'Items sous domaines Maths '!F78,0)</f>
        <v>0</v>
      </c>
      <c r="G74" s="647"/>
      <c r="H74" s="597"/>
    </row>
    <row r="75" spans="1:9" customFormat="1" ht="17.399999999999999" hidden="1" customHeight="1" thickBot="1" x14ac:dyDescent="0.3">
      <c r="A75" s="687"/>
      <c r="B75" s="8">
        <f>IF(OR('Items sous domaines Maths '!H79=3,'Items sous domaines Maths '!J79=3 ),'Items sous domaines Maths '!B79,0)</f>
        <v>0</v>
      </c>
      <c r="C75" s="8" t="b">
        <f>IF(OR('Items sous domaines Maths '!H79=3,'Items sous domaines Maths '!J79=3 ),'Items sous domaines Maths '!C79)</f>
        <v>0</v>
      </c>
      <c r="D75" s="8">
        <f>IF(OR('Items sous domaines Maths '!H79=3,'Items sous domaines Maths '!J79=3 ),'Items sous domaines Maths '!D79,0)</f>
        <v>0</v>
      </c>
      <c r="E75" s="8">
        <f>IF(OR('Items sous domaines Maths '!H79=3,'Items sous domaines Maths '!J79=3 ),'Items sous domaines Maths '!E79,0)</f>
        <v>0</v>
      </c>
      <c r="F75" s="9">
        <f>IF(OR('Items sous domaines Maths '!H79=3,'Items sous domaines Maths '!J79=3 ),'Items sous domaines Maths '!F79,0)</f>
        <v>0</v>
      </c>
      <c r="G75" s="647"/>
      <c r="H75" s="597"/>
    </row>
    <row r="76" spans="1:9" customFormat="1" ht="17.399999999999999" hidden="1" customHeight="1" thickBot="1" x14ac:dyDescent="0.3">
      <c r="A76" s="687"/>
      <c r="B76" s="8">
        <f>IF(OR('Items sous domaines Maths '!H80=3,'Items sous domaines Maths '!J80=3 ),'Items sous domaines Maths '!B80,0)</f>
        <v>0</v>
      </c>
      <c r="C76" s="8" t="b">
        <f>IF(OR('Items sous domaines Maths '!H80=3,'Items sous domaines Maths '!J80=3 ),'Items sous domaines Maths '!C80)</f>
        <v>0</v>
      </c>
      <c r="D76" s="8">
        <f>IF(OR('Items sous domaines Maths '!H80=3,'Items sous domaines Maths '!J80=3 ),'Items sous domaines Maths '!D80,0)</f>
        <v>0</v>
      </c>
      <c r="E76" s="8">
        <f>IF(OR('Items sous domaines Maths '!H80=3,'Items sous domaines Maths '!J80=3 ),'Items sous domaines Maths '!E80,0)</f>
        <v>0</v>
      </c>
      <c r="F76" s="9">
        <f>IF(OR('Items sous domaines Maths '!H80=3,'Items sous domaines Maths '!J80=3 ),'Items sous domaines Maths '!F80,0)</f>
        <v>0</v>
      </c>
      <c r="G76" s="647"/>
      <c r="H76" s="597"/>
    </row>
    <row r="77" spans="1:9" customFormat="1" ht="17.399999999999999" hidden="1" customHeight="1" thickBot="1" x14ac:dyDescent="0.3">
      <c r="A77" s="687"/>
      <c r="B77" s="8">
        <f>IF(OR('Items sous domaines Maths '!H81=3,'Items sous domaines Maths '!J81=3 ),'Items sous domaines Maths '!B81,0)</f>
        <v>0</v>
      </c>
      <c r="C77" s="8" t="b">
        <f>IF(OR('Items sous domaines Maths '!H81=3,'Items sous domaines Maths '!J81=3 ),'Items sous domaines Maths '!C81)</f>
        <v>0</v>
      </c>
      <c r="D77" s="8">
        <f>IF(OR('Items sous domaines Maths '!H81=3,'Items sous domaines Maths '!J81=3 ),'Items sous domaines Maths '!D81,0)</f>
        <v>0</v>
      </c>
      <c r="E77" s="8">
        <f>IF(OR('Items sous domaines Maths '!H81=3,'Items sous domaines Maths '!J81=3 ),'Items sous domaines Maths '!E81,0)</f>
        <v>0</v>
      </c>
      <c r="F77" s="9">
        <f>IF(OR('Items sous domaines Maths '!H81=3,'Items sous domaines Maths '!J81=3 ),'Items sous domaines Maths '!F81,0)</f>
        <v>0</v>
      </c>
      <c r="G77" s="647"/>
      <c r="H77" s="597"/>
    </row>
    <row r="78" spans="1:9" customFormat="1" ht="17.399999999999999" hidden="1" customHeight="1" thickBot="1" x14ac:dyDescent="0.3">
      <c r="A78" s="687"/>
      <c r="B78" s="8">
        <f>IF(OR('Items sous domaines Maths '!H82=3,'Items sous domaines Maths '!J82=3 ),'Items sous domaines Maths '!B82,0)</f>
        <v>0</v>
      </c>
      <c r="C78" s="8" t="b">
        <f>IF(OR('Items sous domaines Maths '!H82=3,'Items sous domaines Maths '!J82=3 ),'Items sous domaines Maths '!C82)</f>
        <v>0</v>
      </c>
      <c r="D78" s="8">
        <f>IF(OR('Items sous domaines Maths '!H82=3,'Items sous domaines Maths '!J82=3 ),'Items sous domaines Maths '!D82,0)</f>
        <v>0</v>
      </c>
      <c r="E78" s="8">
        <f>IF(OR('Items sous domaines Maths '!H82=3,'Items sous domaines Maths '!J82=3 ),'Items sous domaines Maths '!E82,0)</f>
        <v>0</v>
      </c>
      <c r="F78" s="9">
        <f>IF(OR('Items sous domaines Maths '!H82=3,'Items sous domaines Maths '!J82=3 ),'Items sous domaines Maths '!F82,0)</f>
        <v>0</v>
      </c>
      <c r="G78" s="647"/>
      <c r="H78" s="597"/>
    </row>
    <row r="79" spans="1:9" customFormat="1" ht="17.399999999999999" hidden="1" customHeight="1" thickBot="1" x14ac:dyDescent="0.3">
      <c r="A79" s="687"/>
      <c r="B79" s="8">
        <f>IF(OR('Items sous domaines Maths '!H83=3,'Items sous domaines Maths '!J83=3 ),'Items sous domaines Maths '!B83,0)</f>
        <v>0</v>
      </c>
      <c r="C79" s="8" t="b">
        <f>IF(OR('Items sous domaines Maths '!H83=3,'Items sous domaines Maths '!J83=3 ),'Items sous domaines Maths '!C83)</f>
        <v>0</v>
      </c>
      <c r="D79" s="8">
        <f>IF(OR('Items sous domaines Maths '!H83=3,'Items sous domaines Maths '!J83=3 ),'Items sous domaines Maths '!D83,0)</f>
        <v>0</v>
      </c>
      <c r="E79" s="8">
        <f>IF(OR('Items sous domaines Maths '!H83=3,'Items sous domaines Maths '!J83=3 ),'Items sous domaines Maths '!E83,0)</f>
        <v>0</v>
      </c>
      <c r="F79" s="9">
        <f>IF(OR('Items sous domaines Maths '!H83=3,'Items sous domaines Maths '!J83=3 ),'Items sous domaines Maths '!F83,0)</f>
        <v>0</v>
      </c>
      <c r="G79" s="647"/>
      <c r="H79" s="597"/>
    </row>
    <row r="80" spans="1:9" customFormat="1" ht="17.399999999999999" hidden="1" customHeight="1" thickBot="1" x14ac:dyDescent="0.3">
      <c r="A80" s="687"/>
      <c r="B80" s="8">
        <f>IF(OR('Items sous domaines Maths '!H84=3,'Items sous domaines Maths '!J84=3 ),'Items sous domaines Maths '!B84,0)</f>
        <v>0</v>
      </c>
      <c r="C80" s="8" t="b">
        <f>IF(OR('Items sous domaines Maths '!H84=3,'Items sous domaines Maths '!J84=3 ),'Items sous domaines Maths '!C84)</f>
        <v>0</v>
      </c>
      <c r="D80" s="8">
        <f>IF(OR('Items sous domaines Maths '!H84=3,'Items sous domaines Maths '!J84=3 ),'Items sous domaines Maths '!D84,0)</f>
        <v>0</v>
      </c>
      <c r="E80" s="8">
        <f>IF(OR('Items sous domaines Maths '!H84=3,'Items sous domaines Maths '!J84=3 ),'Items sous domaines Maths '!E84,0)</f>
        <v>0</v>
      </c>
      <c r="F80" s="9">
        <f>IF(OR('Items sous domaines Maths '!H84=3,'Items sous domaines Maths '!J84=3 ),'Items sous domaines Maths '!F84,0)</f>
        <v>0</v>
      </c>
      <c r="G80" s="647"/>
      <c r="H80" s="597"/>
    </row>
    <row r="81" spans="1:9" customFormat="1" ht="17.399999999999999" hidden="1" customHeight="1" thickBot="1" x14ac:dyDescent="0.3">
      <c r="A81" s="687"/>
      <c r="B81" s="8">
        <f>IF(OR('Items sous domaines Maths '!H85=3,'Items sous domaines Maths '!J85=3 ),'Items sous domaines Maths '!B85,0)</f>
        <v>0</v>
      </c>
      <c r="C81" s="8" t="b">
        <f>IF(OR('Items sous domaines Maths '!H85=3,'Items sous domaines Maths '!J85=3 ),'Items sous domaines Maths '!C85)</f>
        <v>0</v>
      </c>
      <c r="D81" s="8">
        <f>IF(OR('Items sous domaines Maths '!H85=3,'Items sous domaines Maths '!J85=3 ),'Items sous domaines Maths '!D85,0)</f>
        <v>0</v>
      </c>
      <c r="E81" s="8">
        <f>IF(OR('Items sous domaines Maths '!H85=3,'Items sous domaines Maths '!J85=3 ),'Items sous domaines Maths '!E85,0)</f>
        <v>0</v>
      </c>
      <c r="F81" s="9">
        <f>IF(OR('Items sous domaines Maths '!H85=3,'Items sous domaines Maths '!J85=3 ),'Items sous domaines Maths '!F85,0)</f>
        <v>0</v>
      </c>
      <c r="G81" s="647"/>
      <c r="H81" s="597"/>
    </row>
    <row r="82" spans="1:9" customFormat="1" ht="17.399999999999999" hidden="1" customHeight="1" thickBot="1" x14ac:dyDescent="0.3">
      <c r="A82" s="687"/>
      <c r="B82" s="8">
        <f>IF(OR('Items sous domaines Maths '!H86=3,'Items sous domaines Maths '!J86=3 ),'Items sous domaines Maths '!B86,0)</f>
        <v>0</v>
      </c>
      <c r="C82" s="8" t="b">
        <f>IF(OR('Items sous domaines Maths '!H86=3,'Items sous domaines Maths '!J86=3 ),'Items sous domaines Maths '!C86)</f>
        <v>0</v>
      </c>
      <c r="D82" s="8">
        <f>IF(OR('Items sous domaines Maths '!H86=3,'Items sous domaines Maths '!J86=3 ),'Items sous domaines Maths '!D86,0)</f>
        <v>0</v>
      </c>
      <c r="E82" s="8">
        <f>IF(OR('Items sous domaines Maths '!H86=3,'Items sous domaines Maths '!J86=3 ),'Items sous domaines Maths '!E86,0)</f>
        <v>0</v>
      </c>
      <c r="F82" s="9">
        <f>IF(OR('Items sous domaines Maths '!H86=3,'Items sous domaines Maths '!J86=3 ),'Items sous domaines Maths '!F86,0)</f>
        <v>0</v>
      </c>
      <c r="G82" s="647"/>
      <c r="H82" s="597"/>
    </row>
    <row r="83" spans="1:9" customFormat="1" ht="17.399999999999999" hidden="1" customHeight="1" thickBot="1" x14ac:dyDescent="0.3">
      <c r="A83" s="687"/>
      <c r="B83" s="8">
        <f>IF(OR('Items sous domaines Maths '!H87=3,'Items sous domaines Maths '!J87=3 ),'Items sous domaines Maths '!B87,0)</f>
        <v>0</v>
      </c>
      <c r="C83" s="8" t="b">
        <f>IF(OR('Items sous domaines Maths '!H87=3,'Items sous domaines Maths '!J87=3 ),'Items sous domaines Maths '!C87)</f>
        <v>0</v>
      </c>
      <c r="D83" s="8">
        <f>IF(OR('Items sous domaines Maths '!H87=3,'Items sous domaines Maths '!J87=3 ),'Items sous domaines Maths '!D87,0)</f>
        <v>0</v>
      </c>
      <c r="E83" s="8">
        <f>IF(OR('Items sous domaines Maths '!H87=3,'Items sous domaines Maths '!J87=3 ),'Items sous domaines Maths '!E87,0)</f>
        <v>0</v>
      </c>
      <c r="F83" s="9">
        <f>IF(OR('Items sous domaines Maths '!H87=3,'Items sous domaines Maths '!J87=3 ),'Items sous domaines Maths '!F87,0)</f>
        <v>0</v>
      </c>
      <c r="G83" s="647"/>
      <c r="H83" s="597"/>
    </row>
    <row r="84" spans="1:9" ht="19.95" customHeight="1" thickTop="1" x14ac:dyDescent="0.25">
      <c r="A84" s="688"/>
      <c r="B84" s="181" t="str">
        <f>IF(OR('Items sous domaines Maths '!H88=3,'Items sous domaines Maths '!J88=3 ),'Items sous domaines Maths '!B88,0)</f>
        <v>Algèbre</v>
      </c>
      <c r="C84" s="182" t="str">
        <f>IF(OR('Items sous domaines Maths '!H88=3,'Items sous domaines Maths '!J88=3 ),'Items sous domaines Maths '!C88)</f>
        <v>Les Matrices</v>
      </c>
      <c r="D84" s="182" t="str">
        <f>IF(OR('Items sous domaines Maths '!H88=3,'Items sous domaines Maths '!J88=3 ),'Items sous domaines Maths '!D88,0)</f>
        <v>Ensembles de matrices</v>
      </c>
      <c r="E84" s="182" t="str">
        <f>IF(OR('Items sous domaines Maths '!H88=3,'Items sous domaines Maths '!J88=3 ),'Items sous domaines Maths '!E88,0)</f>
        <v>Ensemble Mn,p (K) des matrices à n lignes et p colonnes à coefficients dans K.</v>
      </c>
      <c r="F84" s="183">
        <f>IF(OR('Items sous domaines Maths '!H88=3,'Items sous domaines Maths '!J88=3 ),'Items sous domaines Maths '!F88,0)</f>
        <v>0</v>
      </c>
      <c r="G84" s="642"/>
      <c r="H84" s="676"/>
      <c r="I84" s="235"/>
    </row>
    <row r="85" spans="1:9" ht="19.95" customHeight="1" x14ac:dyDescent="0.25">
      <c r="A85" s="689"/>
      <c r="B85" s="141" t="str">
        <f>IF(OR('Items sous domaines Maths '!H89=3,'Items sous domaines Maths '!J89=3 ),'Items sous domaines Maths '!B89,0)</f>
        <v>Algèbre</v>
      </c>
      <c r="C85" s="142" t="str">
        <f>IF(OR('Items sous domaines Maths '!H89=3,'Items sous domaines Maths '!J89=3 ),'Items sous domaines Maths '!C89)</f>
        <v>Les Matrices</v>
      </c>
      <c r="D85" s="142">
        <f>IF(OR('Items sous domaines Maths '!H89=3,'Items sous domaines Maths '!J89=3 ),'Items sous domaines Maths '!D89,0)</f>
        <v>0</v>
      </c>
      <c r="E85" s="142" t="str">
        <f>IF(OR('Items sous domaines Maths '!H89=3,'Items sous domaines Maths '!J89=3 ),'Items sous domaines Maths '!E89,0)</f>
        <v>Propriétés des opérations matricielles.</v>
      </c>
      <c r="F85" s="143" t="str">
        <f>IF(OR('Items sous domaines Maths '!H89=3,'Items sous domaines Maths '!J89=3 ),'Items sous domaines Maths '!F89,0)</f>
        <v>Savoir effectuer des opérations de type somme, produit par un scalaire produit de deux matrices. Savoir transposer un système en écriture matricielle. Savoir qu'il existe des matrices non nulles dont le produit est nul.</v>
      </c>
      <c r="G85" s="643"/>
      <c r="H85" s="602"/>
      <c r="I85" s="236"/>
    </row>
    <row r="86" spans="1:9" ht="19.95" customHeight="1" x14ac:dyDescent="0.25">
      <c r="A86" s="689"/>
      <c r="B86" s="144" t="str">
        <f>IF(OR('Items sous domaines Maths '!H90=3,'Items sous domaines Maths '!J90=3 ),'Items sous domaines Maths '!B90,0)</f>
        <v>Algèbre</v>
      </c>
      <c r="C86" s="145" t="str">
        <f>IF(OR('Items sous domaines Maths '!H90=3,'Items sous domaines Maths '!J90=3 ),'Items sous domaines Maths '!C90)</f>
        <v>Les Matrices</v>
      </c>
      <c r="D86" s="145" t="str">
        <f>IF(OR('Items sous domaines Maths '!H90=3,'Items sous domaines Maths '!J90=3 ),'Items sous domaines Maths '!D90,0)</f>
        <v>Ensemble des matrices carrées Mn(K).</v>
      </c>
      <c r="E86" s="145" t="str">
        <f>IF(OR('Items sous domaines Maths '!H90=3,'Items sous domaines Maths '!J90=3 ),'Items sous domaines Maths '!E90,0)</f>
        <v>Définition, notation</v>
      </c>
      <c r="F86" s="146" t="str">
        <f>IF(OR('Items sous domaines Maths '!H90=3,'Items sous domaines Maths '!J90=3 ),'Items sous domaines Maths '!F90,0)</f>
        <v>Définition, vocabulaire. Trace d'une matrice. Savoir calculer les premières puissances d’une matrice carrée. Exemple de matrices nilpotentes.</v>
      </c>
      <c r="G86" s="643"/>
      <c r="H86" s="602"/>
      <c r="I86" s="236"/>
    </row>
    <row r="87" spans="1:9" ht="19.95" customHeight="1" x14ac:dyDescent="0.25">
      <c r="A87" s="689"/>
      <c r="B87" s="141" t="str">
        <f>IF(OR('Items sous domaines Maths '!H91=3,'Items sous domaines Maths '!J91=3 ),'Items sous domaines Maths '!B91,0)</f>
        <v>Algèbre</v>
      </c>
      <c r="C87" s="142" t="str">
        <f>IF(OR('Items sous domaines Maths '!H91=3,'Items sous domaines Maths '!J91=3 ),'Items sous domaines Maths '!C91)</f>
        <v>Les Matrices</v>
      </c>
      <c r="D87" s="142">
        <f>IF(OR('Items sous domaines Maths '!H91=3,'Items sous domaines Maths '!J91=3 ),'Items sous domaines Maths '!D91,0)</f>
        <v>0</v>
      </c>
      <c r="E87" s="142" t="str">
        <f>IF(OR('Items sous domaines Maths '!H91=3,'Items sous domaines Maths '!J91=3 ),'Items sous domaines Maths '!E91,0)</f>
        <v>Matrices diagonales, triangulaires</v>
      </c>
      <c r="F87" s="143" t="str">
        <f>IF(OR('Items sous domaines Maths '!H91=3,'Items sous domaines Maths '!J91=3 ),'Items sous domaines Maths '!F91,0)</f>
        <v>Connaître la dénomination de matrices triangulaires supérieures et inférieures. Notation In pour la matrice identité. Exemple de matrices nilpotentes.</v>
      </c>
      <c r="G87" s="643"/>
      <c r="H87" s="602"/>
      <c r="I87" s="236"/>
    </row>
    <row r="88" spans="1:9" ht="19.95" customHeight="1" x14ac:dyDescent="0.25">
      <c r="A88" s="689"/>
      <c r="B88" s="144" t="str">
        <f>IF(OR('Items sous domaines Maths '!H92=3,'Items sous domaines Maths '!J92=3 ),'Items sous domaines Maths '!B92,0)</f>
        <v>Algèbre</v>
      </c>
      <c r="C88" s="145" t="str">
        <f>IF(OR('Items sous domaines Maths '!H92=3,'Items sous domaines Maths '!J92=3 ),'Items sous domaines Maths '!C92)</f>
        <v>Les Matrices</v>
      </c>
      <c r="D88" s="145">
        <f>IF(OR('Items sous domaines Maths '!H92=3,'Items sous domaines Maths '!J92=3 ),'Items sous domaines Maths '!D92,0)</f>
        <v>0</v>
      </c>
      <c r="E88" s="145" t="str">
        <f>IF(OR('Items sous domaines Maths '!H92=3,'Items sous domaines Maths '!J92=3 ),'Items sous domaines Maths '!E92,0)</f>
        <v>Opérations sur les matrices carrées</v>
      </c>
      <c r="F88" s="146" t="str">
        <f>IF(OR('Items sous domaines Maths '!H92=3,'Items sous domaines Maths '!J92=3 ),'Items sous domaines Maths '!F92,0)</f>
        <v>Commutativité des matrices. Formule du Binôme.</v>
      </c>
      <c r="G88" s="643"/>
      <c r="H88" s="602"/>
      <c r="I88" s="236"/>
    </row>
    <row r="89" spans="1:9" ht="19.95" customHeight="1" x14ac:dyDescent="0.25">
      <c r="A89" s="689"/>
      <c r="B89" s="141" t="str">
        <f>IF(OR('Items sous domaines Maths '!H93=3,'Items sous domaines Maths '!J93=3 ),'Items sous domaines Maths '!B93,0)</f>
        <v>Algèbre</v>
      </c>
      <c r="C89" s="142" t="str">
        <f>IF(OR('Items sous domaines Maths '!H93=3,'Items sous domaines Maths '!J93=3 ),'Items sous domaines Maths '!C93)</f>
        <v>Les Matrices</v>
      </c>
      <c r="D89" s="142">
        <f>IF(OR('Items sous domaines Maths '!H93=3,'Items sous domaines Maths '!J93=3 ),'Items sous domaines Maths '!D93,0)</f>
        <v>0</v>
      </c>
      <c r="E89" s="142" t="str">
        <f>IF(OR('Items sous domaines Maths '!H93=3,'Items sous domaines Maths '!J93=3 ),'Items sous domaines Maths '!E93,0)</f>
        <v>Transposée</v>
      </c>
      <c r="F89" s="143" t="str">
        <f>IF(OR('Items sous domaines Maths '!H93=3,'Items sous domaines Maths '!J93=3 ),'Items sous domaines Maths '!F93,0)</f>
        <v>Notations, Matrices symétriques et antisymétriques.Transposée d’une somme, d’un produit de matrices.</v>
      </c>
      <c r="G89" s="643"/>
      <c r="H89" s="602"/>
      <c r="I89" s="236"/>
    </row>
    <row r="90" spans="1:9" ht="19.95" customHeight="1" x14ac:dyDescent="0.25">
      <c r="A90" s="689"/>
      <c r="B90" s="144" t="str">
        <f>IF(OR('Items sous domaines Maths '!H94=3,'Items sous domaines Maths '!J94=3 ),'Items sous domaines Maths '!B94,0)</f>
        <v>Algèbre</v>
      </c>
      <c r="C90" s="145" t="str">
        <f>IF(OR('Items sous domaines Maths '!H94=3,'Items sous domaines Maths '!J94=3 ),'Items sous domaines Maths '!C94)</f>
        <v>Les Matrices</v>
      </c>
      <c r="D90" s="145">
        <f>IF(OR('Items sous domaines Maths '!H94=3,'Items sous domaines Maths '!J94=3 ),'Items sous domaines Maths '!D94,0)</f>
        <v>0</v>
      </c>
      <c r="E90" s="145" t="str">
        <f>IF(OR('Items sous domaines Maths '!H94=3,'Items sous domaines Maths '!J94=3 ),'Items sous domaines Maths '!E94,0)</f>
        <v>Trace d'une matrice</v>
      </c>
      <c r="F90" s="146" t="str">
        <f>IF(OR('Items sous domaines Maths '!H94=3,'Items sous domaines Maths '!J94=3 ),'Items sous domaines Maths '!F94,0)</f>
        <v>Définition et exemple de calcul.</v>
      </c>
      <c r="G90" s="643"/>
      <c r="H90" s="602"/>
      <c r="I90" s="236"/>
    </row>
    <row r="91" spans="1:9" ht="19.95" customHeight="1" x14ac:dyDescent="0.25">
      <c r="A91" s="689"/>
      <c r="B91" s="141" t="str">
        <f>IF(OR('Items sous domaines Maths '!H95=3,'Items sous domaines Maths '!J95=3 ),'Items sous domaines Maths '!B95,0)</f>
        <v>Algèbre</v>
      </c>
      <c r="C91" s="142" t="str">
        <f>IF(OR('Items sous domaines Maths '!H95=3,'Items sous domaines Maths '!J95=3 ),'Items sous domaines Maths '!C95)</f>
        <v>Les Matrices</v>
      </c>
      <c r="D91" s="142" t="str">
        <f>IF(OR('Items sous domaines Maths '!H95=3,'Items sous domaines Maths '!J95=3 ),'Items sous domaines Maths '!D95,0)</f>
        <v>Determinant d'une matrice carrée</v>
      </c>
      <c r="E91" s="142" t="str">
        <f>IF(OR('Items sous domaines Maths '!H95=3,'Items sous domaines Maths '!J95=3 ),'Items sous domaines Maths '!E95,0)</f>
        <v>Définition, notation</v>
      </c>
      <c r="F91" s="143" t="str">
        <f>IF(OR('Items sous domaines Maths '!H95=3,'Items sous domaines Maths '!J95=3 ),'Items sous domaines Maths '!F95,0)</f>
        <v>Exemple de calcul du déterminant sur des matrices 2X2 et 3X3. Formule de calcul et Methodes de Sarrus.</v>
      </c>
      <c r="G91" s="643"/>
      <c r="H91" s="602"/>
      <c r="I91" s="236"/>
    </row>
    <row r="92" spans="1:9" ht="19.95" customHeight="1" x14ac:dyDescent="0.25">
      <c r="A92" s="689"/>
      <c r="B92" s="144" t="str">
        <f>IF(OR('Items sous domaines Maths '!H96=3,'Items sous domaines Maths '!J96=3 ),'Items sous domaines Maths '!B96,0)</f>
        <v>Algèbre</v>
      </c>
      <c r="C92" s="145" t="str">
        <f>IF(OR('Items sous domaines Maths '!H96=3,'Items sous domaines Maths '!J96=3 ),'Items sous domaines Maths '!C96)</f>
        <v>Les Matrices</v>
      </c>
      <c r="D92" s="145">
        <f>IF(OR('Items sous domaines Maths '!H96=3,'Items sous domaines Maths '!J96=3 ),'Items sous domaines Maths '!D96,0)</f>
        <v>0</v>
      </c>
      <c r="E92" s="145" t="str">
        <f>IF(OR('Items sous domaines Maths '!H96=3,'Items sous domaines Maths '!J96=3 ),'Items sous domaines Maths '!E96,0)</f>
        <v>Propriétés</v>
      </c>
      <c r="F92" s="146" t="str">
        <f>IF(OR('Items sous domaines Maths '!H96=3,'Items sous domaines Maths '!J96=3 ),'Items sous domaines Maths '!F96,0)</f>
        <v>Effet de la combinaison linéaire de deux lignes ou deux colones sur le calcul du déterminant.</v>
      </c>
      <c r="G92" s="643"/>
      <c r="H92" s="602"/>
      <c r="I92" s="236"/>
    </row>
    <row r="93" spans="1:9" ht="19.95" customHeight="1" x14ac:dyDescent="0.25">
      <c r="A93" s="689"/>
      <c r="B93" s="141" t="str">
        <f>IF(OR('Items sous domaines Maths '!H97=3,'Items sous domaines Maths '!J97=3 ),'Items sous domaines Maths '!B97,0)</f>
        <v>Algèbre</v>
      </c>
      <c r="C93" s="142" t="str">
        <f>IF(OR('Items sous domaines Maths '!H97=3,'Items sous domaines Maths '!J97=3 ),'Items sous domaines Maths '!C97)</f>
        <v>Les Matrices</v>
      </c>
      <c r="D93" s="142">
        <f>IF(OR('Items sous domaines Maths '!H97=3,'Items sous domaines Maths '!J97=3 ),'Items sous domaines Maths '!D97,0)</f>
        <v>0</v>
      </c>
      <c r="E93" s="142">
        <f>IF(OR('Items sous domaines Maths '!H97=3,'Items sous domaines Maths '!J97=3 ),'Items sous domaines Maths '!E97,0)</f>
        <v>0</v>
      </c>
      <c r="F93" s="143" t="str">
        <f>IF(OR('Items sous domaines Maths '!H97=3,'Items sous domaines Maths '!J97=3 ),'Items sous domaines Maths '!F97,0)</f>
        <v>Déterminant de la transposée.</v>
      </c>
      <c r="G93" s="643"/>
      <c r="H93" s="602"/>
      <c r="I93" s="236"/>
    </row>
    <row r="94" spans="1:9" ht="19.95" customHeight="1" x14ac:dyDescent="0.25">
      <c r="A94" s="689"/>
      <c r="B94" s="144" t="str">
        <f>IF(OR('Items sous domaines Maths '!H98=3,'Items sous domaines Maths '!J98=3 ),'Items sous domaines Maths '!B98,0)</f>
        <v>Algèbre</v>
      </c>
      <c r="C94" s="145" t="str">
        <f>IF(OR('Items sous domaines Maths '!H98=3,'Items sous domaines Maths '!J98=3 ),'Items sous domaines Maths '!C98)</f>
        <v>Les Matrices</v>
      </c>
      <c r="D94" s="145" t="str">
        <f>IF(OR('Items sous domaines Maths '!H98=3,'Items sous domaines Maths '!J98=3 ),'Items sous domaines Maths '!D98,0)</f>
        <v>Matrices carrées inversibles</v>
      </c>
      <c r="E94" s="145" t="str">
        <f>IF(OR('Items sous domaines Maths '!H98=3,'Items sous domaines Maths '!J98=3 ),'Items sous domaines Maths '!E98,0)</f>
        <v>Définition, notation</v>
      </c>
      <c r="F94" s="146" t="str">
        <f>IF(OR('Items sous domaines Maths '!H98=3,'Items sous domaines Maths '!J98=3 ),'Items sous domaines Maths '!F98,0)</f>
        <v>Unicité de l'inverse quand elle existe.</v>
      </c>
      <c r="G94" s="643"/>
      <c r="H94" s="602"/>
      <c r="I94" s="236"/>
    </row>
    <row r="95" spans="1:9" ht="19.95" customHeight="1" x14ac:dyDescent="0.25">
      <c r="A95" s="689"/>
      <c r="B95" s="141" t="str">
        <f>IF(OR('Items sous domaines Maths '!H99=3,'Items sous domaines Maths '!J99=3 ),'Items sous domaines Maths '!B99,0)</f>
        <v>Algèbre</v>
      </c>
      <c r="C95" s="142" t="str">
        <f>IF(OR('Items sous domaines Maths '!H99=3,'Items sous domaines Maths '!J99=3 ),'Items sous domaines Maths '!C99)</f>
        <v>Les Matrices</v>
      </c>
      <c r="D95" s="142">
        <f>IF(OR('Items sous domaines Maths '!H99=3,'Items sous domaines Maths '!J99=3 ),'Items sous domaines Maths '!D99,0)</f>
        <v>0</v>
      </c>
      <c r="E95" s="142" t="str">
        <f>IF(OR('Items sous domaines Maths '!H99=3,'Items sous domaines Maths '!J99=3 ),'Items sous domaines Maths '!E99,0)</f>
        <v>Propriétés</v>
      </c>
      <c r="F95" s="143" t="str">
        <f>IF(OR('Items sous domaines Maths '!H99=3,'Items sous domaines Maths '!J99=3 ),'Items sous domaines Maths '!F99,0)</f>
        <v>Inverses du produit, d'une puissance et de la transposée de matrices inversibles.</v>
      </c>
      <c r="G95" s="643"/>
      <c r="H95" s="602"/>
      <c r="I95" s="236"/>
    </row>
    <row r="96" spans="1:9" ht="19.95" customHeight="1" x14ac:dyDescent="0.25">
      <c r="A96" s="689"/>
      <c r="B96" s="144" t="str">
        <f>IF(OR('Items sous domaines Maths '!H100=3,'Items sous domaines Maths '!J100=3 ),'Items sous domaines Maths '!B100,0)</f>
        <v>Algèbre</v>
      </c>
      <c r="C96" s="145" t="str">
        <f>IF(OR('Items sous domaines Maths '!H100=3,'Items sous domaines Maths '!J100=3 ),'Items sous domaines Maths '!C100)</f>
        <v>Les Matrices</v>
      </c>
      <c r="D96" s="145">
        <f>IF(OR('Items sous domaines Maths '!H100=3,'Items sous domaines Maths '!J100=3 ),'Items sous domaines Maths '!D100,0)</f>
        <v>0</v>
      </c>
      <c r="E96" s="145">
        <f>IF(OR('Items sous domaines Maths '!H100=3,'Items sous domaines Maths '!J100=3 ),'Items sous domaines Maths '!E100,0)</f>
        <v>0</v>
      </c>
      <c r="F96" s="146" t="str">
        <f>IF(OR('Items sous domaines Maths '!H100=3,'Items sous domaines Maths '!J100=3 ),'Items sous domaines Maths '!F100,0)</f>
        <v>Critère d'existence de l'inverse à l'aide du déterminant.</v>
      </c>
      <c r="G96" s="643"/>
      <c r="H96" s="602"/>
      <c r="I96" s="236"/>
    </row>
    <row r="97" spans="1:9" ht="19.95" customHeight="1" thickBot="1" x14ac:dyDescent="0.3">
      <c r="A97" s="690"/>
      <c r="B97" s="186" t="str">
        <f>IF(OR('Items sous domaines Maths '!H101=3,'Items sous domaines Maths '!J101=3 ),'Items sous domaines Maths '!B101,0)</f>
        <v>Algèbre</v>
      </c>
      <c r="C97" s="187" t="str">
        <f>IF(OR('Items sous domaines Maths '!H101=3,'Items sous domaines Maths '!J101=3 ),'Items sous domaines Maths '!C101)</f>
        <v>Les Matrices</v>
      </c>
      <c r="D97" s="187">
        <f>IF(OR('Items sous domaines Maths '!H101=3,'Items sous domaines Maths '!J101=3 ),'Items sous domaines Maths '!D101,0)</f>
        <v>0</v>
      </c>
      <c r="E97" s="187">
        <f>IF(OR('Items sous domaines Maths '!H101=3,'Items sous domaines Maths '!J101=3 ),'Items sous domaines Maths '!E101,0)</f>
        <v>0</v>
      </c>
      <c r="F97" s="188" t="str">
        <f>IF(OR('Items sous domaines Maths '!H101=3,'Items sous domaines Maths '!J101=3 ),'Items sous domaines Maths '!F101,0)</f>
        <v>Méthodes de calcul de l'inverse d'une matrice.</v>
      </c>
      <c r="G97" s="644"/>
      <c r="H97" s="677"/>
      <c r="I97" s="237"/>
    </row>
    <row r="98" spans="1:9" customFormat="1" ht="17.7" hidden="1" customHeight="1" thickTop="1" thickBot="1" x14ac:dyDescent="0.3">
      <c r="A98" s="15"/>
      <c r="B98">
        <f>IF(OR('Items sous domaines Maths '!H102=3,'Items sous domaines Maths '!J102=3 ),'Items sous domaines Maths '!B102,0)</f>
        <v>0</v>
      </c>
      <c r="C98" t="b">
        <f>IF(OR('Items sous domaines Maths '!H102=3,'Items sous domaines Maths '!J102=3 ),'Items sous domaines Maths '!C102)</f>
        <v>0</v>
      </c>
      <c r="D98">
        <f>IF(OR('Items sous domaines Maths '!H102=3,'Items sous domaines Maths '!J102=3 ),'Items sous domaines Maths '!D102,0)</f>
        <v>0</v>
      </c>
      <c r="E98">
        <f>IF(OR('Items sous domaines Maths '!H102=3,'Items sous domaines Maths '!J102=3 ),'Items sous domaines Maths '!E102,0)</f>
        <v>0</v>
      </c>
      <c r="F98" s="10">
        <f>IF(OR('Items sous domaines Maths '!H102=3,'Items sous domaines Maths '!J102=3 ),'Items sous domaines Maths '!F102,0)</f>
        <v>0</v>
      </c>
      <c r="G98">
        <f>IF('Items sous domaines Maths '!H102=1,'Items sous domaines Maths '!G102,0)</f>
        <v>0</v>
      </c>
    </row>
    <row r="99" spans="1:9" customFormat="1" ht="17.7" hidden="1" customHeight="1" thickBot="1" x14ac:dyDescent="0.3">
      <c r="A99" s="15"/>
      <c r="B99" s="8">
        <f>IF(OR('Items sous domaines Maths '!H103=3,'Items sous domaines Maths '!J103=3 ),'Items sous domaines Maths '!B103,0)</f>
        <v>0</v>
      </c>
      <c r="C99" s="8" t="b">
        <f>IF(OR('Items sous domaines Maths '!H103=3,'Items sous domaines Maths '!J103=3 ),'Items sous domaines Maths '!C103)</f>
        <v>0</v>
      </c>
      <c r="D99" s="8">
        <f>IF(OR('Items sous domaines Maths '!H103=3,'Items sous domaines Maths '!J103=3 ),'Items sous domaines Maths '!D103,0)</f>
        <v>0</v>
      </c>
      <c r="E99" s="8">
        <f>IF(OR('Items sous domaines Maths '!H103=3,'Items sous domaines Maths '!J103=3 ),'Items sous domaines Maths '!E103,0)</f>
        <v>0</v>
      </c>
      <c r="F99" s="9">
        <f>IF(OR('Items sous domaines Maths '!H103=3,'Items sous domaines Maths '!J103=3 ),'Items sous domaines Maths '!F103,0)</f>
        <v>0</v>
      </c>
      <c r="G99">
        <f>IF('Items sous domaines Maths '!H103=1,'Items sous domaines Maths '!G103,0)</f>
        <v>0</v>
      </c>
    </row>
    <row r="100" spans="1:9" customFormat="1" ht="17.7" hidden="1" customHeight="1" thickBot="1" x14ac:dyDescent="0.3">
      <c r="A100" s="15"/>
      <c r="B100" s="8">
        <f>IF(OR('Items sous domaines Maths '!H104=3,'Items sous domaines Maths '!J104=3 ),'Items sous domaines Maths '!B104,0)</f>
        <v>0</v>
      </c>
      <c r="C100" s="8" t="b">
        <f>IF(OR('Items sous domaines Maths '!H104=3,'Items sous domaines Maths '!J104=3 ),'Items sous domaines Maths '!C104)</f>
        <v>0</v>
      </c>
      <c r="D100" s="8">
        <f>IF(OR('Items sous domaines Maths '!H104=3,'Items sous domaines Maths '!J104=3 ),'Items sous domaines Maths '!D104,0)</f>
        <v>0</v>
      </c>
      <c r="E100" s="8">
        <f>IF(OR('Items sous domaines Maths '!H104=3,'Items sous domaines Maths '!J104=3 ),'Items sous domaines Maths '!E104,0)</f>
        <v>0</v>
      </c>
      <c r="F100" s="9">
        <f>IF(OR('Items sous domaines Maths '!H104=3,'Items sous domaines Maths '!J104=3 ),'Items sous domaines Maths '!F104,0)</f>
        <v>0</v>
      </c>
      <c r="G100">
        <f>IF('Items sous domaines Maths '!H104=1,'Items sous domaines Maths '!G104,0)</f>
        <v>0</v>
      </c>
    </row>
    <row r="101" spans="1:9" customFormat="1" ht="17.7" hidden="1" customHeight="1" thickBot="1" x14ac:dyDescent="0.3">
      <c r="A101" s="15"/>
      <c r="B101" s="8">
        <f>IF(OR('Items sous domaines Maths '!H105=3,'Items sous domaines Maths '!J105=3 ),'Items sous domaines Maths '!B105,0)</f>
        <v>0</v>
      </c>
      <c r="C101" s="8" t="b">
        <f>IF(OR('Items sous domaines Maths '!H105=3,'Items sous domaines Maths '!J105=3 ),'Items sous domaines Maths '!C105)</f>
        <v>0</v>
      </c>
      <c r="D101" s="8">
        <f>IF(OR('Items sous domaines Maths '!H105=3,'Items sous domaines Maths '!J105=3 ),'Items sous domaines Maths '!D105,0)</f>
        <v>0</v>
      </c>
      <c r="E101" s="8">
        <f>IF(OR('Items sous domaines Maths '!H105=3,'Items sous domaines Maths '!J105=3 ),'Items sous domaines Maths '!E105,0)</f>
        <v>0</v>
      </c>
      <c r="F101" s="9">
        <f>IF(OR('Items sous domaines Maths '!H105=3,'Items sous domaines Maths '!J105=3 ),'Items sous domaines Maths '!F105,0)</f>
        <v>0</v>
      </c>
      <c r="G101">
        <f>IF('Items sous domaines Maths '!H105=1,'Items sous domaines Maths '!G105,0)</f>
        <v>0</v>
      </c>
    </row>
    <row r="102" spans="1:9" customFormat="1" ht="17.7" hidden="1" customHeight="1" thickBot="1" x14ac:dyDescent="0.3">
      <c r="A102" s="15"/>
      <c r="B102" s="8">
        <f>IF(OR('Items sous domaines Maths '!H106=3,'Items sous domaines Maths '!J106=3 ),'Items sous domaines Maths '!B106,0)</f>
        <v>0</v>
      </c>
      <c r="C102" s="8" t="b">
        <f>IF(OR('Items sous domaines Maths '!H106=3,'Items sous domaines Maths '!J106=3 ),'Items sous domaines Maths '!C106)</f>
        <v>0</v>
      </c>
      <c r="D102" s="8">
        <f>IF(OR('Items sous domaines Maths '!H106=3,'Items sous domaines Maths '!J106=3 ),'Items sous domaines Maths '!D106,0)</f>
        <v>0</v>
      </c>
      <c r="E102" s="8">
        <f>IF(OR('Items sous domaines Maths '!H106=3,'Items sous domaines Maths '!J106=3 ),'Items sous domaines Maths '!E106,0)</f>
        <v>0</v>
      </c>
      <c r="F102" s="9">
        <f>IF(OR('Items sous domaines Maths '!H106=3,'Items sous domaines Maths '!J106=3 ),'Items sous domaines Maths '!F106,0)</f>
        <v>0</v>
      </c>
      <c r="G102">
        <f>IF('Items sous domaines Maths '!H106=1,'Items sous domaines Maths '!G106,0)</f>
        <v>0</v>
      </c>
    </row>
    <row r="103" spans="1:9" customFormat="1" ht="17.7" hidden="1" customHeight="1" thickBot="1" x14ac:dyDescent="0.3">
      <c r="A103" s="15"/>
      <c r="B103" s="8">
        <f>IF(OR('Items sous domaines Maths '!H107=3,'Items sous domaines Maths '!J107=3 ),'Items sous domaines Maths '!B107,0)</f>
        <v>0</v>
      </c>
      <c r="C103" s="8" t="b">
        <f>IF(OR('Items sous domaines Maths '!H107=3,'Items sous domaines Maths '!J107=3 ),'Items sous domaines Maths '!C107)</f>
        <v>0</v>
      </c>
      <c r="D103" s="8">
        <f>IF(OR('Items sous domaines Maths '!H107=3,'Items sous domaines Maths '!J107=3 ),'Items sous domaines Maths '!D107,0)</f>
        <v>0</v>
      </c>
      <c r="E103" s="8">
        <f>IF(OR('Items sous domaines Maths '!H107=3,'Items sous domaines Maths '!J107=3 ),'Items sous domaines Maths '!E107,0)</f>
        <v>0</v>
      </c>
      <c r="F103" s="9">
        <f>IF(OR('Items sous domaines Maths '!H107=3,'Items sous domaines Maths '!J107=3 ),'Items sous domaines Maths '!F107,0)</f>
        <v>0</v>
      </c>
      <c r="G103">
        <f>IF('Items sous domaines Maths '!H107=1,'Items sous domaines Maths '!G107,0)</f>
        <v>0</v>
      </c>
    </row>
    <row r="104" spans="1:9" customFormat="1" ht="22.2" hidden="1" customHeight="1" thickBot="1" x14ac:dyDescent="0.3">
      <c r="A104" s="15"/>
      <c r="B104" s="8">
        <f>IF(OR('Items sous domaines Maths '!H108=3,'Items sous domaines Maths '!J108=3 ),'Items sous domaines Maths '!B108,0)</f>
        <v>0</v>
      </c>
      <c r="C104" s="8" t="b">
        <f>IF(OR('Items sous domaines Maths '!H108=3,'Items sous domaines Maths '!J108=3 ),'Items sous domaines Maths '!C108)</f>
        <v>0</v>
      </c>
      <c r="D104" s="8">
        <f>IF(OR('Items sous domaines Maths '!H108=3,'Items sous domaines Maths '!J108=3 ),'Items sous domaines Maths '!D108,0)</f>
        <v>0</v>
      </c>
      <c r="E104" s="8">
        <f>IF(OR('Items sous domaines Maths '!H108=3,'Items sous domaines Maths '!J108=3 ),'Items sous domaines Maths '!E108,0)</f>
        <v>0</v>
      </c>
      <c r="F104" s="9">
        <f>IF(OR('Items sous domaines Maths '!H108=3,'Items sous domaines Maths '!J108=3 ),'Items sous domaines Maths '!F108,0)</f>
        <v>0</v>
      </c>
      <c r="G104">
        <f>IF('Items sous domaines Maths '!H108=1,'Items sous domaines Maths '!G108,0)</f>
        <v>0</v>
      </c>
    </row>
    <row r="105" spans="1:9" customFormat="1" ht="17.7" hidden="1" customHeight="1" thickBot="1" x14ac:dyDescent="0.3">
      <c r="A105" s="15"/>
      <c r="B105" s="8">
        <f>IF(OR('Items sous domaines Maths '!H109=3,'Items sous domaines Maths '!J109=3 ),'Items sous domaines Maths '!B109,0)</f>
        <v>0</v>
      </c>
      <c r="C105" s="8" t="b">
        <f>IF(OR('Items sous domaines Maths '!H109=3,'Items sous domaines Maths '!J109=3 ),'Items sous domaines Maths '!C109)</f>
        <v>0</v>
      </c>
      <c r="D105" s="8">
        <f>IF(OR('Items sous domaines Maths '!H109=3,'Items sous domaines Maths '!J109=3 ),'Items sous domaines Maths '!D109,0)</f>
        <v>0</v>
      </c>
      <c r="E105" s="8">
        <f>IF(OR('Items sous domaines Maths '!H109=3,'Items sous domaines Maths '!J109=3 ),'Items sous domaines Maths '!E109,0)</f>
        <v>0</v>
      </c>
      <c r="F105" s="9">
        <f>IF(OR('Items sous domaines Maths '!H109=3,'Items sous domaines Maths '!J109=3 ),'Items sous domaines Maths '!F109,0)</f>
        <v>0</v>
      </c>
      <c r="G105">
        <f>IF('Items sous domaines Maths '!H109=1,'Items sous domaines Maths '!G109,0)</f>
        <v>0</v>
      </c>
    </row>
    <row r="106" spans="1:9" customFormat="1" ht="17.7" hidden="1" customHeight="1" thickBot="1" x14ac:dyDescent="0.3">
      <c r="A106" s="15"/>
      <c r="B106" s="8">
        <f>IF(OR('Items sous domaines Maths '!H110=3,'Items sous domaines Maths '!J110=3 ),'Items sous domaines Maths '!B110,0)</f>
        <v>0</v>
      </c>
      <c r="C106" s="8" t="b">
        <f>IF(OR('Items sous domaines Maths '!H110=3,'Items sous domaines Maths '!J110=3 ),'Items sous domaines Maths '!C110)</f>
        <v>0</v>
      </c>
      <c r="D106" s="8">
        <f>IF(OR('Items sous domaines Maths '!H110=3,'Items sous domaines Maths '!J110=3 ),'Items sous domaines Maths '!D110,0)</f>
        <v>0</v>
      </c>
      <c r="E106" s="8">
        <f>IF(OR('Items sous domaines Maths '!H110=3,'Items sous domaines Maths '!J110=3 ),'Items sous domaines Maths '!E110,0)</f>
        <v>0</v>
      </c>
      <c r="F106" s="9">
        <f>IF(OR('Items sous domaines Maths '!H110=3,'Items sous domaines Maths '!J110=3 ),'Items sous domaines Maths '!F110,0)</f>
        <v>0</v>
      </c>
      <c r="G106">
        <f>IF('Items sous domaines Maths '!H110=1,'Items sous domaines Maths '!G110,0)</f>
        <v>0</v>
      </c>
    </row>
    <row r="107" spans="1:9" customFormat="1" ht="17.7" hidden="1" customHeight="1" thickBot="1" x14ac:dyDescent="0.3">
      <c r="A107" s="15"/>
      <c r="B107" s="8">
        <f>IF(OR('Items sous domaines Maths '!H111=3,'Items sous domaines Maths '!J111=3 ),'Items sous domaines Maths '!B111,0)</f>
        <v>0</v>
      </c>
      <c r="C107" s="8" t="b">
        <f>IF(OR('Items sous domaines Maths '!H111=3,'Items sous domaines Maths '!J111=3 ),'Items sous domaines Maths '!C111)</f>
        <v>0</v>
      </c>
      <c r="D107" s="8">
        <f>IF(OR('Items sous domaines Maths '!H111=3,'Items sous domaines Maths '!J111=3 ),'Items sous domaines Maths '!D111,0)</f>
        <v>0</v>
      </c>
      <c r="E107" s="8">
        <f>IF(OR('Items sous domaines Maths '!H111=3,'Items sous domaines Maths '!J111=3 ),'Items sous domaines Maths '!E111,0)</f>
        <v>0</v>
      </c>
      <c r="F107" s="9">
        <f>IF(OR('Items sous domaines Maths '!H111=3,'Items sous domaines Maths '!J111=3 ),'Items sous domaines Maths '!F111,0)</f>
        <v>0</v>
      </c>
      <c r="G107">
        <f>IF('Items sous domaines Maths '!H111=1,'Items sous domaines Maths '!G111,0)</f>
        <v>0</v>
      </c>
    </row>
    <row r="108" spans="1:9" customFormat="1" ht="17.7" hidden="1" customHeight="1" thickBot="1" x14ac:dyDescent="0.3">
      <c r="A108" s="15"/>
      <c r="B108" s="8">
        <f>IF(OR('Items sous domaines Maths '!H112=3,'Items sous domaines Maths '!J112=3 ),'Items sous domaines Maths '!B112,0)</f>
        <v>0</v>
      </c>
      <c r="C108" s="8" t="b">
        <f>IF(OR('Items sous domaines Maths '!H112=3,'Items sous domaines Maths '!J112=3 ),'Items sous domaines Maths '!C112)</f>
        <v>0</v>
      </c>
      <c r="D108" s="8">
        <f>IF(OR('Items sous domaines Maths '!H112=3,'Items sous domaines Maths '!J112=3 ),'Items sous domaines Maths '!D112,0)</f>
        <v>0</v>
      </c>
      <c r="E108" s="8">
        <f>IF(OR('Items sous domaines Maths '!H112=3,'Items sous domaines Maths '!J112=3 ),'Items sous domaines Maths '!E112,0)</f>
        <v>0</v>
      </c>
      <c r="F108" s="9">
        <f>IF(OR('Items sous domaines Maths '!H112=3,'Items sous domaines Maths '!J112=3 ),'Items sous domaines Maths '!F112,0)</f>
        <v>0</v>
      </c>
      <c r="G108">
        <f>IF('Items sous domaines Maths '!H112=1,'Items sous domaines Maths '!G112,0)</f>
        <v>0</v>
      </c>
    </row>
    <row r="109" spans="1:9" customFormat="1" ht="17.7" hidden="1" customHeight="1" thickBot="1" x14ac:dyDescent="0.3">
      <c r="A109" s="695" t="s">
        <v>468</v>
      </c>
      <c r="B109" s="8">
        <f>IF(OR('Items sous domaines Maths '!H113=3,'Items sous domaines Maths '!J113=3 ),'Items sous domaines Maths '!B113,0)</f>
        <v>0</v>
      </c>
      <c r="C109" s="8" t="b">
        <f>IF(OR('Items sous domaines Maths '!H113=3,'Items sous domaines Maths '!J113=3 ),'Items sous domaines Maths '!C113)</f>
        <v>0</v>
      </c>
      <c r="D109" s="8">
        <f>IF(OR('Items sous domaines Maths '!H113=3,'Items sous domaines Maths '!J113=3 ),'Items sous domaines Maths '!D113,0)</f>
        <v>0</v>
      </c>
      <c r="E109" s="8">
        <f>IF(OR('Items sous domaines Maths '!H113=3,'Items sous domaines Maths '!J113=3 ),'Items sous domaines Maths '!E113,0)</f>
        <v>0</v>
      </c>
      <c r="F109" s="9">
        <f>IF(OR('Items sous domaines Maths '!H113=3,'Items sous domaines Maths '!J113=3 ),'Items sous domaines Maths '!F113,0)</f>
        <v>0</v>
      </c>
      <c r="G109">
        <f>IF('Items sous domaines Maths '!H113=1,'Items sous domaines Maths '!G113,0)</f>
        <v>0</v>
      </c>
    </row>
    <row r="110" spans="1:9" customFormat="1" ht="17.7" hidden="1" customHeight="1" thickBot="1" x14ac:dyDescent="0.3">
      <c r="A110" s="696"/>
      <c r="B110" s="8">
        <f>IF(OR('Items sous domaines Maths '!H114=3,'Items sous domaines Maths '!J114=3 ),'Items sous domaines Maths '!B114,0)</f>
        <v>0</v>
      </c>
      <c r="C110" s="8" t="b">
        <f>IF(OR('Items sous domaines Maths '!H114=3,'Items sous domaines Maths '!J114=3 ),'Items sous domaines Maths '!C114)</f>
        <v>0</v>
      </c>
      <c r="D110" s="8">
        <f>IF(OR('Items sous domaines Maths '!H114=3,'Items sous domaines Maths '!J114=3 ),'Items sous domaines Maths '!D114,0)</f>
        <v>0</v>
      </c>
      <c r="E110" s="8">
        <f>IF(OR('Items sous domaines Maths '!H114=3,'Items sous domaines Maths '!J114=3 ),'Items sous domaines Maths '!E114,0)</f>
        <v>0</v>
      </c>
      <c r="F110" s="9">
        <f>IF(OR('Items sous domaines Maths '!H114=3,'Items sous domaines Maths '!J114=3 ),'Items sous domaines Maths '!F114,0)</f>
        <v>0</v>
      </c>
      <c r="G110">
        <f>IF('Items sous domaines Maths '!H114=1,'Items sous domaines Maths '!G114,0)</f>
        <v>0</v>
      </c>
    </row>
    <row r="111" spans="1:9" customFormat="1" ht="26.25" hidden="1" customHeight="1" thickBot="1" x14ac:dyDescent="0.3">
      <c r="A111" s="696"/>
      <c r="B111" s="8">
        <f>IF(OR('Items sous domaines Maths '!H115=3,'Items sous domaines Maths '!J115=3 ),'Items sous domaines Maths '!B115,0)</f>
        <v>0</v>
      </c>
      <c r="C111" s="8" t="b">
        <f>IF(OR('Items sous domaines Maths '!H115=3,'Items sous domaines Maths '!J115=3 ),'Items sous domaines Maths '!C115)</f>
        <v>0</v>
      </c>
      <c r="D111" s="8">
        <f>IF(OR('Items sous domaines Maths '!H115=3,'Items sous domaines Maths '!J115=3 ),'Items sous domaines Maths '!D115,0)</f>
        <v>0</v>
      </c>
      <c r="E111" s="8">
        <f>IF(OR('Items sous domaines Maths '!H115=3,'Items sous domaines Maths '!J115=3 ),'Items sous domaines Maths '!E115,0)</f>
        <v>0</v>
      </c>
      <c r="F111" s="9">
        <f>IF(OR('Items sous domaines Maths '!H115=3,'Items sous domaines Maths '!J115=3 ),'Items sous domaines Maths '!F115,0)</f>
        <v>0</v>
      </c>
      <c r="G111">
        <f>IF('Items sous domaines Maths '!H115=1,'Items sous domaines Maths '!G115,0)</f>
        <v>0</v>
      </c>
    </row>
    <row r="112" spans="1:9" customFormat="1" ht="17.7" hidden="1" customHeight="1" thickBot="1" x14ac:dyDescent="0.3">
      <c r="A112" s="696"/>
      <c r="B112" s="8">
        <f>IF(OR('Items sous domaines Maths '!H116=3,'Items sous domaines Maths '!J116=3 ),'Items sous domaines Maths '!B116,0)</f>
        <v>0</v>
      </c>
      <c r="C112" s="8" t="b">
        <f>IF(OR('Items sous domaines Maths '!H116=3,'Items sous domaines Maths '!J116=3 ),'Items sous domaines Maths '!C116)</f>
        <v>0</v>
      </c>
      <c r="D112" s="8">
        <f>IF(OR('Items sous domaines Maths '!H116=3,'Items sous domaines Maths '!J116=3 ),'Items sous domaines Maths '!D116,0)</f>
        <v>0</v>
      </c>
      <c r="E112" s="8">
        <f>IF(OR('Items sous domaines Maths '!H116=3,'Items sous domaines Maths '!J116=3 ),'Items sous domaines Maths '!E116,0)</f>
        <v>0</v>
      </c>
      <c r="F112" s="9">
        <f>IF(OR('Items sous domaines Maths '!H116=3,'Items sous domaines Maths '!J116=3 ),'Items sous domaines Maths '!F116,0)</f>
        <v>0</v>
      </c>
      <c r="G112">
        <f>IF('Items sous domaines Maths '!H116=1,'Items sous domaines Maths '!G116,0)</f>
        <v>0</v>
      </c>
    </row>
    <row r="113" spans="1:7" customFormat="1" ht="17.7" hidden="1" customHeight="1" thickBot="1" x14ac:dyDescent="0.3">
      <c r="A113" s="696"/>
      <c r="B113" s="8">
        <f>IF(OR('Items sous domaines Maths '!H117=3,'Items sous domaines Maths '!J117=3 ),'Items sous domaines Maths '!B117,0)</f>
        <v>0</v>
      </c>
      <c r="C113" s="8" t="b">
        <f>IF(OR('Items sous domaines Maths '!H117=3,'Items sous domaines Maths '!J117=3 ),'Items sous domaines Maths '!C117)</f>
        <v>0</v>
      </c>
      <c r="D113" s="8">
        <f>IF(OR('Items sous domaines Maths '!H117=3,'Items sous domaines Maths '!J117=3 ),'Items sous domaines Maths '!D117,0)</f>
        <v>0</v>
      </c>
      <c r="E113" s="8">
        <f>IF(OR('Items sous domaines Maths '!H117=3,'Items sous domaines Maths '!J117=3 ),'Items sous domaines Maths '!E117,0)</f>
        <v>0</v>
      </c>
      <c r="F113" s="9">
        <f>IF(OR('Items sous domaines Maths '!H117=3,'Items sous domaines Maths '!J117=3 ),'Items sous domaines Maths '!F117,0)</f>
        <v>0</v>
      </c>
      <c r="G113">
        <f>IF('Items sous domaines Maths '!H117=1,'Items sous domaines Maths '!G117,0)</f>
        <v>0</v>
      </c>
    </row>
    <row r="114" spans="1:7" customFormat="1" ht="17.7" hidden="1" customHeight="1" thickBot="1" x14ac:dyDescent="0.3">
      <c r="A114" s="696"/>
      <c r="B114" s="8">
        <f>IF(OR('Items sous domaines Maths '!H118=3,'Items sous domaines Maths '!J118=3 ),'Items sous domaines Maths '!B118,0)</f>
        <v>0</v>
      </c>
      <c r="C114" s="8" t="b">
        <f>IF(OR('Items sous domaines Maths '!H118=3,'Items sous domaines Maths '!J118=3 ),'Items sous domaines Maths '!C118)</f>
        <v>0</v>
      </c>
      <c r="D114" s="8">
        <f>IF(OR('Items sous domaines Maths '!H118=3,'Items sous domaines Maths '!J118=3 ),'Items sous domaines Maths '!D118,0)</f>
        <v>0</v>
      </c>
      <c r="E114" s="8">
        <f>IF(OR('Items sous domaines Maths '!H118=3,'Items sous domaines Maths '!J118=3 ),'Items sous domaines Maths '!E118,0)</f>
        <v>0</v>
      </c>
      <c r="F114" s="9">
        <f>IF(OR('Items sous domaines Maths '!H118=3,'Items sous domaines Maths '!J118=3 ),'Items sous domaines Maths '!F118,0)</f>
        <v>0</v>
      </c>
      <c r="G114">
        <f>IF('Items sous domaines Maths '!H118=1,'Items sous domaines Maths '!G118,0)</f>
        <v>0</v>
      </c>
    </row>
    <row r="115" spans="1:7" customFormat="1" ht="17.7" hidden="1" customHeight="1" thickBot="1" x14ac:dyDescent="0.3">
      <c r="A115" s="696"/>
      <c r="B115" s="8">
        <f>IF(OR('Items sous domaines Maths '!H119=3,'Items sous domaines Maths '!J119=3 ),'Items sous domaines Maths '!B119,0)</f>
        <v>0</v>
      </c>
      <c r="C115" s="8" t="b">
        <f>IF(OR('Items sous domaines Maths '!H119=3,'Items sous domaines Maths '!J119=3 ),'Items sous domaines Maths '!C119)</f>
        <v>0</v>
      </c>
      <c r="D115" s="8">
        <f>IF(OR('Items sous domaines Maths '!H119=3,'Items sous domaines Maths '!J119=3 ),'Items sous domaines Maths '!D119,0)</f>
        <v>0</v>
      </c>
      <c r="E115" s="8">
        <f>IF(OR('Items sous domaines Maths '!H119=3,'Items sous domaines Maths '!J119=3 ),'Items sous domaines Maths '!E119,0)</f>
        <v>0</v>
      </c>
      <c r="F115" s="9">
        <f>IF(OR('Items sous domaines Maths '!H119=3,'Items sous domaines Maths '!J119=3 ),'Items sous domaines Maths '!F119,0)</f>
        <v>0</v>
      </c>
      <c r="G115">
        <f>IF('Items sous domaines Maths '!H119=1,'Items sous domaines Maths '!G119,0)</f>
        <v>0</v>
      </c>
    </row>
    <row r="116" spans="1:7" customFormat="1" ht="17.7" hidden="1" customHeight="1" thickBot="1" x14ac:dyDescent="0.3">
      <c r="A116" s="696"/>
      <c r="B116" s="8">
        <f>IF(OR('Items sous domaines Maths '!H120=3,'Items sous domaines Maths '!J120=3 ),'Items sous domaines Maths '!B120,0)</f>
        <v>0</v>
      </c>
      <c r="C116" s="8" t="b">
        <f>IF(OR('Items sous domaines Maths '!H120=3,'Items sous domaines Maths '!J120=3 ),'Items sous domaines Maths '!C120)</f>
        <v>0</v>
      </c>
      <c r="D116" s="8">
        <f>IF(OR('Items sous domaines Maths '!H120=3,'Items sous domaines Maths '!J120=3 ),'Items sous domaines Maths '!D120,0)</f>
        <v>0</v>
      </c>
      <c r="E116" s="8">
        <f>IF(OR('Items sous domaines Maths '!H120=3,'Items sous domaines Maths '!J120=3 ),'Items sous domaines Maths '!E120,0)</f>
        <v>0</v>
      </c>
      <c r="F116" s="9">
        <f>IF(OR('Items sous domaines Maths '!H120=3,'Items sous domaines Maths '!J120=3 ),'Items sous domaines Maths '!F120,0)</f>
        <v>0</v>
      </c>
      <c r="G116">
        <f>IF('Items sous domaines Maths '!H120=1,'Items sous domaines Maths '!G120,0)</f>
        <v>0</v>
      </c>
    </row>
    <row r="117" spans="1:7" customFormat="1" ht="17.7" hidden="1" customHeight="1" thickBot="1" x14ac:dyDescent="0.3">
      <c r="A117" s="696"/>
      <c r="B117" s="8">
        <f>IF(OR('Items sous domaines Maths '!H121=3,'Items sous domaines Maths '!J121=3 ),'Items sous domaines Maths '!B121,0)</f>
        <v>0</v>
      </c>
      <c r="C117" s="8" t="b">
        <f>IF(OR('Items sous domaines Maths '!H121=3,'Items sous domaines Maths '!J121=3 ),'Items sous domaines Maths '!C121)</f>
        <v>0</v>
      </c>
      <c r="D117" s="8">
        <f>IF(OR('Items sous domaines Maths '!H121=3,'Items sous domaines Maths '!J121=3 ),'Items sous domaines Maths '!D121,0)</f>
        <v>0</v>
      </c>
      <c r="E117" s="8">
        <f>IF(OR('Items sous domaines Maths '!H121=3,'Items sous domaines Maths '!J121=3 ),'Items sous domaines Maths '!E121,0)</f>
        <v>0</v>
      </c>
      <c r="F117" s="9">
        <f>IF(OR('Items sous domaines Maths '!H121=3,'Items sous domaines Maths '!J121=3 ),'Items sous domaines Maths '!F121,0)</f>
        <v>0</v>
      </c>
      <c r="G117">
        <f>IF('Items sous domaines Maths '!H121=1,'Items sous domaines Maths '!G121,0)</f>
        <v>0</v>
      </c>
    </row>
    <row r="118" spans="1:7" customFormat="1" ht="17.7" hidden="1" customHeight="1" thickBot="1" x14ac:dyDescent="0.3">
      <c r="A118" s="696"/>
      <c r="B118" s="8">
        <f>IF(OR('Items sous domaines Maths '!H122=3,'Items sous domaines Maths '!J122=3 ),'Items sous domaines Maths '!B122,0)</f>
        <v>0</v>
      </c>
      <c r="C118" s="8" t="b">
        <f>IF(OR('Items sous domaines Maths '!H122=3,'Items sous domaines Maths '!J122=3 ),'Items sous domaines Maths '!C122)</f>
        <v>0</v>
      </c>
      <c r="D118" s="8">
        <f>IF(OR('Items sous domaines Maths '!H122=3,'Items sous domaines Maths '!J122=3 ),'Items sous domaines Maths '!D122,0)</f>
        <v>0</v>
      </c>
      <c r="E118" s="8">
        <f>IF(OR('Items sous domaines Maths '!H122=3,'Items sous domaines Maths '!J122=3 ),'Items sous domaines Maths '!E122,0)</f>
        <v>0</v>
      </c>
      <c r="F118" s="9">
        <f>IF(OR('Items sous domaines Maths '!H122=3,'Items sous domaines Maths '!J122=3 ),'Items sous domaines Maths '!F122,0)</f>
        <v>0</v>
      </c>
      <c r="G118">
        <f>IF('Items sous domaines Maths '!H122=1,'Items sous domaines Maths '!G122,0)</f>
        <v>0</v>
      </c>
    </row>
    <row r="119" spans="1:7" customFormat="1" ht="17.7" hidden="1" customHeight="1" thickBot="1" x14ac:dyDescent="0.3">
      <c r="A119" s="696"/>
      <c r="B119" s="8">
        <f>IF(OR('Items sous domaines Maths '!H123=3,'Items sous domaines Maths '!J123=3 ),'Items sous domaines Maths '!B123,0)</f>
        <v>0</v>
      </c>
      <c r="C119" s="8" t="b">
        <f>IF(OR('Items sous domaines Maths '!H123=3,'Items sous domaines Maths '!J123=3 ),'Items sous domaines Maths '!C123)</f>
        <v>0</v>
      </c>
      <c r="D119" s="8">
        <f>IF(OR('Items sous domaines Maths '!H123=3,'Items sous domaines Maths '!J123=3 ),'Items sous domaines Maths '!D123,0)</f>
        <v>0</v>
      </c>
      <c r="E119" s="8">
        <f>IF(OR('Items sous domaines Maths '!H123=3,'Items sous domaines Maths '!J123=3 ),'Items sous domaines Maths '!E123,0)</f>
        <v>0</v>
      </c>
      <c r="F119" s="9">
        <f>IF(OR('Items sous domaines Maths '!H123=3,'Items sous domaines Maths '!J123=3 ),'Items sous domaines Maths '!F123,0)</f>
        <v>0</v>
      </c>
      <c r="G119">
        <f>IF('Items sous domaines Maths '!H123=1,'Items sous domaines Maths '!G123,0)</f>
        <v>0</v>
      </c>
    </row>
    <row r="120" spans="1:7" customFormat="1" ht="17.7" hidden="1" customHeight="1" thickBot="1" x14ac:dyDescent="0.3">
      <c r="A120" s="696"/>
      <c r="B120" s="8">
        <f>IF(OR('Items sous domaines Maths '!H124=3,'Items sous domaines Maths '!J124=3 ),'Items sous domaines Maths '!B124,0)</f>
        <v>0</v>
      </c>
      <c r="C120" s="8" t="b">
        <f>IF(OR('Items sous domaines Maths '!H124=3,'Items sous domaines Maths '!J124=3 ),'Items sous domaines Maths '!C124)</f>
        <v>0</v>
      </c>
      <c r="D120" s="8">
        <f>IF(OR('Items sous domaines Maths '!H124=3,'Items sous domaines Maths '!J124=3 ),'Items sous domaines Maths '!D124,0)</f>
        <v>0</v>
      </c>
      <c r="E120" s="8">
        <f>IF(OR('Items sous domaines Maths '!H124=3,'Items sous domaines Maths '!J124=3 ),'Items sous domaines Maths '!E124,0)</f>
        <v>0</v>
      </c>
      <c r="F120" s="9">
        <f>IF(OR('Items sous domaines Maths '!H124=3,'Items sous domaines Maths '!J124=3 ),'Items sous domaines Maths '!F124,0)</f>
        <v>0</v>
      </c>
      <c r="G120">
        <f>IF('Items sous domaines Maths '!H124=1,'Items sous domaines Maths '!G124,0)</f>
        <v>0</v>
      </c>
    </row>
    <row r="121" spans="1:7" customFormat="1" ht="17.7" hidden="1" customHeight="1" thickBot="1" x14ac:dyDescent="0.3">
      <c r="A121" s="696"/>
      <c r="B121" s="8">
        <f>IF(OR('Items sous domaines Maths '!H125=3,'Items sous domaines Maths '!J125=3 ),'Items sous domaines Maths '!B125,0)</f>
        <v>0</v>
      </c>
      <c r="C121" s="8" t="b">
        <f>IF(OR('Items sous domaines Maths '!H125=3,'Items sous domaines Maths '!J125=3 ),'Items sous domaines Maths '!C125)</f>
        <v>0</v>
      </c>
      <c r="D121" s="8">
        <f>IF(OR('Items sous domaines Maths '!H125=3,'Items sous domaines Maths '!J125=3 ),'Items sous domaines Maths '!D125,0)</f>
        <v>0</v>
      </c>
      <c r="E121" s="8">
        <f>IF(OR('Items sous domaines Maths '!H125=3,'Items sous domaines Maths '!J125=3 ),'Items sous domaines Maths '!E125,0)</f>
        <v>0</v>
      </c>
      <c r="F121" s="9">
        <f>IF(OR('Items sous domaines Maths '!H125=3,'Items sous domaines Maths '!J125=3 ),'Items sous domaines Maths '!F125,0)</f>
        <v>0</v>
      </c>
      <c r="G121">
        <f>IF('Items sous domaines Maths '!H125=1,'Items sous domaines Maths '!G125,0)</f>
        <v>0</v>
      </c>
    </row>
    <row r="122" spans="1:7" customFormat="1" ht="17.7" hidden="1" customHeight="1" thickBot="1" x14ac:dyDescent="0.3">
      <c r="A122" s="696"/>
      <c r="B122" s="8">
        <f>IF(OR('Items sous domaines Maths '!H126=3,'Items sous domaines Maths '!J126=3 ),'Items sous domaines Maths '!B126,0)</f>
        <v>0</v>
      </c>
      <c r="C122" s="8" t="b">
        <f>IF(OR('Items sous domaines Maths '!H126=3,'Items sous domaines Maths '!J126=3 ),'Items sous domaines Maths '!C126)</f>
        <v>0</v>
      </c>
      <c r="D122" s="8">
        <f>IF(OR('Items sous domaines Maths '!H126=3,'Items sous domaines Maths '!J126=3 ),'Items sous domaines Maths '!D126,0)</f>
        <v>0</v>
      </c>
      <c r="E122" s="8">
        <f>IF(OR('Items sous domaines Maths '!H126=3,'Items sous domaines Maths '!J126=3 ),'Items sous domaines Maths '!E126,0)</f>
        <v>0</v>
      </c>
      <c r="F122" s="9">
        <f>IF(OR('Items sous domaines Maths '!H126=3,'Items sous domaines Maths '!J126=3 ),'Items sous domaines Maths '!F126,0)</f>
        <v>0</v>
      </c>
      <c r="G122">
        <f>IF('Items sous domaines Maths '!H126=1,'Items sous domaines Maths '!G126,0)</f>
        <v>0</v>
      </c>
    </row>
    <row r="123" spans="1:7" customFormat="1" ht="17.7" hidden="1" customHeight="1" thickBot="1" x14ac:dyDescent="0.3">
      <c r="A123" s="697"/>
      <c r="B123" s="8">
        <f>IF(OR('Items sous domaines Maths '!H127=3,'Items sous domaines Maths '!J127=3 ),'Items sous domaines Maths '!B127,0)</f>
        <v>0</v>
      </c>
      <c r="C123" s="8" t="b">
        <f>IF(OR('Items sous domaines Maths '!H127=3,'Items sous domaines Maths '!J127=3 ),'Items sous domaines Maths '!C127)</f>
        <v>0</v>
      </c>
      <c r="D123" s="8">
        <f>IF(OR('Items sous domaines Maths '!H127=3,'Items sous domaines Maths '!J127=3 ),'Items sous domaines Maths '!D127,0)</f>
        <v>0</v>
      </c>
      <c r="E123" s="8">
        <f>IF(OR('Items sous domaines Maths '!H127=3,'Items sous domaines Maths '!J127=3 ),'Items sous domaines Maths '!E127,0)</f>
        <v>0</v>
      </c>
      <c r="F123" s="9">
        <f>IF(OR('Items sous domaines Maths '!H127=3,'Items sous domaines Maths '!J127=3 ),'Items sous domaines Maths '!F127,0)</f>
        <v>0</v>
      </c>
      <c r="G123">
        <f>IF('Items sous domaines Maths '!H127=1,'Items sous domaines Maths '!G127,0)</f>
        <v>0</v>
      </c>
    </row>
    <row r="124" spans="1:7" customFormat="1" ht="17.7" hidden="1" customHeight="1" thickBot="1" x14ac:dyDescent="0.3">
      <c r="A124" s="15"/>
      <c r="B124" s="8">
        <f>IF(OR('Items sous domaines Maths '!H128=3,'Items sous domaines Maths '!J128=3 ),'Items sous domaines Maths '!B128,0)</f>
        <v>0</v>
      </c>
      <c r="C124" s="8" t="b">
        <f>IF(OR('Items sous domaines Maths '!H128=3,'Items sous domaines Maths '!J128=3 ),'Items sous domaines Maths '!C128)</f>
        <v>0</v>
      </c>
      <c r="D124" s="8">
        <f>IF(OR('Items sous domaines Maths '!H128=3,'Items sous domaines Maths '!J128=3 ),'Items sous domaines Maths '!D128,0)</f>
        <v>0</v>
      </c>
      <c r="E124" s="8">
        <f>IF(OR('Items sous domaines Maths '!H128=3,'Items sous domaines Maths '!J128=3 ),'Items sous domaines Maths '!E128,0)</f>
        <v>0</v>
      </c>
      <c r="F124" s="9">
        <f>IF(OR('Items sous domaines Maths '!H128=3,'Items sous domaines Maths '!J128=3 ),'Items sous domaines Maths '!F128,0)</f>
        <v>0</v>
      </c>
      <c r="G124">
        <f>IF('Items sous domaines Maths '!H128=1,'Items sous domaines Maths '!G128,0)</f>
        <v>0</v>
      </c>
    </row>
    <row r="125" spans="1:7" customFormat="1" ht="17.7" hidden="1" customHeight="1" thickBot="1" x14ac:dyDescent="0.3">
      <c r="A125" s="698" t="s">
        <v>465</v>
      </c>
      <c r="B125" s="8">
        <f>IF(OR('Items sous domaines Maths '!H129=3,'Items sous domaines Maths '!J129=3 ),'Items sous domaines Maths '!B129,0)</f>
        <v>0</v>
      </c>
      <c r="C125" s="8" t="b">
        <f>IF(OR('Items sous domaines Maths '!H129=3,'Items sous domaines Maths '!J129=3 ),'Items sous domaines Maths '!C129)</f>
        <v>0</v>
      </c>
      <c r="D125" s="8">
        <f>IF(OR('Items sous domaines Maths '!H129=3,'Items sous domaines Maths '!J129=3 ),'Items sous domaines Maths '!D129,0)</f>
        <v>0</v>
      </c>
      <c r="E125" s="8">
        <f>IF(OR('Items sous domaines Maths '!H129=3,'Items sous domaines Maths '!J129=3 ),'Items sous domaines Maths '!E129,0)</f>
        <v>0</v>
      </c>
      <c r="F125" s="9">
        <f>IF(OR('Items sous domaines Maths '!H129=3,'Items sous domaines Maths '!J129=3 ),'Items sous domaines Maths '!F129,0)</f>
        <v>0</v>
      </c>
      <c r="G125">
        <f>IF('Items sous domaines Maths '!H129=1,'Items sous domaines Maths '!G129,0)</f>
        <v>0</v>
      </c>
    </row>
    <row r="126" spans="1:7" customFormat="1" ht="17.7" hidden="1" customHeight="1" thickBot="1" x14ac:dyDescent="0.3">
      <c r="A126" s="698"/>
      <c r="B126" s="8">
        <f>IF(OR('Items sous domaines Maths '!H130=3,'Items sous domaines Maths '!J130=3 ),'Items sous domaines Maths '!B130,0)</f>
        <v>0</v>
      </c>
      <c r="C126" s="8" t="b">
        <f>IF(OR('Items sous domaines Maths '!H130=3,'Items sous domaines Maths '!J130=3 ),'Items sous domaines Maths '!C130)</f>
        <v>0</v>
      </c>
      <c r="D126" s="8">
        <f>IF(OR('Items sous domaines Maths '!H130=3,'Items sous domaines Maths '!J130=3 ),'Items sous domaines Maths '!D130,0)</f>
        <v>0</v>
      </c>
      <c r="E126" s="8">
        <f>IF(OR('Items sous domaines Maths '!H130=3,'Items sous domaines Maths '!J130=3 ),'Items sous domaines Maths '!E130,0)</f>
        <v>0</v>
      </c>
      <c r="F126" s="9">
        <f>IF(OR('Items sous domaines Maths '!H130=3,'Items sous domaines Maths '!J130=3 ),'Items sous domaines Maths '!F130,0)</f>
        <v>0</v>
      </c>
      <c r="G126">
        <f>IF('Items sous domaines Maths '!H130=1,'Items sous domaines Maths '!G130,0)</f>
        <v>0</v>
      </c>
    </row>
    <row r="127" spans="1:7" customFormat="1" ht="17.7" hidden="1" customHeight="1" thickBot="1" x14ac:dyDescent="0.3">
      <c r="A127" s="698"/>
      <c r="B127" s="8">
        <f>IF(OR('Items sous domaines Maths '!H131=3,'Items sous domaines Maths '!J131=3 ),'Items sous domaines Maths '!B131,0)</f>
        <v>0</v>
      </c>
      <c r="C127" s="8" t="b">
        <f>IF(OR('Items sous domaines Maths '!H131=3,'Items sous domaines Maths '!J131=3 ),'Items sous domaines Maths '!C131)</f>
        <v>0</v>
      </c>
      <c r="D127" s="8">
        <f>IF(OR('Items sous domaines Maths '!H131=3,'Items sous domaines Maths '!J131=3 ),'Items sous domaines Maths '!D131,0)</f>
        <v>0</v>
      </c>
      <c r="E127" s="8">
        <f>IF(OR('Items sous domaines Maths '!H131=3,'Items sous domaines Maths '!J131=3 ),'Items sous domaines Maths '!E131,0)</f>
        <v>0</v>
      </c>
      <c r="F127" s="9">
        <f>IF(OR('Items sous domaines Maths '!H131=3,'Items sous domaines Maths '!J131=3 ),'Items sous domaines Maths '!F131,0)</f>
        <v>0</v>
      </c>
      <c r="G127">
        <f>IF('Items sous domaines Maths '!H131=1,'Items sous domaines Maths '!G131,0)</f>
        <v>0</v>
      </c>
    </row>
    <row r="128" spans="1:7" customFormat="1" ht="17.7" hidden="1" customHeight="1" thickBot="1" x14ac:dyDescent="0.3">
      <c r="A128" s="698"/>
      <c r="B128" s="8">
        <f>IF(OR('Items sous domaines Maths '!H132=3,'Items sous domaines Maths '!J132=3 ),'Items sous domaines Maths '!B132,0)</f>
        <v>0</v>
      </c>
      <c r="C128" s="8" t="b">
        <f>IF(OR('Items sous domaines Maths '!H132=3,'Items sous domaines Maths '!J132=3 ),'Items sous domaines Maths '!C132)</f>
        <v>0</v>
      </c>
      <c r="D128" s="8">
        <f>IF(OR('Items sous domaines Maths '!H132=3,'Items sous domaines Maths '!J132=3 ),'Items sous domaines Maths '!D132,0)</f>
        <v>0</v>
      </c>
      <c r="E128" s="8">
        <f>IF(OR('Items sous domaines Maths '!H132=3,'Items sous domaines Maths '!J132=3 ),'Items sous domaines Maths '!E132,0)</f>
        <v>0</v>
      </c>
      <c r="F128" s="9">
        <f>IF(OR('Items sous domaines Maths '!H132=3,'Items sous domaines Maths '!J132=3 ),'Items sous domaines Maths '!F132,0)</f>
        <v>0</v>
      </c>
      <c r="G128">
        <f>IF('Items sous domaines Maths '!H132=1,'Items sous domaines Maths '!G132,0)</f>
        <v>0</v>
      </c>
    </row>
    <row r="129" spans="1:7" customFormat="1" ht="17.7" hidden="1" customHeight="1" thickBot="1" x14ac:dyDescent="0.3">
      <c r="A129" s="698"/>
      <c r="B129" s="8">
        <f>IF(OR('Items sous domaines Maths '!H133=3,'Items sous domaines Maths '!J133=3 ),'Items sous domaines Maths '!B133,0)</f>
        <v>0</v>
      </c>
      <c r="C129" s="8" t="b">
        <f>IF(OR('Items sous domaines Maths '!H133=3,'Items sous domaines Maths '!J133=3 ),'Items sous domaines Maths '!C133)</f>
        <v>0</v>
      </c>
      <c r="D129" s="8">
        <f>IF(OR('Items sous domaines Maths '!H133=3,'Items sous domaines Maths '!J133=3 ),'Items sous domaines Maths '!D133,0)</f>
        <v>0</v>
      </c>
      <c r="E129" s="8">
        <f>IF(OR('Items sous domaines Maths '!H133=3,'Items sous domaines Maths '!J133=3 ),'Items sous domaines Maths '!E133,0)</f>
        <v>0</v>
      </c>
      <c r="F129" s="9">
        <f>IF(OR('Items sous domaines Maths '!H133=3,'Items sous domaines Maths '!J133=3 ),'Items sous domaines Maths '!F133,0)</f>
        <v>0</v>
      </c>
      <c r="G129">
        <f>IF('Items sous domaines Maths '!H133=1,'Items sous domaines Maths '!G133,0)</f>
        <v>0</v>
      </c>
    </row>
    <row r="130" spans="1:7" customFormat="1" ht="17.7" hidden="1" customHeight="1" thickBot="1" x14ac:dyDescent="0.3">
      <c r="A130" s="698"/>
      <c r="B130" s="8">
        <f>IF(OR('Items sous domaines Maths '!H134=3,'Items sous domaines Maths '!J134=3 ),'Items sous domaines Maths '!B134,0)</f>
        <v>0</v>
      </c>
      <c r="C130" s="8" t="b">
        <f>IF(OR('Items sous domaines Maths '!H134=3,'Items sous domaines Maths '!J134=3 ),'Items sous domaines Maths '!C134)</f>
        <v>0</v>
      </c>
      <c r="D130" s="8">
        <f>IF(OR('Items sous domaines Maths '!H134=3,'Items sous domaines Maths '!J134=3 ),'Items sous domaines Maths '!D134,0)</f>
        <v>0</v>
      </c>
      <c r="E130" s="8">
        <f>IF(OR('Items sous domaines Maths '!H134=3,'Items sous domaines Maths '!J134=3 ),'Items sous domaines Maths '!E134,0)</f>
        <v>0</v>
      </c>
      <c r="F130" s="9">
        <f>IF(OR('Items sous domaines Maths '!H134=3,'Items sous domaines Maths '!J134=3 ),'Items sous domaines Maths '!F134,0)</f>
        <v>0</v>
      </c>
      <c r="G130">
        <f>IF('Items sous domaines Maths '!H134=1,'Items sous domaines Maths '!G134,0)</f>
        <v>0</v>
      </c>
    </row>
    <row r="131" spans="1:7" customFormat="1" ht="17.7" hidden="1" customHeight="1" thickBot="1" x14ac:dyDescent="0.3">
      <c r="A131" s="698"/>
      <c r="B131" s="8">
        <f>IF(OR('Items sous domaines Maths '!H135=3,'Items sous domaines Maths '!J135=3 ),'Items sous domaines Maths '!B135,0)</f>
        <v>0</v>
      </c>
      <c r="C131" s="8" t="b">
        <f>IF(OR('Items sous domaines Maths '!H135=3,'Items sous domaines Maths '!J135=3 ),'Items sous domaines Maths '!C135)</f>
        <v>0</v>
      </c>
      <c r="D131" s="8">
        <f>IF(OR('Items sous domaines Maths '!H135=3,'Items sous domaines Maths '!J135=3 ),'Items sous domaines Maths '!D135,0)</f>
        <v>0</v>
      </c>
      <c r="E131" s="8">
        <f>IF(OR('Items sous domaines Maths '!H135=3,'Items sous domaines Maths '!J135=3 ),'Items sous domaines Maths '!E135,0)</f>
        <v>0</v>
      </c>
      <c r="F131" s="9">
        <f>IF(OR('Items sous domaines Maths '!H135=3,'Items sous domaines Maths '!J135=3 ),'Items sous domaines Maths '!F135,0)</f>
        <v>0</v>
      </c>
      <c r="G131">
        <f>IF('Items sous domaines Maths '!H135=1,'Items sous domaines Maths '!G135,0)</f>
        <v>0</v>
      </c>
    </row>
    <row r="132" spans="1:7" customFormat="1" ht="17.7" hidden="1" customHeight="1" thickBot="1" x14ac:dyDescent="0.3">
      <c r="A132" s="698"/>
      <c r="B132" s="8">
        <f>IF(OR('Items sous domaines Maths '!H136=3,'Items sous domaines Maths '!J136=3 ),'Items sous domaines Maths '!B136,0)</f>
        <v>0</v>
      </c>
      <c r="C132" s="8" t="b">
        <f>IF(OR('Items sous domaines Maths '!H136=3,'Items sous domaines Maths '!J136=3 ),'Items sous domaines Maths '!C136)</f>
        <v>0</v>
      </c>
      <c r="D132" s="8">
        <f>IF(OR('Items sous domaines Maths '!H136=3,'Items sous domaines Maths '!J136=3 ),'Items sous domaines Maths '!D136,0)</f>
        <v>0</v>
      </c>
      <c r="E132" s="8">
        <f>IF(OR('Items sous domaines Maths '!H136=3,'Items sous domaines Maths '!J136=3 ),'Items sous domaines Maths '!E136,0)</f>
        <v>0</v>
      </c>
      <c r="F132" s="9">
        <f>IF(OR('Items sous domaines Maths '!H136=3,'Items sous domaines Maths '!J136=3 ),'Items sous domaines Maths '!F136,0)</f>
        <v>0</v>
      </c>
      <c r="G132">
        <f>IF('Items sous domaines Maths '!H136=1,'Items sous domaines Maths '!G136,0)</f>
        <v>0</v>
      </c>
    </row>
    <row r="133" spans="1:7" customFormat="1" ht="17.7" hidden="1" customHeight="1" thickBot="1" x14ac:dyDescent="0.3">
      <c r="A133" s="698"/>
      <c r="B133" s="8">
        <f>IF(OR('Items sous domaines Maths '!H137=3,'Items sous domaines Maths '!J137=3 ),'Items sous domaines Maths '!B137,0)</f>
        <v>0</v>
      </c>
      <c r="C133" s="8" t="b">
        <f>IF(OR('Items sous domaines Maths '!H137=3,'Items sous domaines Maths '!J137=3 ),'Items sous domaines Maths '!C137)</f>
        <v>0</v>
      </c>
      <c r="D133" s="8">
        <f>IF(OR('Items sous domaines Maths '!H137=3,'Items sous domaines Maths '!J137=3 ),'Items sous domaines Maths '!D137,0)</f>
        <v>0</v>
      </c>
      <c r="E133" s="8">
        <f>IF(OR('Items sous domaines Maths '!H137=3,'Items sous domaines Maths '!J137=3 ),'Items sous domaines Maths '!E137,0)</f>
        <v>0</v>
      </c>
      <c r="F133" s="9">
        <f>IF(OR('Items sous domaines Maths '!H137=3,'Items sous domaines Maths '!J137=3 ),'Items sous domaines Maths '!F137,0)</f>
        <v>0</v>
      </c>
      <c r="G133">
        <f>IF('Items sous domaines Maths '!H137=1,'Items sous domaines Maths '!G137,0)</f>
        <v>0</v>
      </c>
    </row>
    <row r="134" spans="1:7" customFormat="1" ht="17.7" hidden="1" customHeight="1" thickBot="1" x14ac:dyDescent="0.3">
      <c r="A134" s="15"/>
      <c r="B134" s="8">
        <f>IF(OR('Items sous domaines Maths '!H138=3,'Items sous domaines Maths '!J138=3 ),'Items sous domaines Maths '!B138,0)</f>
        <v>0</v>
      </c>
      <c r="C134" s="8" t="b">
        <f>IF(OR('Items sous domaines Maths '!H138=3,'Items sous domaines Maths '!J138=3 ),'Items sous domaines Maths '!C138)</f>
        <v>0</v>
      </c>
      <c r="D134" s="8">
        <f>IF(OR('Items sous domaines Maths '!H138=3,'Items sous domaines Maths '!J138=3 ),'Items sous domaines Maths '!D138,0)</f>
        <v>0</v>
      </c>
      <c r="E134" s="8">
        <f>IF(OR('Items sous domaines Maths '!H138=3,'Items sous domaines Maths '!J138=3 ),'Items sous domaines Maths '!E138,0)</f>
        <v>0</v>
      </c>
      <c r="F134" s="9">
        <f>IF(OR('Items sous domaines Maths '!H138=3,'Items sous domaines Maths '!J138=3 ),'Items sous domaines Maths '!F138,0)</f>
        <v>0</v>
      </c>
      <c r="G134">
        <f>IF('Items sous domaines Maths '!H138=1,'Items sous domaines Maths '!G138,0)</f>
        <v>0</v>
      </c>
    </row>
    <row r="135" spans="1:7" customFormat="1" ht="17.7" hidden="1" customHeight="1" thickBot="1" x14ac:dyDescent="0.3">
      <c r="A135" s="15"/>
      <c r="B135" s="8">
        <f>IF(OR('Items sous domaines Maths '!H139=3,'Items sous domaines Maths '!J139=3 ),'Items sous domaines Maths '!B139,0)</f>
        <v>0</v>
      </c>
      <c r="C135" s="8" t="b">
        <f>IF(OR('Items sous domaines Maths '!H139=3,'Items sous domaines Maths '!J139=3 ),'Items sous domaines Maths '!C139)</f>
        <v>0</v>
      </c>
      <c r="D135" s="8">
        <f>IF(OR('Items sous domaines Maths '!H139=3,'Items sous domaines Maths '!J139=3 ),'Items sous domaines Maths '!D139,0)</f>
        <v>0</v>
      </c>
      <c r="E135" s="8">
        <f>IF(OR('Items sous domaines Maths '!H139=3,'Items sous domaines Maths '!J139=3 ),'Items sous domaines Maths '!E139,0)</f>
        <v>0</v>
      </c>
      <c r="F135" s="9">
        <f>IF(OR('Items sous domaines Maths '!H139=3,'Items sous domaines Maths '!J139=3 ),'Items sous domaines Maths '!F139,0)</f>
        <v>0</v>
      </c>
      <c r="G135">
        <f>IF('Items sous domaines Maths '!H139=1,'Items sous domaines Maths '!G139,0)</f>
        <v>0</v>
      </c>
    </row>
    <row r="136" spans="1:7" customFormat="1" ht="17.7" hidden="1" customHeight="1" thickBot="1" x14ac:dyDescent="0.3">
      <c r="A136" s="15"/>
      <c r="B136" s="8">
        <f>IF(OR('Items sous domaines Maths '!H140=3,'Items sous domaines Maths '!J140=3 ),'Items sous domaines Maths '!B140,0)</f>
        <v>0</v>
      </c>
      <c r="C136" s="8" t="b">
        <f>IF(OR('Items sous domaines Maths '!H140=3,'Items sous domaines Maths '!J140=3 ),'Items sous domaines Maths '!C140)</f>
        <v>0</v>
      </c>
      <c r="D136" s="8">
        <f>IF(OR('Items sous domaines Maths '!H140=3,'Items sous domaines Maths '!J140=3 ),'Items sous domaines Maths '!D140,0)</f>
        <v>0</v>
      </c>
      <c r="E136" s="8">
        <f>IF(OR('Items sous domaines Maths '!H140=3,'Items sous domaines Maths '!J140=3 ),'Items sous domaines Maths '!E140,0)</f>
        <v>0</v>
      </c>
      <c r="F136" s="9">
        <f>IF(OR('Items sous domaines Maths '!H140=3,'Items sous domaines Maths '!J140=3 ),'Items sous domaines Maths '!F140,0)</f>
        <v>0</v>
      </c>
      <c r="G136">
        <f>IF('Items sous domaines Maths '!H140=1,'Items sous domaines Maths '!G140,0)</f>
        <v>0</v>
      </c>
    </row>
    <row r="137" spans="1:7" customFormat="1" ht="17.7" hidden="1" customHeight="1" thickBot="1" x14ac:dyDescent="0.3">
      <c r="A137" s="15"/>
      <c r="B137" s="8">
        <f>IF(OR('Items sous domaines Maths '!H141=3,'Items sous domaines Maths '!J141=3 ),'Items sous domaines Maths '!B141,0)</f>
        <v>0</v>
      </c>
      <c r="C137" s="8" t="b">
        <f>IF(OR('Items sous domaines Maths '!H141=3,'Items sous domaines Maths '!J141=3 ),'Items sous domaines Maths '!C141)</f>
        <v>0</v>
      </c>
      <c r="D137" s="8">
        <f>IF(OR('Items sous domaines Maths '!H141=3,'Items sous domaines Maths '!J141=3 ),'Items sous domaines Maths '!D141,0)</f>
        <v>0</v>
      </c>
      <c r="E137" s="8">
        <f>IF(OR('Items sous domaines Maths '!H141=3,'Items sous domaines Maths '!J141=3 ),'Items sous domaines Maths '!E141,0)</f>
        <v>0</v>
      </c>
      <c r="F137" s="9">
        <f>IF(OR('Items sous domaines Maths '!H141=3,'Items sous domaines Maths '!J141=3 ),'Items sous domaines Maths '!F141,0)</f>
        <v>0</v>
      </c>
      <c r="G137">
        <f>IF('Items sous domaines Maths '!H141=1,'Items sous domaines Maths '!G141,0)</f>
        <v>0</v>
      </c>
    </row>
    <row r="138" spans="1:7" customFormat="1" ht="17.7" hidden="1" customHeight="1" thickBot="1" x14ac:dyDescent="0.3">
      <c r="A138" s="15"/>
      <c r="B138" s="8">
        <f>IF(OR('Items sous domaines Maths '!H142=3,'Items sous domaines Maths '!J142=3 ),'Items sous domaines Maths '!B142,0)</f>
        <v>0</v>
      </c>
      <c r="C138" s="8" t="b">
        <f>IF(OR('Items sous domaines Maths '!H142=3,'Items sous domaines Maths '!J142=3 ),'Items sous domaines Maths '!C142)</f>
        <v>0</v>
      </c>
      <c r="D138" s="8">
        <f>IF(OR('Items sous domaines Maths '!H142=3,'Items sous domaines Maths '!J142=3 ),'Items sous domaines Maths '!D142,0)</f>
        <v>0</v>
      </c>
      <c r="E138" s="8">
        <f>IF(OR('Items sous domaines Maths '!H142=3,'Items sous domaines Maths '!J142=3 ),'Items sous domaines Maths '!E142,0)</f>
        <v>0</v>
      </c>
      <c r="F138" s="9">
        <f>IF(OR('Items sous domaines Maths '!H142=3,'Items sous domaines Maths '!J142=3 ),'Items sous domaines Maths '!F142,0)</f>
        <v>0</v>
      </c>
      <c r="G138">
        <f>IF('Items sous domaines Maths '!H142=1,'Items sous domaines Maths '!G142,0)</f>
        <v>0</v>
      </c>
    </row>
    <row r="139" spans="1:7" customFormat="1" ht="17.7" hidden="1" customHeight="1" thickBot="1" x14ac:dyDescent="0.3">
      <c r="A139" s="15"/>
      <c r="B139" s="8">
        <f>IF(OR('Items sous domaines Maths '!H143=3,'Items sous domaines Maths '!J143=3 ),'Items sous domaines Maths '!B143,0)</f>
        <v>0</v>
      </c>
      <c r="C139" s="8" t="b">
        <f>IF(OR('Items sous domaines Maths '!H143=3,'Items sous domaines Maths '!J143=3 ),'Items sous domaines Maths '!C143)</f>
        <v>0</v>
      </c>
      <c r="D139" s="8">
        <f>IF(OR('Items sous domaines Maths '!H143=3,'Items sous domaines Maths '!J143=3 ),'Items sous domaines Maths '!D143,0)</f>
        <v>0</v>
      </c>
      <c r="E139" s="8">
        <f>IF(OR('Items sous domaines Maths '!H143=3,'Items sous domaines Maths '!J143=3 ),'Items sous domaines Maths '!E143,0)</f>
        <v>0</v>
      </c>
      <c r="F139" s="9">
        <f>IF(OR('Items sous domaines Maths '!H143=3,'Items sous domaines Maths '!J143=3 ),'Items sous domaines Maths '!F143,0)</f>
        <v>0</v>
      </c>
      <c r="G139">
        <f>IF('Items sous domaines Maths '!H143=1,'Items sous domaines Maths '!G143,0)</f>
        <v>0</v>
      </c>
    </row>
    <row r="140" spans="1:7" customFormat="1" ht="17.7" hidden="1" customHeight="1" thickBot="1" x14ac:dyDescent="0.3">
      <c r="A140" s="15"/>
      <c r="B140" s="8">
        <f>IF(OR('Items sous domaines Maths '!H144=3,'Items sous domaines Maths '!J144=3 ),'Items sous domaines Maths '!B144,0)</f>
        <v>0</v>
      </c>
      <c r="C140" s="8" t="b">
        <f>IF(OR('Items sous domaines Maths '!H144=3,'Items sous domaines Maths '!J144=3 ),'Items sous domaines Maths '!C144)</f>
        <v>0</v>
      </c>
      <c r="D140" s="8">
        <f>IF(OR('Items sous domaines Maths '!H144=3,'Items sous domaines Maths '!J144=3 ),'Items sous domaines Maths '!D144,0)</f>
        <v>0</v>
      </c>
      <c r="E140" s="8">
        <f>IF(OR('Items sous domaines Maths '!H144=3,'Items sous domaines Maths '!J144=3 ),'Items sous domaines Maths '!E144,0)</f>
        <v>0</v>
      </c>
      <c r="F140" s="9">
        <f>IF(OR('Items sous domaines Maths '!H144=3,'Items sous domaines Maths '!J144=3 ),'Items sous domaines Maths '!F144,0)</f>
        <v>0</v>
      </c>
      <c r="G140">
        <f>IF('Items sous domaines Maths '!H144=1,'Items sous domaines Maths '!G144,0)</f>
        <v>0</v>
      </c>
    </row>
    <row r="141" spans="1:7" customFormat="1" ht="17.7" hidden="1" customHeight="1" thickBot="1" x14ac:dyDescent="0.3">
      <c r="A141" s="15"/>
      <c r="B141" s="8">
        <f>IF(OR('Items sous domaines Maths '!H145=3,'Items sous domaines Maths '!J145=3 ),'Items sous domaines Maths '!B145,0)</f>
        <v>0</v>
      </c>
      <c r="C141" s="8" t="b">
        <f>IF(OR('Items sous domaines Maths '!H145=3,'Items sous domaines Maths '!J145=3 ),'Items sous domaines Maths '!C145)</f>
        <v>0</v>
      </c>
      <c r="D141" s="8">
        <f>IF(OR('Items sous domaines Maths '!H145=3,'Items sous domaines Maths '!J145=3 ),'Items sous domaines Maths '!D145,0)</f>
        <v>0</v>
      </c>
      <c r="E141" s="8">
        <f>IF(OR('Items sous domaines Maths '!H145=3,'Items sous domaines Maths '!J145=3 ),'Items sous domaines Maths '!E145,0)</f>
        <v>0</v>
      </c>
      <c r="F141" s="9">
        <f>IF(OR('Items sous domaines Maths '!H145=3,'Items sous domaines Maths '!J145=3 ),'Items sous domaines Maths '!F145,0)</f>
        <v>0</v>
      </c>
      <c r="G141">
        <f>IF('Items sous domaines Maths '!H145=1,'Items sous domaines Maths '!G145,0)</f>
        <v>0</v>
      </c>
    </row>
    <row r="142" spans="1:7" customFormat="1" ht="17.7" hidden="1" customHeight="1" thickBot="1" x14ac:dyDescent="0.3">
      <c r="A142" s="15"/>
      <c r="B142" s="8">
        <f>IF(OR('Items sous domaines Maths '!H146=3,'Items sous domaines Maths '!J146=3 ),'Items sous domaines Maths '!B146,0)</f>
        <v>0</v>
      </c>
      <c r="C142" s="8" t="b">
        <f>IF(OR('Items sous domaines Maths '!H146=3,'Items sous domaines Maths '!J146=3 ),'Items sous domaines Maths '!C146)</f>
        <v>0</v>
      </c>
      <c r="D142" s="8">
        <f>IF(OR('Items sous domaines Maths '!H146=3,'Items sous domaines Maths '!J146=3 ),'Items sous domaines Maths '!D146,0)</f>
        <v>0</v>
      </c>
      <c r="E142" s="8">
        <f>IF(OR('Items sous domaines Maths '!H146=3,'Items sous domaines Maths '!J146=3 ),'Items sous domaines Maths '!E146,0)</f>
        <v>0</v>
      </c>
      <c r="F142" s="9">
        <f>IF(OR('Items sous domaines Maths '!H146=3,'Items sous domaines Maths '!J146=3 ),'Items sous domaines Maths '!F146,0)</f>
        <v>0</v>
      </c>
      <c r="G142">
        <f>IF('Items sous domaines Maths '!H146=1,'Items sous domaines Maths '!G146,0)</f>
        <v>0</v>
      </c>
    </row>
    <row r="143" spans="1:7" customFormat="1" ht="17.7" hidden="1" customHeight="1" thickBot="1" x14ac:dyDescent="0.3">
      <c r="A143" s="15"/>
      <c r="B143" s="8">
        <f>IF(OR('Items sous domaines Maths '!H147=3,'Items sous domaines Maths '!J147=3 ),'Items sous domaines Maths '!B147,0)</f>
        <v>0</v>
      </c>
      <c r="C143" s="8" t="b">
        <f>IF(OR('Items sous domaines Maths '!H147=3,'Items sous domaines Maths '!J147=3 ),'Items sous domaines Maths '!C147)</f>
        <v>0</v>
      </c>
      <c r="D143" s="8">
        <f>IF(OR('Items sous domaines Maths '!H147=3,'Items sous domaines Maths '!J147=3 ),'Items sous domaines Maths '!D147,0)</f>
        <v>0</v>
      </c>
      <c r="E143" s="8">
        <f>IF(OR('Items sous domaines Maths '!H147=3,'Items sous domaines Maths '!J147=3 ),'Items sous domaines Maths '!E147,0)</f>
        <v>0</v>
      </c>
      <c r="F143" s="9">
        <f>IF(OR('Items sous domaines Maths '!H147=3,'Items sous domaines Maths '!J147=3 ),'Items sous domaines Maths '!F147,0)</f>
        <v>0</v>
      </c>
      <c r="G143">
        <f>IF('Items sous domaines Maths '!H147=1,'Items sous domaines Maths '!G147,0)</f>
        <v>0</v>
      </c>
    </row>
    <row r="144" spans="1:7" customFormat="1" ht="17.7" hidden="1" customHeight="1" thickBot="1" x14ac:dyDescent="0.3">
      <c r="A144" s="15"/>
      <c r="B144" s="8">
        <f>IF(OR('Items sous domaines Maths '!H148=3,'Items sous domaines Maths '!J148=3 ),'Items sous domaines Maths '!B148,0)</f>
        <v>0</v>
      </c>
      <c r="C144" s="8" t="b">
        <f>IF(OR('Items sous domaines Maths '!H148=3,'Items sous domaines Maths '!J148=3 ),'Items sous domaines Maths '!C148)</f>
        <v>0</v>
      </c>
      <c r="D144" s="8">
        <f>IF(OR('Items sous domaines Maths '!H148=3,'Items sous domaines Maths '!J148=3 ),'Items sous domaines Maths '!D148,0)</f>
        <v>0</v>
      </c>
      <c r="E144" s="8">
        <f>IF(OR('Items sous domaines Maths '!H148=3,'Items sous domaines Maths '!J148=3 ),'Items sous domaines Maths '!E148,0)</f>
        <v>0</v>
      </c>
      <c r="F144" s="9">
        <f>IF(OR('Items sous domaines Maths '!H148=3,'Items sous domaines Maths '!J148=3 ),'Items sous domaines Maths '!F148,0)</f>
        <v>0</v>
      </c>
      <c r="G144">
        <f>IF('Items sous domaines Maths '!H148=1,'Items sous domaines Maths '!G148,0)</f>
        <v>0</v>
      </c>
    </row>
    <row r="145" spans="1:7" customFormat="1" ht="17.7" hidden="1" customHeight="1" thickBot="1" x14ac:dyDescent="0.3">
      <c r="A145" s="15"/>
      <c r="B145" s="8">
        <f>IF(OR('Items sous domaines Maths '!H149=3,'Items sous domaines Maths '!J149=3 ),'Items sous domaines Maths '!B149,0)</f>
        <v>0</v>
      </c>
      <c r="C145" s="8" t="b">
        <f>IF(OR('Items sous domaines Maths '!H149=3,'Items sous domaines Maths '!J149=3 ),'Items sous domaines Maths '!C149)</f>
        <v>0</v>
      </c>
      <c r="D145" s="8">
        <f>IF(OR('Items sous domaines Maths '!H149=3,'Items sous domaines Maths '!J149=3 ),'Items sous domaines Maths '!D149,0)</f>
        <v>0</v>
      </c>
      <c r="E145" s="8">
        <f>IF(OR('Items sous domaines Maths '!H149=3,'Items sous domaines Maths '!J149=3 ),'Items sous domaines Maths '!E149,0)</f>
        <v>0</v>
      </c>
      <c r="F145" s="9">
        <f>IF(OR('Items sous domaines Maths '!H149=3,'Items sous domaines Maths '!J149=3 ),'Items sous domaines Maths '!F149,0)</f>
        <v>0</v>
      </c>
      <c r="G145">
        <f>IF('Items sous domaines Maths '!H149=1,'Items sous domaines Maths '!G149,0)</f>
        <v>0</v>
      </c>
    </row>
    <row r="146" spans="1:7" customFormat="1" ht="17.7" hidden="1" customHeight="1" thickBot="1" x14ac:dyDescent="0.3">
      <c r="A146" s="15"/>
      <c r="B146" s="8">
        <f>IF(OR('Items sous domaines Maths '!H150=3,'Items sous domaines Maths '!J150=3 ),'Items sous domaines Maths '!B150,0)</f>
        <v>0</v>
      </c>
      <c r="C146" s="8" t="b">
        <f>IF(OR('Items sous domaines Maths '!H150=3,'Items sous domaines Maths '!J150=3 ),'Items sous domaines Maths '!C150)</f>
        <v>0</v>
      </c>
      <c r="D146" s="8">
        <f>IF(OR('Items sous domaines Maths '!H150=3,'Items sous domaines Maths '!J150=3 ),'Items sous domaines Maths '!D150,0)</f>
        <v>0</v>
      </c>
      <c r="E146" s="8">
        <f>IF(OR('Items sous domaines Maths '!H150=3,'Items sous domaines Maths '!J150=3 ),'Items sous domaines Maths '!E150,0)</f>
        <v>0</v>
      </c>
      <c r="F146" s="9">
        <f>IF(OR('Items sous domaines Maths '!H150=3,'Items sous domaines Maths '!J150=3 ),'Items sous domaines Maths '!F150,0)</f>
        <v>0</v>
      </c>
      <c r="G146">
        <f>IF('Items sous domaines Maths '!H150=1,'Items sous domaines Maths '!G150,0)</f>
        <v>0</v>
      </c>
    </row>
    <row r="147" spans="1:7" customFormat="1" ht="17.7" hidden="1" customHeight="1" thickBot="1" x14ac:dyDescent="0.3">
      <c r="A147" s="15"/>
      <c r="B147" s="8">
        <f>IF(OR('Items sous domaines Maths '!H151=3,'Items sous domaines Maths '!J151=3 ),'Items sous domaines Maths '!B151,0)</f>
        <v>0</v>
      </c>
      <c r="C147" s="8" t="b">
        <f>IF(OR('Items sous domaines Maths '!H151=3,'Items sous domaines Maths '!J151=3 ),'Items sous domaines Maths '!C151)</f>
        <v>0</v>
      </c>
      <c r="D147" s="8">
        <f>IF(OR('Items sous domaines Maths '!H151=3,'Items sous domaines Maths '!J151=3 ),'Items sous domaines Maths '!D151,0)</f>
        <v>0</v>
      </c>
      <c r="E147" s="8">
        <f>IF(OR('Items sous domaines Maths '!H151=3,'Items sous domaines Maths '!J151=3 ),'Items sous domaines Maths '!E151,0)</f>
        <v>0</v>
      </c>
      <c r="F147" s="9">
        <f>IF(OR('Items sous domaines Maths '!H151=3,'Items sous domaines Maths '!J151=3 ),'Items sous domaines Maths '!F151,0)</f>
        <v>0</v>
      </c>
      <c r="G147">
        <f>IF('Items sous domaines Maths '!H151=1,'Items sous domaines Maths '!G151,0)</f>
        <v>0</v>
      </c>
    </row>
    <row r="148" spans="1:7" customFormat="1" ht="17.7" hidden="1" customHeight="1" thickBot="1" x14ac:dyDescent="0.3">
      <c r="A148" s="15"/>
      <c r="B148" s="8">
        <f>IF(OR('Items sous domaines Maths '!H152=3,'Items sous domaines Maths '!J152=3 ),'Items sous domaines Maths '!B152,0)</f>
        <v>0</v>
      </c>
      <c r="C148" s="8" t="b">
        <f>IF(OR('Items sous domaines Maths '!H152=3,'Items sous domaines Maths '!J152=3 ),'Items sous domaines Maths '!C152)</f>
        <v>0</v>
      </c>
      <c r="D148" s="8">
        <f>IF(OR('Items sous domaines Maths '!H152=3,'Items sous domaines Maths '!J152=3 ),'Items sous domaines Maths '!D152,0)</f>
        <v>0</v>
      </c>
      <c r="E148" s="8">
        <f>IF(OR('Items sous domaines Maths '!H152=3,'Items sous domaines Maths '!J152=3 ),'Items sous domaines Maths '!E152,0)</f>
        <v>0</v>
      </c>
      <c r="F148" s="9">
        <f>IF(OR('Items sous domaines Maths '!H152=3,'Items sous domaines Maths '!J152=3 ),'Items sous domaines Maths '!F152,0)</f>
        <v>0</v>
      </c>
      <c r="G148">
        <f>IF('Items sous domaines Maths '!H152=1,'Items sous domaines Maths '!G152,0)</f>
        <v>0</v>
      </c>
    </row>
    <row r="149" spans="1:7" customFormat="1" ht="17.7" hidden="1" customHeight="1" thickBot="1" x14ac:dyDescent="0.3">
      <c r="A149" s="15"/>
      <c r="B149" s="8">
        <f>IF(OR('Items sous domaines Maths '!H153=3,'Items sous domaines Maths '!J153=3 ),'Items sous domaines Maths '!B153,0)</f>
        <v>0</v>
      </c>
      <c r="C149" s="8" t="b">
        <f>IF(OR('Items sous domaines Maths '!H153=3,'Items sous domaines Maths '!J153=3 ),'Items sous domaines Maths '!C153)</f>
        <v>0</v>
      </c>
      <c r="D149" s="8">
        <f>IF(OR('Items sous domaines Maths '!H153=3,'Items sous domaines Maths '!J153=3 ),'Items sous domaines Maths '!D153,0)</f>
        <v>0</v>
      </c>
      <c r="E149" s="8">
        <f>IF(OR('Items sous domaines Maths '!H153=3,'Items sous domaines Maths '!J153=3 ),'Items sous domaines Maths '!E153,0)</f>
        <v>0</v>
      </c>
      <c r="F149" s="9">
        <f>IF(OR('Items sous domaines Maths '!H153=3,'Items sous domaines Maths '!J153=3 ),'Items sous domaines Maths '!F153,0)</f>
        <v>0</v>
      </c>
      <c r="G149">
        <f>IF('Items sous domaines Maths '!H153=1,'Items sous domaines Maths '!G153,0)</f>
        <v>0</v>
      </c>
    </row>
    <row r="150" spans="1:7" customFormat="1" ht="17.7" hidden="1" customHeight="1" thickBot="1" x14ac:dyDescent="0.3">
      <c r="A150" s="15"/>
      <c r="B150" s="8">
        <f>IF(OR('Items sous domaines Maths '!H154=3,'Items sous domaines Maths '!J154=3 ),'Items sous domaines Maths '!B154,0)</f>
        <v>0</v>
      </c>
      <c r="C150" s="8" t="b">
        <f>IF(OR('Items sous domaines Maths '!H154=3,'Items sous domaines Maths '!J154=3 ),'Items sous domaines Maths '!C154)</f>
        <v>0</v>
      </c>
      <c r="D150" s="8">
        <f>IF(OR('Items sous domaines Maths '!H154=3,'Items sous domaines Maths '!J154=3 ),'Items sous domaines Maths '!D154,0)</f>
        <v>0</v>
      </c>
      <c r="E150" s="8">
        <f>IF(OR('Items sous domaines Maths '!H154=3,'Items sous domaines Maths '!J154=3 ),'Items sous domaines Maths '!E154,0)</f>
        <v>0</v>
      </c>
      <c r="F150" s="9">
        <f>IF(OR('Items sous domaines Maths '!H154=3,'Items sous domaines Maths '!J154=3 ),'Items sous domaines Maths '!F154,0)</f>
        <v>0</v>
      </c>
      <c r="G150">
        <f>IF('Items sous domaines Maths '!H154=1,'Items sous domaines Maths '!G154,0)</f>
        <v>0</v>
      </c>
    </row>
    <row r="151" spans="1:7" customFormat="1" ht="17.7" hidden="1" customHeight="1" thickBot="1" x14ac:dyDescent="0.3">
      <c r="A151" s="15"/>
      <c r="B151" s="8">
        <f>IF(OR('Items sous domaines Maths '!H155=3,'Items sous domaines Maths '!J155=3 ),'Items sous domaines Maths '!B155,0)</f>
        <v>0</v>
      </c>
      <c r="C151" s="8" t="b">
        <f>IF(OR('Items sous domaines Maths '!H155=3,'Items sous domaines Maths '!J155=3 ),'Items sous domaines Maths '!C155)</f>
        <v>0</v>
      </c>
      <c r="D151" s="8">
        <f>IF(OR('Items sous domaines Maths '!H155=3,'Items sous domaines Maths '!J155=3 ),'Items sous domaines Maths '!D155,0)</f>
        <v>0</v>
      </c>
      <c r="E151" s="8">
        <f>IF(OR('Items sous domaines Maths '!H155=3,'Items sous domaines Maths '!J155=3 ),'Items sous domaines Maths '!E155,0)</f>
        <v>0</v>
      </c>
      <c r="F151" s="9">
        <f>IF(OR('Items sous domaines Maths '!H155=3,'Items sous domaines Maths '!J155=3 ),'Items sous domaines Maths '!F155,0)</f>
        <v>0</v>
      </c>
      <c r="G151">
        <f>IF('Items sous domaines Maths '!H155=1,'Items sous domaines Maths '!G155,0)</f>
        <v>0</v>
      </c>
    </row>
    <row r="152" spans="1:7" customFormat="1" ht="17.7" hidden="1" customHeight="1" thickBot="1" x14ac:dyDescent="0.3">
      <c r="A152" s="15"/>
      <c r="B152" s="8">
        <f>IF(OR('Items sous domaines Maths '!H156=3,'Items sous domaines Maths '!J156=3 ),'Items sous domaines Maths '!B156,0)</f>
        <v>0</v>
      </c>
      <c r="C152" s="8" t="b">
        <f>IF(OR('Items sous domaines Maths '!H156=3,'Items sous domaines Maths '!J156=3 ),'Items sous domaines Maths '!C156)</f>
        <v>0</v>
      </c>
      <c r="D152" s="8">
        <f>IF(OR('Items sous domaines Maths '!H156=3,'Items sous domaines Maths '!J156=3 ),'Items sous domaines Maths '!D156,0)</f>
        <v>0</v>
      </c>
      <c r="E152" s="8">
        <f>IF(OR('Items sous domaines Maths '!H156=3,'Items sous domaines Maths '!J156=3 ),'Items sous domaines Maths '!E156,0)</f>
        <v>0</v>
      </c>
      <c r="F152" s="9">
        <f>IF(OR('Items sous domaines Maths '!H156=3,'Items sous domaines Maths '!J156=3 ),'Items sous domaines Maths '!F156,0)</f>
        <v>0</v>
      </c>
      <c r="G152">
        <f>IF('Items sous domaines Maths '!H156=1,'Items sous domaines Maths '!G156,0)</f>
        <v>0</v>
      </c>
    </row>
    <row r="153" spans="1:7" customFormat="1" ht="17.7" hidden="1" customHeight="1" thickBot="1" x14ac:dyDescent="0.3">
      <c r="A153" s="15"/>
      <c r="B153" s="8">
        <f>IF(OR('Items sous domaines Maths '!H157=3,'Items sous domaines Maths '!J157=3 ),'Items sous domaines Maths '!B157,0)</f>
        <v>0</v>
      </c>
      <c r="C153" s="8" t="b">
        <f>IF(OR('Items sous domaines Maths '!H157=3,'Items sous domaines Maths '!J157=3 ),'Items sous domaines Maths '!C157)</f>
        <v>0</v>
      </c>
      <c r="D153" s="8">
        <f>IF(OR('Items sous domaines Maths '!H157=3,'Items sous domaines Maths '!J157=3 ),'Items sous domaines Maths '!D157,0)</f>
        <v>0</v>
      </c>
      <c r="E153" s="8">
        <f>IF(OR('Items sous domaines Maths '!H157=3,'Items sous domaines Maths '!J157=3 ),'Items sous domaines Maths '!E157,0)</f>
        <v>0</v>
      </c>
      <c r="F153" s="9">
        <f>IF(OR('Items sous domaines Maths '!H157=3,'Items sous domaines Maths '!J157=3 ),'Items sous domaines Maths '!F157,0)</f>
        <v>0</v>
      </c>
      <c r="G153">
        <f>IF('Items sous domaines Maths '!H157=1,'Items sous domaines Maths '!G157,0)</f>
        <v>0</v>
      </c>
    </row>
    <row r="154" spans="1:7" customFormat="1" ht="17.7" hidden="1" customHeight="1" thickBot="1" x14ac:dyDescent="0.3">
      <c r="A154" s="15"/>
      <c r="B154" s="8">
        <f>IF(OR('Items sous domaines Maths '!H158=3,'Items sous domaines Maths '!J158=3 ),'Items sous domaines Maths '!B158,0)</f>
        <v>0</v>
      </c>
      <c r="C154" s="8" t="b">
        <f>IF(OR('Items sous domaines Maths '!H158=3,'Items sous domaines Maths '!J158=3 ),'Items sous domaines Maths '!C158)</f>
        <v>0</v>
      </c>
      <c r="D154" s="8">
        <f>IF(OR('Items sous domaines Maths '!H158=3,'Items sous domaines Maths '!J158=3 ),'Items sous domaines Maths '!D158,0)</f>
        <v>0</v>
      </c>
      <c r="E154" s="8">
        <f>IF(OR('Items sous domaines Maths '!H158=3,'Items sous domaines Maths '!J158=3 ),'Items sous domaines Maths '!E158,0)</f>
        <v>0</v>
      </c>
      <c r="F154" s="9">
        <f>IF(OR('Items sous domaines Maths '!H158=3,'Items sous domaines Maths '!J158=3 ),'Items sous domaines Maths '!F158,0)</f>
        <v>0</v>
      </c>
      <c r="G154">
        <f>IF('Items sous domaines Maths '!H158=1,'Items sous domaines Maths '!G158,0)</f>
        <v>0</v>
      </c>
    </row>
    <row r="155" spans="1:7" customFormat="1" ht="17.7" hidden="1" customHeight="1" thickBot="1" x14ac:dyDescent="0.3">
      <c r="A155" s="15"/>
      <c r="B155" s="8">
        <f>IF(OR('Items sous domaines Maths '!H159=3,'Items sous domaines Maths '!J159=3 ),'Items sous domaines Maths '!B159,0)</f>
        <v>0</v>
      </c>
      <c r="C155" s="8" t="b">
        <f>IF(OR('Items sous domaines Maths '!H159=3,'Items sous domaines Maths '!J159=3 ),'Items sous domaines Maths '!C159)</f>
        <v>0</v>
      </c>
      <c r="D155" s="8">
        <f>IF(OR('Items sous domaines Maths '!H159=3,'Items sous domaines Maths '!J159=3 ),'Items sous domaines Maths '!D159,0)</f>
        <v>0</v>
      </c>
      <c r="E155" s="8">
        <f>IF(OR('Items sous domaines Maths '!H159=3,'Items sous domaines Maths '!J159=3 ),'Items sous domaines Maths '!E159,0)</f>
        <v>0</v>
      </c>
      <c r="F155" s="9">
        <f>IF(OR('Items sous domaines Maths '!H159=3,'Items sous domaines Maths '!J159=3 ),'Items sous domaines Maths '!F159,0)</f>
        <v>0</v>
      </c>
      <c r="G155">
        <f>IF('Items sous domaines Maths '!H159=1,'Items sous domaines Maths '!G159,0)</f>
        <v>0</v>
      </c>
    </row>
    <row r="156" spans="1:7" customFormat="1" ht="17.7" hidden="1" customHeight="1" thickBot="1" x14ac:dyDescent="0.3">
      <c r="A156" s="15"/>
      <c r="B156" s="8">
        <f>IF(OR('Items sous domaines Maths '!H160=3,'Items sous domaines Maths '!J160=3 ),'Items sous domaines Maths '!B160,0)</f>
        <v>0</v>
      </c>
      <c r="C156" s="8" t="b">
        <f>IF(OR('Items sous domaines Maths '!H160=3,'Items sous domaines Maths '!J160=3 ),'Items sous domaines Maths '!C160)</f>
        <v>0</v>
      </c>
      <c r="D156" s="8">
        <f>IF(OR('Items sous domaines Maths '!H160=3,'Items sous domaines Maths '!J160=3 ),'Items sous domaines Maths '!D160,0)</f>
        <v>0</v>
      </c>
      <c r="E156" s="8">
        <f>IF(OR('Items sous domaines Maths '!H160=3,'Items sous domaines Maths '!J160=3 ),'Items sous domaines Maths '!E160,0)</f>
        <v>0</v>
      </c>
      <c r="F156" s="9">
        <f>IF(OR('Items sous domaines Maths '!H160=3,'Items sous domaines Maths '!J160=3 ),'Items sous domaines Maths '!F160,0)</f>
        <v>0</v>
      </c>
      <c r="G156">
        <f>IF('Items sous domaines Maths '!H160=1,'Items sous domaines Maths '!G160,0)</f>
        <v>0</v>
      </c>
    </row>
    <row r="157" spans="1:7" customFormat="1" ht="17.7" hidden="1" customHeight="1" thickBot="1" x14ac:dyDescent="0.3">
      <c r="A157" s="15"/>
      <c r="B157" s="8">
        <f>IF(OR('Items sous domaines Maths '!H161=3,'Items sous domaines Maths '!J161=3 ),'Items sous domaines Maths '!B161,0)</f>
        <v>0</v>
      </c>
      <c r="C157" s="8" t="b">
        <f>IF(OR('Items sous domaines Maths '!H161=3,'Items sous domaines Maths '!J161=3 ),'Items sous domaines Maths '!C161)</f>
        <v>0</v>
      </c>
      <c r="D157" s="8">
        <f>IF(OR('Items sous domaines Maths '!H161=3,'Items sous domaines Maths '!J161=3 ),'Items sous domaines Maths '!D161,0)</f>
        <v>0</v>
      </c>
      <c r="E157" s="8">
        <f>IF(OR('Items sous domaines Maths '!H161=3,'Items sous domaines Maths '!J161=3 ),'Items sous domaines Maths '!E161,0)</f>
        <v>0</v>
      </c>
      <c r="F157" s="9">
        <f>IF(OR('Items sous domaines Maths '!H161=3,'Items sous domaines Maths '!J161=3 ),'Items sous domaines Maths '!F161,0)</f>
        <v>0</v>
      </c>
      <c r="G157">
        <f>IF('Items sous domaines Maths '!H161=1,'Items sous domaines Maths '!G161,0)</f>
        <v>0</v>
      </c>
    </row>
    <row r="158" spans="1:7" customFormat="1" ht="17.7" hidden="1" customHeight="1" thickBot="1" x14ac:dyDescent="0.3">
      <c r="A158" s="15"/>
      <c r="B158" s="8">
        <f>IF(OR('Items sous domaines Maths '!H162=3,'Items sous domaines Maths '!J162=3 ),'Items sous domaines Maths '!B162,0)</f>
        <v>0</v>
      </c>
      <c r="C158" s="8" t="b">
        <f>IF(OR('Items sous domaines Maths '!H162=3,'Items sous domaines Maths '!J162=3 ),'Items sous domaines Maths '!C162)</f>
        <v>0</v>
      </c>
      <c r="D158" s="8">
        <f>IF(OR('Items sous domaines Maths '!H162=3,'Items sous domaines Maths '!J162=3 ),'Items sous domaines Maths '!D162,0)</f>
        <v>0</v>
      </c>
      <c r="E158" s="8">
        <f>IF(OR('Items sous domaines Maths '!H162=3,'Items sous domaines Maths '!J162=3 ),'Items sous domaines Maths '!E162,0)</f>
        <v>0</v>
      </c>
      <c r="F158" s="9">
        <f>IF(OR('Items sous domaines Maths '!H162=3,'Items sous domaines Maths '!J162=3 ),'Items sous domaines Maths '!F162,0)</f>
        <v>0</v>
      </c>
      <c r="G158">
        <f>IF('Items sous domaines Maths '!H162=1,'Items sous domaines Maths '!G162,0)</f>
        <v>0</v>
      </c>
    </row>
    <row r="159" spans="1:7" customFormat="1" ht="17.7" hidden="1" customHeight="1" thickBot="1" x14ac:dyDescent="0.3">
      <c r="A159" s="15"/>
      <c r="B159" s="8">
        <f>IF(OR('Items sous domaines Maths '!H163=3,'Items sous domaines Maths '!J163=3 ),'Items sous domaines Maths '!B163,0)</f>
        <v>0</v>
      </c>
      <c r="C159" s="8" t="b">
        <f>IF(OR('Items sous domaines Maths '!H163=3,'Items sous domaines Maths '!J163=3 ),'Items sous domaines Maths '!C163)</f>
        <v>0</v>
      </c>
      <c r="D159" s="8">
        <f>IF(OR('Items sous domaines Maths '!H163=3,'Items sous domaines Maths '!J163=3 ),'Items sous domaines Maths '!D163,0)</f>
        <v>0</v>
      </c>
      <c r="E159" s="8">
        <f>IF(OR('Items sous domaines Maths '!H163=3,'Items sous domaines Maths '!J163=3 ),'Items sous domaines Maths '!E163,0)</f>
        <v>0</v>
      </c>
      <c r="F159" s="9">
        <f>IF(OR('Items sous domaines Maths '!H163=3,'Items sous domaines Maths '!J163=3 ),'Items sous domaines Maths '!F163,0)</f>
        <v>0</v>
      </c>
      <c r="G159">
        <f>IF('Items sous domaines Maths '!H163=1,'Items sous domaines Maths '!G163,0)</f>
        <v>0</v>
      </c>
    </row>
    <row r="160" spans="1:7" customFormat="1" ht="17.7" hidden="1" customHeight="1" thickBot="1" x14ac:dyDescent="0.3">
      <c r="A160" s="15"/>
      <c r="B160" s="8">
        <f>IF(OR('Items sous domaines Maths '!H164=3,'Items sous domaines Maths '!J164=3 ),'Items sous domaines Maths '!B164,0)</f>
        <v>0</v>
      </c>
      <c r="C160" s="8" t="b">
        <f>IF(OR('Items sous domaines Maths '!H164=3,'Items sous domaines Maths '!J164=3 ),'Items sous domaines Maths '!C164)</f>
        <v>0</v>
      </c>
      <c r="D160" s="8">
        <f>IF(OR('Items sous domaines Maths '!H164=3,'Items sous domaines Maths '!J164=3 ),'Items sous domaines Maths '!D164,0)</f>
        <v>0</v>
      </c>
      <c r="E160" s="8">
        <f>IF(OR('Items sous domaines Maths '!H164=3,'Items sous domaines Maths '!J164=3 ),'Items sous domaines Maths '!E164,0)</f>
        <v>0</v>
      </c>
      <c r="F160" s="9">
        <f>IF(OR('Items sous domaines Maths '!H164=3,'Items sous domaines Maths '!J164=3 ),'Items sous domaines Maths '!F164,0)</f>
        <v>0</v>
      </c>
      <c r="G160">
        <f>IF('Items sous domaines Maths '!H164=1,'Items sous domaines Maths '!G164,0)</f>
        <v>0</v>
      </c>
    </row>
    <row r="161" spans="1:7" customFormat="1" ht="17.7" hidden="1" customHeight="1" thickBot="1" x14ac:dyDescent="0.3">
      <c r="A161" s="15"/>
      <c r="B161" s="8">
        <f>IF(OR('Items sous domaines Maths '!H165=3,'Items sous domaines Maths '!J165=3 ),'Items sous domaines Maths '!B165,0)</f>
        <v>0</v>
      </c>
      <c r="C161" s="8" t="b">
        <f>IF(OR('Items sous domaines Maths '!H165=3,'Items sous domaines Maths '!J165=3 ),'Items sous domaines Maths '!C165)</f>
        <v>0</v>
      </c>
      <c r="D161" s="8">
        <f>IF(OR('Items sous domaines Maths '!H165=3,'Items sous domaines Maths '!J165=3 ),'Items sous domaines Maths '!D165,0)</f>
        <v>0</v>
      </c>
      <c r="E161" s="8">
        <f>IF(OR('Items sous domaines Maths '!H165=3,'Items sous domaines Maths '!J165=3 ),'Items sous domaines Maths '!E165,0)</f>
        <v>0</v>
      </c>
      <c r="F161" s="9">
        <f>IF(OR('Items sous domaines Maths '!H165=3,'Items sous domaines Maths '!J165=3 ),'Items sous domaines Maths '!F165,0)</f>
        <v>0</v>
      </c>
      <c r="G161">
        <f>IF('Items sous domaines Maths '!H165=1,'Items sous domaines Maths '!G165,0)</f>
        <v>0</v>
      </c>
    </row>
    <row r="162" spans="1:7" customFormat="1" ht="17.7" hidden="1" customHeight="1" thickBot="1" x14ac:dyDescent="0.3">
      <c r="A162" s="15"/>
      <c r="B162" s="8">
        <f>IF(OR('Items sous domaines Maths '!H166=3,'Items sous domaines Maths '!J166=3 ),'Items sous domaines Maths '!B166,0)</f>
        <v>0</v>
      </c>
      <c r="C162" s="8" t="b">
        <f>IF(OR('Items sous domaines Maths '!H166=3,'Items sous domaines Maths '!J166=3 ),'Items sous domaines Maths '!C166)</f>
        <v>0</v>
      </c>
      <c r="D162" s="8">
        <f>IF(OR('Items sous domaines Maths '!H166=3,'Items sous domaines Maths '!J166=3 ),'Items sous domaines Maths '!D166,0)</f>
        <v>0</v>
      </c>
      <c r="E162" s="8">
        <f>IF(OR('Items sous domaines Maths '!H166=3,'Items sous domaines Maths '!J166=3 ),'Items sous domaines Maths '!E166,0)</f>
        <v>0</v>
      </c>
      <c r="F162" s="9">
        <f>IF(OR('Items sous domaines Maths '!H166=3,'Items sous domaines Maths '!J166=3 ),'Items sous domaines Maths '!F166,0)</f>
        <v>0</v>
      </c>
      <c r="G162">
        <f>IF('Items sous domaines Maths '!H166=1,'Items sous domaines Maths '!G166,0)</f>
        <v>0</v>
      </c>
    </row>
    <row r="163" spans="1:7" customFormat="1" ht="17.7" hidden="1" customHeight="1" thickBot="1" x14ac:dyDescent="0.3">
      <c r="A163" s="15"/>
      <c r="B163" s="8">
        <f>IF(OR('Items sous domaines Maths '!H167=3,'Items sous domaines Maths '!J167=3 ),'Items sous domaines Maths '!B167,0)</f>
        <v>0</v>
      </c>
      <c r="C163" s="8" t="b">
        <f>IF(OR('Items sous domaines Maths '!H167=3,'Items sous domaines Maths '!J167=3 ),'Items sous domaines Maths '!C167)</f>
        <v>0</v>
      </c>
      <c r="D163" s="8">
        <f>IF(OR('Items sous domaines Maths '!H167=3,'Items sous domaines Maths '!J167=3 ),'Items sous domaines Maths '!D167,0)</f>
        <v>0</v>
      </c>
      <c r="E163" s="8">
        <f>IF(OR('Items sous domaines Maths '!H167=3,'Items sous domaines Maths '!J167=3 ),'Items sous domaines Maths '!E167,0)</f>
        <v>0</v>
      </c>
      <c r="F163" s="9">
        <f>IF(OR('Items sous domaines Maths '!H167=3,'Items sous domaines Maths '!J167=3 ),'Items sous domaines Maths '!F167,0)</f>
        <v>0</v>
      </c>
      <c r="G163">
        <f>IF('Items sous domaines Maths '!H167=1,'Items sous domaines Maths '!G167,0)</f>
        <v>0</v>
      </c>
    </row>
    <row r="164" spans="1:7" customFormat="1" ht="17.7" hidden="1" customHeight="1" thickBot="1" x14ac:dyDescent="0.3">
      <c r="A164" s="15"/>
      <c r="B164" s="8">
        <f>IF(OR('Items sous domaines Maths '!H168=3,'Items sous domaines Maths '!J168=3 ),'Items sous domaines Maths '!B168,0)</f>
        <v>0</v>
      </c>
      <c r="C164" s="8" t="b">
        <f>IF(OR('Items sous domaines Maths '!H168=3,'Items sous domaines Maths '!J168=3 ),'Items sous domaines Maths '!C168)</f>
        <v>0</v>
      </c>
      <c r="D164" s="8">
        <f>IF(OR('Items sous domaines Maths '!H168=3,'Items sous domaines Maths '!J168=3 ),'Items sous domaines Maths '!D168,0)</f>
        <v>0</v>
      </c>
      <c r="E164" s="8">
        <f>IF(OR('Items sous domaines Maths '!H168=3,'Items sous domaines Maths '!J168=3 ),'Items sous domaines Maths '!E168,0)</f>
        <v>0</v>
      </c>
      <c r="F164" s="9">
        <f>IF(OR('Items sous domaines Maths '!H168=3,'Items sous domaines Maths '!J168=3 ),'Items sous domaines Maths '!F168,0)</f>
        <v>0</v>
      </c>
      <c r="G164">
        <f>IF('Items sous domaines Maths '!H168=1,'Items sous domaines Maths '!G168,0)</f>
        <v>0</v>
      </c>
    </row>
    <row r="165" spans="1:7" customFormat="1" ht="17.7" hidden="1" customHeight="1" thickBot="1" x14ac:dyDescent="0.3">
      <c r="A165" s="15"/>
      <c r="B165" s="8">
        <f>IF(OR('Items sous domaines Maths '!H169=3,'Items sous domaines Maths '!J169=3 ),'Items sous domaines Maths '!B169,0)</f>
        <v>0</v>
      </c>
      <c r="C165" s="8" t="b">
        <f>IF(OR('Items sous domaines Maths '!H169=3,'Items sous domaines Maths '!J169=3 ),'Items sous domaines Maths '!C169)</f>
        <v>0</v>
      </c>
      <c r="D165" s="8">
        <f>IF(OR('Items sous domaines Maths '!H169=3,'Items sous domaines Maths '!J169=3 ),'Items sous domaines Maths '!D169,0)</f>
        <v>0</v>
      </c>
      <c r="E165" s="8">
        <f>IF(OR('Items sous domaines Maths '!H169=3,'Items sous domaines Maths '!J169=3 ),'Items sous domaines Maths '!E169,0)</f>
        <v>0</v>
      </c>
      <c r="F165" s="9">
        <f>IF(OR('Items sous domaines Maths '!H169=3,'Items sous domaines Maths '!J169=3 ),'Items sous domaines Maths '!F169,0)</f>
        <v>0</v>
      </c>
      <c r="G165">
        <f>IF('Items sous domaines Maths '!H169=1,'Items sous domaines Maths '!G169,0)</f>
        <v>0</v>
      </c>
    </row>
    <row r="166" spans="1:7" customFormat="1" ht="17.7" hidden="1" customHeight="1" thickBot="1" x14ac:dyDescent="0.3">
      <c r="A166" s="15"/>
      <c r="B166" s="8">
        <f>IF(OR('Items sous domaines Maths '!H170=3,'Items sous domaines Maths '!J170=3 ),'Items sous domaines Maths '!B170,0)</f>
        <v>0</v>
      </c>
      <c r="C166" s="8" t="b">
        <f>IF(OR('Items sous domaines Maths '!H170=3,'Items sous domaines Maths '!J170=3 ),'Items sous domaines Maths '!C170)</f>
        <v>0</v>
      </c>
      <c r="D166" s="8">
        <f>IF(OR('Items sous domaines Maths '!H170=3,'Items sous domaines Maths '!J170=3 ),'Items sous domaines Maths '!D170,0)</f>
        <v>0</v>
      </c>
      <c r="E166" s="8">
        <f>IF(OR('Items sous domaines Maths '!H170=3,'Items sous domaines Maths '!J170=3 ),'Items sous domaines Maths '!E170,0)</f>
        <v>0</v>
      </c>
      <c r="F166" s="9">
        <f>IF(OR('Items sous domaines Maths '!H170=3,'Items sous domaines Maths '!J170=3 ),'Items sous domaines Maths '!F170,0)</f>
        <v>0</v>
      </c>
      <c r="G166">
        <f>IF('Items sous domaines Maths '!H170=1,'Items sous domaines Maths '!G170,0)</f>
        <v>0</v>
      </c>
    </row>
    <row r="167" spans="1:7" customFormat="1" ht="17.7" hidden="1" customHeight="1" thickBot="1" x14ac:dyDescent="0.3">
      <c r="A167" s="15"/>
      <c r="B167" s="8">
        <f>IF(OR('Items sous domaines Maths '!H171=3,'Items sous domaines Maths '!J171=3 ),'Items sous domaines Maths '!B171,0)</f>
        <v>0</v>
      </c>
      <c r="C167" s="8" t="b">
        <f>IF(OR('Items sous domaines Maths '!H171=3,'Items sous domaines Maths '!J171=3 ),'Items sous domaines Maths '!C171)</f>
        <v>0</v>
      </c>
      <c r="D167" s="8">
        <f>IF(OR('Items sous domaines Maths '!H171=3,'Items sous domaines Maths '!J171=3 ),'Items sous domaines Maths '!D171,0)</f>
        <v>0</v>
      </c>
      <c r="E167" s="8">
        <f>IF(OR('Items sous domaines Maths '!H171=3,'Items sous domaines Maths '!J171=3 ),'Items sous domaines Maths '!E171,0)</f>
        <v>0</v>
      </c>
      <c r="F167" s="9">
        <f>IF(OR('Items sous domaines Maths '!H171=3,'Items sous domaines Maths '!J171=3 ),'Items sous domaines Maths '!F171,0)</f>
        <v>0</v>
      </c>
      <c r="G167">
        <f>IF('Items sous domaines Maths '!H171=1,'Items sous domaines Maths '!G171,0)</f>
        <v>0</v>
      </c>
    </row>
    <row r="168" spans="1:7" customFormat="1" ht="17.7" hidden="1" customHeight="1" thickBot="1" x14ac:dyDescent="0.3">
      <c r="A168" s="15"/>
      <c r="B168" s="8">
        <f>IF(OR('Items sous domaines Maths '!H172=3,'Items sous domaines Maths '!J172=3 ),'Items sous domaines Maths '!B172,0)</f>
        <v>0</v>
      </c>
      <c r="C168" s="8" t="b">
        <f>IF(OR('Items sous domaines Maths '!H172=3,'Items sous domaines Maths '!J172=3 ),'Items sous domaines Maths '!C172)</f>
        <v>0</v>
      </c>
      <c r="D168" s="8">
        <f>IF(OR('Items sous domaines Maths '!H172=3,'Items sous domaines Maths '!J172=3 ),'Items sous domaines Maths '!D172,0)</f>
        <v>0</v>
      </c>
      <c r="E168" s="8">
        <f>IF(OR('Items sous domaines Maths '!H172=3,'Items sous domaines Maths '!J172=3 ),'Items sous domaines Maths '!E172,0)</f>
        <v>0</v>
      </c>
      <c r="F168" s="9">
        <f>IF(OR('Items sous domaines Maths '!H172=3,'Items sous domaines Maths '!J172=3 ),'Items sous domaines Maths '!F172,0)</f>
        <v>0</v>
      </c>
      <c r="G168">
        <f>IF('Items sous domaines Maths '!H172=1,'Items sous domaines Maths '!G172,0)</f>
        <v>0</v>
      </c>
    </row>
    <row r="169" spans="1:7" customFormat="1" ht="17.7" hidden="1" customHeight="1" thickBot="1" x14ac:dyDescent="0.3">
      <c r="A169" s="15"/>
      <c r="B169" s="8">
        <f>IF(OR('Items sous domaines Maths '!H173=3,'Items sous domaines Maths '!J173=3 ),'Items sous domaines Maths '!B173,0)</f>
        <v>0</v>
      </c>
      <c r="C169" s="8" t="b">
        <f>IF(OR('Items sous domaines Maths '!H173=3,'Items sous domaines Maths '!J173=3 ),'Items sous domaines Maths '!C173)</f>
        <v>0</v>
      </c>
      <c r="D169" s="8">
        <f>IF(OR('Items sous domaines Maths '!H173=3,'Items sous domaines Maths '!J173=3 ),'Items sous domaines Maths '!D173,0)</f>
        <v>0</v>
      </c>
      <c r="E169" s="8">
        <f>IF(OR('Items sous domaines Maths '!H173=3,'Items sous domaines Maths '!J173=3 ),'Items sous domaines Maths '!E173,0)</f>
        <v>0</v>
      </c>
      <c r="F169" s="9">
        <f>IF(OR('Items sous domaines Maths '!H173=3,'Items sous domaines Maths '!J173=3 ),'Items sous domaines Maths '!F173,0)</f>
        <v>0</v>
      </c>
      <c r="G169">
        <f>IF('Items sous domaines Maths '!H173=1,'Items sous domaines Maths '!G173,0)</f>
        <v>0</v>
      </c>
    </row>
    <row r="170" spans="1:7" customFormat="1" ht="17.7" hidden="1" customHeight="1" thickBot="1" x14ac:dyDescent="0.3">
      <c r="A170" s="15"/>
      <c r="B170" s="8">
        <f>IF(OR('Items sous domaines Maths '!H174=3,'Items sous domaines Maths '!J174=3 ),'Items sous domaines Maths '!B174,0)</f>
        <v>0</v>
      </c>
      <c r="C170" s="8" t="b">
        <f>IF(OR('Items sous domaines Maths '!H174=3,'Items sous domaines Maths '!J174=3 ),'Items sous domaines Maths '!C174)</f>
        <v>0</v>
      </c>
      <c r="D170" s="8">
        <f>IF(OR('Items sous domaines Maths '!H174=3,'Items sous domaines Maths '!J174=3 ),'Items sous domaines Maths '!D174,0)</f>
        <v>0</v>
      </c>
      <c r="E170" s="8">
        <f>IF(OR('Items sous domaines Maths '!H174=3,'Items sous domaines Maths '!J174=3 ),'Items sous domaines Maths '!E174,0)</f>
        <v>0</v>
      </c>
      <c r="F170" s="9">
        <f>IF(OR('Items sous domaines Maths '!H174=3,'Items sous domaines Maths '!J174=3 ),'Items sous domaines Maths '!F174,0)</f>
        <v>0</v>
      </c>
      <c r="G170">
        <f>IF('Items sous domaines Maths '!H174=1,'Items sous domaines Maths '!G174,0)</f>
        <v>0</v>
      </c>
    </row>
    <row r="171" spans="1:7" customFormat="1" ht="17.7" hidden="1" customHeight="1" thickBot="1" x14ac:dyDescent="0.3">
      <c r="A171" s="15"/>
      <c r="B171" s="8">
        <f>IF(OR('Items sous domaines Maths '!H175=3,'Items sous domaines Maths '!J175=3 ),'Items sous domaines Maths '!B175,0)</f>
        <v>0</v>
      </c>
      <c r="C171" s="8" t="b">
        <f>IF(OR('Items sous domaines Maths '!H175=3,'Items sous domaines Maths '!J175=3 ),'Items sous domaines Maths '!C175)</f>
        <v>0</v>
      </c>
      <c r="D171" s="8">
        <f>IF(OR('Items sous domaines Maths '!H175=3,'Items sous domaines Maths '!J175=3 ),'Items sous domaines Maths '!D175,0)</f>
        <v>0</v>
      </c>
      <c r="E171" s="8">
        <f>IF(OR('Items sous domaines Maths '!H175=3,'Items sous domaines Maths '!J175=3 ),'Items sous domaines Maths '!E175,0)</f>
        <v>0</v>
      </c>
      <c r="F171" s="9">
        <f>IF(OR('Items sous domaines Maths '!H175=3,'Items sous domaines Maths '!J175=3 ),'Items sous domaines Maths '!F175,0)</f>
        <v>0</v>
      </c>
      <c r="G171">
        <f>IF('Items sous domaines Maths '!H175=1,'Items sous domaines Maths '!G175,0)</f>
        <v>0</v>
      </c>
    </row>
    <row r="172" spans="1:7" customFormat="1" ht="17.7" hidden="1" customHeight="1" thickBot="1" x14ac:dyDescent="0.3">
      <c r="A172" s="15"/>
      <c r="B172" s="8">
        <f>IF(OR('Items sous domaines Maths '!H176=3,'Items sous domaines Maths '!J176=3 ),'Items sous domaines Maths '!B176,0)</f>
        <v>0</v>
      </c>
      <c r="C172" s="8" t="b">
        <f>IF(OR('Items sous domaines Maths '!H176=3,'Items sous domaines Maths '!J176=3 ),'Items sous domaines Maths '!C176)</f>
        <v>0</v>
      </c>
      <c r="D172" s="8">
        <f>IF(OR('Items sous domaines Maths '!H176=3,'Items sous domaines Maths '!J176=3 ),'Items sous domaines Maths '!D176,0)</f>
        <v>0</v>
      </c>
      <c r="E172" s="8">
        <f>IF(OR('Items sous domaines Maths '!H176=3,'Items sous domaines Maths '!J176=3 ),'Items sous domaines Maths '!E176,0)</f>
        <v>0</v>
      </c>
      <c r="F172" s="9">
        <f>IF(OR('Items sous domaines Maths '!H176=3,'Items sous domaines Maths '!J176=3 ),'Items sous domaines Maths '!F176,0)</f>
        <v>0</v>
      </c>
      <c r="G172">
        <f>IF('Items sous domaines Maths '!H176=1,'Items sous domaines Maths '!G176,0)</f>
        <v>0</v>
      </c>
    </row>
    <row r="173" spans="1:7" customFormat="1" ht="17.7" hidden="1" customHeight="1" thickBot="1" x14ac:dyDescent="0.3">
      <c r="A173" s="15"/>
      <c r="B173" s="8">
        <f>IF(OR('Items sous domaines Maths '!H177=3,'Items sous domaines Maths '!J177=3 ),'Items sous domaines Maths '!B177,0)</f>
        <v>0</v>
      </c>
      <c r="C173" s="8" t="b">
        <f>IF(OR('Items sous domaines Maths '!H177=3,'Items sous domaines Maths '!J177=3 ),'Items sous domaines Maths '!C177)</f>
        <v>0</v>
      </c>
      <c r="D173" s="8">
        <f>IF(OR('Items sous domaines Maths '!H177=3,'Items sous domaines Maths '!J177=3 ),'Items sous domaines Maths '!D177,0)</f>
        <v>0</v>
      </c>
      <c r="E173" s="8">
        <f>IF(OR('Items sous domaines Maths '!H177=3,'Items sous domaines Maths '!J177=3 ),'Items sous domaines Maths '!E177,0)</f>
        <v>0</v>
      </c>
      <c r="F173" s="9">
        <f>IF(OR('Items sous domaines Maths '!H177=3,'Items sous domaines Maths '!J177=3 ),'Items sous domaines Maths '!F177,0)</f>
        <v>0</v>
      </c>
      <c r="G173">
        <f>IF('Items sous domaines Maths '!H177=1,'Items sous domaines Maths '!G177,0)</f>
        <v>0</v>
      </c>
    </row>
    <row r="174" spans="1:7" customFormat="1" ht="17.7" hidden="1" customHeight="1" thickBot="1" x14ac:dyDescent="0.3">
      <c r="A174" s="15"/>
      <c r="B174" s="8">
        <f>IF(OR('Items sous domaines Maths '!H178=3,'Items sous domaines Maths '!J178=3 ),'Items sous domaines Maths '!B178,0)</f>
        <v>0</v>
      </c>
      <c r="C174" s="8" t="b">
        <f>IF(OR('Items sous domaines Maths '!H178=3,'Items sous domaines Maths '!J178=3 ),'Items sous domaines Maths '!C178)</f>
        <v>0</v>
      </c>
      <c r="D174" s="8">
        <f>IF(OR('Items sous domaines Maths '!H178=3,'Items sous domaines Maths '!J178=3 ),'Items sous domaines Maths '!D178,0)</f>
        <v>0</v>
      </c>
      <c r="E174" s="8">
        <f>IF(OR('Items sous domaines Maths '!H178=3,'Items sous domaines Maths '!J178=3 ),'Items sous domaines Maths '!E178,0)</f>
        <v>0</v>
      </c>
      <c r="F174" s="9">
        <f>IF(OR('Items sous domaines Maths '!H178=3,'Items sous domaines Maths '!J178=3 ),'Items sous domaines Maths '!F178,0)</f>
        <v>0</v>
      </c>
      <c r="G174">
        <f>IF('Items sous domaines Maths '!H178=1,'Items sous domaines Maths '!G178,0)</f>
        <v>0</v>
      </c>
    </row>
    <row r="175" spans="1:7" customFormat="1" ht="17.7" hidden="1" customHeight="1" thickBot="1" x14ac:dyDescent="0.3">
      <c r="A175" s="15"/>
      <c r="B175" s="8">
        <f>IF(OR('Items sous domaines Maths '!H179=3,'Items sous domaines Maths '!J179=3 ),'Items sous domaines Maths '!B179,0)</f>
        <v>0</v>
      </c>
      <c r="C175" s="8" t="b">
        <f>IF(OR('Items sous domaines Maths '!H179=3,'Items sous domaines Maths '!J179=3 ),'Items sous domaines Maths '!C179)</f>
        <v>0</v>
      </c>
      <c r="D175" s="8">
        <f>IF(OR('Items sous domaines Maths '!H179=3,'Items sous domaines Maths '!J179=3 ),'Items sous domaines Maths '!D179,0)</f>
        <v>0</v>
      </c>
      <c r="E175" s="8">
        <f>IF(OR('Items sous domaines Maths '!H179=3,'Items sous domaines Maths '!J179=3 ),'Items sous domaines Maths '!E179,0)</f>
        <v>0</v>
      </c>
      <c r="F175" s="9">
        <f>IF(OR('Items sous domaines Maths '!H179=3,'Items sous domaines Maths '!J179=3 ),'Items sous domaines Maths '!F179,0)</f>
        <v>0</v>
      </c>
      <c r="G175">
        <f>IF('Items sous domaines Maths '!H179=1,'Items sous domaines Maths '!G179,0)</f>
        <v>0</v>
      </c>
    </row>
    <row r="176" spans="1:7" customFormat="1" ht="17.7" hidden="1" customHeight="1" thickBot="1" x14ac:dyDescent="0.3">
      <c r="A176" s="15"/>
      <c r="B176" s="8">
        <f>IF(OR('Items sous domaines Maths '!H180=3,'Items sous domaines Maths '!J180=3 ),'Items sous domaines Maths '!B180,0)</f>
        <v>0</v>
      </c>
      <c r="C176" s="8" t="b">
        <f>IF(OR('Items sous domaines Maths '!H180=3,'Items sous domaines Maths '!J180=3 ),'Items sous domaines Maths '!C180)</f>
        <v>0</v>
      </c>
      <c r="D176" s="8">
        <f>IF(OR('Items sous domaines Maths '!H180=3,'Items sous domaines Maths '!J180=3 ),'Items sous domaines Maths '!D180,0)</f>
        <v>0</v>
      </c>
      <c r="E176" s="8">
        <f>IF(OR('Items sous domaines Maths '!H180=3,'Items sous domaines Maths '!J180=3 ),'Items sous domaines Maths '!E180,0)</f>
        <v>0</v>
      </c>
      <c r="F176" s="9">
        <f>IF(OR('Items sous domaines Maths '!H180=3,'Items sous domaines Maths '!J180=3 ),'Items sous domaines Maths '!F180,0)</f>
        <v>0</v>
      </c>
      <c r="G176">
        <f>IF('Items sous domaines Maths '!H180=1,'Items sous domaines Maths '!G180,0)</f>
        <v>0</v>
      </c>
    </row>
    <row r="177" spans="1:9" customFormat="1" ht="17.7" hidden="1" customHeight="1" thickBot="1" x14ac:dyDescent="0.3">
      <c r="A177" s="15"/>
      <c r="B177" s="8">
        <f>IF(OR('Items sous domaines Maths '!H181=3,'Items sous domaines Maths '!J181=3 ),'Items sous domaines Maths '!B181,0)</f>
        <v>0</v>
      </c>
      <c r="C177" s="8" t="b">
        <f>IF(OR('Items sous domaines Maths '!H181=3,'Items sous domaines Maths '!J181=3 ),'Items sous domaines Maths '!C181)</f>
        <v>0</v>
      </c>
      <c r="D177" s="8">
        <f>IF(OR('Items sous domaines Maths '!H181=3,'Items sous domaines Maths '!J181=3 ),'Items sous domaines Maths '!D181,0)</f>
        <v>0</v>
      </c>
      <c r="E177" s="8">
        <f>IF(OR('Items sous domaines Maths '!H181=3,'Items sous domaines Maths '!J181=3 ),'Items sous domaines Maths '!E181,0)</f>
        <v>0</v>
      </c>
      <c r="F177" s="9">
        <f>IF(OR('Items sous domaines Maths '!H181=3,'Items sous domaines Maths '!J181=3 ),'Items sous domaines Maths '!F181,0)</f>
        <v>0</v>
      </c>
      <c r="G177">
        <f>IF('Items sous domaines Maths '!H181=1,'Items sous domaines Maths '!G181,0)</f>
        <v>0</v>
      </c>
    </row>
    <row r="178" spans="1:9" customFormat="1" ht="17.7" hidden="1" customHeight="1" thickBot="1" x14ac:dyDescent="0.3">
      <c r="A178" s="15"/>
      <c r="B178" s="8">
        <f>IF(OR('Items sous domaines Maths '!H182=3,'Items sous domaines Maths '!J182=3 ),'Items sous domaines Maths '!B182,0)</f>
        <v>0</v>
      </c>
      <c r="C178" s="8" t="b">
        <f>IF(OR('Items sous domaines Maths '!H182=3,'Items sous domaines Maths '!J182=3 ),'Items sous domaines Maths '!C182)</f>
        <v>0</v>
      </c>
      <c r="D178" s="8">
        <f>IF(OR('Items sous domaines Maths '!H182=3,'Items sous domaines Maths '!J182=3 ),'Items sous domaines Maths '!D182,0)</f>
        <v>0</v>
      </c>
      <c r="E178" s="8">
        <f>IF(OR('Items sous domaines Maths '!H182=3,'Items sous domaines Maths '!J182=3 ),'Items sous domaines Maths '!E182,0)</f>
        <v>0</v>
      </c>
      <c r="F178" s="9">
        <f>IF(OR('Items sous domaines Maths '!H182=3,'Items sous domaines Maths '!J182=3 ),'Items sous domaines Maths '!F182,0)</f>
        <v>0</v>
      </c>
      <c r="G178">
        <f>IF('Items sous domaines Maths '!H182=1,'Items sous domaines Maths '!G182,0)</f>
        <v>0</v>
      </c>
    </row>
    <row r="179" spans="1:9" customFormat="1" ht="17.7" hidden="1" customHeight="1" thickBot="1" x14ac:dyDescent="0.3">
      <c r="A179" s="15"/>
      <c r="B179" s="8">
        <f>IF(OR('Items sous domaines Maths '!H183=3,'Items sous domaines Maths '!J183=3 ),'Items sous domaines Maths '!B183,0)</f>
        <v>0</v>
      </c>
      <c r="C179" s="8" t="b">
        <f>IF(OR('Items sous domaines Maths '!H183=3,'Items sous domaines Maths '!J183=3 ),'Items sous domaines Maths '!C183)</f>
        <v>0</v>
      </c>
      <c r="D179" s="8">
        <f>IF(OR('Items sous domaines Maths '!H183=3,'Items sous domaines Maths '!J183=3 ),'Items sous domaines Maths '!D183,0)</f>
        <v>0</v>
      </c>
      <c r="E179" s="8">
        <f>IF(OR('Items sous domaines Maths '!H183=3,'Items sous domaines Maths '!J183=3 ),'Items sous domaines Maths '!E183,0)</f>
        <v>0</v>
      </c>
      <c r="F179" s="9">
        <f>IF(OR('Items sous domaines Maths '!H183=3,'Items sous domaines Maths '!J183=3 ),'Items sous domaines Maths '!F183,0)</f>
        <v>0</v>
      </c>
      <c r="G179">
        <f>IF('Items sous domaines Maths '!H183=1,'Items sous domaines Maths '!G183,0)</f>
        <v>0</v>
      </c>
    </row>
    <row r="180" spans="1:9" customFormat="1" ht="17.7" hidden="1" customHeight="1" thickBot="1" x14ac:dyDescent="0.3">
      <c r="A180" s="15"/>
      <c r="B180" s="8">
        <f>IF(OR('Items sous domaines Maths '!H184=3,'Items sous domaines Maths '!J184=3 ),'Items sous domaines Maths '!B184,0)</f>
        <v>0</v>
      </c>
      <c r="C180" s="8" t="b">
        <f>IF(OR('Items sous domaines Maths '!H184=3,'Items sous domaines Maths '!J184=3 ),'Items sous domaines Maths '!C184)</f>
        <v>0</v>
      </c>
      <c r="D180" s="8">
        <f>IF(OR('Items sous domaines Maths '!H184=3,'Items sous domaines Maths '!J184=3 ),'Items sous domaines Maths '!D184,0)</f>
        <v>0</v>
      </c>
      <c r="E180" s="8">
        <f>IF(OR('Items sous domaines Maths '!H184=3,'Items sous domaines Maths '!J184=3 ),'Items sous domaines Maths '!E184,0)</f>
        <v>0</v>
      </c>
      <c r="F180" s="9">
        <f>IF(OR('Items sous domaines Maths '!H184=3,'Items sous domaines Maths '!J184=3 ),'Items sous domaines Maths '!F184,0)</f>
        <v>0</v>
      </c>
      <c r="G180">
        <f>IF('Items sous domaines Maths '!H184=1,'Items sous domaines Maths '!G184,0)</f>
        <v>0</v>
      </c>
    </row>
    <row r="181" spans="1:9" customFormat="1" ht="17.7" hidden="1" customHeight="1" thickBot="1" x14ac:dyDescent="0.3">
      <c r="A181" s="15"/>
      <c r="B181" s="8">
        <f>IF(OR('Items sous domaines Maths '!H185=3,'Items sous domaines Maths '!J185=3 ),'Items sous domaines Maths '!B185,0)</f>
        <v>0</v>
      </c>
      <c r="C181" s="8" t="b">
        <f>IF(OR('Items sous domaines Maths '!H185=3,'Items sous domaines Maths '!J185=3 ),'Items sous domaines Maths '!C185)</f>
        <v>0</v>
      </c>
      <c r="D181" s="8">
        <f>IF(OR('Items sous domaines Maths '!H185=3,'Items sous domaines Maths '!J185=3 ),'Items sous domaines Maths '!D185,0)</f>
        <v>0</v>
      </c>
      <c r="E181" s="8">
        <f>IF(OR('Items sous domaines Maths '!H185=3,'Items sous domaines Maths '!J185=3 ),'Items sous domaines Maths '!E185,0)</f>
        <v>0</v>
      </c>
      <c r="F181" s="9">
        <f>IF(OR('Items sous domaines Maths '!H185=3,'Items sous domaines Maths '!J185=3 ),'Items sous domaines Maths '!F185,0)</f>
        <v>0</v>
      </c>
      <c r="G181">
        <f>IF('Items sous domaines Maths '!H185=1,'Items sous domaines Maths '!G185,0)</f>
        <v>0</v>
      </c>
    </row>
    <row r="182" spans="1:9" customFormat="1" ht="17.399999999999999" hidden="1" customHeight="1" thickBot="1" x14ac:dyDescent="0.3">
      <c r="A182" s="15"/>
      <c r="B182" s="8">
        <f>IF(OR('Items sous domaines Maths '!H186=3,'Items sous domaines Maths '!J186=3 ),'Items sous domaines Maths '!B186,0)</f>
        <v>0</v>
      </c>
      <c r="C182" s="8" t="b">
        <f>IF(OR('Items sous domaines Maths '!H186=3,'Items sous domaines Maths '!J186=3 ),'Items sous domaines Maths '!C186)</f>
        <v>0</v>
      </c>
      <c r="D182" s="8">
        <f>IF(OR('Items sous domaines Maths '!H186=3,'Items sous domaines Maths '!J186=3 ),'Items sous domaines Maths '!D186,0)</f>
        <v>0</v>
      </c>
      <c r="E182" s="8">
        <f>IF(OR('Items sous domaines Maths '!H186=3,'Items sous domaines Maths '!J186=3 ),'Items sous domaines Maths '!E186,0)</f>
        <v>0</v>
      </c>
      <c r="F182" s="9">
        <f>IF(OR('Items sous domaines Maths '!H186=3,'Items sous domaines Maths '!J186=3 ),'Items sous domaines Maths '!F186,0)</f>
        <v>0</v>
      </c>
      <c r="G182">
        <f>IF('Items sous domaines Maths '!H186=1,'Items sous domaines Maths '!G186,0)</f>
        <v>0</v>
      </c>
    </row>
    <row r="183" spans="1:9" customFormat="1" ht="17.399999999999999" hidden="1" customHeight="1" thickBot="1" x14ac:dyDescent="0.3">
      <c r="A183" s="15"/>
      <c r="B183" s="8">
        <f>IF(OR('Items sous domaines Maths '!H187=3,'Items sous domaines Maths '!J187=3 ),'Items sous domaines Maths '!B187,0)</f>
        <v>0</v>
      </c>
      <c r="C183" s="8" t="b">
        <f>IF(OR('Items sous domaines Maths '!H187=3,'Items sous domaines Maths '!J187=3 ),'Items sous domaines Maths '!C187)</f>
        <v>0</v>
      </c>
      <c r="D183" s="8">
        <f>IF(OR('Items sous domaines Maths '!H187=3,'Items sous domaines Maths '!J187=3 ),'Items sous domaines Maths '!D187,0)</f>
        <v>0</v>
      </c>
      <c r="E183" s="8">
        <f>IF(OR('Items sous domaines Maths '!H187=3,'Items sous domaines Maths '!J187=3 ),'Items sous domaines Maths '!E187,0)</f>
        <v>0</v>
      </c>
      <c r="F183" s="9">
        <f>IF(OR('Items sous domaines Maths '!H187=3,'Items sous domaines Maths '!J187=3 ),'Items sous domaines Maths '!F187,0)</f>
        <v>0</v>
      </c>
      <c r="G183">
        <f>IF('Items sous domaines Maths '!H187=1,'Items sous domaines Maths '!G187,0)</f>
        <v>0</v>
      </c>
    </row>
    <row r="184" spans="1:9" customFormat="1" ht="17.399999999999999" hidden="1" customHeight="1" thickBot="1" x14ac:dyDescent="0.3">
      <c r="A184" s="15"/>
      <c r="B184" s="8">
        <f>IF(OR('Items sous domaines Maths '!H188=3,'Items sous domaines Maths '!J188=3 ),'Items sous domaines Maths '!B188,0)</f>
        <v>0</v>
      </c>
      <c r="C184" s="8" t="b">
        <f>IF(OR('Items sous domaines Maths '!H188=3,'Items sous domaines Maths '!J188=3 ),'Items sous domaines Maths '!C188)</f>
        <v>0</v>
      </c>
      <c r="D184" s="8">
        <f>IF(OR('Items sous domaines Maths '!H188=3,'Items sous domaines Maths '!J188=3 ),'Items sous domaines Maths '!D188,0)</f>
        <v>0</v>
      </c>
      <c r="E184" s="8">
        <f>IF(OR('Items sous domaines Maths '!H188=3,'Items sous domaines Maths '!J188=3 ),'Items sous domaines Maths '!E188,0)</f>
        <v>0</v>
      </c>
      <c r="F184" s="9">
        <f>IF(OR('Items sous domaines Maths '!H188=3,'Items sous domaines Maths '!J188=3 ),'Items sous domaines Maths '!F188,0)</f>
        <v>0</v>
      </c>
      <c r="G184">
        <f>IF('Items sous domaines Maths '!H188=1,'Items sous domaines Maths '!G188,0)</f>
        <v>0</v>
      </c>
    </row>
    <row r="185" spans="1:9" customFormat="1" ht="17.399999999999999" hidden="1" customHeight="1" thickBot="1" x14ac:dyDescent="0.3">
      <c r="A185" s="15"/>
      <c r="B185" s="8">
        <f>IF(OR('Items sous domaines Maths '!H189=3,'Items sous domaines Maths '!J189=3 ),'Items sous domaines Maths '!B189,0)</f>
        <v>0</v>
      </c>
      <c r="C185" s="8" t="b">
        <f>IF(OR('Items sous domaines Maths '!H189=3,'Items sous domaines Maths '!J189=3 ),'Items sous domaines Maths '!C189)</f>
        <v>0</v>
      </c>
      <c r="D185" s="8">
        <f>IF(OR('Items sous domaines Maths '!H189=3,'Items sous domaines Maths '!J189=3 ),'Items sous domaines Maths '!D189,0)</f>
        <v>0</v>
      </c>
      <c r="E185" s="8">
        <f>IF(OR('Items sous domaines Maths '!H189=3,'Items sous domaines Maths '!J189=3 ),'Items sous domaines Maths '!E189,0)</f>
        <v>0</v>
      </c>
      <c r="F185" s="9">
        <f>IF(OR('Items sous domaines Maths '!H189=3,'Items sous domaines Maths '!J189=3 ),'Items sous domaines Maths '!F189,0)</f>
        <v>0</v>
      </c>
      <c r="G185">
        <f>IF('Items sous domaines Maths '!H189=1,'Items sous domaines Maths '!G189,0)</f>
        <v>0</v>
      </c>
    </row>
    <row r="186" spans="1:9" customFormat="1" ht="17.399999999999999" hidden="1" customHeight="1" thickBot="1" x14ac:dyDescent="0.3">
      <c r="A186" s="15"/>
      <c r="B186" s="8">
        <f>IF(OR('Items sous domaines Maths '!H190=3,'Items sous domaines Maths '!J190=3 ),'Items sous domaines Maths '!B190,0)</f>
        <v>0</v>
      </c>
      <c r="C186" s="8" t="b">
        <f>IF(OR('Items sous domaines Maths '!H190=3,'Items sous domaines Maths '!J190=3 ),'Items sous domaines Maths '!C190)</f>
        <v>0</v>
      </c>
      <c r="D186" s="8">
        <f>IF(OR('Items sous domaines Maths '!H190=3,'Items sous domaines Maths '!J190=3 ),'Items sous domaines Maths '!D190,0)</f>
        <v>0</v>
      </c>
      <c r="E186" s="8">
        <f>IF(OR('Items sous domaines Maths '!H190=3,'Items sous domaines Maths '!J190=3 ),'Items sous domaines Maths '!E190,0)</f>
        <v>0</v>
      </c>
      <c r="F186" s="9">
        <f>IF(OR('Items sous domaines Maths '!H190=3,'Items sous domaines Maths '!J190=3 ),'Items sous domaines Maths '!F190,0)</f>
        <v>0</v>
      </c>
      <c r="G186">
        <f>IF('Items sous domaines Maths '!H190=1,'Items sous domaines Maths '!G190,0)</f>
        <v>0</v>
      </c>
    </row>
    <row r="187" spans="1:9" ht="19.95" customHeight="1" thickTop="1" x14ac:dyDescent="0.25">
      <c r="A187" s="619" t="s">
        <v>850</v>
      </c>
      <c r="B187" s="181" t="str">
        <f>IF(OR('Items sous domaines Maths '!H191=3,'Items sous domaines Maths '!J191=3 ),'Items sous domaines Maths '!B191,0)</f>
        <v>Analyse</v>
      </c>
      <c r="C187" s="182" t="str">
        <f>IF(OR('Items sous domaines Maths '!H191=3,'Items sous domaines Maths '!J191=3 ),'Items sous domaines Maths '!C191)</f>
        <v>Fonctions d'une variable</v>
      </c>
      <c r="D187" s="182" t="str">
        <f>IF(OR('Items sous domaines Maths '!H191=3,'Items sous domaines Maths '!J191=3 ),'Items sous domaines Maths '!D191,0)</f>
        <v>Géneralités sur les fonctions</v>
      </c>
      <c r="E187" s="182" t="str">
        <f>IF(OR('Items sous domaines Maths '!H191=3,'Items sous domaines Maths '!J191=3 ),'Items sous domaines Maths '!E191,0)</f>
        <v>Définition</v>
      </c>
      <c r="F187" s="183" t="str">
        <f>IF(OR('Items sous domaines Maths '!H191=3,'Items sous domaines Maths '!J191=3 ),'Items sous domaines Maths '!F191,0)</f>
        <v>Savoir les définitions d'antécédent, d'image.</v>
      </c>
      <c r="G187" s="648" t="s">
        <v>446</v>
      </c>
      <c r="H187" s="673" t="s">
        <v>469</v>
      </c>
      <c r="I187" s="235"/>
    </row>
    <row r="188" spans="1:9" ht="19.95" customHeight="1" x14ac:dyDescent="0.25">
      <c r="A188" s="620"/>
      <c r="B188" s="141" t="str">
        <f>IF(OR('Items sous domaines Maths '!H192=3,'Items sous domaines Maths '!J192=3 ),'Items sous domaines Maths '!B192,0)</f>
        <v>Analyse</v>
      </c>
      <c r="C188" s="142" t="str">
        <f>IF(OR('Items sous domaines Maths '!H192=3,'Items sous domaines Maths '!J192=3 ),'Items sous domaines Maths '!C192)</f>
        <v>Fonctions d'une variable</v>
      </c>
      <c r="D188" s="142">
        <f>IF(OR('Items sous domaines Maths '!H192=3,'Items sous domaines Maths '!J192=3 ),'Items sous domaines Maths '!D192,0)</f>
        <v>0</v>
      </c>
      <c r="E188" s="142" t="str">
        <f>IF(OR('Items sous domaines Maths '!H192=3,'Items sous domaines Maths '!J192=3 ),'Items sous domaines Maths '!E192,0)</f>
        <v>Propriétés</v>
      </c>
      <c r="F188" s="143" t="str">
        <f>IF(OR('Items sous domaines Maths '!H192=3,'Items sous domaines Maths '!J192=3 ),'Items sous domaines Maths '!F192,0)</f>
        <v>Etudier la parité, la périodicité, réduction d'intervalles d'étude et étudier une fonction.</v>
      </c>
      <c r="G188" s="649"/>
      <c r="H188" s="678"/>
      <c r="I188" s="236"/>
    </row>
    <row r="189" spans="1:9" ht="19.95" customHeight="1" x14ac:dyDescent="0.25">
      <c r="A189" s="620"/>
      <c r="B189" s="144" t="str">
        <f>IF(OR('Items sous domaines Maths '!H193=3,'Items sous domaines Maths '!J193=3 ),'Items sous domaines Maths '!B193,0)</f>
        <v>Analyse</v>
      </c>
      <c r="C189" s="145" t="str">
        <f>IF(OR('Items sous domaines Maths '!H193=3,'Items sous domaines Maths '!J193=3 ),'Items sous domaines Maths '!C193)</f>
        <v>Fonctions d'une variable</v>
      </c>
      <c r="D189" s="145" t="str">
        <f>IF(OR('Items sous domaines Maths '!H193=3,'Items sous domaines Maths '!J193=3 ),'Items sous domaines Maths '!D193,0)</f>
        <v xml:space="preserve">Limites </v>
      </c>
      <c r="E189" s="145" t="str">
        <f>IF(OR('Items sous domaines Maths '!H193=3,'Items sous domaines Maths '!J193=3 ),'Items sous domaines Maths '!E193,0)</f>
        <v>Limites finies et infinies en un réel fini et en l'infini</v>
      </c>
      <c r="F189" s="146">
        <f>IF(OR('Items sous domaines Maths '!H193=3,'Items sous domaines Maths '!J193=3 ),'Items sous domaines Maths '!F193,0)</f>
        <v>0</v>
      </c>
      <c r="G189" s="649"/>
      <c r="H189" s="678"/>
      <c r="I189" s="236"/>
    </row>
    <row r="190" spans="1:9" ht="19.95" customHeight="1" x14ac:dyDescent="0.25">
      <c r="A190" s="620"/>
      <c r="B190" s="141" t="str">
        <f>IF(OR('Items sous domaines Maths '!H194=3,'Items sous domaines Maths '!J194=3 ),'Items sous domaines Maths '!B194,0)</f>
        <v>Analyse</v>
      </c>
      <c r="C190" s="142" t="str">
        <f>IF(OR('Items sous domaines Maths '!H194=3,'Items sous domaines Maths '!J194=3 ),'Items sous domaines Maths '!C194)</f>
        <v>Fonctions d'une variable</v>
      </c>
      <c r="D190" s="142">
        <f>IF(OR('Items sous domaines Maths '!H194=3,'Items sous domaines Maths '!J194=3 ),'Items sous domaines Maths '!D194,0)</f>
        <v>0</v>
      </c>
      <c r="E190" s="142" t="str">
        <f>IF(OR('Items sous domaines Maths '!H194=3,'Items sous domaines Maths '!J194=3 ),'Items sous domaines Maths '!E194,0)</f>
        <v>Limites des fonctions usuelles</v>
      </c>
      <c r="F190" s="143">
        <f>IF(OR('Items sous domaines Maths '!H194=3,'Items sous domaines Maths '!J194=3 ),'Items sous domaines Maths '!F194,0)</f>
        <v>0</v>
      </c>
      <c r="G190" s="649"/>
      <c r="H190" s="678"/>
      <c r="I190" s="236"/>
    </row>
    <row r="191" spans="1:9" ht="19.95" customHeight="1" x14ac:dyDescent="0.25">
      <c r="A191" s="620"/>
      <c r="B191" s="144" t="str">
        <f>IF(OR('Items sous domaines Maths '!H195=3,'Items sous domaines Maths '!J195=3 ),'Items sous domaines Maths '!B195,0)</f>
        <v>Analyse</v>
      </c>
      <c r="C191" s="145" t="str">
        <f>IF(OR('Items sous domaines Maths '!H195=3,'Items sous domaines Maths '!J195=3 ),'Items sous domaines Maths '!C195)</f>
        <v>Fonctions d'une variable</v>
      </c>
      <c r="D191" s="145">
        <f>IF(OR('Items sous domaines Maths '!H195=3,'Items sous domaines Maths '!J195=3 ),'Items sous domaines Maths '!D195,0)</f>
        <v>0</v>
      </c>
      <c r="E191" s="145" t="str">
        <f>IF(OR('Items sous domaines Maths '!H195=3,'Items sous domaines Maths '!J195=3 ),'Items sous domaines Maths '!E195,0)</f>
        <v>Opérations sur les limites et formes indéterminées</v>
      </c>
      <c r="F191" s="146">
        <f>IF(OR('Items sous domaines Maths '!H195=3,'Items sous domaines Maths '!J195=3 ),'Items sous domaines Maths '!F195,0)</f>
        <v>0</v>
      </c>
      <c r="G191" s="649"/>
      <c r="H191" s="678"/>
      <c r="I191" s="236"/>
    </row>
    <row r="192" spans="1:9" ht="19.95" customHeight="1" x14ac:dyDescent="0.25">
      <c r="A192" s="620"/>
      <c r="B192" s="141" t="str">
        <f>IF(OR('Items sous domaines Maths '!H196=3,'Items sous domaines Maths '!J196=3 ),'Items sous domaines Maths '!B196,0)</f>
        <v>Analyse</v>
      </c>
      <c r="C192" s="142" t="str">
        <f>IF(OR('Items sous domaines Maths '!H196=3,'Items sous domaines Maths '!J196=3 ),'Items sous domaines Maths '!C196)</f>
        <v>Fonctions d'une variable</v>
      </c>
      <c r="D192" s="142">
        <f>IF(OR('Items sous domaines Maths '!H196=3,'Items sous domaines Maths '!J196=3 ),'Items sous domaines Maths '!D196,0)</f>
        <v>0</v>
      </c>
      <c r="E192" s="142" t="str">
        <f>IF(OR('Items sous domaines Maths '!H196=3,'Items sous domaines Maths '!J196=3 ),'Items sous domaines Maths '!E196,0)</f>
        <v xml:space="preserve">Techniques de calculs de limites </v>
      </c>
      <c r="F192" s="143" t="str">
        <f>IF(OR('Items sous domaines Maths '!H196=3,'Items sous domaines Maths '!J196=3 ),'Items sous domaines Maths '!F196,0)</f>
        <v>Levées d'indeterminations.</v>
      </c>
      <c r="G192" s="649"/>
      <c r="H192" s="678"/>
      <c r="I192" s="236"/>
    </row>
    <row r="193" spans="1:9" ht="19.95" customHeight="1" x14ac:dyDescent="0.25">
      <c r="A193" s="620"/>
      <c r="B193" s="144" t="str">
        <f>IF(OR('Items sous domaines Maths '!H197=3,'Items sous domaines Maths '!J197=3 ),'Items sous domaines Maths '!B197,0)</f>
        <v>Analyse</v>
      </c>
      <c r="C193" s="145" t="str">
        <f>IF(OR('Items sous domaines Maths '!H197=3,'Items sous domaines Maths '!J197=3 ),'Items sous domaines Maths '!C197)</f>
        <v>Fonctions d'une variable</v>
      </c>
      <c r="D193" s="145">
        <f>IF(OR('Items sous domaines Maths '!H197=3,'Items sous domaines Maths '!J197=3 ),'Items sous domaines Maths '!D197,0)</f>
        <v>0</v>
      </c>
      <c r="E193" s="145" t="str">
        <f>IF(OR('Items sous domaines Maths '!H197=3,'Items sous domaines Maths '!J197=3 ),'Items sous domaines Maths '!E197,0)</f>
        <v>Interprétation graphique et asymptotes</v>
      </c>
      <c r="F193" s="146">
        <f>IF(OR('Items sous domaines Maths '!H197=3,'Items sous domaines Maths '!J197=3 ),'Items sous domaines Maths '!F197,0)</f>
        <v>0</v>
      </c>
      <c r="G193" s="649"/>
      <c r="H193" s="678"/>
      <c r="I193" s="236"/>
    </row>
    <row r="194" spans="1:9" ht="19.95" customHeight="1" x14ac:dyDescent="0.25">
      <c r="A194" s="620"/>
      <c r="B194" s="141" t="str">
        <f>IF(OR('Items sous domaines Maths '!H198=3,'Items sous domaines Maths '!J198=3 ),'Items sous domaines Maths '!B198,0)</f>
        <v>Analyse</v>
      </c>
      <c r="C194" s="142" t="str">
        <f>IF(OR('Items sous domaines Maths '!H198=3,'Items sous domaines Maths '!J198=3 ),'Items sous domaines Maths '!C198)</f>
        <v>Fonctions d'une variable</v>
      </c>
      <c r="D194" s="142" t="str">
        <f>IF(OR('Items sous domaines Maths '!H198=3,'Items sous domaines Maths '!J198=3 ),'Items sous domaines Maths '!D198,0)</f>
        <v>Continuité</v>
      </c>
      <c r="E194" s="142" t="str">
        <f>IF(OR('Items sous domaines Maths '!H198=3,'Items sous domaines Maths '!J198=3 ),'Items sous domaines Maths '!E198,0)</f>
        <v>Continuité en un point</v>
      </c>
      <c r="F194" s="143">
        <f>IF(OR('Items sous domaines Maths '!H198=3,'Items sous domaines Maths '!J198=3 ),'Items sous domaines Maths '!F198,0)</f>
        <v>0</v>
      </c>
      <c r="G194" s="649"/>
      <c r="H194" s="678"/>
      <c r="I194" s="236"/>
    </row>
    <row r="195" spans="1:9" ht="19.95" customHeight="1" x14ac:dyDescent="0.25">
      <c r="A195" s="620"/>
      <c r="B195" s="144" t="str">
        <f>IF(OR('Items sous domaines Maths '!H199=3,'Items sous domaines Maths '!J199=3 ),'Items sous domaines Maths '!B199,0)</f>
        <v>Analyse</v>
      </c>
      <c r="C195" s="145" t="str">
        <f>IF(OR('Items sous domaines Maths '!H199=3,'Items sous domaines Maths '!J199=3 ),'Items sous domaines Maths '!C199)</f>
        <v>Fonctions d'une variable</v>
      </c>
      <c r="D195" s="145">
        <f>IF(OR('Items sous domaines Maths '!H199=3,'Items sous domaines Maths '!J199=3 ),'Items sous domaines Maths '!D199,0)</f>
        <v>0</v>
      </c>
      <c r="E195" s="145" t="str">
        <f>IF(OR('Items sous domaines Maths '!H199=3,'Items sous domaines Maths '!J199=3 ),'Items sous domaines Maths '!E199,0)</f>
        <v>Continuité sur un intervalle</v>
      </c>
      <c r="F195" s="146">
        <f>IF(OR('Items sous domaines Maths '!H199=3,'Items sous domaines Maths '!J199=3 ),'Items sous domaines Maths '!F199,0)</f>
        <v>0</v>
      </c>
      <c r="G195" s="649"/>
      <c r="H195" s="678"/>
      <c r="I195" s="236"/>
    </row>
    <row r="196" spans="1:9" ht="19.95" customHeight="1" x14ac:dyDescent="0.25">
      <c r="A196" s="620"/>
      <c r="B196" s="141" t="str">
        <f>IF(OR('Items sous domaines Maths '!H200=3,'Items sous domaines Maths '!J200=3 ),'Items sous domaines Maths '!B200,0)</f>
        <v>Analyse</v>
      </c>
      <c r="C196" s="142" t="str">
        <f>IF(OR('Items sous domaines Maths '!H200=3,'Items sous domaines Maths '!J200=3 ),'Items sous domaines Maths '!C200)</f>
        <v>Fonctions d'une variable</v>
      </c>
      <c r="D196" s="142" t="str">
        <f>IF(OR('Items sous domaines Maths '!H200=3,'Items sous domaines Maths '!J200=3 ),'Items sous domaines Maths '!D200,0)</f>
        <v>Derivation</v>
      </c>
      <c r="E196" s="142" t="str">
        <f>IF(OR('Items sous domaines Maths '!H200=3,'Items sous domaines Maths '!J200=3 ),'Items sous domaines Maths '!E200,0)</f>
        <v>Dérivabilité en un point</v>
      </c>
      <c r="F196" s="143" t="str">
        <f>IF(OR('Items sous domaines Maths '!H200=3,'Items sous domaines Maths '!J200=3 ),'Items sous domaines Maths '!F200,0)</f>
        <v>Notion de nombre dérivé et interprétation géométrique. Taux de variation.</v>
      </c>
      <c r="G196" s="649"/>
      <c r="H196" s="678"/>
      <c r="I196" s="236"/>
    </row>
    <row r="197" spans="1:9" ht="19.95" customHeight="1" x14ac:dyDescent="0.25">
      <c r="A197" s="620"/>
      <c r="B197" s="144" t="str">
        <f>IF(OR('Items sous domaines Maths '!H201=3,'Items sous domaines Maths '!J201=3 ),'Items sous domaines Maths '!B201,0)</f>
        <v>Analyse</v>
      </c>
      <c r="C197" s="145" t="str">
        <f>IF(OR('Items sous domaines Maths '!H201=3,'Items sous domaines Maths '!J201=3 ),'Items sous domaines Maths '!C201)</f>
        <v>Fonctions d'une variable</v>
      </c>
      <c r="D197" s="145">
        <f>IF(OR('Items sous domaines Maths '!H201=3,'Items sous domaines Maths '!J201=3 ),'Items sous domaines Maths '!D201,0)</f>
        <v>0</v>
      </c>
      <c r="E197" s="145">
        <f>IF(OR('Items sous domaines Maths '!H201=3,'Items sous domaines Maths '!J201=3 ),'Items sous domaines Maths '!E201,0)</f>
        <v>0</v>
      </c>
      <c r="F197" s="146" t="str">
        <f>IF(OR('Items sous domaines Maths '!H201=3,'Items sous domaines Maths '!J201=3 ),'Items sous domaines Maths '!F201,0)</f>
        <v>Existence et équation de la tangente en un point.</v>
      </c>
      <c r="G197" s="649"/>
      <c r="H197" s="678"/>
      <c r="I197" s="236"/>
    </row>
    <row r="198" spans="1:9" ht="19.95" customHeight="1" x14ac:dyDescent="0.25">
      <c r="A198" s="620"/>
      <c r="B198" s="141" t="str">
        <f>IF(OR('Items sous domaines Maths '!H202=3,'Items sous domaines Maths '!J202=3 ),'Items sous domaines Maths '!B202,0)</f>
        <v>Analyse</v>
      </c>
      <c r="C198" s="142" t="str">
        <f>IF(OR('Items sous domaines Maths '!H202=3,'Items sous domaines Maths '!J202=3 ),'Items sous domaines Maths '!C202)</f>
        <v>Fonctions d'une variable</v>
      </c>
      <c r="D198" s="142">
        <f>IF(OR('Items sous domaines Maths '!H202=3,'Items sous domaines Maths '!J202=3 ),'Items sous domaines Maths '!D202,0)</f>
        <v>0</v>
      </c>
      <c r="E198" s="142" t="str">
        <f>IF(OR('Items sous domaines Maths '!H202=3,'Items sous domaines Maths '!J202=3 ),'Items sous domaines Maths '!E202,0)</f>
        <v>Dérivabilité sur un intervalle</v>
      </c>
      <c r="F198" s="143" t="str">
        <f>IF(OR('Items sous domaines Maths '!H202=3,'Items sous domaines Maths '!J202=3 ),'Items sous domaines Maths '!F202,0)</f>
        <v>Formules des dérivées usuelles et domaines d'existence.</v>
      </c>
      <c r="G198" s="649"/>
      <c r="H198" s="678"/>
      <c r="I198" s="236"/>
    </row>
    <row r="199" spans="1:9" ht="19.95" customHeight="1" x14ac:dyDescent="0.25">
      <c r="A199" s="620"/>
      <c r="B199" s="144" t="str">
        <f>IF(OR('Items sous domaines Maths '!H203=3,'Items sous domaines Maths '!J203=3 ),'Items sous domaines Maths '!B203,0)</f>
        <v>Analyse</v>
      </c>
      <c r="C199" s="145" t="str">
        <f>IF(OR('Items sous domaines Maths '!H203=3,'Items sous domaines Maths '!J203=3 ),'Items sous domaines Maths '!C203)</f>
        <v>Fonctions d'une variable</v>
      </c>
      <c r="D199" s="145">
        <f>IF(OR('Items sous domaines Maths '!H203=3,'Items sous domaines Maths '!J203=3 ),'Items sous domaines Maths '!D203,0)</f>
        <v>0</v>
      </c>
      <c r="E199" s="145" t="str">
        <f>IF(OR('Items sous domaines Maths '!H203=3,'Items sous domaines Maths '!J203=3 ),'Items sous domaines Maths '!E203,0)</f>
        <v>Application de la dérivée</v>
      </c>
      <c r="F199" s="146" t="str">
        <f>IF(OR('Items sous domaines Maths '!H203=3,'Items sous domaines Maths '!J203=3 ),'Items sous domaines Maths '!F203,0)</f>
        <v>Signe de la dérivée d'ordre un et variation.</v>
      </c>
      <c r="G199" s="649"/>
      <c r="H199" s="678"/>
      <c r="I199" s="236"/>
    </row>
    <row r="200" spans="1:9" ht="19.95" customHeight="1" x14ac:dyDescent="0.25">
      <c r="A200" s="620"/>
      <c r="B200" s="141" t="str">
        <f>IF(OR('Items sous domaines Maths '!H204=3,'Items sous domaines Maths '!J204=3 ),'Items sous domaines Maths '!B204,0)</f>
        <v>Analyse</v>
      </c>
      <c r="C200" s="142" t="str">
        <f>IF(OR('Items sous domaines Maths '!H204=3,'Items sous domaines Maths '!J204=3 ),'Items sous domaines Maths '!C204)</f>
        <v>Fonctions d'une variable</v>
      </c>
      <c r="D200" s="142">
        <f>IF(OR('Items sous domaines Maths '!H204=3,'Items sous domaines Maths '!J204=3 ),'Items sous domaines Maths '!D204,0)</f>
        <v>0</v>
      </c>
      <c r="E200" s="142">
        <f>IF(OR('Items sous domaines Maths '!H204=3,'Items sous domaines Maths '!J204=3 ),'Items sous domaines Maths '!E204,0)</f>
        <v>0</v>
      </c>
      <c r="F200" s="143" t="str">
        <f>IF(OR('Items sous domaines Maths '!H204=3,'Items sous domaines Maths '!J204=3 ),'Items sous domaines Maths '!F204,0)</f>
        <v>Extremum local et global.</v>
      </c>
      <c r="G200" s="649"/>
      <c r="H200" s="678"/>
      <c r="I200" s="236"/>
    </row>
    <row r="201" spans="1:9" ht="19.95" customHeight="1" x14ac:dyDescent="0.25">
      <c r="A201" s="620"/>
      <c r="B201" s="144" t="str">
        <f>IF(OR('Items sous domaines Maths '!H205=3,'Items sous domaines Maths '!J205=3 ),'Items sous domaines Maths '!B205,0)</f>
        <v>Analyse</v>
      </c>
      <c r="C201" s="145" t="str">
        <f>IF(OR('Items sous domaines Maths '!H205=3,'Items sous domaines Maths '!J205=3 ),'Items sous domaines Maths '!C205)</f>
        <v>Fonctions d'une variable</v>
      </c>
      <c r="D201" s="145">
        <f>IF(OR('Items sous domaines Maths '!H205=3,'Items sous domaines Maths '!J205=3 ),'Items sous domaines Maths '!D205,0)</f>
        <v>0</v>
      </c>
      <c r="E201" s="145">
        <f>IF(OR('Items sous domaines Maths '!H205=3,'Items sous domaines Maths '!J205=3 ),'Items sous domaines Maths '!E205,0)</f>
        <v>0</v>
      </c>
      <c r="F201" s="146" t="str">
        <f>IF(OR('Items sous domaines Maths '!H205=3,'Items sous domaines Maths '!J205=3 ),'Items sous domaines Maths '!F205,0)</f>
        <v>Signe de la dérivée d'ordre deux et convexité.</v>
      </c>
      <c r="G201" s="649"/>
      <c r="H201" s="678"/>
      <c r="I201" s="236"/>
    </row>
    <row r="202" spans="1:9" ht="19.95" customHeight="1" x14ac:dyDescent="0.25">
      <c r="A202" s="620"/>
      <c r="B202" s="141" t="str">
        <f>IF(OR('Items sous domaines Maths '!H206=3,'Items sous domaines Maths '!J206=3 ),'Items sous domaines Maths '!B206,0)</f>
        <v>Analyse</v>
      </c>
      <c r="C202" s="142" t="str">
        <f>IF(OR('Items sous domaines Maths '!H206=3,'Items sous domaines Maths '!J206=3 ),'Items sous domaines Maths '!C206)</f>
        <v>Fonctions d'une variable</v>
      </c>
      <c r="D202" s="142">
        <f>IF(OR('Items sous domaines Maths '!H206=3,'Items sous domaines Maths '!J206=3 ),'Items sous domaines Maths '!D206,0)</f>
        <v>0</v>
      </c>
      <c r="E202" s="142">
        <f>IF(OR('Items sous domaines Maths '!H206=3,'Items sous domaines Maths '!J206=3 ),'Items sous domaines Maths '!E206,0)</f>
        <v>0</v>
      </c>
      <c r="F202" s="143" t="str">
        <f>IF(OR('Items sous domaines Maths '!H206=3,'Items sous domaines Maths '!J206=3 ),'Items sous domaines Maths '!F206,0)</f>
        <v>Dérivées d'ordre supérieur, formule de la dérivée n-ième d'un produit de fonctions dérivables.</v>
      </c>
      <c r="G202" s="649"/>
      <c r="H202" s="678"/>
      <c r="I202" s="236"/>
    </row>
    <row r="203" spans="1:9" ht="19.95" customHeight="1" x14ac:dyDescent="0.25">
      <c r="A203" s="620"/>
      <c r="B203" s="144" t="str">
        <f>IF(OR('Items sous domaines Maths '!H207=3,'Items sous domaines Maths '!J207=3 ),'Items sous domaines Maths '!B207,0)</f>
        <v>Analyse</v>
      </c>
      <c r="C203" s="145" t="str">
        <f>IF(OR('Items sous domaines Maths '!H207=3,'Items sous domaines Maths '!J207=3 ),'Items sous domaines Maths '!C207)</f>
        <v>Fonctions d'une variable</v>
      </c>
      <c r="D203" s="145">
        <f>IF(OR('Items sous domaines Maths '!H207=3,'Items sous domaines Maths '!J207=3 ),'Items sous domaines Maths '!D207,0)</f>
        <v>0</v>
      </c>
      <c r="E203" s="145">
        <f>IF(OR('Items sous domaines Maths '!H207=3,'Items sous domaines Maths '!J207=3 ),'Items sous domaines Maths '!E207,0)</f>
        <v>0</v>
      </c>
      <c r="F203" s="146" t="str">
        <f>IF(OR('Items sous domaines Maths '!H207=3,'Items sous domaines Maths '!J207=3 ),'Items sous domaines Maths '!F207,0)</f>
        <v>Fonctions de classe Cn.</v>
      </c>
      <c r="G203" s="649"/>
      <c r="H203" s="678"/>
      <c r="I203" s="236"/>
    </row>
    <row r="204" spans="1:9" ht="19.95" customHeight="1" x14ac:dyDescent="0.25">
      <c r="A204" s="620"/>
      <c r="B204" s="141" t="str">
        <f>IF(OR('Items sous domaines Maths '!H208=3,'Items sous domaines Maths '!J208=3 ),'Items sous domaines Maths '!B208,0)</f>
        <v>Analyse</v>
      </c>
      <c r="C204" s="142" t="str">
        <f>IF(OR('Items sous domaines Maths '!H208=3,'Items sous domaines Maths '!J208=3 ),'Items sous domaines Maths '!C208)</f>
        <v>Fonctions d'une variable</v>
      </c>
      <c r="D204" s="142">
        <f>IF(OR('Items sous domaines Maths '!H208=3,'Items sous domaines Maths '!J208=3 ),'Items sous domaines Maths '!D208,0)</f>
        <v>0</v>
      </c>
      <c r="E204" s="142" t="str">
        <f>IF(OR('Items sous domaines Maths '!H208=3,'Items sous domaines Maths '!J208=3 ),'Items sous domaines Maths '!E208,0)</f>
        <v>Théorèmes</v>
      </c>
      <c r="F204" s="143" t="str">
        <f>IF(OR('Items sous domaines Maths '!H208=3,'Items sous domaines Maths '!J208=3 ),'Items sous domaines Maths '!F208,0)</f>
        <v>Théorème de Rolle.</v>
      </c>
      <c r="G204" s="649"/>
      <c r="H204" s="678"/>
      <c r="I204" s="236"/>
    </row>
    <row r="205" spans="1:9" ht="19.95" customHeight="1" x14ac:dyDescent="0.25">
      <c r="A205" s="620"/>
      <c r="B205" s="144" t="str">
        <f>IF(OR('Items sous domaines Maths '!H209=3,'Items sous domaines Maths '!J209=3 ),'Items sous domaines Maths '!B209,0)</f>
        <v>Analyse</v>
      </c>
      <c r="C205" s="145" t="str">
        <f>IF(OR('Items sous domaines Maths '!H209=3,'Items sous domaines Maths '!J209=3 ),'Items sous domaines Maths '!C209)</f>
        <v>Fonctions d'une variable</v>
      </c>
      <c r="D205" s="145">
        <f>IF(OR('Items sous domaines Maths '!H209=3,'Items sous domaines Maths '!J209=3 ),'Items sous domaines Maths '!D209,0)</f>
        <v>0</v>
      </c>
      <c r="E205" s="145">
        <f>IF(OR('Items sous domaines Maths '!H209=3,'Items sous domaines Maths '!J209=3 ),'Items sous domaines Maths '!E209,0)</f>
        <v>0</v>
      </c>
      <c r="F205" s="146" t="str">
        <f>IF(OR('Items sous domaines Maths '!H209=3,'Items sous domaines Maths '!J209=3 ),'Items sous domaines Maths '!F209,0)</f>
        <v>Inégalité et théorème des accroissements finis.</v>
      </c>
      <c r="G205" s="649"/>
      <c r="H205" s="678"/>
      <c r="I205" s="236"/>
    </row>
    <row r="206" spans="1:9" ht="19.95" customHeight="1" thickBot="1" x14ac:dyDescent="0.3">
      <c r="A206" s="623"/>
      <c r="B206" s="186" t="str">
        <f>IF(OR('Items sous domaines Maths '!H210=3,'Items sous domaines Maths '!J210=3 ),'Items sous domaines Maths '!B210,0)</f>
        <v>Analyse</v>
      </c>
      <c r="C206" s="187" t="str">
        <f>IF(OR('Items sous domaines Maths '!H210=3,'Items sous domaines Maths '!J210=3 ),'Items sous domaines Maths '!C210)</f>
        <v>Fonctions d'une variable</v>
      </c>
      <c r="D206" s="187">
        <f>IF(OR('Items sous domaines Maths '!H210=3,'Items sous domaines Maths '!J210=3 ),'Items sous domaines Maths '!D210,0)</f>
        <v>0</v>
      </c>
      <c r="E206" s="187">
        <f>IF(OR('Items sous domaines Maths '!H210=3,'Items sous domaines Maths '!J210=3 ),'Items sous domaines Maths '!E210,0)</f>
        <v>0</v>
      </c>
      <c r="F206" s="188" t="str">
        <f>IF(OR('Items sous domaines Maths '!H210=3,'Items sous domaines Maths '!J210=3 ),'Items sous domaines Maths '!F210,0)</f>
        <v>Théorème des valeurs intermédiaires, théorème de la bijection.</v>
      </c>
      <c r="G206" s="650"/>
      <c r="H206" s="679"/>
      <c r="I206" s="237"/>
    </row>
    <row r="207" spans="1:9" customFormat="1" ht="17.399999999999999" hidden="1" customHeight="1" thickTop="1" thickBot="1" x14ac:dyDescent="0.3">
      <c r="A207" s="15"/>
      <c r="B207">
        <f>IF(OR('Items sous domaines Maths '!H211=3,'Items sous domaines Maths '!J211=3 ),'Items sous domaines Maths '!B211,0)</f>
        <v>0</v>
      </c>
      <c r="C207" t="b">
        <f>IF(OR('Items sous domaines Maths '!H211=3,'Items sous domaines Maths '!J211=3 ),'Items sous domaines Maths '!C211)</f>
        <v>0</v>
      </c>
      <c r="D207">
        <f>IF(OR('Items sous domaines Maths '!H211=3,'Items sous domaines Maths '!J211=3 ),'Items sous domaines Maths '!D211,0)</f>
        <v>0</v>
      </c>
      <c r="E207">
        <f>IF(OR('Items sous domaines Maths '!H211=3,'Items sous domaines Maths '!J211=3 ),'Items sous domaines Maths '!E211,0)</f>
        <v>0</v>
      </c>
      <c r="F207" s="10">
        <f>IF(OR('Items sous domaines Maths '!H211=3,'Items sous domaines Maths '!J211=3 ),'Items sous domaines Maths '!F211,0)</f>
        <v>0</v>
      </c>
      <c r="G207">
        <f>IF('Items sous domaines Maths '!H211=1,'Items sous domaines Maths '!G211,0)</f>
        <v>0</v>
      </c>
    </row>
    <row r="208" spans="1:9" ht="19.95" customHeight="1" thickTop="1" x14ac:dyDescent="0.25">
      <c r="A208" s="619" t="s">
        <v>528</v>
      </c>
      <c r="B208" s="181" t="str">
        <f>IF(OR('Items sous domaines Maths '!$H$212=3,'Items sous domaines Maths '!$J$212=3 ),'Items sous domaines Maths '!$B$212,0)</f>
        <v>Analyse</v>
      </c>
      <c r="C208" s="182" t="str">
        <f>IF(OR('Items sous domaines Maths '!$H$212=3,'Items sous domaines Maths '!$J$212=3 ),'Items sous domaines Maths '!$C$212)</f>
        <v>Fonctions de plusieurs variables</v>
      </c>
      <c r="D208" s="182" t="str">
        <f>IF(OR('Items sous domaines Maths '!$H$212=3,'Items sous domaines Maths '!$J$212=3 ),'Items sous domaines Maths '!$D$212,0)</f>
        <v>Limites et continuité</v>
      </c>
      <c r="E208" s="182" t="str">
        <f>IF(OR('Items sous domaines Maths '!$H$212=3,'Items sous domaines Maths '!$J$212=3 ),'Items sous domaines Maths '!$E$212,0)</f>
        <v xml:space="preserve">Définition </v>
      </c>
      <c r="F208" s="183" t="str">
        <f>IF(OR('Items sous domaines Maths '!$H$212=3,'Items sous domaines Maths '!$J$212=3 ),'Items sous domaines Maths '!$F$212,0)</f>
        <v>Fonction de plusieurs variables et surfaces.</v>
      </c>
      <c r="G208" s="648" t="s">
        <v>470</v>
      </c>
      <c r="H208" s="676" t="s">
        <v>471</v>
      </c>
      <c r="I208" s="235"/>
    </row>
    <row r="209" spans="1:9" ht="19.95" customHeight="1" x14ac:dyDescent="0.25">
      <c r="A209" s="620"/>
      <c r="B209" s="141" t="str">
        <f>IF(OR('Items sous domaines Maths '!$H$213=3,'Items sous domaines Maths '!$J$213=3 ),'Items sous domaines Maths '!$B$213,0)</f>
        <v>Analyse</v>
      </c>
      <c r="C209" s="142" t="str">
        <f>IF(OR('Items sous domaines Maths '!$H$213=3,'Items sous domaines Maths '!$J$213=3 ),'Items sous domaines Maths '!$C$213)</f>
        <v>Fonctions de plusieurs variables</v>
      </c>
      <c r="D209" s="142">
        <f>IF(OR('Items sous domaines Maths '!$H$213=3,'Items sous domaines Maths '!$J$213=3 ),'Items sous domaines Maths '!$D$213,0)</f>
        <v>0</v>
      </c>
      <c r="E209" s="142" t="str">
        <f>IF(OR('Items sous domaines Maths '!$H$213=3,'Items sous domaines Maths '!$J$213=3 ),'Items sous domaines Maths '!$E$213,0)</f>
        <v xml:space="preserve">Limites </v>
      </c>
      <c r="F209" s="143" t="str">
        <f>IF(OR('Items sous domaines Maths '!$H$213=3,'Items sous domaines Maths '!$J$213=3 ),'Items sous domaines Maths '!$F$213,0)</f>
        <v xml:space="preserve">Savoir ce que signifie avoir une limite finie en un point de IRXIR (calculs de limites selon différents chemins). </v>
      </c>
      <c r="G209" s="649"/>
      <c r="H209" s="602"/>
      <c r="I209" s="236"/>
    </row>
    <row r="210" spans="1:9" ht="19.95" customHeight="1" thickBot="1" x14ac:dyDescent="0.3">
      <c r="A210" s="623"/>
      <c r="B210" s="192" t="str">
        <f>IF(OR('Items sous domaines Maths '!$H$214=3,'Items sous domaines Maths '!$J$214=3 ),'Items sous domaines Maths '!$B$214,0)</f>
        <v>Analyse</v>
      </c>
      <c r="C210" s="193" t="str">
        <f>IF(OR('Items sous domaines Maths '!$H$214=3,'Items sous domaines Maths '!$J$214=3 ),'Items sous domaines Maths '!$C$214)</f>
        <v>Fonctions de plusieurs variables</v>
      </c>
      <c r="D210" s="193">
        <f>IF(OR('Items sous domaines Maths '!$H$214=3,'Items sous domaines Maths '!$J$214=3 ),'Items sous domaines Maths '!$D$214,0)</f>
        <v>0</v>
      </c>
      <c r="E210" s="193" t="str">
        <f>IF(OR('Items sous domaines Maths '!$H$214=3,'Items sous domaines Maths '!$J$214=3 ),'Items sous domaines Maths '!$E$214,0)</f>
        <v xml:space="preserve">Continuité </v>
      </c>
      <c r="F210" s="194" t="str">
        <f>IF(OR('Items sous domaines Maths '!$H$214=3,'Items sous domaines Maths '!$J$214=3 ),'Items sous domaines Maths '!$F$214,0)</f>
        <v xml:space="preserve">Connaître la définition de la continuité pour une fonction de deux variables. </v>
      </c>
      <c r="G210" s="650"/>
      <c r="H210" s="677"/>
      <c r="I210" s="237"/>
    </row>
    <row r="211" spans="1:9" customFormat="1" ht="17.399999999999999" hidden="1" customHeight="1" thickTop="1" thickBot="1" x14ac:dyDescent="0.3">
      <c r="A211" s="691"/>
      <c r="B211">
        <f>IF(OR('Items sous domaines Maths '!H215=3,'Items sous domaines Maths '!J215=3 ),'Items sous domaines Maths '!B215,0)</f>
        <v>0</v>
      </c>
      <c r="C211" t="b">
        <f>IF(OR('Items sous domaines Maths '!H215=3,'Items sous domaines Maths '!J215=3 ),'Items sous domaines Maths '!C215)</f>
        <v>0</v>
      </c>
      <c r="D211">
        <f>IF(OR('Items sous domaines Maths '!H215=3,'Items sous domaines Maths '!J215=3 ),'Items sous domaines Maths '!D215,0)</f>
        <v>0</v>
      </c>
      <c r="E211">
        <f>IF(OR('Items sous domaines Maths '!H215=3,'Items sous domaines Maths '!J215=3 ),'Items sous domaines Maths '!E215,0)</f>
        <v>0</v>
      </c>
      <c r="F211" s="10">
        <f>IF(OR('Items sous domaines Maths '!H215=3,'Items sous domaines Maths '!J215=3 ),'Items sous domaines Maths '!F215,0)</f>
        <v>0</v>
      </c>
      <c r="G211" s="647"/>
      <c r="H211" s="597"/>
    </row>
    <row r="212" spans="1:9" ht="19.95" customHeight="1" thickTop="1" x14ac:dyDescent="0.25">
      <c r="A212" s="619"/>
      <c r="B212" s="204" t="str">
        <f>IF(OR('Items sous domaines Maths '!$H$216=3,'Items sous domaines Maths '!$J$216=3 ),'Items sous domaines Maths '!$B$216,0)</f>
        <v>Analyse</v>
      </c>
      <c r="C212" s="205" t="str">
        <f>IF(OR('Items sous domaines Maths '!$H$216=3,'Items sous domaines Maths '!$J$216=3 ),'Items sous domaines Maths '!$C$216)</f>
        <v>Fonctions de plusieurs variables</v>
      </c>
      <c r="D212" s="205">
        <f>IF(OR('Items sous domaines Maths '!$H$216=3,'Items sous domaines Maths '!$J$216=3 ),'Items sous domaines Maths '!$D$216,0)</f>
        <v>0</v>
      </c>
      <c r="E212" s="205">
        <f>IF(OR('Items sous domaines Maths '!$H$216=3,'Items sous domaines Maths '!$J$216=3 ),'Items sous domaines Maths '!$E$216,0)</f>
        <v>0</v>
      </c>
      <c r="F212" s="206" t="str">
        <f>IF(OR('Items sous domaines Maths '!$H$216=3,'Items sous domaines Maths '!$J$216=3 ),'Items sous domaines Maths '!$F$216,0)</f>
        <v>Différentielle.</v>
      </c>
      <c r="G212" s="648"/>
      <c r="H212" s="676"/>
      <c r="I212" s="235"/>
    </row>
    <row r="213" spans="1:9" ht="19.95" customHeight="1" x14ac:dyDescent="0.25">
      <c r="A213" s="620"/>
      <c r="B213" s="144" t="str">
        <f>IF(OR('Items sous domaines Maths '!$H$217=3,'Items sous domaines Maths '!$J$217=3 ),'Items sous domaines Maths '!$B$217,0)</f>
        <v>Analyse</v>
      </c>
      <c r="C213" s="145" t="str">
        <f>IF(OR('Items sous domaines Maths '!$H$217=3,'Items sous domaines Maths '!$J$217=3 ),'Items sous domaines Maths '!$C$217)</f>
        <v>Fonctions de plusieurs variables</v>
      </c>
      <c r="D213" s="145">
        <f>IF(OR('Items sous domaines Maths '!$H$217=3,'Items sous domaines Maths '!$J$217=3 ),'Items sous domaines Maths '!$D$217,0)</f>
        <v>0</v>
      </c>
      <c r="E213" s="145">
        <f>IF(OR('Items sous domaines Maths '!$H$217=3,'Items sous domaines Maths '!$J$217=3 ),'Items sous domaines Maths '!$E$217,0)</f>
        <v>0</v>
      </c>
      <c r="F213" s="146" t="str">
        <f>IF(OR('Items sous domaines Maths '!$H$217=3,'Items sous domaines Maths '!$J$217=3 ),'Items sous domaines Maths '!$F$217,0)</f>
        <v>Développement limité d'ordre 1 / Lien avec l'estimation au voisinage d'un point/plan tangent.</v>
      </c>
      <c r="G213" s="649"/>
      <c r="H213" s="602"/>
      <c r="I213" s="236"/>
    </row>
    <row r="214" spans="1:9" ht="19.95" customHeight="1" x14ac:dyDescent="0.25">
      <c r="A214" s="620"/>
      <c r="B214" s="141" t="str">
        <f>IF(OR('Items sous domaines Maths '!$H$218=3,'Items sous domaines Maths '!$J$218=3 ),'Items sous domaines Maths '!$B$218,0)</f>
        <v>Analyse</v>
      </c>
      <c r="C214" s="142" t="str">
        <f>IF(OR('Items sous domaines Maths '!$H$218=3,'Items sous domaines Maths '!$J$218=3 ),'Items sous domaines Maths '!$C$218)</f>
        <v>Fonctions de plusieurs variables</v>
      </c>
      <c r="D214" s="142">
        <f>IF(OR('Items sous domaines Maths '!$H$218=3,'Items sous domaines Maths '!$J$218=3 ),'Items sous domaines Maths '!$D$218,0)</f>
        <v>0</v>
      </c>
      <c r="E214" s="142">
        <f>IF(OR('Items sous domaines Maths '!$H$218=3,'Items sous domaines Maths '!$J$218=3 ),'Items sous domaines Maths '!$E$218,0)</f>
        <v>0</v>
      </c>
      <c r="F214" s="143" t="str">
        <f>IF(OR('Items sous domaines Maths '!$H$218=3,'Items sous domaines Maths '!$J$218=3 ),'Items sous domaines Maths '!$F$218,0)</f>
        <v>Composées.</v>
      </c>
      <c r="G214" s="649"/>
      <c r="H214" s="602"/>
      <c r="I214" s="236"/>
    </row>
    <row r="215" spans="1:9" ht="19.95" customHeight="1" x14ac:dyDescent="0.25">
      <c r="A215" s="620"/>
      <c r="B215" s="144" t="str">
        <f>IF(OR('Items sous domaines Maths '!$H$219=3,'Items sous domaines Maths '!$J$219=3 ),'Items sous domaines Maths '!$B$219,0)</f>
        <v>Analyse</v>
      </c>
      <c r="C215" s="145" t="str">
        <f>IF(OR('Items sous domaines Maths '!$H$219=3,'Items sous domaines Maths '!$J$219=3 ),'Items sous domaines Maths '!$C$219)</f>
        <v>Fonctions de plusieurs variables</v>
      </c>
      <c r="D215" s="145">
        <f>IF(OR('Items sous domaines Maths '!$H$219=3,'Items sous domaines Maths '!$J$219=3 ),'Items sous domaines Maths '!$D$219,0)</f>
        <v>0</v>
      </c>
      <c r="E215" s="145" t="str">
        <f>IF(OR('Items sous domaines Maths '!$H$219=3,'Items sous domaines Maths '!$J$219=3 ),'Items sous domaines Maths '!$E$219,0)</f>
        <v>Dérivées partielles d’ordre 2</v>
      </c>
      <c r="F215" s="146" t="str">
        <f>IF(OR('Items sous domaines Maths '!$H$219=3,'Items sous domaines Maths '!$J$219=3 ),'Items sous domaines Maths '!$F$219,0)</f>
        <v>Théorème de Schwartz.</v>
      </c>
      <c r="G215" s="649"/>
      <c r="H215" s="602"/>
      <c r="I215" s="236"/>
    </row>
    <row r="216" spans="1:9" ht="19.95" customHeight="1" x14ac:dyDescent="0.25">
      <c r="A216" s="620"/>
      <c r="B216" s="141" t="str">
        <f>IF(OR('Items sous domaines Maths '!$H$220=3,'Items sous domaines Maths '!$J$220=3 ),'Items sous domaines Maths '!$B$220,0)</f>
        <v>Analyse</v>
      </c>
      <c r="C216" s="142" t="str">
        <f>IF(OR('Items sous domaines Maths '!$H$220=3,'Items sous domaines Maths '!$J$220=3 ),'Items sous domaines Maths '!$C$220)</f>
        <v>Fonctions de plusieurs variables</v>
      </c>
      <c r="D216" s="142">
        <f>IF(OR('Items sous domaines Maths '!$H$220=3,'Items sous domaines Maths '!$J$220=3 ),'Items sous domaines Maths '!$D$220,0)</f>
        <v>0</v>
      </c>
      <c r="E216" s="142">
        <f>IF(OR('Items sous domaines Maths '!$H$220=3,'Items sous domaines Maths '!$J$220=3 ),'Items sous domaines Maths '!$E$220,0)</f>
        <v>0</v>
      </c>
      <c r="F216" s="143" t="str">
        <f>IF(OR('Items sous domaines Maths '!$H$220=3,'Items sous domaines Maths '!$J$220=3 ),'Items sous domaines Maths '!$F$220,0)</f>
        <v>Développement limité d'ordre 2 pour les fonctions de deux variables / lien avec l'estimation au voisinage d'un point.</v>
      </c>
      <c r="G216" s="649"/>
      <c r="H216" s="602"/>
      <c r="I216" s="236"/>
    </row>
    <row r="217" spans="1:9" ht="19.95" customHeight="1" x14ac:dyDescent="0.25">
      <c r="A217" s="620"/>
      <c r="B217" s="144" t="str">
        <f>IF(OR('Items sous domaines Maths '!$H$221=3,'Items sous domaines Maths '!$J$221=3 ),'Items sous domaines Maths '!$B$221,0)</f>
        <v>Analyse</v>
      </c>
      <c r="C217" s="145" t="str">
        <f>IF(OR('Items sous domaines Maths '!$H$221=3,'Items sous domaines Maths '!$J$221=3 ),'Items sous domaines Maths '!$C$221)</f>
        <v>Fonctions de plusieurs variables</v>
      </c>
      <c r="D217" s="145" t="str">
        <f>IF(OR('Items sous domaines Maths '!$H$221=3,'Items sous domaines Maths '!$J$221=3 ),'Items sous domaines Maths '!$D$221,0)</f>
        <v xml:space="preserve">Applications </v>
      </c>
      <c r="E217" s="145" t="str">
        <f>IF(OR('Items sous domaines Maths '!$H$221=3,'Items sous domaines Maths '!$J$221=3 ),'Items sous domaines Maths '!$E$221,0)</f>
        <v xml:space="preserve">Équations aux dérivées partielles </v>
      </c>
      <c r="F217" s="146" t="str">
        <f>IF(OR('Items sous domaines Maths '!$H$221=3,'Items sous domaines Maths '!$J$221=3 ),'Items sous domaines Maths '!$F$221,0)</f>
        <v>Premier ordre.</v>
      </c>
      <c r="G217" s="649"/>
      <c r="H217" s="602"/>
      <c r="I217" s="236"/>
    </row>
    <row r="218" spans="1:9" ht="19.95" customHeight="1" x14ac:dyDescent="0.25">
      <c r="A218" s="620"/>
      <c r="B218" s="141" t="str">
        <f>IF(OR('Items sous domaines Maths '!$H$222=3,'Items sous domaines Maths '!$J$222=3 ),'Items sous domaines Maths '!$B$222,0)</f>
        <v>Analyse</v>
      </c>
      <c r="C218" s="142" t="str">
        <f>IF(OR('Items sous domaines Maths '!$H$222=3,'Items sous domaines Maths '!$J$222=3 ),'Items sous domaines Maths '!$C$222)</f>
        <v>Fonctions de plusieurs variables</v>
      </c>
      <c r="D218" s="142">
        <f>IF(OR('Items sous domaines Maths '!$H$222=3,'Items sous domaines Maths '!$J$222=3 ),'Items sous domaines Maths '!$D$222,0)</f>
        <v>0</v>
      </c>
      <c r="E218" s="142">
        <f>IF(OR('Items sous domaines Maths '!$H$222=3,'Items sous domaines Maths '!$J$222=3 ),'Items sous domaines Maths '!$E$222,0)</f>
        <v>0</v>
      </c>
      <c r="F218" s="143" t="str">
        <f>IF(OR('Items sous domaines Maths '!$H$222=3,'Items sous domaines Maths '!$J$222=3 ),'Items sous domaines Maths '!$F$222,0)</f>
        <v>Second ordre.</v>
      </c>
      <c r="G218" s="649"/>
      <c r="H218" s="602"/>
      <c r="I218" s="236"/>
    </row>
    <row r="219" spans="1:9" ht="19.95" customHeight="1" thickBot="1" x14ac:dyDescent="0.3">
      <c r="A219" s="623"/>
      <c r="B219" s="192" t="str">
        <f>IF(OR('Items sous domaines Maths '!$H$223=3,'Items sous domaines Maths '!$J$223=3 ),'Items sous domaines Maths '!$B$223,0)</f>
        <v>Analyse</v>
      </c>
      <c r="C219" s="193" t="str">
        <f>IF(OR('Items sous domaines Maths '!$H$223=3,'Items sous domaines Maths '!$J$223=3 ),'Items sous domaines Maths '!$C$223)</f>
        <v>Fonctions de plusieurs variables</v>
      </c>
      <c r="D219" s="193">
        <f>IF(OR('Items sous domaines Maths '!$H$223=3,'Items sous domaines Maths '!$J$223=3 ),'Items sous domaines Maths '!$D$223,0)</f>
        <v>0</v>
      </c>
      <c r="E219" s="193">
        <f>IF(OR('Items sous domaines Maths '!$H$223=3,'Items sous domaines Maths '!$J$223=3 ),'Items sous domaines Maths '!$E$223,0)</f>
        <v>0</v>
      </c>
      <c r="F219" s="194" t="str">
        <f>IF(OR('Items sous domaines Maths '!$H$223=3,'Items sous domaines Maths '!$J$223=3 ),'Items sous domaines Maths '!$F$223,0)</f>
        <v>Changement de variables, application aux équations de propagation d'ondes.</v>
      </c>
      <c r="G219" s="650"/>
      <c r="H219" s="677"/>
      <c r="I219" s="237"/>
    </row>
    <row r="220" spans="1:9" customFormat="1" ht="17.399999999999999" hidden="1" customHeight="1" thickTop="1" thickBot="1" x14ac:dyDescent="0.3">
      <c r="A220" s="691"/>
      <c r="B220">
        <f>IF(OR('Items sous domaines Maths '!H224=3,'Items sous domaines Maths '!J224=3 ),'Items sous domaines Maths '!B224,0)</f>
        <v>0</v>
      </c>
      <c r="C220" t="b">
        <f>IF(OR('Items sous domaines Maths '!H224=3,'Items sous domaines Maths '!J224=3 ),'Items sous domaines Maths '!C224)</f>
        <v>0</v>
      </c>
      <c r="D220">
        <f>IF(OR('Items sous domaines Maths '!H224=3,'Items sous domaines Maths '!J224=3 ),'Items sous domaines Maths '!D224,0)</f>
        <v>0</v>
      </c>
      <c r="E220">
        <f>IF(OR('Items sous domaines Maths '!H224=3,'Items sous domaines Maths '!J224=3 ),'Items sous domaines Maths '!E224,0)</f>
        <v>0</v>
      </c>
      <c r="F220" s="10">
        <f>IF(OR('Items sous domaines Maths '!H224=3,'Items sous domaines Maths '!J224=3 ),'Items sous domaines Maths '!F224,0)</f>
        <v>0</v>
      </c>
      <c r="G220" s="647"/>
      <c r="H220" s="597"/>
    </row>
    <row r="221" spans="1:9" customFormat="1" ht="17.399999999999999" hidden="1" customHeight="1" thickBot="1" x14ac:dyDescent="0.3">
      <c r="A221" s="691"/>
      <c r="B221" s="8">
        <f>IF(OR('Items sous domaines Maths '!H225=3,'Items sous domaines Maths '!J225=3 ),'Items sous domaines Maths '!B225,0)</f>
        <v>0</v>
      </c>
      <c r="C221" s="8" t="b">
        <f>IF(OR('Items sous domaines Maths '!H225=3,'Items sous domaines Maths '!J225=3 ),'Items sous domaines Maths '!C225)</f>
        <v>0</v>
      </c>
      <c r="D221" s="8">
        <f>IF(OR('Items sous domaines Maths '!H225=3,'Items sous domaines Maths '!J225=3 ),'Items sous domaines Maths '!D225,0)</f>
        <v>0</v>
      </c>
      <c r="E221" s="8">
        <f>IF(OR('Items sous domaines Maths '!H225=3,'Items sous domaines Maths '!J225=3 ),'Items sous domaines Maths '!E225,0)</f>
        <v>0</v>
      </c>
      <c r="F221" s="9">
        <f>IF(OR('Items sous domaines Maths '!H225=3,'Items sous domaines Maths '!J225=3 ),'Items sous domaines Maths '!F225,0)</f>
        <v>0</v>
      </c>
      <c r="G221" s="647"/>
      <c r="H221" s="597"/>
    </row>
    <row r="222" spans="1:9" ht="19.95" customHeight="1" thickTop="1" x14ac:dyDescent="0.25">
      <c r="A222" s="619"/>
      <c r="B222" s="204" t="str">
        <f>IF(OR('Items sous domaines Maths '!$H$226=3,'Items sous domaines Maths '!$J$226=3 ),'Items sous domaines Maths '!$B$226,0)</f>
        <v>Analyse</v>
      </c>
      <c r="C222" s="205" t="str">
        <f>IF(OR('Items sous domaines Maths '!$H$226=3,'Items sous domaines Maths '!$J$226=3 ),'Items sous domaines Maths '!$C$226)</f>
        <v>Fonctions de plusieurs variables</v>
      </c>
      <c r="D222" s="205">
        <f>IF(OR('Items sous domaines Maths '!H226=3,'Items sous domaines Maths '!J226=3 ),'Items sous domaines Maths '!D226,0)</f>
        <v>0</v>
      </c>
      <c r="E222" s="205" t="str">
        <f>IF(OR('Items sous domaines Maths '!$H$226=3,'Items sous domaines Maths '!$J$226=3 ),'Items sous domaines Maths '!$E$226,0)</f>
        <v>Applications géométriques</v>
      </c>
      <c r="F222" s="206" t="str">
        <f>IF(OR('Items sous domaines Maths '!$H$226=3,'Items sous domaines Maths '!$J$226=3 ),'Items sous domaines Maths '!$F$226,0)</f>
        <v>Surfaces de l’espace.</v>
      </c>
      <c r="G222" s="648"/>
      <c r="H222" s="676"/>
      <c r="I222" s="235"/>
    </row>
    <row r="223" spans="1:9" ht="19.95" customHeight="1" x14ac:dyDescent="0.25">
      <c r="A223" s="620"/>
      <c r="B223" s="144" t="str">
        <f>IF(OR('Items sous domaines Maths '!$H$227=3,'Items sous domaines Maths '!$J$227=3 ),'Items sous domaines Maths '!$B$227,0)</f>
        <v>Analyse</v>
      </c>
      <c r="C223" s="145" t="str">
        <f>IF(OR('Items sous domaines Maths '!$H$227=3,'Items sous domaines Maths '!$J$227=3 ),'Items sous domaines Maths '!$C$227)</f>
        <v>Fonctions de plusieurs variables</v>
      </c>
      <c r="D223" s="145">
        <f>IF(OR('Items sous domaines Maths '!H227=3,'Items sous domaines Maths '!J227=3 ),'Items sous domaines Maths '!D227,0)</f>
        <v>0</v>
      </c>
      <c r="E223" s="145">
        <f>IF(OR('Items sous domaines Maths '!$H$227=3,'Items sous domaines Maths '!$J$227=3 ),'Items sous domaines Maths '!$E$227,0)</f>
        <v>0</v>
      </c>
      <c r="F223" s="146" t="str">
        <f>IF(OR('Items sous domaines Maths '!$H$227=3,'Items sous domaines Maths '!$J$227=3 ),'Items sous domaines Maths '!$F$227,0)</f>
        <v>Gradient en un point et plan tangent.</v>
      </c>
      <c r="G223" s="649"/>
      <c r="H223" s="602"/>
      <c r="I223" s="236"/>
    </row>
    <row r="224" spans="1:9" ht="19.95" customHeight="1" thickBot="1" x14ac:dyDescent="0.3">
      <c r="A224" s="623"/>
      <c r="B224" s="186" t="str">
        <f>IF(OR('Items sous domaines Maths '!$H$228=3,'Items sous domaines Maths '!$J$228=3 ),'Items sous domaines Maths '!$B$228,0)</f>
        <v>Analyse</v>
      </c>
      <c r="C224" s="187" t="str">
        <f>IF(OR('Items sous domaines Maths '!$H$228=3,'Items sous domaines Maths '!$J$228=3 ),'Items sous domaines Maths '!$C$228)</f>
        <v>Fonctions de plusieurs variables</v>
      </c>
      <c r="D224" s="187">
        <f>IF(OR('Items sous domaines Maths '!H228=3,'Items sous domaines Maths '!J228=3 ),'Items sous domaines Maths '!D228,0)</f>
        <v>0</v>
      </c>
      <c r="E224" s="187" t="str">
        <f>IF(OR('Items sous domaines Maths '!$H$228=3,'Items sous domaines Maths '!$J$228=3 ),'Items sous domaines Maths '!$E$228,0)</f>
        <v>Calcul différentiel</v>
      </c>
      <c r="F224" s="188" t="str">
        <f>IF(OR('Items sous domaines Maths '!$H$228=3,'Items sous domaines Maths '!$J$228=3 ),'Items sous domaines Maths '!$F$228,0)</f>
        <v>Champs scalaires et champs vectoriels / exemples réels.</v>
      </c>
      <c r="G224" s="650"/>
      <c r="H224" s="677"/>
      <c r="I224" s="237"/>
    </row>
    <row r="225" spans="1:9" customFormat="1" ht="17.399999999999999" hidden="1" customHeight="1" thickTop="1" thickBot="1" x14ac:dyDescent="0.3">
      <c r="A225" s="691"/>
      <c r="B225">
        <f>IF(OR('Items sous domaines Maths '!H229=3,'Items sous domaines Maths '!J229=3 ),'Items sous domaines Maths '!B229,0)</f>
        <v>0</v>
      </c>
      <c r="C225" t="b">
        <f>IF(OR('Items sous domaines Maths '!H229=3,'Items sous domaines Maths '!J229=3 ),'Items sous domaines Maths '!C229)</f>
        <v>0</v>
      </c>
      <c r="D225">
        <f>IF(OR('Items sous domaines Maths '!H229=3,'Items sous domaines Maths '!J229=3 ),'Items sous domaines Maths '!D229,0)</f>
        <v>0</v>
      </c>
      <c r="E225">
        <f>IF(OR('Items sous domaines Maths '!H229=3,'Items sous domaines Maths '!J229=3 ),'Items sous domaines Maths '!E229,0)</f>
        <v>0</v>
      </c>
      <c r="F225" s="10">
        <f>IF(OR('Items sous domaines Maths '!H229=3,'Items sous domaines Maths '!J229=3 ),'Items sous domaines Maths '!F229,0)</f>
        <v>0</v>
      </c>
      <c r="G225" s="647"/>
      <c r="H225" s="597"/>
    </row>
    <row r="226" spans="1:9" ht="19.95" customHeight="1" thickTop="1" x14ac:dyDescent="0.25">
      <c r="A226" s="619"/>
      <c r="B226" s="181" t="str">
        <f>IF(OR('Items sous domaines Maths '!$H$230=3,'Items sous domaines Maths '!$J$230=3 ),'Items sous domaines Maths '!$B$230,0)</f>
        <v>Analyse</v>
      </c>
      <c r="C226" s="182" t="str">
        <f>IF(OR('Items sous domaines Maths '!$H$230=3,'Items sous domaines Maths '!$J$230=3 ),'Items sous domaines Maths '!$C$230)</f>
        <v>Fonctions de plusieurs variables</v>
      </c>
      <c r="D226" s="182">
        <f>IF(OR('Items sous domaines Maths '!H230=3,'Items sous domaines Maths '!J230=3 ),'Items sous domaines Maths '!D230,0)</f>
        <v>0</v>
      </c>
      <c r="E226" s="182">
        <f>IF(OR('Items sous domaines Maths '!$H$230=3,'Items sous domaines Maths '!$J$230=3 ),'Items sous domaines Maths '!$E$230,0)</f>
        <v>0</v>
      </c>
      <c r="F226" s="183" t="str">
        <f>IF(OR('Items sous domaines Maths '!$H$230=3,'Items sous domaines Maths '!$J$230=3 ),'Items sous domaines Maths '!$F$230,0)</f>
        <v>Rotationnel.</v>
      </c>
      <c r="G226" s="648"/>
      <c r="H226" s="676"/>
      <c r="I226" s="235"/>
    </row>
    <row r="227" spans="1:9" ht="19.95" customHeight="1" x14ac:dyDescent="0.25">
      <c r="A227" s="620"/>
      <c r="B227" s="141" t="str">
        <f>IF(OR('Items sous domaines Maths '!$H$231=3,'Items sous domaines Maths '!$J$231=3 ),'Items sous domaines Maths '!$B$231,0)</f>
        <v>Analyse</v>
      </c>
      <c r="C227" s="142" t="str">
        <f>IF(OR('Items sous domaines Maths '!$H$231=3,'Items sous domaines Maths '!$J$231=3 ),'Items sous domaines Maths '!$C$231)</f>
        <v>Fonctions de plusieurs variables</v>
      </c>
      <c r="D227" s="142">
        <f>IF(OR('Items sous domaines Maths '!H231=3,'Items sous domaines Maths '!J231=3 ),'Items sous domaines Maths '!D231,0)</f>
        <v>0</v>
      </c>
      <c r="E227" s="142">
        <f>IF(OR('Items sous domaines Maths '!$H$231=3,'Items sous domaines Maths '!$J$231=3 ),'Items sous domaines Maths '!$E$231,0)</f>
        <v>0</v>
      </c>
      <c r="F227" s="143" t="str">
        <f>IF(OR('Items sous domaines Maths '!$H$231=3,'Items sous domaines Maths '!$J$231=3 ),'Items sous domaines Maths '!$F$231,0)</f>
        <v>Divergence.</v>
      </c>
      <c r="G227" s="649"/>
      <c r="H227" s="602"/>
      <c r="I227" s="236"/>
    </row>
    <row r="228" spans="1:9" ht="19.95" customHeight="1" thickBot="1" x14ac:dyDescent="0.3">
      <c r="A228" s="623"/>
      <c r="B228" s="192" t="str">
        <f>IF(OR('Items sous domaines Maths '!$H$232=3,'Items sous domaines Maths '!$J$232=3 ),'Items sous domaines Maths '!$B$232,0)</f>
        <v>Analyse</v>
      </c>
      <c r="C228" s="193" t="str">
        <f>IF(OR('Items sous domaines Maths '!$H$232=3,'Items sous domaines Maths '!$J$232=3 ),'Items sous domaines Maths '!$C$232)</f>
        <v>Fonctions de plusieurs variables</v>
      </c>
      <c r="D228" s="193">
        <f>IF(OR('Items sous domaines Maths '!H232=3,'Items sous domaines Maths '!J232=3 ),'Items sous domaines Maths '!D232,0)</f>
        <v>0</v>
      </c>
      <c r="E228" s="193">
        <f>IF(OR('Items sous domaines Maths '!$H$232=3,'Items sous domaines Maths '!$J$232=3 ),'Items sous domaines Maths '!$E$232,0)</f>
        <v>0</v>
      </c>
      <c r="F228" s="194" t="str">
        <f>IF(OR('Items sous domaines Maths '!$H$232=3,'Items sous domaines Maths '!$J$232=3 ),'Items sous domaines Maths '!$F$232,0)</f>
        <v>Laplacien.</v>
      </c>
      <c r="G228" s="650"/>
      <c r="H228" s="677"/>
      <c r="I228" s="237"/>
    </row>
    <row r="229" spans="1:9" customFormat="1" ht="17.399999999999999" hidden="1" customHeight="1" thickTop="1" thickBot="1" x14ac:dyDescent="0.3">
      <c r="A229" s="15"/>
      <c r="B229">
        <f>IF(OR('Items sous domaines Maths '!H233=3,'Items sous domaines Maths '!J233=3 ),'Items sous domaines Maths '!B233,0)</f>
        <v>0</v>
      </c>
      <c r="C229" t="b">
        <f>IF(OR('Items sous domaines Maths '!H233=3,'Items sous domaines Maths '!J233=3 ),'Items sous domaines Maths '!C233)</f>
        <v>0</v>
      </c>
      <c r="D229">
        <f>IF(OR('Items sous domaines Maths '!H233=3,'Items sous domaines Maths '!J233=3 ),'Items sous domaines Maths '!D233,0)</f>
        <v>0</v>
      </c>
      <c r="E229">
        <f>IF(OR('Items sous domaines Maths '!H233=3,'Items sous domaines Maths '!J233=3 ),'Items sous domaines Maths '!E233,0)</f>
        <v>0</v>
      </c>
      <c r="F229" s="10">
        <f>IF(OR('Items sous domaines Maths '!H233=3,'Items sous domaines Maths '!J233=3 ),'Items sous domaines Maths '!F233,0)</f>
        <v>0</v>
      </c>
      <c r="G229">
        <f>IF('Items sous domaines Maths '!H233=1,'Items sous domaines Maths '!G233,0)</f>
        <v>0</v>
      </c>
    </row>
    <row r="230" spans="1:9" ht="19.95" customHeight="1" thickTop="1" x14ac:dyDescent="0.25">
      <c r="A230" s="619" t="s">
        <v>850</v>
      </c>
      <c r="B230" s="204" t="str">
        <f>IF(OR('Items sous domaines Maths '!H234=3,'Items sous domaines Maths '!J234=3 ),'Items sous domaines Maths '!B234,0)</f>
        <v>Analyse</v>
      </c>
      <c r="C230" s="205" t="str">
        <f>IF(OR('Items sous domaines Maths '!H234=3,'Items sous domaines Maths '!J234=3 ),'Items sous domaines Maths '!C234)</f>
        <v>Développements limités</v>
      </c>
      <c r="D230" s="205" t="str">
        <f>IF(OR('Items sous domaines Maths '!H234=3,'Items sous domaines Maths '!J234=3 ),'Items sous domaines Maths '!D234,0)</f>
        <v xml:space="preserve">Développements limités </v>
      </c>
      <c r="E230" s="205" t="str">
        <f>IF(OR('Items sous domaines Maths '!H234=3,'Items sous domaines Maths '!J234=3 ),'Items sous domaines Maths '!E234,0)</f>
        <v xml:space="preserve">Définitions </v>
      </c>
      <c r="F230" s="206" t="str">
        <f>IF(OR('Items sous domaines Maths '!H234=3,'Items sous domaines Maths '!J234=3 ),'Items sous domaines Maths '!F234,0)</f>
        <v>Connaissance du principe, unicité, partie régulière du DL, ordre du DL. Lien entre DL d'ordre 1 et tangente en un point.</v>
      </c>
      <c r="G230" s="648" t="s">
        <v>472</v>
      </c>
      <c r="H230" s="673" t="s">
        <v>84</v>
      </c>
      <c r="I230" s="235"/>
    </row>
    <row r="231" spans="1:9" ht="19.95" customHeight="1" x14ac:dyDescent="0.25">
      <c r="A231" s="620"/>
      <c r="B231" s="144" t="str">
        <f>IF(OR('Items sous domaines Maths '!H235=3,'Items sous domaines Maths '!J235=3 ),'Items sous domaines Maths '!B235,0)</f>
        <v>Analyse</v>
      </c>
      <c r="C231" s="145" t="str">
        <f>IF(OR('Items sous domaines Maths '!H235=3,'Items sous domaines Maths '!J235=3 ),'Items sous domaines Maths '!C235)</f>
        <v>Développements limités</v>
      </c>
      <c r="D231" s="145">
        <f>IF(OR('Items sous domaines Maths '!H235=3,'Items sous domaines Maths '!J235=3 ),'Items sous domaines Maths '!D235,0)</f>
        <v>0</v>
      </c>
      <c r="E231" s="145" t="str">
        <f>IF(OR('Items sous domaines Maths '!H235=3,'Items sous domaines Maths '!J235=3 ),'Items sous domaines Maths '!E235,0)</f>
        <v xml:space="preserve">Propriétés </v>
      </c>
      <c r="F231" s="146" t="str">
        <f>IF(OR('Items sous domaines Maths '!H235=3,'Items sous domaines Maths '!J235=3 ),'Items sous domaines Maths '!F235,0)</f>
        <v>Opérations, troncature et parité.</v>
      </c>
      <c r="G231" s="649"/>
      <c r="H231" s="674"/>
      <c r="I231" s="236"/>
    </row>
    <row r="232" spans="1:9" ht="19.95" customHeight="1" x14ac:dyDescent="0.25">
      <c r="A232" s="620"/>
      <c r="B232" s="141" t="str">
        <f>IF(OR('Items sous domaines Maths '!H236=3,'Items sous domaines Maths '!J236=3 ),'Items sous domaines Maths '!B236,0)</f>
        <v>Analyse</v>
      </c>
      <c r="C232" s="142" t="str">
        <f>IF(OR('Items sous domaines Maths '!H236=3,'Items sous domaines Maths '!J236=3 ),'Items sous domaines Maths '!C236)</f>
        <v>Développements limités</v>
      </c>
      <c r="D232" s="142">
        <f>IF(OR('Items sous domaines Maths '!H236=3,'Items sous domaines Maths '!J236=3 ),'Items sous domaines Maths '!D236,0)</f>
        <v>0</v>
      </c>
      <c r="E232" s="142" t="str">
        <f>IF(OR('Items sous domaines Maths '!H236=3,'Items sous domaines Maths '!J236=3 ),'Items sous domaines Maths '!E236,0)</f>
        <v>Formules de Taylor Young</v>
      </c>
      <c r="F232" s="143" t="str">
        <f>IF(OR('Items sous domaines Maths '!H236=3,'Items sous domaines Maths '!J236=3 ),'Items sous domaines Maths '!F236,0)</f>
        <v>Exemples.</v>
      </c>
      <c r="G232" s="649"/>
      <c r="H232" s="674"/>
      <c r="I232" s="236"/>
    </row>
    <row r="233" spans="1:9" ht="19.95" customHeight="1" x14ac:dyDescent="0.25">
      <c r="A233" s="620"/>
      <c r="B233" s="144" t="str">
        <f>IF(OR('Items sous domaines Maths '!H237=3,'Items sous domaines Maths '!J237=3 ),'Items sous domaines Maths '!B237,0)</f>
        <v>Analyse</v>
      </c>
      <c r="C233" s="145" t="str">
        <f>IF(OR('Items sous domaines Maths '!H237=3,'Items sous domaines Maths '!J237=3 ),'Items sous domaines Maths '!C237)</f>
        <v>Développements limités</v>
      </c>
      <c r="D233" s="145" t="str">
        <f>IF(OR('Items sous domaines Maths '!H237=3,'Items sous domaines Maths '!J237=3 ),'Items sous domaines Maths '!D237,0)</f>
        <v xml:space="preserve">Développements limités usuels </v>
      </c>
      <c r="E233" s="145" t="str">
        <f>IF(OR('Items sous domaines Maths '!H237=3,'Items sous domaines Maths '!J237=3 ),'Items sous domaines Maths '!E237,0)</f>
        <v>1-x, 1+x, ,exp(x), cos(x), sin(x), (1+x)¨α</v>
      </c>
      <c r="F233" s="146">
        <f>IF(OR('Items sous domaines Maths '!H237=3,'Items sous domaines Maths '!J237=3 ),'Items sous domaines Maths '!F237,0)</f>
        <v>0</v>
      </c>
      <c r="G233" s="649"/>
      <c r="H233" s="674"/>
      <c r="I233" s="236"/>
    </row>
    <row r="234" spans="1:9" ht="19.95" customHeight="1" x14ac:dyDescent="0.25">
      <c r="A234" s="620"/>
      <c r="B234" s="141" t="str">
        <f>IF(OR('Items sous domaines Maths '!H238=3,'Items sous domaines Maths '!J238=3 ),'Items sous domaines Maths '!B238,0)</f>
        <v>Analyse</v>
      </c>
      <c r="C234" s="142" t="str">
        <f>IF(OR('Items sous domaines Maths '!H238=3,'Items sous domaines Maths '!J238=3 ),'Items sous domaines Maths '!C238)</f>
        <v>Développements limités</v>
      </c>
      <c r="D234" s="142" t="str">
        <f>IF(OR('Items sous domaines Maths '!H238=3,'Items sous domaines Maths '!J238=3 ),'Items sous domaines Maths '!D238,0)</f>
        <v xml:space="preserve"> Opérations sur les DL</v>
      </c>
      <c r="E234" s="142" t="str">
        <f>IF(OR('Items sous domaines Maths '!H238=3,'Items sous domaines Maths '!J238=3 ),'Items sous domaines Maths '!E238,0)</f>
        <v xml:space="preserve">Somme et produit </v>
      </c>
      <c r="F234" s="143">
        <f>IF(OR('Items sous domaines Maths '!H238=3,'Items sous domaines Maths '!J238=3 ),'Items sous domaines Maths '!F238,0)</f>
        <v>0</v>
      </c>
      <c r="G234" s="649"/>
      <c r="H234" s="674"/>
      <c r="I234" s="236"/>
    </row>
    <row r="235" spans="1:9" ht="19.95" customHeight="1" x14ac:dyDescent="0.25">
      <c r="A235" s="620"/>
      <c r="B235" s="144" t="str">
        <f>IF(OR('Items sous domaines Maths '!H239=3,'Items sous domaines Maths '!J239=3 ),'Items sous domaines Maths '!B239,0)</f>
        <v>Analyse</v>
      </c>
      <c r="C235" s="145" t="str">
        <f>IF(OR('Items sous domaines Maths '!H239=3,'Items sous domaines Maths '!J239=3 ),'Items sous domaines Maths '!C239)</f>
        <v>Développements limités</v>
      </c>
      <c r="D235" s="145">
        <f>IF(OR('Items sous domaines Maths '!H239=3,'Items sous domaines Maths '!J239=3 ),'Items sous domaines Maths '!D239,0)</f>
        <v>0</v>
      </c>
      <c r="E235" s="145" t="str">
        <f>IF(OR('Items sous domaines Maths '!H239=3,'Items sous domaines Maths '!J239=3 ),'Items sous domaines Maths '!E239,0)</f>
        <v>Composée</v>
      </c>
      <c r="F235" s="146" t="str">
        <f>IF(OR('Items sous domaines Maths '!H239=3,'Items sous domaines Maths '!J239=3 ),'Items sous domaines Maths '!F239,0)</f>
        <v>Utilisation des ces formules pour obtenir les DL d'autres fonctions usuelles type.</v>
      </c>
      <c r="G235" s="649"/>
      <c r="H235" s="674"/>
      <c r="I235" s="236"/>
    </row>
    <row r="236" spans="1:9" ht="19.95" customHeight="1" x14ac:dyDescent="0.25">
      <c r="A236" s="620"/>
      <c r="B236" s="141" t="str">
        <f>IF(OR('Items sous domaines Maths '!H240=3,'Items sous domaines Maths '!J240=3 ),'Items sous domaines Maths '!B240,0)</f>
        <v>Analyse</v>
      </c>
      <c r="C236" s="142" t="str">
        <f>IF(OR('Items sous domaines Maths '!H240=3,'Items sous domaines Maths '!J240=3 ),'Items sous domaines Maths '!C240)</f>
        <v>Développements limités</v>
      </c>
      <c r="D236" s="142">
        <f>IF(OR('Items sous domaines Maths '!H240=3,'Items sous domaines Maths '!J240=3 ),'Items sous domaines Maths '!D240,0)</f>
        <v>0</v>
      </c>
      <c r="E236" s="142" t="str">
        <f>IF(OR('Items sous domaines Maths '!H240=3,'Items sous domaines Maths '!J240=3 ),'Items sous domaines Maths '!E240,0)</f>
        <v xml:space="preserve">Quotient </v>
      </c>
      <c r="F236" s="143" t="str">
        <f>IF(OR('Items sous domaines Maths '!H240=3,'Items sous domaines Maths '!J240=3 ),'Items sous domaines Maths '!F240,0)</f>
        <v>Utilisation des ces formules pour obtenir les DL d'autres fonctions usuelles type 1/1+x, 1/1+x² et tanx.</v>
      </c>
      <c r="G236" s="649"/>
      <c r="H236" s="674"/>
      <c r="I236" s="236"/>
    </row>
    <row r="237" spans="1:9" ht="19.95" customHeight="1" x14ac:dyDescent="0.25">
      <c r="A237" s="620"/>
      <c r="B237" s="144" t="str">
        <f>IF(OR('Items sous domaines Maths '!H241=3,'Items sous domaines Maths '!J241=3 ),'Items sous domaines Maths '!B241,0)</f>
        <v>Analyse</v>
      </c>
      <c r="C237" s="145" t="str">
        <f>IF(OR('Items sous domaines Maths '!H241=3,'Items sous domaines Maths '!J241=3 ),'Items sous domaines Maths '!C241)</f>
        <v>Développements limités</v>
      </c>
      <c r="D237" s="145">
        <f>IF(OR('Items sous domaines Maths '!H241=3,'Items sous domaines Maths '!J241=3 ),'Items sous domaines Maths '!D241,0)</f>
        <v>0</v>
      </c>
      <c r="E237" s="145" t="str">
        <f>IF(OR('Items sous domaines Maths '!H241=3,'Items sous domaines Maths '!J241=3 ),'Items sous domaines Maths '!E241,0)</f>
        <v xml:space="preserve">Primitive </v>
      </c>
      <c r="F237" s="146" t="str">
        <f>IF(OR('Items sous domaines Maths '!H241=3,'Items sous domaines Maths '!J241=3 ),'Items sous domaines Maths '!F241,0)</f>
        <v>Utilisation des ces formules pour obtenir les DL d'autres fonctions usuelles type ln(1+x), etc…</v>
      </c>
      <c r="G237" s="649"/>
      <c r="H237" s="674"/>
      <c r="I237" s="236"/>
    </row>
    <row r="238" spans="1:9" ht="19.95" customHeight="1" x14ac:dyDescent="0.25">
      <c r="A238" s="620"/>
      <c r="B238" s="141" t="str">
        <f>IF(OR('Items sous domaines Maths '!H242=3,'Items sous domaines Maths '!J242=3 ),'Items sous domaines Maths '!B242,0)</f>
        <v>Analyse</v>
      </c>
      <c r="C238" s="142" t="str">
        <f>IF(OR('Items sous domaines Maths '!H242=3,'Items sous domaines Maths '!J242=3 ),'Items sous domaines Maths '!C242)</f>
        <v>Développements limités</v>
      </c>
      <c r="D238" s="142">
        <f>IF(OR('Items sous domaines Maths '!H242=3,'Items sous domaines Maths '!J242=3 ),'Items sous domaines Maths '!D242,0)</f>
        <v>0</v>
      </c>
      <c r="E238" s="142" t="str">
        <f>IF(OR('Items sous domaines Maths '!H242=3,'Items sous domaines Maths '!J242=3 ),'Items sous domaines Maths '!E242,0)</f>
        <v>Dérivée</v>
      </c>
      <c r="F238" s="143" t="str">
        <f>IF(OR('Items sous domaines Maths '!H242=3,'Items sous domaines Maths '!J242=3 ),'Items sous domaines Maths '!F242,0)</f>
        <v>Utilisation des ces formules pour obtenir les DL d'autres fonctions usuelles type 1/(1+x)², etc…</v>
      </c>
      <c r="G238" s="649"/>
      <c r="H238" s="674"/>
      <c r="I238" s="236"/>
    </row>
    <row r="239" spans="1:9" ht="19.95" customHeight="1" x14ac:dyDescent="0.25">
      <c r="A239" s="620"/>
      <c r="B239" s="144" t="str">
        <f>IF(OR('Items sous domaines Maths '!H243=3,'Items sous domaines Maths '!J243=3 ),'Items sous domaines Maths '!B243,0)</f>
        <v>Analyse</v>
      </c>
      <c r="C239" s="145" t="str">
        <f>IF(OR('Items sous domaines Maths '!H243=3,'Items sous domaines Maths '!J243=3 ),'Items sous domaines Maths '!C243)</f>
        <v>Développements limités</v>
      </c>
      <c r="D239" s="145" t="str">
        <f>IF(OR('Items sous domaines Maths '!H243=3,'Items sous domaines Maths '!J243=3 ),'Items sous domaines Maths '!D243,0)</f>
        <v>Développements limités ailleurs qu’en 0</v>
      </c>
      <c r="E239" s="145" t="str">
        <f>IF(OR('Items sous domaines Maths '!H243=3,'Items sous domaines Maths '!J243=3 ),'Items sous domaines Maths '!E243,0)</f>
        <v xml:space="preserve">DL en a </v>
      </c>
      <c r="F239" s="146" t="str">
        <f>IF(OR('Items sous domaines Maths '!H243=3,'Items sous domaines Maths '!J243=3 ),'Items sous domaines Maths '!F243,0)</f>
        <v>Savoir faire un changement de variable x = h + a.</v>
      </c>
      <c r="G239" s="649"/>
      <c r="H239" s="674"/>
      <c r="I239" s="236"/>
    </row>
    <row r="240" spans="1:9" ht="19.95" customHeight="1" x14ac:dyDescent="0.25">
      <c r="A240" s="620"/>
      <c r="B240" s="141" t="str">
        <f>IF(OR('Items sous domaines Maths '!H244=3,'Items sous domaines Maths '!J244=3 ),'Items sous domaines Maths '!B244,0)</f>
        <v>Analyse</v>
      </c>
      <c r="C240" s="142" t="str">
        <f>IF(OR('Items sous domaines Maths '!H244=3,'Items sous domaines Maths '!J244=3 ),'Items sous domaines Maths '!C244)</f>
        <v>Développements limités</v>
      </c>
      <c r="D240" s="142">
        <f>IF(OR('Items sous domaines Maths '!H244=3,'Items sous domaines Maths '!J244=3 ),'Items sous domaines Maths '!D244,0)</f>
        <v>0</v>
      </c>
      <c r="E240" s="142" t="str">
        <f>IF(OR('Items sous domaines Maths '!H244=3,'Items sous domaines Maths '!J244=3 ),'Items sous domaines Maths '!E244,0)</f>
        <v>DL en ±∞</v>
      </c>
      <c r="F240" s="143" t="str">
        <f>IF(OR('Items sous domaines Maths '!H244=3,'Items sous domaines Maths '!J244=3 ),'Items sous domaines Maths '!F244,0)</f>
        <v>Savoir faire un changement de variable x = 1/h.</v>
      </c>
      <c r="G240" s="649"/>
      <c r="H240" s="674"/>
      <c r="I240" s="236"/>
    </row>
    <row r="241" spans="1:9" ht="19.95" customHeight="1" x14ac:dyDescent="0.25">
      <c r="A241" s="620"/>
      <c r="B241" s="144" t="str">
        <f>IF(OR('Items sous domaines Maths '!H245=3,'Items sous domaines Maths '!J245=3 ),'Items sous domaines Maths '!B245,0)</f>
        <v>Analyse</v>
      </c>
      <c r="C241" s="145" t="str">
        <f>IF(OR('Items sous domaines Maths '!H245=3,'Items sous domaines Maths '!J245=3 ),'Items sous domaines Maths '!C245)</f>
        <v>Développements limités</v>
      </c>
      <c r="D241" s="145" t="str">
        <f>IF(OR('Items sous domaines Maths '!H245=3,'Items sous domaines Maths '!J245=3 ),'Items sous domaines Maths '!D245,0)</f>
        <v xml:space="preserve">Applications </v>
      </c>
      <c r="E241" s="145" t="str">
        <f>IF(OR('Items sous domaines Maths '!H245=3,'Items sous domaines Maths '!J245=3 ),'Items sous domaines Maths '!E245,0)</f>
        <v>Étude locale</v>
      </c>
      <c r="F241" s="146" t="str">
        <f>IF(OR('Items sous domaines Maths '!H245=3,'Items sous domaines Maths '!J245=3 ),'Items sous domaines Maths '!F245,0)</f>
        <v>Savoir que le développement limité d’une fonction f en un point x0 nous permet de comprendre le comportement de f en x0.</v>
      </c>
      <c r="G241" s="649"/>
      <c r="H241" s="674"/>
      <c r="I241" s="236"/>
    </row>
    <row r="242" spans="1:9" ht="19.95" customHeight="1" x14ac:dyDescent="0.25">
      <c r="A242" s="620"/>
      <c r="B242" s="141" t="str">
        <f>IF(OR('Items sous domaines Maths '!H246=3,'Items sous domaines Maths '!J246=3 ),'Items sous domaines Maths '!B246,0)</f>
        <v>Analyse</v>
      </c>
      <c r="C242" s="142" t="str">
        <f>IF(OR('Items sous domaines Maths '!H246=3,'Items sous domaines Maths '!J246=3 ),'Items sous domaines Maths '!C246)</f>
        <v>Développements limités</v>
      </c>
      <c r="D242" s="142">
        <f>IF(OR('Items sous domaines Maths '!H246=3,'Items sous domaines Maths '!J246=3 ),'Items sous domaines Maths '!D246,0)</f>
        <v>0</v>
      </c>
      <c r="E242" s="142">
        <f>IF(OR('Items sous domaines Maths '!H246=3,'Items sous domaines Maths '!J246=3 ),'Items sous domaines Maths '!E246,0)</f>
        <v>0</v>
      </c>
      <c r="F242" s="143" t="str">
        <f>IF(OR('Items sous domaines Maths '!H246=3,'Items sous domaines Maths '!J246=3 ),'Items sous domaines Maths '!F246,0)</f>
        <v>Tangente application au calcul de limites et levées de formes indéterminées / équivalents.</v>
      </c>
      <c r="G242" s="649"/>
      <c r="H242" s="674"/>
      <c r="I242" s="236"/>
    </row>
    <row r="243" spans="1:9" ht="19.95" customHeight="1" thickBot="1" x14ac:dyDescent="0.3">
      <c r="A243" s="623"/>
      <c r="B243" s="192" t="str">
        <f>IF(OR('Items sous domaines Maths '!H247=3,'Items sous domaines Maths '!J247=3 ),'Items sous domaines Maths '!B247,0)</f>
        <v>Analyse</v>
      </c>
      <c r="C243" s="193" t="str">
        <f>IF(OR('Items sous domaines Maths '!H247=3,'Items sous domaines Maths '!J247=3 ),'Items sous domaines Maths '!C247)</f>
        <v>Développements limités</v>
      </c>
      <c r="D243" s="193">
        <f>IF(OR('Items sous domaines Maths '!H247=3,'Items sous domaines Maths '!J247=3 ),'Items sous domaines Maths '!D247,0)</f>
        <v>0</v>
      </c>
      <c r="E243" s="193">
        <f>IF(OR('Items sous domaines Maths '!H247=3,'Items sous domaines Maths '!J247=3 ),'Items sous domaines Maths '!E247,0)</f>
        <v>0</v>
      </c>
      <c r="F243" s="194" t="str">
        <f>IF(OR('Items sous domaines Maths '!H247=3,'Items sous domaines Maths '!J247=3 ),'Items sous domaines Maths '!F247,0)</f>
        <v>Application à la détermination de la position par rapport à la tangente.</v>
      </c>
      <c r="G243" s="650"/>
      <c r="H243" s="675"/>
      <c r="I243" s="237"/>
    </row>
    <row r="244" spans="1:9" customFormat="1" ht="13.5" hidden="1" customHeight="1" thickTop="1" thickBot="1" x14ac:dyDescent="0.3">
      <c r="A244" s="699"/>
      <c r="B244">
        <f>IF(OR('Items sous domaines Maths '!H248=3,'Items sous domaines Maths '!J248=3 ),'Items sous domaines Maths '!B248,0)</f>
        <v>0</v>
      </c>
      <c r="C244" t="b">
        <f>IF(OR('Items sous domaines Maths '!H248=3,'Items sous domaines Maths '!J248=3 ),'Items sous domaines Maths '!C248)</f>
        <v>0</v>
      </c>
      <c r="D244">
        <f>IF(OR('Items sous domaines Maths '!H248=3,'Items sous domaines Maths '!J248=3 ),'Items sous domaines Maths '!D248,0)</f>
        <v>0</v>
      </c>
      <c r="E244">
        <f>IF(OR('Items sous domaines Maths '!H248=3,'Items sous domaines Maths '!J248=3 ),'Items sous domaines Maths '!E248,0)</f>
        <v>0</v>
      </c>
      <c r="F244" s="10">
        <f>IF(OR('Items sous domaines Maths '!H248=3,'Items sous domaines Maths '!J248=3 ),'Items sous domaines Maths '!F248,0)</f>
        <v>0</v>
      </c>
      <c r="G244" s="647"/>
    </row>
    <row r="245" spans="1:9" ht="19.95" customHeight="1" thickTop="1" x14ac:dyDescent="0.25">
      <c r="A245" s="619"/>
      <c r="B245" s="204" t="str">
        <f>IF(OR('Items sous domaines Maths '!H249=3,'Items sous domaines Maths '!J249=3 ),'Items sous domaines Maths '!B249,0)</f>
        <v>Analyse</v>
      </c>
      <c r="C245" s="205" t="str">
        <f>IF(OR('Items sous domaines Maths '!H249=3,'Items sous domaines Maths '!J249=3 ),'Items sous domaines Maths '!C249)</f>
        <v>Integrales simples</v>
      </c>
      <c r="D245" s="205" t="str">
        <f>IF(OR('Items sous domaines Maths '!H249=3,'Items sous domaines Maths '!J249=3 ),'Items sous domaines Maths '!D249,0)</f>
        <v>Primitive</v>
      </c>
      <c r="E245" s="205" t="str">
        <f>IF(OR('Items sous domaines Maths '!H249=3,'Items sous domaines Maths '!J249=3 ),'Items sous domaines Maths '!E249,0)</f>
        <v>Définition et existence</v>
      </c>
      <c r="F245" s="206" t="str">
        <f>IF(OR('Items sous domaines Maths '!H249=3,'Items sous domaines Maths '!J249=3 ),'Items sous domaines Maths '!F249,0)</f>
        <v>Connaître la relation entre les primitives d'une même fonction. Unicité de la primitive avec la donnée d'une condition initiale.</v>
      </c>
      <c r="G245" s="648"/>
      <c r="H245" s="680" t="s">
        <v>467</v>
      </c>
      <c r="I245" s="235"/>
    </row>
    <row r="246" spans="1:9" ht="19.95" customHeight="1" x14ac:dyDescent="0.25">
      <c r="A246" s="620"/>
      <c r="B246" s="144" t="str">
        <f>IF(OR('Items sous domaines Maths '!H250=3,'Items sous domaines Maths '!J250=3 ),'Items sous domaines Maths '!B250,0)</f>
        <v>Analyse</v>
      </c>
      <c r="C246" s="145" t="str">
        <f>IF(OR('Items sous domaines Maths '!H250=3,'Items sous domaines Maths '!J250=3 ),'Items sous domaines Maths '!C250)</f>
        <v>Integrales simples</v>
      </c>
      <c r="D246" s="145">
        <f>IF(OR('Items sous domaines Maths '!H250=3,'Items sous domaines Maths '!J250=3 ),'Items sous domaines Maths '!D250,0)</f>
        <v>0</v>
      </c>
      <c r="E246" s="145" t="str">
        <f>IF(OR('Items sous domaines Maths '!H250=3,'Items sous domaines Maths '!J250=3 ),'Items sous domaines Maths '!E250,0)</f>
        <v>Primitives des fonctions usuelles</v>
      </c>
      <c r="F246" s="146" t="str">
        <f>IF(OR('Items sous domaines Maths '!H250=3,'Items sous domaines Maths '!J250=3 ),'Items sous domaines Maths '!F250,0)</f>
        <v>Connaître les formules et être capable de les appliquer.</v>
      </c>
      <c r="G246" s="649"/>
      <c r="H246" s="678"/>
      <c r="I246" s="236"/>
    </row>
    <row r="247" spans="1:9" ht="19.95" customHeight="1" x14ac:dyDescent="0.25">
      <c r="A247" s="620"/>
      <c r="B247" s="141" t="str">
        <f>IF(OR('Items sous domaines Maths '!H251=3,'Items sous domaines Maths '!J251=3 ),'Items sous domaines Maths '!B251,0)</f>
        <v>Analyse</v>
      </c>
      <c r="C247" s="142" t="str">
        <f>IF(OR('Items sous domaines Maths '!H251=3,'Items sous domaines Maths '!J251=3 ),'Items sous domaines Maths '!C251)</f>
        <v>Integrales simples</v>
      </c>
      <c r="D247" s="142">
        <f>IF(OR('Items sous domaines Maths '!H251=3,'Items sous domaines Maths '!J251=3 ),'Items sous domaines Maths '!D251,0)</f>
        <v>0</v>
      </c>
      <c r="E247" s="142" t="str">
        <f>IF(OR('Items sous domaines Maths '!H251=3,'Items sous domaines Maths '!J251=3 ),'Items sous domaines Maths '!E251,0)</f>
        <v>Primitives des fonctions composées</v>
      </c>
      <c r="F247" s="143" t="str">
        <f>IF(OR('Items sous domaines Maths '!H251=3,'Items sous domaines Maths '!J251=3 ),'Items sous domaines Maths '!F251,0)</f>
        <v>Connaître les formules et être capable de les appliquer.</v>
      </c>
      <c r="G247" s="649"/>
      <c r="H247" s="678"/>
      <c r="I247" s="236"/>
    </row>
    <row r="248" spans="1:9" ht="19.95" customHeight="1" x14ac:dyDescent="0.25">
      <c r="A248" s="620"/>
      <c r="B248" s="144" t="str">
        <f>IF(OR('Items sous domaines Maths '!H252=3,'Items sous domaines Maths '!J252=3 ),'Items sous domaines Maths '!B252,0)</f>
        <v>Analyse</v>
      </c>
      <c r="C248" s="145" t="str">
        <f>IF(OR('Items sous domaines Maths '!H252=3,'Items sous domaines Maths '!J252=3 ),'Items sous domaines Maths '!C252)</f>
        <v>Integrales simples</v>
      </c>
      <c r="D248" s="145" t="str">
        <f>IF(OR('Items sous domaines Maths '!H252=3,'Items sous domaines Maths '!J252=3 ),'Items sous domaines Maths '!D252,0)</f>
        <v xml:space="preserve">Intégrale d’une fonction continue </v>
      </c>
      <c r="E248" s="145" t="str">
        <f>IF(OR('Items sous domaines Maths '!H252=3,'Items sous domaines Maths '!J252=3 ),'Items sous domaines Maths '!E252,0)</f>
        <v>Définition et existence</v>
      </c>
      <c r="F248" s="146">
        <f>IF(OR('Items sous domaines Maths '!H252=3,'Items sous domaines Maths '!J252=3 ),'Items sous domaines Maths '!F252,0)</f>
        <v>0</v>
      </c>
      <c r="G248" s="649"/>
      <c r="H248" s="678"/>
      <c r="I248" s="236"/>
    </row>
    <row r="249" spans="1:9" ht="19.95" customHeight="1" x14ac:dyDescent="0.25">
      <c r="A249" s="620"/>
      <c r="B249" s="141" t="str">
        <f>IF(OR('Items sous domaines Maths '!H253=3,'Items sous domaines Maths '!J253=3 ),'Items sous domaines Maths '!B253,0)</f>
        <v>Analyse</v>
      </c>
      <c r="C249" s="142" t="str">
        <f>IF(OR('Items sous domaines Maths '!H253=3,'Items sous domaines Maths '!J253=3 ),'Items sous domaines Maths '!C253)</f>
        <v>Integrales simples</v>
      </c>
      <c r="D249" s="142">
        <f>IF(OR('Items sous domaines Maths '!H253=3,'Items sous domaines Maths '!J253=3 ),'Items sous domaines Maths '!D253,0)</f>
        <v>0</v>
      </c>
      <c r="E249" s="142" t="str">
        <f>IF(OR('Items sous domaines Maths '!H253=3,'Items sous domaines Maths '!J253=3 ),'Items sous domaines Maths '!E253,0)</f>
        <v>Propriété de l'intégrale</v>
      </c>
      <c r="F249" s="143" t="str">
        <f>IF(OR('Items sous domaines Maths '!H253=3,'Items sous domaines Maths '!J253=3 ),'Items sous domaines Maths '!F253,0)</f>
        <v>Linéarité, positivité, relation de Chasles, Valeur moyenne d'une fonction.</v>
      </c>
      <c r="G249" s="649"/>
      <c r="H249" s="678"/>
      <c r="I249" s="236"/>
    </row>
    <row r="250" spans="1:9" ht="19.95" customHeight="1" x14ac:dyDescent="0.25">
      <c r="A250" s="620"/>
      <c r="B250" s="144" t="str">
        <f>IF(OR('Items sous domaines Maths '!H254=3,'Items sous domaines Maths '!J254=3 ),'Items sous domaines Maths '!B254,0)</f>
        <v>Analyse</v>
      </c>
      <c r="C250" s="145" t="str">
        <f>IF(OR('Items sous domaines Maths '!H254=3,'Items sous domaines Maths '!J254=3 ),'Items sous domaines Maths '!C254)</f>
        <v>Integrales simples</v>
      </c>
      <c r="D250" s="145">
        <f>IF(OR('Items sous domaines Maths '!H254=3,'Items sous domaines Maths '!J254=3 ),'Items sous domaines Maths '!D254,0)</f>
        <v>0</v>
      </c>
      <c r="E250" s="145">
        <f>IF(OR('Items sous domaines Maths '!H254=3,'Items sous domaines Maths '!J254=3 ),'Items sous domaines Maths '!E254,0)</f>
        <v>0</v>
      </c>
      <c r="F250" s="146" t="str">
        <f>IF(OR('Items sous domaines Maths '!H254=3,'Items sous domaines Maths '!J254=3 ),'Items sous domaines Maths '!F254,0)</f>
        <v>Intégrales dont une borne dépend d'un paramètre : comprendre la notation, savoir la dérivée et l'étudier.</v>
      </c>
      <c r="G250" s="649"/>
      <c r="H250" s="678"/>
      <c r="I250" s="236"/>
    </row>
    <row r="251" spans="1:9" ht="19.95" customHeight="1" x14ac:dyDescent="0.25">
      <c r="A251" s="620"/>
      <c r="B251" s="141" t="str">
        <f>IF(OR('Items sous domaines Maths '!H255=3,'Items sous domaines Maths '!J255=3 ),'Items sous domaines Maths '!B255,0)</f>
        <v>Analyse</v>
      </c>
      <c r="C251" s="142" t="str">
        <f>IF(OR('Items sous domaines Maths '!H255=3,'Items sous domaines Maths '!J255=3 ),'Items sous domaines Maths '!C255)</f>
        <v>Integrales simples</v>
      </c>
      <c r="D251" s="142">
        <f>IF(OR('Items sous domaines Maths '!H255=3,'Items sous domaines Maths '!J255=3 ),'Items sous domaines Maths '!D255,0)</f>
        <v>0</v>
      </c>
      <c r="E251" s="142">
        <f>IF(OR('Items sous domaines Maths '!H255=3,'Items sous domaines Maths '!J255=3 ),'Items sous domaines Maths '!E255,0)</f>
        <v>0</v>
      </c>
      <c r="F251" s="143" t="str">
        <f>IF(OR('Items sous domaines Maths '!H255=3,'Items sous domaines Maths '!J255=3 ),'Items sous domaines Maths '!F255,0)</f>
        <v>Connaître l'écriture d'une primitive sous forme intégrale (notation sans borme).</v>
      </c>
      <c r="G251" s="649"/>
      <c r="H251" s="678"/>
      <c r="I251" s="236"/>
    </row>
    <row r="252" spans="1:9" ht="19.95" customHeight="1" x14ac:dyDescent="0.25">
      <c r="A252" s="620"/>
      <c r="B252" s="144" t="str">
        <f>IF(OR('Items sous domaines Maths '!H256=3,'Items sous domaines Maths '!J256=3 ),'Items sous domaines Maths '!B256,0)</f>
        <v>Analyse</v>
      </c>
      <c r="C252" s="145" t="str">
        <f>IF(OR('Items sous domaines Maths '!H256=3,'Items sous domaines Maths '!J256=3 ),'Items sous domaines Maths '!C256)</f>
        <v>Integrales simples</v>
      </c>
      <c r="D252" s="145" t="str">
        <f>IF(OR('Items sous domaines Maths '!H256=3,'Items sous domaines Maths '!J256=3 ),'Items sous domaines Maths '!D256,0)</f>
        <v>Intégrales généralisées</v>
      </c>
      <c r="E252" s="145">
        <f>IF(OR('Items sous domaines Maths '!H256=3,'Items sous domaines Maths '!J256=3 ),'Items sous domaines Maths '!E256,0)</f>
        <v>0</v>
      </c>
      <c r="F252" s="146" t="str">
        <f>IF(OR('Items sous domaines Maths '!H256=3,'Items sous domaines Maths '!J256=3 ),'Items sous domaines Maths '!F256,0)</f>
        <v>lien avec les suites/séries/Probabilités</v>
      </c>
      <c r="G252" s="649"/>
      <c r="H252" s="678"/>
      <c r="I252" s="236"/>
    </row>
    <row r="253" spans="1:9" ht="19.95" customHeight="1" x14ac:dyDescent="0.25">
      <c r="A253" s="620"/>
      <c r="B253" s="141" t="str">
        <f>IF(OR('Items sous domaines Maths '!H257=3,'Items sous domaines Maths '!J257=3 ),'Items sous domaines Maths '!B257,0)</f>
        <v>Analyse</v>
      </c>
      <c r="C253" s="142" t="str">
        <f>IF(OR('Items sous domaines Maths '!H257=3,'Items sous domaines Maths '!J257=3 ),'Items sous domaines Maths '!C257)</f>
        <v>Integrales simples</v>
      </c>
      <c r="D253" s="142" t="str">
        <f>IF(OR('Items sous domaines Maths '!H257=3,'Items sous domaines Maths '!J257=3 ),'Items sous domaines Maths '!D257,0)</f>
        <v>Intégrales curvilignes</v>
      </c>
      <c r="E253" s="142" t="str">
        <f>IF(OR('Items sous domaines Maths '!H257=3,'Items sous domaines Maths '!J257=3 ),'Items sous domaines Maths '!E257,0)</f>
        <v>Application physique</v>
      </c>
      <c r="F253" s="143">
        <f>IF(OR('Items sous domaines Maths '!H257=3,'Items sous domaines Maths '!J257=3 ),'Items sous domaines Maths '!F257,0)</f>
        <v>0</v>
      </c>
      <c r="G253" s="649"/>
      <c r="H253" s="678"/>
      <c r="I253" s="236"/>
    </row>
    <row r="254" spans="1:9" ht="19.95" customHeight="1" x14ac:dyDescent="0.25">
      <c r="A254" s="620"/>
      <c r="B254" s="144" t="str">
        <f>IF(OR('Items sous domaines Maths '!H258=3,'Items sous domaines Maths '!J258=3 ),'Items sous domaines Maths '!B258,0)</f>
        <v>Analyse</v>
      </c>
      <c r="C254" s="145" t="str">
        <f>IF(OR('Items sous domaines Maths '!H258=3,'Items sous domaines Maths '!J258=3 ),'Items sous domaines Maths '!C258)</f>
        <v>Integrales simples</v>
      </c>
      <c r="D254" s="145" t="str">
        <f>IF(OR('Items sous domaines Maths '!H258=3,'Items sous domaines Maths '!J258=3 ),'Items sous domaines Maths '!D258,0)</f>
        <v>Interprétation géométrique de l'intégrale</v>
      </c>
      <c r="E254" s="145" t="str">
        <f>IF(OR('Items sous domaines Maths '!H258=3,'Items sous domaines Maths '!J258=3 ),'Items sous domaines Maths '!E258,0)</f>
        <v>Calculs de l'aire sous la courbe à l'aide de l'intégrale</v>
      </c>
      <c r="F254" s="146">
        <f>IF(OR('Items sous domaines Maths '!H258=3,'Items sous domaines Maths '!J258=3 ),'Items sous domaines Maths '!F258,0)</f>
        <v>0</v>
      </c>
      <c r="G254" s="649"/>
      <c r="H254" s="678"/>
      <c r="I254" s="236"/>
    </row>
    <row r="255" spans="1:9" ht="19.95" customHeight="1" x14ac:dyDescent="0.25">
      <c r="A255" s="620"/>
      <c r="B255" s="141" t="str">
        <f>IF(OR('Items sous domaines Maths '!H259=3,'Items sous domaines Maths '!J259=3 ),'Items sous domaines Maths '!B259,0)</f>
        <v>Analyse</v>
      </c>
      <c r="C255" s="142" t="str">
        <f>IF(OR('Items sous domaines Maths '!H259=3,'Items sous domaines Maths '!J259=3 ),'Items sous domaines Maths '!C259)</f>
        <v>Integrales simples</v>
      </c>
      <c r="D255" s="142">
        <f>IF(OR('Items sous domaines Maths '!H259=3,'Items sous domaines Maths '!J259=3 ),'Items sous domaines Maths '!D259,0)</f>
        <v>0</v>
      </c>
      <c r="E255" s="142" t="str">
        <f>IF(OR('Items sous domaines Maths '!H259=3,'Items sous domaines Maths '!J259=3 ),'Items sous domaines Maths '!E259,0)</f>
        <v>Calculs de l'aire entre deux courbes à l'aide de l'intégrale</v>
      </c>
      <c r="F255" s="143">
        <f>IF(OR('Items sous domaines Maths '!H259=3,'Items sous domaines Maths '!J259=3 ),'Items sous domaines Maths '!F259,0)</f>
        <v>0</v>
      </c>
      <c r="G255" s="649"/>
      <c r="H255" s="678"/>
      <c r="I255" s="236"/>
    </row>
    <row r="256" spans="1:9" ht="19.95" customHeight="1" x14ac:dyDescent="0.25">
      <c r="A256" s="620"/>
      <c r="B256" s="144" t="str">
        <f>IF(OR('Items sous domaines Maths '!H260=3,'Items sous domaines Maths '!J260=3 ),'Items sous domaines Maths '!B260,0)</f>
        <v>Analyse</v>
      </c>
      <c r="C256" s="145" t="str">
        <f>IF(OR('Items sous domaines Maths '!H260=3,'Items sous domaines Maths '!J260=3 ),'Items sous domaines Maths '!C260)</f>
        <v>Integrales simples</v>
      </c>
      <c r="D256" s="145" t="str">
        <f>IF(OR('Items sous domaines Maths '!H260=3,'Items sous domaines Maths '!J260=3 ),'Items sous domaines Maths '!D260,0)</f>
        <v>Méthodes exactes de calculs d'intégrales</v>
      </c>
      <c r="E256" s="145" t="str">
        <f>IF(OR('Items sous domaines Maths '!H260=3,'Items sous domaines Maths '!J260=3 ),'Items sous domaines Maths '!E260,0)</f>
        <v>Intégration directe</v>
      </c>
      <c r="F256" s="146">
        <f>IF(OR('Items sous domaines Maths '!H260=3,'Items sous domaines Maths '!J260=3 ),'Items sous domaines Maths '!F260,0)</f>
        <v>0</v>
      </c>
      <c r="G256" s="649"/>
      <c r="H256" s="678"/>
      <c r="I256" s="236"/>
    </row>
    <row r="257" spans="1:9" ht="19.95" customHeight="1" x14ac:dyDescent="0.25">
      <c r="A257" s="620"/>
      <c r="B257" s="141" t="str">
        <f>IF(OR('Items sous domaines Maths '!H261=3,'Items sous domaines Maths '!J261=3 ),'Items sous domaines Maths '!B261,0)</f>
        <v>Analyse</v>
      </c>
      <c r="C257" s="142" t="str">
        <f>IF(OR('Items sous domaines Maths '!H261=3,'Items sous domaines Maths '!J261=3 ),'Items sous domaines Maths '!C261)</f>
        <v>Integrales simples</v>
      </c>
      <c r="D257" s="142">
        <f>IF(OR('Items sous domaines Maths '!H261=3,'Items sous domaines Maths '!J261=3 ),'Items sous domaines Maths '!D261,0)</f>
        <v>0</v>
      </c>
      <c r="E257" s="142" t="str">
        <f>IF(OR('Items sous domaines Maths '!H261=3,'Items sous domaines Maths '!J261=3 ),'Items sous domaines Maths '!E261,0)</f>
        <v xml:space="preserve">Intégration par partie </v>
      </c>
      <c r="F257" s="143">
        <f>IF(OR('Items sous domaines Maths '!H261=3,'Items sous domaines Maths '!J261=3 ),'Items sous domaines Maths '!F261,0)</f>
        <v>0</v>
      </c>
      <c r="G257" s="649"/>
      <c r="H257" s="678"/>
      <c r="I257" s="236"/>
    </row>
    <row r="258" spans="1:9" ht="19.95" customHeight="1" x14ac:dyDescent="0.25">
      <c r="A258" s="620"/>
      <c r="B258" s="144" t="str">
        <f>IF(OR('Items sous domaines Maths '!H262=3,'Items sous domaines Maths '!J262=3 ),'Items sous domaines Maths '!B262,0)</f>
        <v>Analyse</v>
      </c>
      <c r="C258" s="145" t="str">
        <f>IF(OR('Items sous domaines Maths '!H262=3,'Items sous domaines Maths '!J262=3 ),'Items sous domaines Maths '!C262)</f>
        <v>Integrales simples</v>
      </c>
      <c r="D258" s="145">
        <f>IF(OR('Items sous domaines Maths '!H262=3,'Items sous domaines Maths '!J262=3 ),'Items sous domaines Maths '!D262,0)</f>
        <v>0</v>
      </c>
      <c r="E258" s="145" t="str">
        <f>IF(OR('Items sous domaines Maths '!H262=3,'Items sous domaines Maths '!J262=3 ),'Items sous domaines Maths '!E262,0)</f>
        <v>Changement de variable</v>
      </c>
      <c r="F258" s="146">
        <f>IF(OR('Items sous domaines Maths '!H262=3,'Items sous domaines Maths '!J262=3 ),'Items sous domaines Maths '!F262,0)</f>
        <v>0</v>
      </c>
      <c r="G258" s="649"/>
      <c r="H258" s="678"/>
      <c r="I258" s="236"/>
    </row>
    <row r="259" spans="1:9" ht="19.95" customHeight="1" x14ac:dyDescent="0.25">
      <c r="A259" s="620"/>
      <c r="B259" s="141" t="str">
        <f>IF(OR('Items sous domaines Maths '!H263=3,'Items sous domaines Maths '!J263=3 ),'Items sous domaines Maths '!B263,0)</f>
        <v>Analyse</v>
      </c>
      <c r="C259" s="142" t="str">
        <f>IF(OR('Items sous domaines Maths '!H263=3,'Items sous domaines Maths '!J263=3 ),'Items sous domaines Maths '!C263)</f>
        <v>Integrales simples</v>
      </c>
      <c r="D259" s="142">
        <f>IF(OR('Items sous domaines Maths '!H263=3,'Items sous domaines Maths '!J263=3 ),'Items sous domaines Maths '!D263,0)</f>
        <v>0</v>
      </c>
      <c r="E259" s="142" t="str">
        <f>IF(OR('Items sous domaines Maths '!H263=3,'Items sous domaines Maths '!J263=3 ),'Items sous domaines Maths '!E263,0)</f>
        <v>Décomposition en éléments simples (fractions rationnelles)</v>
      </c>
      <c r="F259" s="143">
        <f>IF(OR('Items sous domaines Maths '!H263=3,'Items sous domaines Maths '!J263=3 ),'Items sous domaines Maths '!F263,0)</f>
        <v>0</v>
      </c>
      <c r="G259" s="649"/>
      <c r="H259" s="678"/>
      <c r="I259" s="236"/>
    </row>
    <row r="260" spans="1:9" ht="19.95" customHeight="1" x14ac:dyDescent="0.25">
      <c r="A260" s="620"/>
      <c r="B260" s="144" t="str">
        <f>IF(OR('Items sous domaines Maths '!H264=3,'Items sous domaines Maths '!J264=3 ),'Items sous domaines Maths '!B264,0)</f>
        <v>Analyse</v>
      </c>
      <c r="C260" s="145" t="str">
        <f>IF(OR('Items sous domaines Maths '!H264=3,'Items sous domaines Maths '!J264=3 ),'Items sous domaines Maths '!C264)</f>
        <v>Integrales simples</v>
      </c>
      <c r="D260" s="145" t="str">
        <f>IF(OR('Items sous domaines Maths '!H264=3,'Items sous domaines Maths '!J264=3 ),'Items sous domaines Maths '!D264,0)</f>
        <v>Méthodes approchées de calculs d'intégrales</v>
      </c>
      <c r="E260" s="145" t="str">
        <f>IF(OR('Items sous domaines Maths '!H264=3,'Items sous domaines Maths '!J264=3 ),'Items sous domaines Maths '!E264,0)</f>
        <v>Méthode des rectangles (Sommes de Riemann)</v>
      </c>
      <c r="F260" s="146">
        <f>IF(OR('Items sous domaines Maths '!H264=3,'Items sous domaines Maths '!J264=3 ),'Items sous domaines Maths '!F264,0)</f>
        <v>0</v>
      </c>
      <c r="G260" s="649"/>
      <c r="H260" s="678"/>
      <c r="I260" s="236"/>
    </row>
    <row r="261" spans="1:9" ht="19.95" customHeight="1" x14ac:dyDescent="0.25">
      <c r="A261" s="620"/>
      <c r="B261" s="141" t="str">
        <f>IF(OR('Items sous domaines Maths '!H265=3,'Items sous domaines Maths '!J265=3 ),'Items sous domaines Maths '!B265,0)</f>
        <v>Analyse</v>
      </c>
      <c r="C261" s="142" t="str">
        <f>IF(OR('Items sous domaines Maths '!H265=3,'Items sous domaines Maths '!J265=3 ),'Items sous domaines Maths '!C265)</f>
        <v>Integrales simples</v>
      </c>
      <c r="D261" s="142">
        <f>IF(OR('Items sous domaines Maths '!H265=3,'Items sous domaines Maths '!J265=3 ),'Items sous domaines Maths '!D265,0)</f>
        <v>0</v>
      </c>
      <c r="E261" s="142" t="str">
        <f>IF(OR('Items sous domaines Maths '!H265=3,'Items sous domaines Maths '!J265=3 ),'Items sous domaines Maths '!E265,0)</f>
        <v>Méthode des trapèzes</v>
      </c>
      <c r="F261" s="143">
        <f>IF(OR('Items sous domaines Maths '!H265=3,'Items sous domaines Maths '!J265=3 ),'Items sous domaines Maths '!F265,0)</f>
        <v>0</v>
      </c>
      <c r="G261" s="649"/>
      <c r="H261" s="678"/>
      <c r="I261" s="236"/>
    </row>
    <row r="262" spans="1:9" ht="19.95" customHeight="1" thickBot="1" x14ac:dyDescent="0.3">
      <c r="A262" s="623"/>
      <c r="B262" s="192" t="str">
        <f>IF(OR('Items sous domaines Maths '!H266=3,'Items sous domaines Maths '!J266=3 ),'Items sous domaines Maths '!B266,0)</f>
        <v>Analyse</v>
      </c>
      <c r="C262" s="193" t="str">
        <f>IF(OR('Items sous domaines Maths '!H266=3,'Items sous domaines Maths '!J266=3 ),'Items sous domaines Maths '!C266)</f>
        <v>Integrales simples</v>
      </c>
      <c r="D262" s="193">
        <f>IF(OR('Items sous domaines Maths '!H266=3,'Items sous domaines Maths '!J266=3 ),'Items sous domaines Maths '!D266,0)</f>
        <v>0</v>
      </c>
      <c r="E262" s="193" t="str">
        <f>IF(OR('Items sous domaines Maths '!H266=3,'Items sous domaines Maths '!J266=3 ),'Items sous domaines Maths '!E266,0)</f>
        <v>Méthode de Simpson</v>
      </c>
      <c r="F262" s="194">
        <f>IF(OR('Items sous domaines Maths '!H266=3,'Items sous domaines Maths '!J266=3 ),'Items sous domaines Maths '!F266,0)</f>
        <v>0</v>
      </c>
      <c r="G262" s="650"/>
      <c r="H262" s="679"/>
      <c r="I262" s="237"/>
    </row>
    <row r="263" spans="1:9" customFormat="1" ht="13.5" hidden="1" customHeight="1" thickTop="1" thickBot="1" x14ac:dyDescent="0.3">
      <c r="A263" s="15"/>
      <c r="B263">
        <f>IF(OR('Items sous domaines Maths '!H267=3,'Items sous domaines Maths '!J267=3 ),'Items sous domaines Maths '!B267,0)</f>
        <v>0</v>
      </c>
      <c r="C263" t="b">
        <f>IF(OR('Items sous domaines Maths '!H267=3,'Items sous domaines Maths '!J267=3 ),'Items sous domaines Maths '!C267)</f>
        <v>0</v>
      </c>
      <c r="D263">
        <f>IF(OR('Items sous domaines Maths '!H267=3,'Items sous domaines Maths '!J267=3 ),'Items sous domaines Maths '!D267,0)</f>
        <v>0</v>
      </c>
      <c r="E263">
        <f>IF(OR('Items sous domaines Maths '!H267=3,'Items sous domaines Maths '!J267=3 ),'Items sous domaines Maths '!E267,0)</f>
        <v>0</v>
      </c>
      <c r="F263" s="10">
        <f>IF(OR('Items sous domaines Maths '!H267=3,'Items sous domaines Maths '!J267=3 ),'Items sous domaines Maths '!F267,0)</f>
        <v>0</v>
      </c>
      <c r="G263">
        <f>IF('Items sous domaines Maths '!H267=1,'Items sous domaines Maths '!G267,0)</f>
        <v>0</v>
      </c>
    </row>
    <row r="264" spans="1:9" ht="19.95" customHeight="1" thickTop="1" x14ac:dyDescent="0.25">
      <c r="A264" s="619" t="s">
        <v>528</v>
      </c>
      <c r="B264" s="204" t="str">
        <f>IF(OR('Items sous domaines Maths '!H268=3,'Items sous domaines Maths '!J268=3 ),'Items sous domaines Maths '!B268,0)</f>
        <v>Analyse</v>
      </c>
      <c r="C264" s="205" t="str">
        <f>IF(OR('Items sous domaines Maths '!H268=3,'Items sous domaines Maths '!J268=3 ),'Items sous domaines Maths '!C268)</f>
        <v>Intégrales multiples</v>
      </c>
      <c r="D264" s="205" t="str">
        <f>IF(OR('Items sous domaines Maths '!H268=3,'Items sous domaines Maths '!J268=3 ),'Items sous domaines Maths '!D268,0)</f>
        <v>Intégrales doubles</v>
      </c>
      <c r="E264" s="205" t="str">
        <f>IF(OR('Items sous domaines Maths '!H268=3,'Items sous domaines Maths '!J268=3 ),'Items sous domaines Maths '!E268,0)</f>
        <v>Définition et propriétés</v>
      </c>
      <c r="F264" s="206">
        <f>IF(OR('Items sous domaines Maths '!H268=3,'Items sous domaines Maths '!J268=3 ),'Items sous domaines Maths '!F268,0)</f>
        <v>0</v>
      </c>
      <c r="G264" s="648" t="s">
        <v>470</v>
      </c>
      <c r="H264" s="673" t="s">
        <v>473</v>
      </c>
      <c r="I264" s="235"/>
    </row>
    <row r="265" spans="1:9" ht="19.95" customHeight="1" x14ac:dyDescent="0.25">
      <c r="A265" s="620"/>
      <c r="B265" s="144" t="str">
        <f>IF(OR('Items sous domaines Maths '!H269=3,'Items sous domaines Maths '!J269=3 ),'Items sous domaines Maths '!B269,0)</f>
        <v>Analyse</v>
      </c>
      <c r="C265" s="145" t="str">
        <f>IF(OR('Items sous domaines Maths '!H269=3,'Items sous domaines Maths '!J269=3 ),'Items sous domaines Maths '!C269)</f>
        <v>Intégrales multiples</v>
      </c>
      <c r="D265" s="145">
        <f>IF(OR('Items sous domaines Maths '!H269=3,'Items sous domaines Maths '!J269=3 ),'Items sous domaines Maths '!D269,0)</f>
        <v>0</v>
      </c>
      <c r="E265" s="145" t="str">
        <f>IF(OR('Items sous domaines Maths '!H269=3,'Items sous domaines Maths '!J269=3 ),'Items sous domaines Maths '!E269,0)</f>
        <v>Séparation de variables / Fubini</v>
      </c>
      <c r="F265" s="146">
        <f>IF(OR('Items sous domaines Maths '!H269=3,'Items sous domaines Maths '!J269=3 ),'Items sous domaines Maths '!F269,0)</f>
        <v>0</v>
      </c>
      <c r="G265" s="649"/>
      <c r="H265" s="678"/>
      <c r="I265" s="236"/>
    </row>
    <row r="266" spans="1:9" ht="19.95" customHeight="1" x14ac:dyDescent="0.25">
      <c r="A266" s="620"/>
      <c r="B266" s="141" t="str">
        <f>IF(OR('Items sous domaines Maths '!H270=3,'Items sous domaines Maths '!J270=3 ),'Items sous domaines Maths '!B270,0)</f>
        <v>Analyse</v>
      </c>
      <c r="C266" s="142" t="str">
        <f>IF(OR('Items sous domaines Maths '!H270=3,'Items sous domaines Maths '!J270=3 ),'Items sous domaines Maths '!C270)</f>
        <v>Intégrales multiples</v>
      </c>
      <c r="D266" s="142">
        <f>IF(OR('Items sous domaines Maths '!H270=3,'Items sous domaines Maths '!J270=3 ),'Items sous domaines Maths '!D270,0)</f>
        <v>0</v>
      </c>
      <c r="E266" s="142" t="str">
        <f>IF(OR('Items sous domaines Maths '!H270=3,'Items sous domaines Maths '!J270=3 ),'Items sous domaines Maths '!E270,0)</f>
        <v xml:space="preserve">Intégration par piles et par tranches </v>
      </c>
      <c r="F266" s="143">
        <f>IF(OR('Items sous domaines Maths '!H270=3,'Items sous domaines Maths '!J270=3 ),'Items sous domaines Maths '!F270,0)</f>
        <v>0</v>
      </c>
      <c r="G266" s="649"/>
      <c r="H266" s="678"/>
      <c r="I266" s="236"/>
    </row>
    <row r="267" spans="1:9" ht="19.95" customHeight="1" x14ac:dyDescent="0.25">
      <c r="A267" s="620"/>
      <c r="B267" s="144" t="str">
        <f>IF(OR('Items sous domaines Maths '!H271=3,'Items sous domaines Maths '!J271=3 ),'Items sous domaines Maths '!B271,0)</f>
        <v>Analyse</v>
      </c>
      <c r="C267" s="145" t="str">
        <f>IF(OR('Items sous domaines Maths '!H271=3,'Items sous domaines Maths '!J271=3 ),'Items sous domaines Maths '!C271)</f>
        <v>Intégrales multiples</v>
      </c>
      <c r="D267" s="145">
        <f>IF(OR('Items sous domaines Maths '!H271=3,'Items sous domaines Maths '!J271=3 ),'Items sous domaines Maths '!D271,0)</f>
        <v>0</v>
      </c>
      <c r="E267" s="145" t="str">
        <f>IF(OR('Items sous domaines Maths '!H271=3,'Items sous domaines Maths '!J271=3 ),'Items sous domaines Maths '!E271,0)</f>
        <v xml:space="preserve">Changement de variables </v>
      </c>
      <c r="F267" s="146" t="str">
        <f>IF(OR('Items sous domaines Maths '!H271=3,'Items sous domaines Maths '!J271=3 ),'Items sous domaines Maths '!F271,0)</f>
        <v>Changement de variables affine.</v>
      </c>
      <c r="G267" s="649"/>
      <c r="H267" s="678"/>
      <c r="I267" s="236"/>
    </row>
    <row r="268" spans="1:9" ht="19.95" customHeight="1" x14ac:dyDescent="0.25">
      <c r="A268" s="620"/>
      <c r="B268" s="141" t="str">
        <f>IF(OR('Items sous domaines Maths '!H272=3,'Items sous domaines Maths '!J272=3 ),'Items sous domaines Maths '!B272,0)</f>
        <v>Analyse</v>
      </c>
      <c r="C268" s="142" t="str">
        <f>IF(OR('Items sous domaines Maths '!H272=3,'Items sous domaines Maths '!J272=3 ),'Items sous domaines Maths '!C272)</f>
        <v>Intégrales multiples</v>
      </c>
      <c r="D268" s="142">
        <f>IF(OR('Items sous domaines Maths '!H272=3,'Items sous domaines Maths '!J272=3 ),'Items sous domaines Maths '!D272,0)</f>
        <v>0</v>
      </c>
      <c r="E268" s="142">
        <f>IF(OR('Items sous domaines Maths '!H272=3,'Items sous domaines Maths '!J272=3 ),'Items sous domaines Maths '!E272,0)</f>
        <v>0</v>
      </c>
      <c r="F268" s="143" t="str">
        <f>IF(OR('Items sous domaines Maths '!H272=3,'Items sous domaines Maths '!J272=3 ),'Items sous domaines Maths '!F272,0)</f>
        <v>Changement de variables polaire.</v>
      </c>
      <c r="G268" s="649"/>
      <c r="H268" s="678"/>
      <c r="I268" s="236"/>
    </row>
    <row r="269" spans="1:9" ht="19.95" customHeight="1" x14ac:dyDescent="0.25">
      <c r="A269" s="620"/>
      <c r="B269" s="144" t="str">
        <f>IF(OR('Items sous domaines Maths '!H273=3,'Items sous domaines Maths '!J273=3 ),'Items sous domaines Maths '!B273,0)</f>
        <v>Analyse</v>
      </c>
      <c r="C269" s="145" t="str">
        <f>IF(OR('Items sous domaines Maths '!H273=3,'Items sous domaines Maths '!J273=3 ),'Items sous domaines Maths '!C273)</f>
        <v>Intégrales multiples</v>
      </c>
      <c r="D269" s="145">
        <f>IF(OR('Items sous domaines Maths '!H273=3,'Items sous domaines Maths '!J273=3 ),'Items sous domaines Maths '!D273,0)</f>
        <v>0</v>
      </c>
      <c r="E269" s="145" t="str">
        <f>IF(OR('Items sous domaines Maths '!H273=3,'Items sous domaines Maths '!J273=3 ),'Items sous domaines Maths '!E273,0)</f>
        <v>Formule de Green-Riemann</v>
      </c>
      <c r="F269" s="146">
        <f>IF(OR('Items sous domaines Maths '!H273=3,'Items sous domaines Maths '!J273=3 ),'Items sous domaines Maths '!F273,0)</f>
        <v>0</v>
      </c>
      <c r="G269" s="649"/>
      <c r="H269" s="678"/>
      <c r="I269" s="236"/>
    </row>
    <row r="270" spans="1:9" ht="19.95" customHeight="1" x14ac:dyDescent="0.25">
      <c r="A270" s="620"/>
      <c r="B270" s="141" t="str">
        <f>IF(OR('Items sous domaines Maths '!H274=3,'Items sous domaines Maths '!J274=3 ),'Items sous domaines Maths '!B274,0)</f>
        <v>Analyse</v>
      </c>
      <c r="C270" s="142" t="str">
        <f>IF(OR('Items sous domaines Maths '!H274=3,'Items sous domaines Maths '!J274=3 ),'Items sous domaines Maths '!C274)</f>
        <v>Intégrales multiples</v>
      </c>
      <c r="D270" s="142" t="str">
        <f>IF(OR('Items sous domaines Maths '!H274=3,'Items sous domaines Maths '!J274=3 ),'Items sous domaines Maths '!D274,0)</f>
        <v xml:space="preserve">Intégrales triples </v>
      </c>
      <c r="E270" s="142" t="str">
        <f>IF(OR('Items sous domaines Maths '!H274=3,'Items sous domaines Maths '!J274=3 ),'Items sous domaines Maths '!E274,0)</f>
        <v>Définitions et propriétés</v>
      </c>
      <c r="F270" s="143">
        <f>IF(OR('Items sous domaines Maths '!H274=3,'Items sous domaines Maths '!J274=3 ),'Items sous domaines Maths '!F274,0)</f>
        <v>0</v>
      </c>
      <c r="G270" s="649"/>
      <c r="H270" s="678"/>
      <c r="I270" s="236"/>
    </row>
    <row r="271" spans="1:9" ht="19.95" customHeight="1" x14ac:dyDescent="0.25">
      <c r="A271" s="620"/>
      <c r="B271" s="144" t="str">
        <f>IF(OR('Items sous domaines Maths '!H275=3,'Items sous domaines Maths '!J275=3 ),'Items sous domaines Maths '!B275,0)</f>
        <v>Analyse</v>
      </c>
      <c r="C271" s="145" t="str">
        <f>IF(OR('Items sous domaines Maths '!H275=3,'Items sous domaines Maths '!J275=3 ),'Items sous domaines Maths '!C275)</f>
        <v>Intégrales multiples</v>
      </c>
      <c r="D271" s="145">
        <f>IF(OR('Items sous domaines Maths '!H275=3,'Items sous domaines Maths '!J275=3 ),'Items sous domaines Maths '!D275,0)</f>
        <v>0</v>
      </c>
      <c r="E271" s="145" t="str">
        <f>IF(OR('Items sous domaines Maths '!H275=3,'Items sous domaines Maths '!J275=3 ),'Items sous domaines Maths '!E275,0)</f>
        <v xml:space="preserve">Changement de variables </v>
      </c>
      <c r="F271" s="146" t="str">
        <f>IF(OR('Items sous domaines Maths '!H275=3,'Items sous domaines Maths '!J275=3 ),'Items sous domaines Maths '!F275,0)</f>
        <v>Formule du Jacobien.</v>
      </c>
      <c r="G271" s="649"/>
      <c r="H271" s="678"/>
      <c r="I271" s="236"/>
    </row>
    <row r="272" spans="1:9" ht="19.95" customHeight="1" x14ac:dyDescent="0.25">
      <c r="A272" s="620"/>
      <c r="B272" s="141" t="str">
        <f>IF(OR('Items sous domaines Maths '!H276=3,'Items sous domaines Maths '!J276=3 ),'Items sous domaines Maths '!B276,0)</f>
        <v>Analyse</v>
      </c>
      <c r="C272" s="142" t="str">
        <f>IF(OR('Items sous domaines Maths '!H276=3,'Items sous domaines Maths '!J276=3 ),'Items sous domaines Maths '!C276)</f>
        <v>Intégrales multiples</v>
      </c>
      <c r="D272" s="142">
        <f>IF(OR('Items sous domaines Maths '!H276=3,'Items sous domaines Maths '!J276=3 ),'Items sous domaines Maths '!D276,0)</f>
        <v>0</v>
      </c>
      <c r="E272" s="142">
        <f>IF(OR('Items sous domaines Maths '!H276=3,'Items sous domaines Maths '!J276=3 ),'Items sous domaines Maths '!E276,0)</f>
        <v>0</v>
      </c>
      <c r="F272" s="143" t="str">
        <f>IF(OR('Items sous domaines Maths '!H276=3,'Items sous domaines Maths '!J276=3 ),'Items sous domaines Maths '!F276,0)</f>
        <v>Changement de variables affine.</v>
      </c>
      <c r="G272" s="649"/>
      <c r="H272" s="678"/>
      <c r="I272" s="236"/>
    </row>
    <row r="273" spans="1:9" ht="19.95" customHeight="1" x14ac:dyDescent="0.25">
      <c r="A273" s="620"/>
      <c r="B273" s="144" t="str">
        <f>IF(OR('Items sous domaines Maths '!H277=3,'Items sous domaines Maths '!J277=3 ),'Items sous domaines Maths '!B277,0)</f>
        <v>Analyse</v>
      </c>
      <c r="C273" s="145" t="str">
        <f>IF(OR('Items sous domaines Maths '!H277=3,'Items sous domaines Maths '!J277=3 ),'Items sous domaines Maths '!C277)</f>
        <v>Intégrales multiples</v>
      </c>
      <c r="D273" s="145">
        <f>IF(OR('Items sous domaines Maths '!H277=3,'Items sous domaines Maths '!J277=3 ),'Items sous domaines Maths '!D277,0)</f>
        <v>0</v>
      </c>
      <c r="E273" s="145">
        <f>IF(OR('Items sous domaines Maths '!H277=3,'Items sous domaines Maths '!J277=3 ),'Items sous domaines Maths '!E277,0)</f>
        <v>0</v>
      </c>
      <c r="F273" s="146" t="str">
        <f>IF(OR('Items sous domaines Maths '!H277=3,'Items sous domaines Maths '!J277=3 ),'Items sous domaines Maths '!F277,0)</f>
        <v>Changement de variables cylindrique.</v>
      </c>
      <c r="G273" s="649"/>
      <c r="H273" s="678"/>
      <c r="I273" s="236"/>
    </row>
    <row r="274" spans="1:9" ht="19.95" customHeight="1" x14ac:dyDescent="0.25">
      <c r="A274" s="620"/>
      <c r="B274" s="141" t="str">
        <f>IF(OR('Items sous domaines Maths '!H278=3,'Items sous domaines Maths '!J278=3 ),'Items sous domaines Maths '!B278,0)</f>
        <v>Analyse</v>
      </c>
      <c r="C274" s="142" t="str">
        <f>IF(OR('Items sous domaines Maths '!H278=3,'Items sous domaines Maths '!J278=3 ),'Items sous domaines Maths '!C278)</f>
        <v>Intégrales multiples</v>
      </c>
      <c r="D274" s="142">
        <f>IF(OR('Items sous domaines Maths '!H278=3,'Items sous domaines Maths '!J278=3 ),'Items sous domaines Maths '!D278,0)</f>
        <v>0</v>
      </c>
      <c r="E274" s="142">
        <f>IF(OR('Items sous domaines Maths '!H278=3,'Items sous domaines Maths '!J278=3 ),'Items sous domaines Maths '!E278,0)</f>
        <v>0</v>
      </c>
      <c r="F274" s="143" t="str">
        <f>IF(OR('Items sous domaines Maths '!H278=3,'Items sous domaines Maths '!J278=3 ),'Items sous domaines Maths '!F278,0)</f>
        <v>Changement de variables sphérique.</v>
      </c>
      <c r="G274" s="649"/>
      <c r="H274" s="678"/>
      <c r="I274" s="236"/>
    </row>
    <row r="275" spans="1:9" ht="19.95" customHeight="1" x14ac:dyDescent="0.25">
      <c r="A275" s="620"/>
      <c r="B275" s="144" t="str">
        <f>IF(OR('Items sous domaines Maths '!H279=3,'Items sous domaines Maths '!J279=3 ),'Items sous domaines Maths '!B279,0)</f>
        <v>Analyse</v>
      </c>
      <c r="C275" s="145" t="str">
        <f>IF(OR('Items sous domaines Maths '!H279=3,'Items sous domaines Maths '!J279=3 ),'Items sous domaines Maths '!C279)</f>
        <v>Intégrales multiples</v>
      </c>
      <c r="D275" s="145" t="str">
        <f>IF(OR('Items sous domaines Maths '!H279=3,'Items sous domaines Maths '!J279=3 ),'Items sous domaines Maths '!D279,0)</f>
        <v>Applications</v>
      </c>
      <c r="E275" s="145" t="str">
        <f>IF(OR('Items sous domaines Maths '!H279=3,'Items sous domaines Maths '!J279=3 ),'Items sous domaines Maths '!E279,0)</f>
        <v xml:space="preserve">Calculs d’aires </v>
      </c>
      <c r="F275" s="146">
        <f>IF(OR('Items sous domaines Maths '!H279=3,'Items sous domaines Maths '!J279=3 ),'Items sous domaines Maths '!F279,0)</f>
        <v>0</v>
      </c>
      <c r="G275" s="649"/>
      <c r="H275" s="678"/>
      <c r="I275" s="236"/>
    </row>
    <row r="276" spans="1:9" ht="19.95" customHeight="1" x14ac:dyDescent="0.25">
      <c r="A276" s="620"/>
      <c r="B276" s="141" t="str">
        <f>IF(OR('Items sous domaines Maths '!H280=3,'Items sous domaines Maths '!J280=3 ),'Items sous domaines Maths '!B280,0)</f>
        <v>Analyse</v>
      </c>
      <c r="C276" s="142" t="str">
        <f>IF(OR('Items sous domaines Maths '!H280=3,'Items sous domaines Maths '!J280=3 ),'Items sous domaines Maths '!C280)</f>
        <v>Intégrales multiples</v>
      </c>
      <c r="D276" s="142">
        <f>IF(OR('Items sous domaines Maths '!H280=3,'Items sous domaines Maths '!J280=3 ),'Items sous domaines Maths '!D280,0)</f>
        <v>0</v>
      </c>
      <c r="E276" s="142" t="str">
        <f>IF(OR('Items sous domaines Maths '!H280=3,'Items sous domaines Maths '!J280=3 ),'Items sous domaines Maths '!E280,0)</f>
        <v>Calculs de volumes</v>
      </c>
      <c r="F276" s="143">
        <f>IF(OR('Items sous domaines Maths '!H280=3,'Items sous domaines Maths '!J280=3 ),'Items sous domaines Maths '!F280,0)</f>
        <v>0</v>
      </c>
      <c r="G276" s="649"/>
      <c r="H276" s="678"/>
      <c r="I276" s="236"/>
    </row>
    <row r="277" spans="1:9" ht="19.95" customHeight="1" thickBot="1" x14ac:dyDescent="0.3">
      <c r="A277" s="623"/>
      <c r="B277" s="192" t="str">
        <f>IF(OR('Items sous domaines Maths '!H281=3,'Items sous domaines Maths '!J281=3 ),'Items sous domaines Maths '!B281,0)</f>
        <v>Analyse</v>
      </c>
      <c r="C277" s="193" t="str">
        <f>IF(OR('Items sous domaines Maths '!H281=3,'Items sous domaines Maths '!J281=3 ),'Items sous domaines Maths '!C281)</f>
        <v>Intégrales multiples</v>
      </c>
      <c r="D277" s="193">
        <f>IF(OR('Items sous domaines Maths '!H281=3,'Items sous domaines Maths '!J281=3 ),'Items sous domaines Maths '!D281,0)</f>
        <v>0</v>
      </c>
      <c r="E277" s="193" t="str">
        <f>IF(OR('Items sous domaines Maths '!H281=3,'Items sous domaines Maths '!J281=3 ),'Items sous domaines Maths '!E281,0)</f>
        <v>Centre de gravité d'une sruface / d'un volume</v>
      </c>
      <c r="F277" s="194">
        <f>IF(OR('Items sous domaines Maths '!H281=3,'Items sous domaines Maths '!J281=3 ),'Items sous domaines Maths '!F281,0)</f>
        <v>0</v>
      </c>
      <c r="G277" s="650"/>
      <c r="H277" s="679"/>
      <c r="I277" s="237"/>
    </row>
    <row r="278" spans="1:9" customFormat="1" ht="13.5" hidden="1" customHeight="1" thickTop="1" thickBot="1" x14ac:dyDescent="0.3">
      <c r="A278" s="15"/>
      <c r="B278">
        <f>IF(OR('Items sous domaines Maths '!H282=3,'Items sous domaines Maths '!J282=3 ),'Items sous domaines Maths '!B282,0)</f>
        <v>0</v>
      </c>
      <c r="C278" t="b">
        <f>IF(OR('Items sous domaines Maths '!H282=3,'Items sous domaines Maths '!J282=3 ),'Items sous domaines Maths '!C282)</f>
        <v>0</v>
      </c>
      <c r="D278">
        <f>IF(OR('Items sous domaines Maths '!H282=3,'Items sous domaines Maths '!J282=3 ),'Items sous domaines Maths '!D282,0)</f>
        <v>0</v>
      </c>
      <c r="E278">
        <f>IF(OR('Items sous domaines Maths '!H282=3,'Items sous domaines Maths '!J282=3 ),'Items sous domaines Maths '!E282,0)</f>
        <v>0</v>
      </c>
      <c r="F278" s="10">
        <f>IF(OR('Items sous domaines Maths '!H282=3,'Items sous domaines Maths '!J282=3 ),'Items sous domaines Maths '!F282,0)</f>
        <v>0</v>
      </c>
      <c r="G278">
        <f>IF('Items sous domaines Maths '!H282=1,'Items sous domaines Maths '!G282,0)</f>
        <v>0</v>
      </c>
    </row>
    <row r="279" spans="1:9" ht="19.95" customHeight="1" thickTop="1" x14ac:dyDescent="0.25">
      <c r="A279" s="619" t="s">
        <v>851</v>
      </c>
      <c r="B279" s="204" t="str">
        <f>IF(OR('Items sous domaines Maths '!H283=3,'Items sous domaines Maths '!J283=3 ),'Items sous domaines Maths '!B283,0)</f>
        <v>Analyse</v>
      </c>
      <c r="C279" s="205" t="str">
        <f>IF(OR('Items sous domaines Maths '!H283=3,'Items sous domaines Maths '!J283=3 ),'Items sous domaines Maths '!C283)</f>
        <v>Les équations différentielles</v>
      </c>
      <c r="D279" s="205" t="str">
        <f>IF(OR('Items sous domaines Maths '!H283=3,'Items sous domaines Maths '!J283=3 ),'Items sous domaines Maths '!D283,0)</f>
        <v>Équations différentielles linéaires du premier orde</v>
      </c>
      <c r="E279" s="205" t="str">
        <f>IF(OR('Items sous domaines Maths '!H283=3,'Items sous domaines Maths '!J283=3 ),'Items sous domaines Maths '!E283,0)</f>
        <v>Généralités</v>
      </c>
      <c r="F279" s="206">
        <f>IF(OR('Items sous domaines Maths '!H283=3,'Items sous domaines Maths '!J283=3 ),'Items sous domaines Maths '!F283,0)</f>
        <v>0</v>
      </c>
      <c r="G279" s="238"/>
      <c r="H279" s="239"/>
      <c r="I279" s="235"/>
    </row>
    <row r="280" spans="1:9" ht="19.95" customHeight="1" x14ac:dyDescent="0.25">
      <c r="A280" s="620"/>
      <c r="B280" s="144" t="str">
        <f>IF(OR('Items sous domaines Maths '!H284=3,'Items sous domaines Maths '!J284=3 ),'Items sous domaines Maths '!B284,0)</f>
        <v>Analyse</v>
      </c>
      <c r="C280" s="145" t="str">
        <f>IF(OR('Items sous domaines Maths '!H284=3,'Items sous domaines Maths '!J284=3 ),'Items sous domaines Maths '!C284)</f>
        <v>Les équations différentielles</v>
      </c>
      <c r="D280" s="145">
        <f>IF(OR('Items sous domaines Maths '!H284=3,'Items sous domaines Maths '!J284=3 ),'Items sous domaines Maths '!D284,0)</f>
        <v>0</v>
      </c>
      <c r="E280" s="145" t="str">
        <f>IF(OR('Items sous domaines Maths '!H284=3,'Items sous domaines Maths '!J284=3 ),'Items sous domaines Maths '!E284,0)</f>
        <v>Solutions de l’équation homogène</v>
      </c>
      <c r="F280" s="146">
        <f>IF(OR('Items sous domaines Maths '!H284=3,'Items sous domaines Maths '!J284=3 ),'Items sous domaines Maths '!F284,0)</f>
        <v>0</v>
      </c>
      <c r="G280" s="174"/>
      <c r="H280" s="681" t="s">
        <v>467</v>
      </c>
      <c r="I280" s="236"/>
    </row>
    <row r="281" spans="1:9" ht="19.95" customHeight="1" x14ac:dyDescent="0.25">
      <c r="A281" s="620"/>
      <c r="B281" s="141" t="str">
        <f>IF(OR('Items sous domaines Maths '!H285=3,'Items sous domaines Maths '!J285=3 ),'Items sous domaines Maths '!B285,0)</f>
        <v>Analyse</v>
      </c>
      <c r="C281" s="142" t="str">
        <f>IF(OR('Items sous domaines Maths '!H285=3,'Items sous domaines Maths '!J285=3 ),'Items sous domaines Maths '!C285)</f>
        <v>Les équations différentielles</v>
      </c>
      <c r="D281" s="142">
        <f>IF(OR('Items sous domaines Maths '!H285=3,'Items sous domaines Maths '!J285=3 ),'Items sous domaines Maths '!D285,0)</f>
        <v>0</v>
      </c>
      <c r="E281" s="142" t="str">
        <f>IF(OR('Items sous domaines Maths '!H285=3,'Items sous domaines Maths '!J285=3 ),'Items sous domaines Maths '!E285,0)</f>
        <v xml:space="preserve">Solutions générales de l’équation avec second membre </v>
      </c>
      <c r="F281" s="143" t="str">
        <f>IF(OR('Items sous domaines Maths '!H285=3,'Items sous domaines Maths '!J285=3 ),'Items sous domaines Maths '!F285,0)</f>
        <v>Solutions particulières de l’équation avec second membre.</v>
      </c>
      <c r="G281" s="174"/>
      <c r="H281" s="681"/>
      <c r="I281" s="236"/>
    </row>
    <row r="282" spans="1:9" ht="19.95" customHeight="1" x14ac:dyDescent="0.25">
      <c r="A282" s="620"/>
      <c r="B282" s="144" t="str">
        <f>IF(OR('Items sous domaines Maths '!H286=3,'Items sous domaines Maths '!J286=3 ),'Items sous domaines Maths '!B286,0)</f>
        <v>Analyse</v>
      </c>
      <c r="C282" s="145" t="str">
        <f>IF(OR('Items sous domaines Maths '!H286=3,'Items sous domaines Maths '!J286=3 ),'Items sous domaines Maths '!C286)</f>
        <v>Les équations différentielles</v>
      </c>
      <c r="D282" s="145">
        <f>IF(OR('Items sous domaines Maths '!H286=3,'Items sous domaines Maths '!J286=3 ),'Items sous domaines Maths '!D286,0)</f>
        <v>0</v>
      </c>
      <c r="E282" s="145">
        <f>IF(OR('Items sous domaines Maths '!H286=3,'Items sous domaines Maths '!J286=3 ),'Items sous domaines Maths '!E286,0)</f>
        <v>0</v>
      </c>
      <c r="F282" s="146" t="str">
        <f>IF(OR('Items sous domaines Maths '!H286=3,'Items sous domaines Maths '!J286=3 ),'Items sous domaines Maths '!F286,0)</f>
        <v>Principe de superposition.</v>
      </c>
      <c r="G282" s="174"/>
      <c r="H282" s="681"/>
      <c r="I282" s="236"/>
    </row>
    <row r="283" spans="1:9" ht="19.95" customHeight="1" x14ac:dyDescent="0.25">
      <c r="A283" s="620"/>
      <c r="B283" s="141" t="str">
        <f>IF(OR('Items sous domaines Maths '!H287=3,'Items sous domaines Maths '!J287=3 ),'Items sous domaines Maths '!B287,0)</f>
        <v>Analyse</v>
      </c>
      <c r="C283" s="142" t="str">
        <f>IF(OR('Items sous domaines Maths '!H287=3,'Items sous domaines Maths '!J287=3 ),'Items sous domaines Maths '!C287)</f>
        <v>Les équations différentielles</v>
      </c>
      <c r="D283" s="142">
        <f>IF(OR('Items sous domaines Maths '!H287=3,'Items sous domaines Maths '!J287=3 ),'Items sous domaines Maths '!D287,0)</f>
        <v>0</v>
      </c>
      <c r="E283" s="142">
        <f>IF(OR('Items sous domaines Maths '!H287=3,'Items sous domaines Maths '!J287=3 ),'Items sous domaines Maths '!E287,0)</f>
        <v>0</v>
      </c>
      <c r="F283" s="143" t="str">
        <f>IF(OR('Items sous domaines Maths '!H287=3,'Items sous domaines Maths '!J287=3 ),'Items sous domaines Maths '!F287,0)</f>
        <v>Équations de la forme y′ +a(x)y = p(x)</v>
      </c>
      <c r="G283" s="174"/>
      <c r="H283" s="681"/>
      <c r="I283" s="236"/>
    </row>
    <row r="284" spans="1:9" ht="19.95" customHeight="1" x14ac:dyDescent="0.25">
      <c r="A284" s="620"/>
      <c r="B284" s="144" t="str">
        <f>IF(OR('Items sous domaines Maths '!H288=3,'Items sous domaines Maths '!J288=3 ),'Items sous domaines Maths '!B288,0)</f>
        <v>Analyse</v>
      </c>
      <c r="C284" s="145" t="str">
        <f>IF(OR('Items sous domaines Maths '!H288=3,'Items sous domaines Maths '!J288=3 ),'Items sous domaines Maths '!C288)</f>
        <v>Les équations différentielles</v>
      </c>
      <c r="D284" s="145">
        <f>IF(OR('Items sous domaines Maths '!H288=3,'Items sous domaines Maths '!J288=3 ),'Items sous domaines Maths '!D288,0)</f>
        <v>0</v>
      </c>
      <c r="E284" s="145">
        <f>IF(OR('Items sous domaines Maths '!H288=3,'Items sous domaines Maths '!J288=3 ),'Items sous domaines Maths '!E288,0)</f>
        <v>0</v>
      </c>
      <c r="F284" s="146" t="str">
        <f>IF(OR('Items sous domaines Maths '!H288=3,'Items sous domaines Maths '!J288=3 ),'Items sous domaines Maths '!F288,0)</f>
        <v>Équations de la forme y′ +ay = p(x)exp(αx)</v>
      </c>
      <c r="G284" s="174"/>
      <c r="H284" s="681"/>
      <c r="I284" s="236"/>
    </row>
    <row r="285" spans="1:9" ht="19.95" customHeight="1" x14ac:dyDescent="0.25">
      <c r="A285" s="620"/>
      <c r="B285" s="141" t="str">
        <f>IF(OR('Items sous domaines Maths '!H289=3,'Items sous domaines Maths '!J289=3 ),'Items sous domaines Maths '!B289,0)</f>
        <v>Analyse</v>
      </c>
      <c r="C285" s="142" t="str">
        <f>IF(OR('Items sous domaines Maths '!H289=3,'Items sous domaines Maths '!J289=3 ),'Items sous domaines Maths '!C289)</f>
        <v>Les équations différentielles</v>
      </c>
      <c r="D285" s="142">
        <f>IF(OR('Items sous domaines Maths '!H289=3,'Items sous domaines Maths '!J289=3 ),'Items sous domaines Maths '!D289,0)</f>
        <v>0</v>
      </c>
      <c r="E285" s="142">
        <f>IF(OR('Items sous domaines Maths '!H289=3,'Items sous domaines Maths '!J289=3 ),'Items sous domaines Maths '!E289,0)</f>
        <v>0</v>
      </c>
      <c r="F285" s="143" t="str">
        <f>IF(OR('Items sous domaines Maths '!H289=3,'Items sous domaines Maths '!J289=3 ),'Items sous domaines Maths '!F289,0)</f>
        <v>Équations de la forme y′ +ay = bcos(ωx) +csin(ωx)</v>
      </c>
      <c r="G285" s="174"/>
      <c r="H285" s="681"/>
      <c r="I285" s="236"/>
    </row>
    <row r="286" spans="1:9" ht="19.95" customHeight="1" x14ac:dyDescent="0.25">
      <c r="A286" s="620"/>
      <c r="B286" s="144" t="str">
        <f>IF(OR('Items sous domaines Maths '!H290=3,'Items sous domaines Maths '!J290=3 ),'Items sous domaines Maths '!B290,0)</f>
        <v>Analyse</v>
      </c>
      <c r="C286" s="145" t="str">
        <f>IF(OR('Items sous domaines Maths '!H290=3,'Items sous domaines Maths '!J290=3 ),'Items sous domaines Maths '!C290)</f>
        <v>Les équations différentielles</v>
      </c>
      <c r="D286" s="145">
        <f>IF(OR('Items sous domaines Maths '!H290=3,'Items sous domaines Maths '!J290=3 ),'Items sous domaines Maths '!D290,0)</f>
        <v>0</v>
      </c>
      <c r="E286" s="145">
        <f>IF(OR('Items sous domaines Maths '!H290=3,'Items sous domaines Maths '!J290=3 ),'Items sous domaines Maths '!E290,0)</f>
        <v>0</v>
      </c>
      <c r="F286" s="146" t="str">
        <f>IF(OR('Items sous domaines Maths '!H290=3,'Items sous domaines Maths '!J290=3 ),'Items sous domaines Maths '!F290,0)</f>
        <v>Équations de la forme y′ +ay = p(x)(bcos(ω1x) +csin(ω2x))</v>
      </c>
      <c r="G286" s="174" t="s">
        <v>446</v>
      </c>
      <c r="H286" s="681"/>
      <c r="I286" s="236"/>
    </row>
    <row r="287" spans="1:9" ht="19.95" customHeight="1" x14ac:dyDescent="0.25">
      <c r="A287" s="620"/>
      <c r="B287" s="141" t="str">
        <f>IF(OR('Items sous domaines Maths '!H291=3,'Items sous domaines Maths '!J291=3 ),'Items sous domaines Maths '!B291,0)</f>
        <v>Analyse</v>
      </c>
      <c r="C287" s="142" t="str">
        <f>IF(OR('Items sous domaines Maths '!H291=3,'Items sous domaines Maths '!J291=3 ),'Items sous domaines Maths '!C291)</f>
        <v>Les équations différentielles</v>
      </c>
      <c r="D287" s="142">
        <f>IF(OR('Items sous domaines Maths '!H291=3,'Items sous domaines Maths '!J291=3 ),'Items sous domaines Maths '!D291,0)</f>
        <v>0</v>
      </c>
      <c r="E287" s="142" t="str">
        <f>IF(OR('Items sous domaines Maths '!H291=3,'Items sous domaines Maths '!J291=3 ),'Items sous domaines Maths '!E291,0)</f>
        <v>Méthode de variation de la constante</v>
      </c>
      <c r="F287" s="143">
        <f>IF(OR('Items sous domaines Maths '!H291=3,'Items sous domaines Maths '!J291=3 ),'Items sous domaines Maths '!F291,0)</f>
        <v>0</v>
      </c>
      <c r="G287" s="174"/>
      <c r="H287" s="681"/>
      <c r="I287" s="236"/>
    </row>
    <row r="288" spans="1:9" ht="19.95" customHeight="1" x14ac:dyDescent="0.25">
      <c r="A288" s="620"/>
      <c r="B288" s="144" t="str">
        <f>IF(OR('Items sous domaines Maths '!H292=3,'Items sous domaines Maths '!J292=3 ),'Items sous domaines Maths '!B292,0)</f>
        <v>Analyse</v>
      </c>
      <c r="C288" s="145" t="str">
        <f>IF(OR('Items sous domaines Maths '!H292=3,'Items sous domaines Maths '!J292=3 ),'Items sous domaines Maths '!C292)</f>
        <v>Les équations différentielles</v>
      </c>
      <c r="D288" s="145" t="str">
        <f>IF(OR('Items sous domaines Maths '!H292=3,'Items sous domaines Maths '!J292=3 ),'Items sous domaines Maths '!D292,0)</f>
        <v>Équations différentielles linéaires du second ordre à coefficients constants</v>
      </c>
      <c r="E288" s="145" t="str">
        <f>IF(OR('Items sous domaines Maths '!H292=3,'Items sous domaines Maths '!J292=3 ),'Items sous domaines Maths '!E292,0)</f>
        <v>Généralités</v>
      </c>
      <c r="F288" s="146">
        <f>IF(OR('Items sous domaines Maths '!H292=3,'Items sous domaines Maths '!J292=3 ),'Items sous domaines Maths '!F292,0)</f>
        <v>0</v>
      </c>
      <c r="G288" s="174"/>
      <c r="H288" s="681"/>
      <c r="I288" s="236"/>
    </row>
    <row r="289" spans="1:9" ht="19.95" customHeight="1" x14ac:dyDescent="0.25">
      <c r="A289" s="620"/>
      <c r="B289" s="141" t="str">
        <f>IF(OR('Items sous domaines Maths '!H293=3,'Items sous domaines Maths '!J293=3 ),'Items sous domaines Maths '!B293,0)</f>
        <v>Analyse</v>
      </c>
      <c r="C289" s="142" t="str">
        <f>IF(OR('Items sous domaines Maths '!H293=3,'Items sous domaines Maths '!J293=3 ),'Items sous domaines Maths '!C293)</f>
        <v>Les équations différentielles</v>
      </c>
      <c r="D289" s="142">
        <f>IF(OR('Items sous domaines Maths '!H293=3,'Items sous domaines Maths '!J293=3 ),'Items sous domaines Maths '!D293,0)</f>
        <v>0</v>
      </c>
      <c r="E289" s="142" t="str">
        <f>IF(OR('Items sous domaines Maths '!H293=3,'Items sous domaines Maths '!J293=3 ),'Items sous domaines Maths '!E293,0)</f>
        <v xml:space="preserve">Solutions de l’équation homogène </v>
      </c>
      <c r="F289" s="143">
        <f>IF(OR('Items sous domaines Maths '!H293=3,'Items sous domaines Maths '!J293=3 ),'Items sous domaines Maths '!F293,0)</f>
        <v>0</v>
      </c>
      <c r="G289" s="174"/>
      <c r="H289" s="681"/>
      <c r="I289" s="236"/>
    </row>
    <row r="290" spans="1:9" ht="19.95" customHeight="1" x14ac:dyDescent="0.25">
      <c r="A290" s="620"/>
      <c r="B290" s="144" t="str">
        <f>IF(OR('Items sous domaines Maths '!H294=3,'Items sous domaines Maths '!J294=3 ),'Items sous domaines Maths '!B294,0)</f>
        <v>Analyse</v>
      </c>
      <c r="C290" s="145" t="str">
        <f>IF(OR('Items sous domaines Maths '!H294=3,'Items sous domaines Maths '!J294=3 ),'Items sous domaines Maths '!C294)</f>
        <v>Les équations différentielles</v>
      </c>
      <c r="D290" s="145">
        <f>IF(OR('Items sous domaines Maths '!H294=3,'Items sous domaines Maths '!J294=3 ),'Items sous domaines Maths '!D294,0)</f>
        <v>0</v>
      </c>
      <c r="E290" s="145" t="str">
        <f>IF(OR('Items sous domaines Maths '!H294=3,'Items sous domaines Maths '!J294=3 ),'Items sous domaines Maths '!E294,0)</f>
        <v>Solutions générales de l’équation avec second membre</v>
      </c>
      <c r="F290" s="146" t="str">
        <f>IF(OR('Items sous domaines Maths '!H294=3,'Items sous domaines Maths '!J294=3 ),'Items sous domaines Maths '!F294,0)</f>
        <v>Principe de superposition.</v>
      </c>
      <c r="G290" s="174"/>
      <c r="H290" s="681"/>
      <c r="I290" s="236"/>
    </row>
    <row r="291" spans="1:9" ht="19.95" customHeight="1" x14ac:dyDescent="0.25">
      <c r="A291" s="620"/>
      <c r="B291" s="141" t="str">
        <f>IF(OR('Items sous domaines Maths '!H295=3,'Items sous domaines Maths '!J295=3 ),'Items sous domaines Maths '!B295,0)</f>
        <v>Analyse</v>
      </c>
      <c r="C291" s="142" t="str">
        <f>IF(OR('Items sous domaines Maths '!H295=3,'Items sous domaines Maths '!J295=3 ),'Items sous domaines Maths '!C295)</f>
        <v>Les équations différentielles</v>
      </c>
      <c r="D291" s="142">
        <f>IF(OR('Items sous domaines Maths '!H295=3,'Items sous domaines Maths '!J295=3 ),'Items sous domaines Maths '!D295,0)</f>
        <v>0</v>
      </c>
      <c r="E291" s="142">
        <f>IF(OR('Items sous domaines Maths '!H295=3,'Items sous domaines Maths '!J295=3 ),'Items sous domaines Maths '!E295,0)</f>
        <v>0</v>
      </c>
      <c r="F291" s="143" t="str">
        <f>IF(OR('Items sous domaines Maths '!H295=3,'Items sous domaines Maths '!J295=3 ),'Items sous domaines Maths '!F295,0)</f>
        <v>Cas où d(x) est un polynôme.</v>
      </c>
      <c r="G291" s="174"/>
      <c r="H291" s="681"/>
      <c r="I291" s="236"/>
    </row>
    <row r="292" spans="1:9" ht="19.95" customHeight="1" x14ac:dyDescent="0.25">
      <c r="A292" s="620"/>
      <c r="B292" s="144" t="str">
        <f>IF(OR('Items sous domaines Maths '!H296=3,'Items sous domaines Maths '!J296=3 ),'Items sous domaines Maths '!B296,0)</f>
        <v>Analyse</v>
      </c>
      <c r="C292" s="145" t="str">
        <f>IF(OR('Items sous domaines Maths '!H296=3,'Items sous domaines Maths '!J296=3 ),'Items sous domaines Maths '!C296)</f>
        <v>Les équations différentielles</v>
      </c>
      <c r="D292" s="145">
        <f>IF(OR('Items sous domaines Maths '!H296=3,'Items sous domaines Maths '!J296=3 ),'Items sous domaines Maths '!D296,0)</f>
        <v>0</v>
      </c>
      <c r="E292" s="145">
        <f>IF(OR('Items sous domaines Maths '!H296=3,'Items sous domaines Maths '!J296=3 ),'Items sous domaines Maths '!E296,0)</f>
        <v>0</v>
      </c>
      <c r="F292" s="146" t="str">
        <f>IF(OR('Items sous domaines Maths '!H296=3,'Items sous domaines Maths '!J296=3 ),'Items sous domaines Maths '!F296,0)</f>
        <v>Cas où d(x) est le produit d’un polynôme et d’une exponentielle.</v>
      </c>
      <c r="G292" s="174"/>
      <c r="H292" s="681"/>
      <c r="I292" s="236"/>
    </row>
    <row r="293" spans="1:9" ht="19.95" customHeight="1" x14ac:dyDescent="0.25">
      <c r="A293" s="620"/>
      <c r="B293" s="141" t="str">
        <f>IF(OR('Items sous domaines Maths '!H297=3,'Items sous domaines Maths '!J297=3 ),'Items sous domaines Maths '!B297,0)</f>
        <v>Analyse</v>
      </c>
      <c r="C293" s="142" t="str">
        <f>IF(OR('Items sous domaines Maths '!H297=3,'Items sous domaines Maths '!J297=3 ),'Items sous domaines Maths '!C297)</f>
        <v>Les équations différentielles</v>
      </c>
      <c r="D293" s="142">
        <f>IF(OR('Items sous domaines Maths '!H297=3,'Items sous domaines Maths '!J297=3 ),'Items sous domaines Maths '!D297,0)</f>
        <v>0</v>
      </c>
      <c r="E293" s="142">
        <f>IF(OR('Items sous domaines Maths '!H297=3,'Items sous domaines Maths '!J297=3 ),'Items sous domaines Maths '!E297,0)</f>
        <v>0</v>
      </c>
      <c r="F293" s="143" t="str">
        <f>IF(OR('Items sous domaines Maths '!H297=3,'Items sous domaines Maths '!J297=3 ),'Items sous domaines Maths '!F297,0)</f>
        <v>Cas où d(x) est une combinaison linéaire de fonctions trigonométriques.</v>
      </c>
      <c r="G293" s="174"/>
      <c r="H293" s="681"/>
      <c r="I293" s="236"/>
    </row>
    <row r="294" spans="1:9" ht="19.95" customHeight="1" x14ac:dyDescent="0.25">
      <c r="A294" s="620"/>
      <c r="B294" s="144" t="str">
        <f>IF(OR('Items sous domaines Maths '!H298=3,'Items sous domaines Maths '!J298=3 ),'Items sous domaines Maths '!B298,0)</f>
        <v>Analyse</v>
      </c>
      <c r="C294" s="145" t="str">
        <f>IF(OR('Items sous domaines Maths '!H298=3,'Items sous domaines Maths '!J298=3 ),'Items sous domaines Maths '!C298)</f>
        <v>Les équations différentielles</v>
      </c>
      <c r="D294" s="145">
        <f>IF(OR('Items sous domaines Maths '!H298=3,'Items sous domaines Maths '!J298=3 ),'Items sous domaines Maths '!D298,0)</f>
        <v>0</v>
      </c>
      <c r="E294" s="145">
        <f>IF(OR('Items sous domaines Maths '!H298=3,'Items sous domaines Maths '!J298=3 ),'Items sous domaines Maths '!E298,0)</f>
        <v>0</v>
      </c>
      <c r="F294" s="146" t="str">
        <f>IF(OR('Items sous domaines Maths '!H298=3,'Items sous domaines Maths '!J298=3 ),'Items sous domaines Maths '!F298,0)</f>
        <v>Cas où d(x) est le produit d’une fonction trigonométrique et d’une exponentielle.</v>
      </c>
      <c r="G294" s="174"/>
      <c r="H294" s="681"/>
      <c r="I294" s="236"/>
    </row>
    <row r="295" spans="1:9" ht="19.95" customHeight="1" thickBot="1" x14ac:dyDescent="0.3">
      <c r="A295" s="623"/>
      <c r="B295" s="186" t="str">
        <f>IF(OR('Items sous domaines Maths '!H299=3,'Items sous domaines Maths '!J299=3 ),'Items sous domaines Maths '!B299,0)</f>
        <v>Analyse</v>
      </c>
      <c r="C295" s="187" t="str">
        <f>IF(OR('Items sous domaines Maths '!H299=3,'Items sous domaines Maths '!J299=3 ),'Items sous domaines Maths '!C299)</f>
        <v>Les équations différentielles</v>
      </c>
      <c r="D295" s="187">
        <f>IF(OR('Items sous domaines Maths '!H299=3,'Items sous domaines Maths '!J299=3 ),'Items sous domaines Maths '!D299,0)</f>
        <v>0</v>
      </c>
      <c r="E295" s="187" t="str">
        <f>IF(OR('Items sous domaines Maths '!H299=3,'Items sous domaines Maths '!J299=3 ),'Items sous domaines Maths '!E299,0)</f>
        <v>Résolution par changement de variable</v>
      </c>
      <c r="F295" s="188">
        <f>IF(OR('Items sous domaines Maths '!H299=3,'Items sous domaines Maths '!J299=3 ),'Items sous domaines Maths '!F299,0)</f>
        <v>0</v>
      </c>
      <c r="G295" s="240"/>
      <c r="H295" s="682"/>
      <c r="I295" s="237"/>
    </row>
    <row r="296" spans="1:9" customFormat="1" ht="17.399999999999999" hidden="1" customHeight="1" thickTop="1" thickBot="1" x14ac:dyDescent="0.3">
      <c r="A296" s="15"/>
      <c r="B296">
        <f>IF(OR('Items sous domaines Maths '!H300=3,'Items sous domaines Maths '!J300=3 ),'Items sous domaines Maths '!B300,0)</f>
        <v>0</v>
      </c>
      <c r="C296" t="b">
        <f>IF(OR('Items sous domaines Maths '!H300=3,'Items sous domaines Maths '!J300=3 ),'Items sous domaines Maths '!C300)</f>
        <v>0</v>
      </c>
      <c r="D296">
        <f>IF(OR('Items sous domaines Maths '!H300=3,'Items sous domaines Maths '!J300=3 ),'Items sous domaines Maths '!D300,0)</f>
        <v>0</v>
      </c>
      <c r="E296">
        <f>IF(OR('Items sous domaines Maths '!H300=3,'Items sous domaines Maths '!J300=3 ),'Items sous domaines Maths '!E300,0)</f>
        <v>0</v>
      </c>
      <c r="F296" s="10">
        <f>IF(OR('Items sous domaines Maths '!H300=3,'Items sous domaines Maths '!J300=3 ),'Items sous domaines Maths '!F300,0)</f>
        <v>0</v>
      </c>
      <c r="G296">
        <f>IF('Items sous domaines Maths '!H300=1,'Items sous domaines Maths '!G300,0)</f>
        <v>0</v>
      </c>
      <c r="H296" s="683"/>
    </row>
    <row r="297" spans="1:9" customFormat="1" ht="17.399999999999999" hidden="1" customHeight="1" thickBot="1" x14ac:dyDescent="0.3">
      <c r="A297" s="19"/>
      <c r="B297" s="8">
        <f>IF(OR('Items sous domaines Maths '!H301=3,'Items sous domaines Maths '!J301=3 ),'Items sous domaines Maths '!B301,0)</f>
        <v>0</v>
      </c>
      <c r="C297" s="8" t="b">
        <f>IF(OR('Items sous domaines Maths '!H301=3,'Items sous domaines Maths '!J301=3 ),'Items sous domaines Maths '!C301)</f>
        <v>0</v>
      </c>
      <c r="D297" s="8">
        <f>IF(OR('Items sous domaines Maths '!H301=3,'Items sous domaines Maths '!J301=3 ),'Items sous domaines Maths '!D301,0)</f>
        <v>0</v>
      </c>
      <c r="E297" s="8">
        <f>IF(OR('Items sous domaines Maths '!H301=3,'Items sous domaines Maths '!J301=3 ),'Items sous domaines Maths '!E301,0)</f>
        <v>0</v>
      </c>
      <c r="F297" s="9">
        <f>IF(OR('Items sous domaines Maths '!H301=3,'Items sous domaines Maths '!J301=3 ),'Items sous domaines Maths '!F301,0)</f>
        <v>0</v>
      </c>
      <c r="G297">
        <f>IF('Items sous domaines Maths '!H301=1,'Items sous domaines Maths '!G301,0)</f>
        <v>0</v>
      </c>
      <c r="H297" s="683"/>
    </row>
    <row r="298" spans="1:9" customFormat="1" ht="17.399999999999999" hidden="1" customHeight="1" thickBot="1" x14ac:dyDescent="0.3">
      <c r="A298" s="20"/>
      <c r="B298" s="8">
        <f>IF(OR('Items sous domaines Maths '!H302=3,'Items sous domaines Maths '!J302=3 ),'Items sous domaines Maths '!B302,0)</f>
        <v>0</v>
      </c>
      <c r="C298" s="8" t="b">
        <f>IF(OR('Items sous domaines Maths '!H302=3,'Items sous domaines Maths '!J302=3 ),'Items sous domaines Maths '!C302)</f>
        <v>0</v>
      </c>
      <c r="D298" s="8">
        <f>IF(OR('Items sous domaines Maths '!H302=3,'Items sous domaines Maths '!J302=3 ),'Items sous domaines Maths '!D302,0)</f>
        <v>0</v>
      </c>
      <c r="E298" s="8">
        <f>IF(OR('Items sous domaines Maths '!H302=3,'Items sous domaines Maths '!J302=3 ),'Items sous domaines Maths '!E302,0)</f>
        <v>0</v>
      </c>
      <c r="F298" s="9">
        <f>IF(OR('Items sous domaines Maths '!H302=3,'Items sous domaines Maths '!J302=3 ),'Items sous domaines Maths '!F302,0)</f>
        <v>0</v>
      </c>
      <c r="G298">
        <f>IF('Items sous domaines Maths '!H302=1,'Items sous domaines Maths '!G302,0)</f>
        <v>0</v>
      </c>
    </row>
    <row r="299" spans="1:9" customFormat="1" ht="17.399999999999999" hidden="1" customHeight="1" thickBot="1" x14ac:dyDescent="0.3">
      <c r="A299" s="20"/>
      <c r="B299" s="8">
        <f>IF(OR('Items sous domaines Maths '!H303=3,'Items sous domaines Maths '!J303=3 ),'Items sous domaines Maths '!B303,0)</f>
        <v>0</v>
      </c>
      <c r="C299" s="8" t="b">
        <f>IF(OR('Items sous domaines Maths '!H303=3,'Items sous domaines Maths '!J303=3 ),'Items sous domaines Maths '!C303)</f>
        <v>0</v>
      </c>
      <c r="D299" s="8">
        <f>IF(OR('Items sous domaines Maths '!H303=3,'Items sous domaines Maths '!J303=3 ),'Items sous domaines Maths '!D303,0)</f>
        <v>0</v>
      </c>
      <c r="E299" s="8">
        <f>IF(OR('Items sous domaines Maths '!H303=3,'Items sous domaines Maths '!J303=3 ),'Items sous domaines Maths '!E303,0)</f>
        <v>0</v>
      </c>
      <c r="F299" s="9">
        <f>IF(OR('Items sous domaines Maths '!H303=3,'Items sous domaines Maths '!J303=3 ),'Items sous domaines Maths '!F303,0)</f>
        <v>0</v>
      </c>
      <c r="G299">
        <f>IF('Items sous domaines Maths '!H303=1,'Items sous domaines Maths '!G303,0)</f>
        <v>0</v>
      </c>
    </row>
    <row r="300" spans="1:9" customFormat="1" ht="17.399999999999999" hidden="1" customHeight="1" thickBot="1" x14ac:dyDescent="0.3">
      <c r="A300" s="20"/>
      <c r="B300" s="8">
        <f>IF(OR('Items sous domaines Maths '!H304=3,'Items sous domaines Maths '!J304=3 ),'Items sous domaines Maths '!B304,0)</f>
        <v>0</v>
      </c>
      <c r="C300" s="8" t="b">
        <f>IF(OR('Items sous domaines Maths '!H304=3,'Items sous domaines Maths '!J304=3 ),'Items sous domaines Maths '!C304)</f>
        <v>0</v>
      </c>
      <c r="D300" s="8">
        <f>IF(OR('Items sous domaines Maths '!H304=3,'Items sous domaines Maths '!J304=3 ),'Items sous domaines Maths '!D304,0)</f>
        <v>0</v>
      </c>
      <c r="E300" s="8">
        <f>IF(OR('Items sous domaines Maths '!H304=3,'Items sous domaines Maths '!J304=3 ),'Items sous domaines Maths '!E304,0)</f>
        <v>0</v>
      </c>
      <c r="F300" s="9">
        <f>IF(OR('Items sous domaines Maths '!H304=3,'Items sous domaines Maths '!J304=3 ),'Items sous domaines Maths '!F304,0)</f>
        <v>0</v>
      </c>
      <c r="G300">
        <f>IF('Items sous domaines Maths '!H304=1,'Items sous domaines Maths '!G304,0)</f>
        <v>0</v>
      </c>
    </row>
    <row r="301" spans="1:9" customFormat="1" ht="17.399999999999999" hidden="1" customHeight="1" thickBot="1" x14ac:dyDescent="0.3">
      <c r="A301" s="20"/>
      <c r="B301" s="8">
        <f>IF(OR('Items sous domaines Maths '!H305=3,'Items sous domaines Maths '!J305=3 ),'Items sous domaines Maths '!B305,0)</f>
        <v>0</v>
      </c>
      <c r="C301" s="8" t="b">
        <f>IF(OR('Items sous domaines Maths '!H305=3,'Items sous domaines Maths '!J305=3 ),'Items sous domaines Maths '!C305)</f>
        <v>0</v>
      </c>
      <c r="D301" s="8">
        <f>IF(OR('Items sous domaines Maths '!H305=3,'Items sous domaines Maths '!J305=3 ),'Items sous domaines Maths '!D305,0)</f>
        <v>0</v>
      </c>
      <c r="E301" s="8">
        <f>IF(OR('Items sous domaines Maths '!H305=3,'Items sous domaines Maths '!J305=3 ),'Items sous domaines Maths '!E305,0)</f>
        <v>0</v>
      </c>
      <c r="F301" s="9">
        <f>IF(OR('Items sous domaines Maths '!H305=3,'Items sous domaines Maths '!J305=3 ),'Items sous domaines Maths '!F305,0)</f>
        <v>0</v>
      </c>
      <c r="G301">
        <f>IF('Items sous domaines Maths '!H305=1,'Items sous domaines Maths '!G305,0)</f>
        <v>0</v>
      </c>
    </row>
    <row r="302" spans="1:9" customFormat="1" ht="17.399999999999999" hidden="1" customHeight="1" thickBot="1" x14ac:dyDescent="0.3">
      <c r="A302" s="21"/>
      <c r="B302" s="8">
        <f>IF(OR('Items sous domaines Maths '!H306=3,'Items sous domaines Maths '!J306=3 ),'Items sous domaines Maths '!B306,0)</f>
        <v>0</v>
      </c>
      <c r="C302" s="8" t="b">
        <f>IF(OR('Items sous domaines Maths '!H306=3,'Items sous domaines Maths '!J306=3 ),'Items sous domaines Maths '!C306)</f>
        <v>0</v>
      </c>
      <c r="D302" s="8">
        <f>IF(OR('Items sous domaines Maths '!H306=3,'Items sous domaines Maths '!J306=3 ),'Items sous domaines Maths '!D306,0)</f>
        <v>0</v>
      </c>
      <c r="E302" s="8">
        <f>IF(OR('Items sous domaines Maths '!H306=3,'Items sous domaines Maths '!J306=3 ),'Items sous domaines Maths '!E306,0)</f>
        <v>0</v>
      </c>
      <c r="F302" s="9">
        <f>IF(OR('Items sous domaines Maths '!H306=3,'Items sous domaines Maths '!J306=3 ),'Items sous domaines Maths '!F306,0)</f>
        <v>0</v>
      </c>
      <c r="G302">
        <f>IF('Items sous domaines Maths '!H306=1,'Items sous domaines Maths '!G306,0)</f>
        <v>0</v>
      </c>
    </row>
    <row r="303" spans="1:9" customFormat="1" ht="17.399999999999999" hidden="1" customHeight="1" thickBot="1" x14ac:dyDescent="0.3">
      <c r="B303" s="8">
        <f>IF(OR('Items sous domaines Maths '!H307=3,'Items sous domaines Maths '!J307=3 ),'Items sous domaines Maths '!B307,0)</f>
        <v>0</v>
      </c>
      <c r="C303" s="8" t="b">
        <f>IF(OR('Items sous domaines Maths '!H307=3,'Items sous domaines Maths '!J307=3 ),'Items sous domaines Maths '!C307)</f>
        <v>0</v>
      </c>
      <c r="D303" s="8">
        <f>IF(OR('Items sous domaines Maths '!H307=3,'Items sous domaines Maths '!J307=3 ),'Items sous domaines Maths '!D307,0)</f>
        <v>0</v>
      </c>
      <c r="E303" s="8">
        <f>IF(OR('Items sous domaines Maths '!H307=3,'Items sous domaines Maths '!J307=3 ),'Items sous domaines Maths '!E307,0)</f>
        <v>0</v>
      </c>
      <c r="F303" s="9">
        <f>IF(OR('Items sous domaines Maths '!H307=3,'Items sous domaines Maths '!J307=3 ),'Items sous domaines Maths '!F307,0)</f>
        <v>0</v>
      </c>
      <c r="G303">
        <f>IF('Items sous domaines Maths '!H307=1,'Items sous domaines Maths '!G307,0)</f>
        <v>0</v>
      </c>
    </row>
    <row r="304" spans="1:9" customFormat="1" ht="14.4" hidden="1" thickTop="1" thickBot="1" x14ac:dyDescent="0.3">
      <c r="A304" s="17"/>
      <c r="B304" s="8">
        <f>IF(OR('Items sous domaines Maths '!H308=3,'Items sous domaines Maths '!J308=3 ),'Items sous domaines Maths '!B308,0)</f>
        <v>0</v>
      </c>
      <c r="C304" s="8" t="b">
        <f>IF(OR('Items sous domaines Maths '!H308=3,'Items sous domaines Maths '!J308=3 ),'Items sous domaines Maths '!C308)</f>
        <v>0</v>
      </c>
      <c r="D304" s="8">
        <f>IF(OR('Items sous domaines Maths '!H308=3,'Items sous domaines Maths '!J308=3 ),'Items sous domaines Maths '!D308,0)</f>
        <v>0</v>
      </c>
      <c r="E304" s="8">
        <f>IF(OR('Items sous domaines Maths '!H308=3,'Items sous domaines Maths '!J308=3 ),'Items sous domaines Maths '!E308,0)</f>
        <v>0</v>
      </c>
      <c r="F304" s="9">
        <f>IF(OR('Items sous domaines Maths '!H308=3,'Items sous domaines Maths '!J308=3 ),'Items sous domaines Maths '!F308,0)</f>
        <v>0</v>
      </c>
      <c r="G304">
        <f>IF('Items sous domaines Maths '!H308=1,'Items sous domaines Maths '!G308,0)</f>
        <v>0</v>
      </c>
    </row>
    <row r="305" spans="1:9" customFormat="1" ht="13.5" hidden="1" customHeight="1" thickBot="1" x14ac:dyDescent="0.3">
      <c r="A305" s="17"/>
      <c r="B305" s="8">
        <f>IF(OR('Items sous domaines Maths '!H312=3,'Items sous domaines Maths '!J312=3 ),'Items sous domaines Maths '!B312,0)</f>
        <v>0</v>
      </c>
      <c r="C305" s="8" t="b">
        <f>IF(OR('Items sous domaines Maths '!H312=3,'Items sous domaines Maths '!J312=3 ),'Items sous domaines Maths '!C312)</f>
        <v>0</v>
      </c>
      <c r="D305" s="8">
        <f>IF(OR('Items sous domaines Maths '!H312=3,'Items sous domaines Maths '!J312=3 ),'Items sous domaines Maths '!D312,0)</f>
        <v>0</v>
      </c>
      <c r="E305" s="8">
        <f>IF(OR('Items sous domaines Maths '!H312=3,'Items sous domaines Maths '!J312=3 ),'Items sous domaines Maths '!E312,0)</f>
        <v>0</v>
      </c>
      <c r="F305" s="9">
        <f>IF(OR('Items sous domaines Maths '!H312=3,'Items sous domaines Maths '!J312=3 ),'Items sous domaines Maths '!F312,0)</f>
        <v>0</v>
      </c>
      <c r="G305">
        <f>IF('Items sous domaines Maths '!H312=1,'Items sous domaines Maths '!G312,0)</f>
        <v>0</v>
      </c>
    </row>
    <row r="306" spans="1:9" customFormat="1" ht="13.5" hidden="1" customHeight="1" thickBot="1" x14ac:dyDescent="0.3">
      <c r="A306" s="17"/>
      <c r="B306" s="8">
        <f>IF(OR('Items sous domaines Maths '!H313=3,'Items sous domaines Maths '!J313=3 ),'Items sous domaines Maths '!B313,0)</f>
        <v>0</v>
      </c>
      <c r="C306" s="8" t="b">
        <f>IF(OR('Items sous domaines Maths '!H313=3,'Items sous domaines Maths '!J313=3 ),'Items sous domaines Maths '!C313)</f>
        <v>0</v>
      </c>
      <c r="D306" s="8">
        <f>IF(OR('Items sous domaines Maths '!H313=3,'Items sous domaines Maths '!J313=3 ),'Items sous domaines Maths '!D313,0)</f>
        <v>0</v>
      </c>
      <c r="E306" s="8">
        <f>IF(OR('Items sous domaines Maths '!H313=3,'Items sous domaines Maths '!J313=3 ),'Items sous domaines Maths '!E313,0)</f>
        <v>0</v>
      </c>
      <c r="F306" s="9">
        <f>IF(OR('Items sous domaines Maths '!H313=3,'Items sous domaines Maths '!J313=3 ),'Items sous domaines Maths '!F313,0)</f>
        <v>0</v>
      </c>
      <c r="G306">
        <f>IF('Items sous domaines Maths '!H313=1,'Items sous domaines Maths '!G313,0)</f>
        <v>0</v>
      </c>
    </row>
    <row r="307" spans="1:9" ht="19.95" customHeight="1" thickTop="1" x14ac:dyDescent="0.25">
      <c r="A307" s="692" t="s">
        <v>484</v>
      </c>
      <c r="B307" s="181" t="str">
        <f>IF(OR('Items sous domaines Maths '!H314=3,'Items sous domaines Maths '!J314=3 ),'Items sous domaines Maths '!B314,0)</f>
        <v>Analyse</v>
      </c>
      <c r="C307" s="182" t="str">
        <f>IF(OR('Items sous domaines Maths '!H314=3,'Items sous domaines Maths '!J314=3 ),'Items sous domaines Maths '!C314)</f>
        <v>Suites</v>
      </c>
      <c r="D307" s="182" t="str">
        <f>IF(OR('Items sous domaines Maths '!H314=3,'Items sous domaines Maths '!J314=3 ),'Items sous domaines Maths '!D314,0)</f>
        <v>Géneralités</v>
      </c>
      <c r="E307" s="182" t="str">
        <f>IF(OR('Items sous domaines Maths '!H314=3,'Items sous domaines Maths '!J314=3 ),'Items sous domaines Maths '!E314,0)</f>
        <v>Mode de génération d'une suite : explicite ou récurrente</v>
      </c>
      <c r="F307" s="183">
        <f>IF(OR('Items sous domaines Maths '!H314=3,'Items sous domaines Maths '!J314=3 ),'Items sous domaines Maths '!F314,0)</f>
        <v>0</v>
      </c>
      <c r="G307" s="238"/>
      <c r="H307" s="684" t="s">
        <v>467</v>
      </c>
      <c r="I307" s="235"/>
    </row>
    <row r="308" spans="1:9" ht="19.95" customHeight="1" x14ac:dyDescent="0.25">
      <c r="A308" s="693"/>
      <c r="B308" s="141" t="str">
        <f>IF(OR('Items sous domaines Maths '!H315=3,'Items sous domaines Maths '!J315=3 ),'Items sous domaines Maths '!B315,0)</f>
        <v>Analyse</v>
      </c>
      <c r="C308" s="142" t="str">
        <f>IF(OR('Items sous domaines Maths '!H315=3,'Items sous domaines Maths '!J315=3 ),'Items sous domaines Maths '!C315)</f>
        <v>Suites</v>
      </c>
      <c r="D308" s="142">
        <f>IF(OR('Items sous domaines Maths '!H315=3,'Items sous domaines Maths '!J315=3 ),'Items sous domaines Maths '!D315,0)</f>
        <v>0</v>
      </c>
      <c r="E308" s="142" t="str">
        <f>IF(OR('Items sous domaines Maths '!H315=3,'Items sous domaines Maths '!J315=3 ),'Items sous domaines Maths '!E315,0)</f>
        <v>Variations d'une suite</v>
      </c>
      <c r="F308" s="143" t="str">
        <f>IF(OR('Items sous domaines Maths '!H315=3,'Items sous domaines Maths '!J315=3 ),'Items sous domaines Maths '!F315,0)</f>
        <v>Méthode un+1-Un, Un+1/Un, Un+1=f(Un)</v>
      </c>
      <c r="G308" s="174"/>
      <c r="H308" s="681"/>
      <c r="I308" s="236"/>
    </row>
    <row r="309" spans="1:9" ht="19.95" customHeight="1" x14ac:dyDescent="0.25">
      <c r="A309" s="693"/>
      <c r="B309" s="144" t="str">
        <f>IF(OR('Items sous domaines Maths '!H316=3,'Items sous domaines Maths '!J316=3 ),'Items sous domaines Maths '!B316,0)</f>
        <v>Analyse</v>
      </c>
      <c r="C309" s="145" t="str">
        <f>IF(OR('Items sous domaines Maths '!H316=3,'Items sous domaines Maths '!J316=3 ),'Items sous domaines Maths '!C316)</f>
        <v>Suites</v>
      </c>
      <c r="D309" s="145">
        <f>IF(OR('Items sous domaines Maths '!H316=3,'Items sous domaines Maths '!J316=3 ),'Items sous domaines Maths '!D316,0)</f>
        <v>0</v>
      </c>
      <c r="E309" s="145" t="str">
        <f>IF(OR('Items sous domaines Maths '!H316=3,'Items sous domaines Maths '!J316=3 ),'Items sous domaines Maths '!E316,0)</f>
        <v xml:space="preserve">Suites majorées, minorées, bormées </v>
      </c>
      <c r="F309" s="146">
        <f>IF(OR('Items sous domaines Maths '!H316=3,'Items sous domaines Maths '!J316=3 ),'Items sous domaines Maths '!F316,0)</f>
        <v>0</v>
      </c>
      <c r="G309" s="174"/>
      <c r="H309" s="681"/>
      <c r="I309" s="236"/>
    </row>
    <row r="310" spans="1:9" ht="19.95" customHeight="1" x14ac:dyDescent="0.25">
      <c r="A310" s="693"/>
      <c r="B310" s="141" t="str">
        <f>IF(OR('Items sous domaines Maths '!H317=3,'Items sous domaines Maths '!J317=3 ),'Items sous domaines Maths '!B317,0)</f>
        <v>Analyse</v>
      </c>
      <c r="C310" s="142" t="str">
        <f>IF(OR('Items sous domaines Maths '!H317=3,'Items sous domaines Maths '!J317=3 ),'Items sous domaines Maths '!C317)</f>
        <v>Suites</v>
      </c>
      <c r="D310" s="142">
        <f>IF(OR('Items sous domaines Maths '!H317=3,'Items sous domaines Maths '!J317=3 ),'Items sous domaines Maths '!D317,0)</f>
        <v>0</v>
      </c>
      <c r="E310" s="142" t="str">
        <f>IF(OR('Items sous domaines Maths '!H317=3,'Items sous domaines Maths '!J317=3 ),'Items sous domaines Maths '!E317,0)</f>
        <v>Convergence d'une suite</v>
      </c>
      <c r="F310" s="143" t="str">
        <f>IF(OR('Items sous domaines Maths '!H317=3,'Items sous domaines Maths '!J317=3 ),'Items sous domaines Maths '!F317,0)</f>
        <v>Convergence des suites majorées, calculs de limites, point fixe</v>
      </c>
      <c r="G310" s="174"/>
      <c r="H310" s="681"/>
      <c r="I310" s="236"/>
    </row>
    <row r="311" spans="1:9" ht="19.95" customHeight="1" x14ac:dyDescent="0.25">
      <c r="A311" s="693"/>
      <c r="B311" s="144" t="str">
        <f>IF(OR('Items sous domaines Maths '!H318=3,'Items sous domaines Maths '!J318=3 ),'Items sous domaines Maths '!B318,0)</f>
        <v>Analyse</v>
      </c>
      <c r="C311" s="145" t="str">
        <f>IF(OR('Items sous domaines Maths '!H318=3,'Items sous domaines Maths '!J318=3 ),'Items sous domaines Maths '!C318)</f>
        <v>Suites</v>
      </c>
      <c r="D311" s="145">
        <f>IF(OR('Items sous domaines Maths '!H318=3,'Items sous domaines Maths '!J318=3 ),'Items sous domaines Maths '!D318,0)</f>
        <v>0</v>
      </c>
      <c r="E311" s="145" t="str">
        <f>IF(OR('Items sous domaines Maths '!H318=3,'Items sous domaines Maths '!J318=3 ),'Items sous domaines Maths '!E318,0)</f>
        <v>Représentation graphique des suites</v>
      </c>
      <c r="F311" s="146" t="str">
        <f>IF(OR('Items sous domaines Maths '!H318=3,'Items sous domaines Maths '!J318=3 ),'Items sous domaines Maths '!F318,0)</f>
        <v>Point fixe</v>
      </c>
      <c r="G311" s="174" t="s">
        <v>446</v>
      </c>
      <c r="H311" s="681"/>
      <c r="I311" s="236"/>
    </row>
    <row r="312" spans="1:9" ht="19.95" customHeight="1" x14ac:dyDescent="0.25">
      <c r="A312" s="693"/>
      <c r="B312" s="141" t="str">
        <f>IF(OR('Items sous domaines Maths '!H319=3,'Items sous domaines Maths '!J319=3 ),'Items sous domaines Maths '!B319,0)</f>
        <v>Analyse</v>
      </c>
      <c r="C312" s="142" t="str">
        <f>IF(OR('Items sous domaines Maths '!H319=3,'Items sous domaines Maths '!J319=3 ),'Items sous domaines Maths '!C319)</f>
        <v>Suites</v>
      </c>
      <c r="D312" s="142" t="str">
        <f>IF(OR('Items sous domaines Maths '!H319=3,'Items sous domaines Maths '!J319=3 ),'Items sous domaines Maths '!D319,0)</f>
        <v>Sutes de référence</v>
      </c>
      <c r="E312" s="142" t="str">
        <f>IF(OR('Items sous domaines Maths '!H319=3,'Items sous domaines Maths '!J319=3 ),'Items sous domaines Maths '!E319,0)</f>
        <v>Suites Arithmétiques</v>
      </c>
      <c r="F312" s="143" t="str">
        <f>IF(OR('Items sous domaines Maths '!H319=3,'Items sous domaines Maths '!J319=3 ),'Items sous domaines Maths '!F319,0)</f>
        <v>Définition, terme géberal, somme des termes consécutifs</v>
      </c>
      <c r="G312" s="174"/>
      <c r="H312" s="681"/>
      <c r="I312" s="236"/>
    </row>
    <row r="313" spans="1:9" ht="19.95" customHeight="1" x14ac:dyDescent="0.25">
      <c r="A313" s="693"/>
      <c r="B313" s="144" t="str">
        <f>IF(OR('Items sous domaines Maths '!H320=3,'Items sous domaines Maths '!J320=3 ),'Items sous domaines Maths '!B320,0)</f>
        <v>Analyse</v>
      </c>
      <c r="C313" s="145" t="str">
        <f>IF(OR('Items sous domaines Maths '!H320=3,'Items sous domaines Maths '!J320=3 ),'Items sous domaines Maths '!C320)</f>
        <v>Suites</v>
      </c>
      <c r="D313" s="145">
        <f>IF(OR('Items sous domaines Maths '!H320=3,'Items sous domaines Maths '!J320=3 ),'Items sous domaines Maths '!D320,0)</f>
        <v>0</v>
      </c>
      <c r="E313" s="145" t="str">
        <f>IF(OR('Items sous domaines Maths '!H320=3,'Items sous domaines Maths '!J320=3 ),'Items sous domaines Maths '!E320,0)</f>
        <v>Suites Géometriques</v>
      </c>
      <c r="F313" s="146" t="str">
        <f>IF(OR('Items sous domaines Maths '!H320=3,'Items sous domaines Maths '!J320=3 ),'Items sous domaines Maths '!F320,0)</f>
        <v>Définition, terme géberal, somme des termes consécutifs</v>
      </c>
      <c r="G313" s="174"/>
      <c r="H313" s="681"/>
      <c r="I313" s="236"/>
    </row>
    <row r="314" spans="1:9" ht="19.95" customHeight="1" x14ac:dyDescent="0.25">
      <c r="A314" s="693"/>
      <c r="B314" s="141" t="str">
        <f>IF(OR('Items sous domaines Maths '!H321=3,'Items sous domaines Maths '!J321=3 ),'Items sous domaines Maths '!B321,0)</f>
        <v>Analyse</v>
      </c>
      <c r="C314" s="142" t="str">
        <f>IF(OR('Items sous domaines Maths '!H321=3,'Items sous domaines Maths '!J321=3 ),'Items sous domaines Maths '!C321)</f>
        <v>Suites</v>
      </c>
      <c r="D314" s="142">
        <f>IF(OR('Items sous domaines Maths '!H321=3,'Items sous domaines Maths '!J321=3 ),'Items sous domaines Maths '!D321,0)</f>
        <v>0</v>
      </c>
      <c r="E314" s="142" t="str">
        <f>IF(OR('Items sous domaines Maths '!H321=3,'Items sous domaines Maths '!J321=3 ),'Items sous domaines Maths '!E321,0)</f>
        <v>Suites arithmético-géométriques</v>
      </c>
      <c r="F314" s="143">
        <f>IF(OR('Items sous domaines Maths '!H321=3,'Items sous domaines Maths '!J321=3 ),'Items sous domaines Maths '!F321,0)</f>
        <v>0</v>
      </c>
      <c r="G314" s="174"/>
      <c r="H314" s="681"/>
      <c r="I314" s="236"/>
    </row>
    <row r="315" spans="1:9" ht="19.95" customHeight="1" x14ac:dyDescent="0.25">
      <c r="A315" s="693"/>
      <c r="B315" s="144" t="str">
        <f>IF(OR('Items sous domaines Maths '!H322=3,'Items sous domaines Maths '!J322=3 ),'Items sous domaines Maths '!B322,0)</f>
        <v>Analyse</v>
      </c>
      <c r="C315" s="145" t="str">
        <f>IF(OR('Items sous domaines Maths '!H322=3,'Items sous domaines Maths '!J322=3 ),'Items sous domaines Maths '!C322)</f>
        <v>Suites</v>
      </c>
      <c r="D315" s="145" t="str">
        <f>IF(OR('Items sous domaines Maths '!H322=3,'Items sous domaines Maths '!J322=3 ),'Items sous domaines Maths '!D322,0)</f>
        <v>Methodes d'étude de suites</v>
      </c>
      <c r="E315" s="145" t="str">
        <f>IF(OR('Items sous domaines Maths '!H322=3,'Items sous domaines Maths '!J322=3 ),'Items sous domaines Maths '!E322,0)</f>
        <v>Représentation graphique, conjecture, démonstration / récurrence</v>
      </c>
      <c r="F315" s="146">
        <f>IF(OR('Items sous domaines Maths '!H322=3,'Items sous domaines Maths '!J322=3 ),'Items sous domaines Maths '!F322,0)</f>
        <v>0</v>
      </c>
      <c r="G315" s="174"/>
      <c r="H315" s="681"/>
      <c r="I315" s="236"/>
    </row>
    <row r="316" spans="1:9" ht="19.95" customHeight="1" x14ac:dyDescent="0.25">
      <c r="A316" s="693"/>
      <c r="B316" s="141" t="str">
        <f>IF(OR('Items sous domaines Maths '!H323=3,'Items sous domaines Maths '!J323=3 ),'Items sous domaines Maths '!B323,0)</f>
        <v>Analyse</v>
      </c>
      <c r="C316" s="142" t="str">
        <f>IF(OR('Items sous domaines Maths '!H323=3,'Items sous domaines Maths '!J323=3 ),'Items sous domaines Maths '!C323)</f>
        <v>Suites</v>
      </c>
      <c r="D316" s="142">
        <f>IF(OR('Items sous domaines Maths '!H323=3,'Items sous domaines Maths '!J323=3 ),'Items sous domaines Maths '!D323,0)</f>
        <v>0</v>
      </c>
      <c r="E316" s="142" t="str">
        <f>IF(OR('Items sous domaines Maths '!H323=3,'Items sous domaines Maths '!J323=3 ),'Items sous domaines Maths '!E323,0)</f>
        <v>Sommes partielles et convergence des sommes partielles</v>
      </c>
      <c r="F316" s="143" t="str">
        <f>IF(OR('Items sous domaines Maths '!H323=3,'Items sous domaines Maths '!J323=3 ),'Items sous domaines Maths '!F323,0)</f>
        <v>S(n+1) - S(n) = u(n+1) =&gt; la série converge seulement si u -&gt; 0</v>
      </c>
      <c r="G316" s="174"/>
      <c r="H316" s="681"/>
      <c r="I316" s="236"/>
    </row>
    <row r="317" spans="1:9" ht="19.95" customHeight="1" thickBot="1" x14ac:dyDescent="0.3">
      <c r="A317" s="694"/>
      <c r="B317" s="192" t="str">
        <f>IF(OR('Items sous domaines Maths '!H324=3,'Items sous domaines Maths '!J324=3 ),'Items sous domaines Maths '!B324,0)</f>
        <v>Analyse</v>
      </c>
      <c r="C317" s="193" t="str">
        <f>IF(OR('Items sous domaines Maths '!H324=3,'Items sous domaines Maths '!J324=3 ),'Items sous domaines Maths '!C324)</f>
        <v>Suites</v>
      </c>
      <c r="D317" s="193">
        <f>IF(OR('Items sous domaines Maths '!H324=3,'Items sous domaines Maths '!J324=3 ),'Items sous domaines Maths '!D324,0)</f>
        <v>0</v>
      </c>
      <c r="E317" s="193" t="str">
        <f>IF(OR('Items sous domaines Maths '!H324=3,'Items sous domaines Maths '!J324=3 ),'Items sous domaines Maths '!E324,0)</f>
        <v>Définition d'une série</v>
      </c>
      <c r="F317" s="194" t="str">
        <f>IF(OR('Items sous domaines Maths '!H324=3,'Items sous domaines Maths '!J324=3 ),'Items sous domaines Maths '!F324,0)</f>
        <v>Critères de convergence de Riemann pour les séries géométriques, exemples classiques (harmonique…)</v>
      </c>
      <c r="G317" s="240"/>
      <c r="H317" s="682"/>
      <c r="I317" s="237"/>
    </row>
    <row r="318" spans="1:9" customFormat="1" ht="13.5" hidden="1" customHeight="1" thickTop="1" thickBot="1" x14ac:dyDescent="0.3">
      <c r="A318" s="17"/>
      <c r="B318">
        <f>IF(OR('Items sous domaines Maths '!H325=3,'Items sous domaines Maths '!J325=3 ),'Items sous domaines Maths '!B325,0)</f>
        <v>0</v>
      </c>
      <c r="C318" t="b">
        <f>IF(OR('Items sous domaines Maths '!H325=3,'Items sous domaines Maths '!J325=3 ),'Items sous domaines Maths '!C325)</f>
        <v>0</v>
      </c>
      <c r="D318">
        <f>IF(OR('Items sous domaines Maths '!H325=3,'Items sous domaines Maths '!J325=3 ),'Items sous domaines Maths '!D325,0)</f>
        <v>0</v>
      </c>
      <c r="E318">
        <f>IF(OR('Items sous domaines Maths '!H325=3,'Items sous domaines Maths '!J325=3 ),'Items sous domaines Maths '!E325,0)</f>
        <v>0</v>
      </c>
      <c r="F318" s="10">
        <f>IF(OR('Items sous domaines Maths '!H325=3,'Items sous domaines Maths '!J325=3 ),'Items sous domaines Maths '!F325,0)</f>
        <v>0</v>
      </c>
      <c r="G318">
        <f>IF('Items sous domaines Maths '!H325=1,'Items sous domaines Maths '!G325,0)</f>
        <v>0</v>
      </c>
      <c r="H318" s="683"/>
    </row>
    <row r="319" spans="1:9" customFormat="1" ht="13.5" hidden="1" customHeight="1" thickBot="1" x14ac:dyDescent="0.3">
      <c r="A319" s="17"/>
      <c r="B319" s="8">
        <f>IF(OR('Items sous domaines Maths '!H326=3,'Items sous domaines Maths '!J326=3 ),'Items sous domaines Maths '!B326,0)</f>
        <v>0</v>
      </c>
      <c r="C319" s="8" t="b">
        <f>IF(OR('Items sous domaines Maths '!H326=3,'Items sous domaines Maths '!J326=3 ),'Items sous domaines Maths '!C326)</f>
        <v>0</v>
      </c>
      <c r="D319" s="8">
        <f>IF(OR('Items sous domaines Maths '!H326=3,'Items sous domaines Maths '!J326=3 ),'Items sous domaines Maths '!D326,0)</f>
        <v>0</v>
      </c>
      <c r="E319" s="8">
        <f>IF(OR('Items sous domaines Maths '!H326=3,'Items sous domaines Maths '!J326=3 ),'Items sous domaines Maths '!E326,0)</f>
        <v>0</v>
      </c>
      <c r="F319" s="9">
        <f>IF(OR('Items sous domaines Maths '!H326=3,'Items sous domaines Maths '!J326=3 ),'Items sous domaines Maths '!F326,0)</f>
        <v>0</v>
      </c>
      <c r="G319">
        <f>IF('Items sous domaines Maths '!H326=1,'Items sous domaines Maths '!G326,0)</f>
        <v>0</v>
      </c>
      <c r="H319" s="683"/>
    </row>
    <row r="320" spans="1:9" customFormat="1" ht="13.5" hidden="1" customHeight="1" thickBot="1" x14ac:dyDescent="0.3">
      <c r="A320" s="17"/>
      <c r="B320" s="8">
        <f>IF(OR('Items sous domaines Maths '!H327=3,'Items sous domaines Maths '!J327=3 ),'Items sous domaines Maths '!B327,0)</f>
        <v>0</v>
      </c>
      <c r="C320" s="8" t="b">
        <f>IF(OR('Items sous domaines Maths '!H327=3,'Items sous domaines Maths '!J327=3 ),'Items sous domaines Maths '!C327)</f>
        <v>0</v>
      </c>
      <c r="D320" s="8">
        <f>IF(OR('Items sous domaines Maths '!H327=3,'Items sous domaines Maths '!J327=3 ),'Items sous domaines Maths '!D327,0)</f>
        <v>0</v>
      </c>
      <c r="E320" s="8">
        <f>IF(OR('Items sous domaines Maths '!H327=3,'Items sous domaines Maths '!J327=3 ),'Items sous domaines Maths '!E327,0)</f>
        <v>0</v>
      </c>
      <c r="F320" s="9">
        <f>IF(OR('Items sous domaines Maths '!H327=3,'Items sous domaines Maths '!J327=3 ),'Items sous domaines Maths '!F327,0)</f>
        <v>0</v>
      </c>
      <c r="G320">
        <f>IF('Items sous domaines Maths '!H327=1,'Items sous domaines Maths '!G327,0)</f>
        <v>0</v>
      </c>
      <c r="H320" s="683"/>
    </row>
    <row r="321" spans="1:8" customFormat="1" ht="13.5" hidden="1" customHeight="1" thickBot="1" x14ac:dyDescent="0.3">
      <c r="A321" s="17"/>
      <c r="B321" s="8">
        <f>IF(OR('Items sous domaines Maths '!H328=3,'Items sous domaines Maths '!J328=3 ),'Items sous domaines Maths '!B328,0)</f>
        <v>0</v>
      </c>
      <c r="C321" s="8" t="b">
        <f>IF(OR('Items sous domaines Maths '!H328=3,'Items sous domaines Maths '!J328=3 ),'Items sous domaines Maths '!C328)</f>
        <v>0</v>
      </c>
      <c r="D321" s="8">
        <f>IF(OR('Items sous domaines Maths '!H328=3,'Items sous domaines Maths '!J328=3 ),'Items sous domaines Maths '!D328,0)</f>
        <v>0</v>
      </c>
      <c r="E321" s="8">
        <f>IF(OR('Items sous domaines Maths '!H328=3,'Items sous domaines Maths '!J328=3 ),'Items sous domaines Maths '!E328,0)</f>
        <v>0</v>
      </c>
      <c r="F321" s="9">
        <f>IF(OR('Items sous domaines Maths '!H328=3,'Items sous domaines Maths '!J328=3 ),'Items sous domaines Maths '!F328,0)</f>
        <v>0</v>
      </c>
      <c r="G321">
        <f>IF('Items sous domaines Maths '!H328=1,'Items sous domaines Maths '!G328,0)</f>
        <v>0</v>
      </c>
      <c r="H321" s="683"/>
    </row>
    <row r="322" spans="1:8" customFormat="1" ht="13.5" hidden="1" customHeight="1" thickBot="1" x14ac:dyDescent="0.3">
      <c r="A322" s="17"/>
      <c r="B322" s="8">
        <f>IF(OR('Items sous domaines Maths '!H329=3,'Items sous domaines Maths '!J329=3 ),'Items sous domaines Maths '!B329,0)</f>
        <v>0</v>
      </c>
      <c r="C322" s="8" t="b">
        <f>IF(OR('Items sous domaines Maths '!H329=3,'Items sous domaines Maths '!J329=3 ),'Items sous domaines Maths '!C329)</f>
        <v>0</v>
      </c>
      <c r="D322" s="8">
        <f>IF(OR('Items sous domaines Maths '!H329=3,'Items sous domaines Maths '!J329=3 ),'Items sous domaines Maths '!D329,0)</f>
        <v>0</v>
      </c>
      <c r="E322" s="8">
        <f>IF(OR('Items sous domaines Maths '!H329=3,'Items sous domaines Maths '!J329=3 ),'Items sous domaines Maths '!E329,0)</f>
        <v>0</v>
      </c>
      <c r="F322" s="9">
        <f>IF(OR('Items sous domaines Maths '!H329=3,'Items sous domaines Maths '!J329=3 ),'Items sous domaines Maths '!F329,0)</f>
        <v>0</v>
      </c>
      <c r="G322">
        <f>IF('Items sous domaines Maths '!H329=1,'Items sous domaines Maths '!G329,0)</f>
        <v>0</v>
      </c>
      <c r="H322" s="683"/>
    </row>
    <row r="323" spans="1:8" customFormat="1" ht="13.5" hidden="1" customHeight="1" thickBot="1" x14ac:dyDescent="0.3">
      <c r="A323" s="17"/>
      <c r="B323" s="8">
        <f>IF(OR('Items sous domaines Maths '!H330=3,'Items sous domaines Maths '!J330=3 ),'Items sous domaines Maths '!B330,0)</f>
        <v>0</v>
      </c>
      <c r="C323" s="8" t="b">
        <f>IF(OR('Items sous domaines Maths '!H330=3,'Items sous domaines Maths '!J330=3 ),'Items sous domaines Maths '!C330)</f>
        <v>0</v>
      </c>
      <c r="D323" s="8">
        <f>IF(OR('Items sous domaines Maths '!H330=3,'Items sous domaines Maths '!J330=3 ),'Items sous domaines Maths '!D330,0)</f>
        <v>0</v>
      </c>
      <c r="E323" s="8">
        <f>IF(OR('Items sous domaines Maths '!H330=3,'Items sous domaines Maths '!J330=3 ),'Items sous domaines Maths '!E330,0)</f>
        <v>0</v>
      </c>
      <c r="F323" s="9">
        <f>IF(OR('Items sous domaines Maths '!H330=3,'Items sous domaines Maths '!J330=3 ),'Items sous domaines Maths '!F330,0)</f>
        <v>0</v>
      </c>
      <c r="G323">
        <f>IF('Items sous domaines Maths '!H330=1,'Items sous domaines Maths '!G330,0)</f>
        <v>0</v>
      </c>
      <c r="H323" s="683"/>
    </row>
    <row r="324" spans="1:8" customFormat="1" ht="13.5" hidden="1" customHeight="1" thickBot="1" x14ac:dyDescent="0.3">
      <c r="A324" s="17"/>
      <c r="B324" s="8">
        <f>IF(OR('Items sous domaines Maths '!H331=3,'Items sous domaines Maths '!J331=3 ),'Items sous domaines Maths '!B331,0)</f>
        <v>0</v>
      </c>
      <c r="C324" s="8" t="b">
        <f>IF(OR('Items sous domaines Maths '!H331=3,'Items sous domaines Maths '!J331=3 ),'Items sous domaines Maths '!C331)</f>
        <v>0</v>
      </c>
      <c r="D324" s="8">
        <f>IF(OR('Items sous domaines Maths '!H331=3,'Items sous domaines Maths '!J331=3 ),'Items sous domaines Maths '!D331,0)</f>
        <v>0</v>
      </c>
      <c r="E324" s="8">
        <f>IF(OR('Items sous domaines Maths '!H331=3,'Items sous domaines Maths '!J331=3 ),'Items sous domaines Maths '!E331,0)</f>
        <v>0</v>
      </c>
      <c r="F324" s="9">
        <f>IF(OR('Items sous domaines Maths '!H331=3,'Items sous domaines Maths '!J331=3 ),'Items sous domaines Maths '!F331,0)</f>
        <v>0</v>
      </c>
      <c r="G324">
        <f>IF('Items sous domaines Maths '!H331=1,'Items sous domaines Maths '!G331,0)</f>
        <v>0</v>
      </c>
      <c r="H324" s="683"/>
    </row>
    <row r="325" spans="1:8" customFormat="1" ht="13.5" hidden="1" customHeight="1" thickBot="1" x14ac:dyDescent="0.3">
      <c r="A325" s="17"/>
      <c r="B325" s="8">
        <f>IF(OR('Items sous domaines Maths '!H332=3,'Items sous domaines Maths '!J332=3 ),'Items sous domaines Maths '!B332,0)</f>
        <v>0</v>
      </c>
      <c r="C325" s="8" t="b">
        <f>IF(OR('Items sous domaines Maths '!H332=3,'Items sous domaines Maths '!J332=3 ),'Items sous domaines Maths '!C332)</f>
        <v>0</v>
      </c>
      <c r="D325" s="8">
        <f>IF(OR('Items sous domaines Maths '!H332=3,'Items sous domaines Maths '!J332=3 ),'Items sous domaines Maths '!D332,0)</f>
        <v>0</v>
      </c>
      <c r="E325" s="8">
        <f>IF(OR('Items sous domaines Maths '!H332=3,'Items sous domaines Maths '!J332=3 ),'Items sous domaines Maths '!E332,0)</f>
        <v>0</v>
      </c>
      <c r="F325" s="9">
        <f>IF(OR('Items sous domaines Maths '!H332=3,'Items sous domaines Maths '!J332=3 ),'Items sous domaines Maths '!F332,0)</f>
        <v>0</v>
      </c>
      <c r="G325">
        <f>IF('Items sous domaines Maths '!H332=1,'Items sous domaines Maths '!G332,0)</f>
        <v>0</v>
      </c>
    </row>
    <row r="326" spans="1:8" customFormat="1" ht="13.5" hidden="1" customHeight="1" thickBot="1" x14ac:dyDescent="0.3">
      <c r="A326" s="17"/>
      <c r="B326" s="8">
        <f>IF(OR('Items sous domaines Maths '!H333=3,'Items sous domaines Maths '!J333=3 ),'Items sous domaines Maths '!B333,0)</f>
        <v>0</v>
      </c>
      <c r="C326" s="8" t="b">
        <f>IF(OR('Items sous domaines Maths '!H333=3,'Items sous domaines Maths '!J333=3 ),'Items sous domaines Maths '!C333)</f>
        <v>0</v>
      </c>
      <c r="D326" s="8">
        <f>IF(OR('Items sous domaines Maths '!H333=3,'Items sous domaines Maths '!J333=3 ),'Items sous domaines Maths '!D333,0)</f>
        <v>0</v>
      </c>
      <c r="E326" s="8">
        <f>IF(OR('Items sous domaines Maths '!H333=3,'Items sous domaines Maths '!J333=3 ),'Items sous domaines Maths '!E333,0)</f>
        <v>0</v>
      </c>
      <c r="F326" s="9">
        <f>IF(OR('Items sous domaines Maths '!H333=3,'Items sous domaines Maths '!J333=3 ),'Items sous domaines Maths '!F333,0)</f>
        <v>0</v>
      </c>
      <c r="G326">
        <f>IF('Items sous domaines Maths '!H333=1,'Items sous domaines Maths '!G333,0)</f>
        <v>0</v>
      </c>
    </row>
    <row r="327" spans="1:8" customFormat="1" ht="13.5" hidden="1" customHeight="1" thickBot="1" x14ac:dyDescent="0.3">
      <c r="A327" s="17"/>
      <c r="B327" s="8">
        <f>IF(OR('Items sous domaines Maths '!H334=3,'Items sous domaines Maths '!J334=3 ),'Items sous domaines Maths '!B334,0)</f>
        <v>0</v>
      </c>
      <c r="C327" s="8" t="b">
        <f>IF(OR('Items sous domaines Maths '!H334=3,'Items sous domaines Maths '!J334=3 ),'Items sous domaines Maths '!C334)</f>
        <v>0</v>
      </c>
      <c r="D327" s="8">
        <f>IF(OR('Items sous domaines Maths '!H334=3,'Items sous domaines Maths '!J334=3 ),'Items sous domaines Maths '!D334,0)</f>
        <v>0</v>
      </c>
      <c r="E327" s="8">
        <f>IF(OR('Items sous domaines Maths '!H334=3,'Items sous domaines Maths '!J334=3 ),'Items sous domaines Maths '!E334,0)</f>
        <v>0</v>
      </c>
      <c r="F327" s="9">
        <f>IF(OR('Items sous domaines Maths '!H334=3,'Items sous domaines Maths '!J334=3 ),'Items sous domaines Maths '!F334,0)</f>
        <v>0</v>
      </c>
      <c r="G327">
        <f>IF('Items sous domaines Maths '!H334=1,'Items sous domaines Maths '!G334,0)</f>
        <v>0</v>
      </c>
    </row>
    <row r="328" spans="1:8" customFormat="1" ht="13.5" hidden="1" customHeight="1" thickBot="1" x14ac:dyDescent="0.3">
      <c r="A328" s="17"/>
      <c r="B328" s="8">
        <f>IF(OR('Items sous domaines Maths '!H335=3,'Items sous domaines Maths '!J335=3 ),'Items sous domaines Maths '!B335,0)</f>
        <v>0</v>
      </c>
      <c r="C328" s="8" t="b">
        <f>IF(OR('Items sous domaines Maths '!H335=3,'Items sous domaines Maths '!J335=3 ),'Items sous domaines Maths '!C335)</f>
        <v>0</v>
      </c>
      <c r="D328" s="8">
        <f>IF(OR('Items sous domaines Maths '!H335=3,'Items sous domaines Maths '!J335=3 ),'Items sous domaines Maths '!D335,0)</f>
        <v>0</v>
      </c>
      <c r="E328" s="8">
        <f>IF(OR('Items sous domaines Maths '!H335=3,'Items sous domaines Maths '!J335=3 ),'Items sous domaines Maths '!E335,0)</f>
        <v>0</v>
      </c>
      <c r="F328" s="9">
        <f>IF(OR('Items sous domaines Maths '!H335=3,'Items sous domaines Maths '!J335=3 ),'Items sous domaines Maths '!F335,0)</f>
        <v>0</v>
      </c>
      <c r="G328">
        <f>IF('Items sous domaines Maths '!H335=1,'Items sous domaines Maths '!G335,0)</f>
        <v>0</v>
      </c>
    </row>
    <row r="329" spans="1:8" customFormat="1" ht="14.4" hidden="1" thickTop="1" thickBot="1" x14ac:dyDescent="0.3">
      <c r="A329" s="17"/>
      <c r="B329" s="8">
        <f>IF(OR('Items sous domaines Maths '!H336=3,'Items sous domaines Maths '!J336=3 ),'Items sous domaines Maths '!B336,0)</f>
        <v>0</v>
      </c>
      <c r="C329" s="8" t="b">
        <f>IF(OR('Items sous domaines Maths '!H336=3,'Items sous domaines Maths '!J336=3 ),'Items sous domaines Maths '!C336)</f>
        <v>0</v>
      </c>
      <c r="D329" s="8">
        <f>IF(OR('Items sous domaines Maths '!H336=3,'Items sous domaines Maths '!J336=3 ),'Items sous domaines Maths '!D336,0)</f>
        <v>0</v>
      </c>
      <c r="E329" s="8">
        <f>IF(OR('Items sous domaines Maths '!H336=3,'Items sous domaines Maths '!J336=3 ),'Items sous domaines Maths '!E336,0)</f>
        <v>0</v>
      </c>
      <c r="F329" s="9">
        <f>IF(OR('Items sous domaines Maths '!H336=3,'Items sous domaines Maths '!J336=3 ),'Items sous domaines Maths '!F336,0)</f>
        <v>0</v>
      </c>
      <c r="G329">
        <f>IF('Items sous domaines Maths '!H336=1,'Items sous domaines Maths '!G336,0)</f>
        <v>0</v>
      </c>
    </row>
    <row r="330" spans="1:8" customFormat="1" ht="14.4" hidden="1" thickTop="1" thickBot="1" x14ac:dyDescent="0.3">
      <c r="A330" s="17"/>
      <c r="B330" s="8">
        <f>IF(OR('Items sous domaines Maths '!H337=3,'Items sous domaines Maths '!J337=3 ),'Items sous domaines Maths '!B337,0)</f>
        <v>0</v>
      </c>
      <c r="C330" s="8" t="b">
        <f>IF(OR('Items sous domaines Maths '!H337=3,'Items sous domaines Maths '!J337=3 ),'Items sous domaines Maths '!C337)</f>
        <v>0</v>
      </c>
      <c r="D330" s="8">
        <f>IF(OR('Items sous domaines Maths '!H337=3,'Items sous domaines Maths '!J337=3 ),'Items sous domaines Maths '!D337,0)</f>
        <v>0</v>
      </c>
      <c r="E330" s="8">
        <f>IF(OR('Items sous domaines Maths '!H337=3,'Items sous domaines Maths '!J337=3 ),'Items sous domaines Maths '!E337,0)</f>
        <v>0</v>
      </c>
      <c r="F330" s="9">
        <f>IF(OR('Items sous domaines Maths '!H337=3,'Items sous domaines Maths '!J337=3 ),'Items sous domaines Maths '!F337,0)</f>
        <v>0</v>
      </c>
      <c r="G330">
        <f>IF('Items sous domaines Maths '!H337=1,'Items sous domaines Maths '!G337,0)</f>
        <v>0</v>
      </c>
    </row>
    <row r="331" spans="1:8" customFormat="1" ht="14.4" hidden="1" thickTop="1" thickBot="1" x14ac:dyDescent="0.3">
      <c r="A331" s="17"/>
      <c r="B331" s="8">
        <f>IF(OR('Items sous domaines Maths '!H338=3,'Items sous domaines Maths '!J338=3 ),'Items sous domaines Maths '!B338,0)</f>
        <v>0</v>
      </c>
      <c r="C331" s="8" t="b">
        <f>IF(OR('Items sous domaines Maths '!H338=3,'Items sous domaines Maths '!J338=3 ),'Items sous domaines Maths '!C338)</f>
        <v>0</v>
      </c>
      <c r="D331" s="8">
        <f>IF(OR('Items sous domaines Maths '!H338=3,'Items sous domaines Maths '!J338=3 ),'Items sous domaines Maths '!D338,0)</f>
        <v>0</v>
      </c>
      <c r="E331" s="8">
        <f>IF(OR('Items sous domaines Maths '!H338=3,'Items sous domaines Maths '!J338=3 ),'Items sous domaines Maths '!E338,0)</f>
        <v>0</v>
      </c>
      <c r="F331" s="9">
        <f>IF(OR('Items sous domaines Maths '!H338=3,'Items sous domaines Maths '!J338=3 ),'Items sous domaines Maths '!F338,0)</f>
        <v>0</v>
      </c>
      <c r="G331">
        <f>IF('Items sous domaines Maths '!H338=1,'Items sous domaines Maths '!G338,0)</f>
        <v>0</v>
      </c>
    </row>
    <row r="332" spans="1:8" customFormat="1" ht="14.4" hidden="1" thickTop="1" thickBot="1" x14ac:dyDescent="0.3">
      <c r="A332" s="17"/>
      <c r="B332" s="8">
        <f>IF(OR('Items sous domaines Maths '!H339=3,'Items sous domaines Maths '!J339=3 ),'Items sous domaines Maths '!B339,0)</f>
        <v>0</v>
      </c>
      <c r="C332" s="8" t="b">
        <f>IF(OR('Items sous domaines Maths '!H339=3,'Items sous domaines Maths '!J339=3 ),'Items sous domaines Maths '!C339)</f>
        <v>0</v>
      </c>
      <c r="D332" s="8">
        <f>IF(OR('Items sous domaines Maths '!H339=3,'Items sous domaines Maths '!J339=3 ),'Items sous domaines Maths '!D339,0)</f>
        <v>0</v>
      </c>
      <c r="E332" s="8">
        <f>IF(OR('Items sous domaines Maths '!H339=3,'Items sous domaines Maths '!J339=3 ),'Items sous domaines Maths '!E339,0)</f>
        <v>0</v>
      </c>
      <c r="F332" s="9">
        <f>IF(OR('Items sous domaines Maths '!H339=3,'Items sous domaines Maths '!J339=3 ),'Items sous domaines Maths '!F339,0)</f>
        <v>0</v>
      </c>
      <c r="G332">
        <f>IF('Items sous domaines Maths '!H339=1,'Items sous domaines Maths '!G339,0)</f>
        <v>0</v>
      </c>
    </row>
    <row r="333" spans="1:8" customFormat="1" ht="17.399999999999999" hidden="1" customHeight="1" thickBot="1" x14ac:dyDescent="0.3">
      <c r="A333" s="17"/>
      <c r="B333" s="8">
        <f>IF(OR('Items sous domaines Maths '!H340=3,'Items sous domaines Maths '!J340=3 ),'Items sous domaines Maths '!B340,0)</f>
        <v>0</v>
      </c>
      <c r="C333" s="8" t="b">
        <f>IF(OR('Items sous domaines Maths '!H340=3,'Items sous domaines Maths '!J340=3 ),'Items sous domaines Maths '!C340)</f>
        <v>0</v>
      </c>
      <c r="D333" s="8">
        <f>IF(OR('Items sous domaines Maths '!H340=3,'Items sous domaines Maths '!J340=3 ),'Items sous domaines Maths '!D340,0)</f>
        <v>0</v>
      </c>
      <c r="E333" s="8">
        <f>IF(OR('Items sous domaines Maths '!H340=3,'Items sous domaines Maths '!J340=3 ),'Items sous domaines Maths '!E340,0)</f>
        <v>0</v>
      </c>
      <c r="F333" s="9">
        <f>IF(OR('Items sous domaines Maths '!H340=3,'Items sous domaines Maths '!J340=3 ),'Items sous domaines Maths '!F340,0)</f>
        <v>0</v>
      </c>
      <c r="G333">
        <f>IF('Items sous domaines Maths '!H340=1,'Items sous domaines Maths '!G340,0)</f>
        <v>0</v>
      </c>
    </row>
    <row r="334" spans="1:8" customFormat="1" ht="17.399999999999999" hidden="1" customHeight="1" thickBot="1" x14ac:dyDescent="0.3">
      <c r="A334" s="17"/>
      <c r="B334" s="8">
        <f>IF(OR('Items sous domaines Maths '!H341=3,'Items sous domaines Maths '!J341=3 ),'Items sous domaines Maths '!B341,0)</f>
        <v>0</v>
      </c>
      <c r="C334" s="8" t="b">
        <f>IF(OR('Items sous domaines Maths '!H341=3,'Items sous domaines Maths '!J341=3 ),'Items sous domaines Maths '!C341)</f>
        <v>0</v>
      </c>
      <c r="D334" s="8">
        <f>IF(OR('Items sous domaines Maths '!H341=3,'Items sous domaines Maths '!J341=3 ),'Items sous domaines Maths '!D341,0)</f>
        <v>0</v>
      </c>
      <c r="E334" s="8">
        <f>IF(OR('Items sous domaines Maths '!H341=3,'Items sous domaines Maths '!J341=3 ),'Items sous domaines Maths '!E341,0)</f>
        <v>0</v>
      </c>
      <c r="F334" s="9">
        <f>IF(OR('Items sous domaines Maths '!H341=3,'Items sous domaines Maths '!J341=3 ),'Items sous domaines Maths '!F341,0)</f>
        <v>0</v>
      </c>
      <c r="G334">
        <f>IF('Items sous domaines Maths '!H341=1,'Items sous domaines Maths '!G341,0)</f>
        <v>0</v>
      </c>
    </row>
    <row r="335" spans="1:8" customFormat="1" ht="17.399999999999999" hidden="1" customHeight="1" thickBot="1" x14ac:dyDescent="0.3">
      <c r="A335" s="17"/>
      <c r="B335" s="8">
        <f>IF(OR('Items sous domaines Maths '!H342=3,'Items sous domaines Maths '!J342=3 ),'Items sous domaines Maths '!B342,0)</f>
        <v>0</v>
      </c>
      <c r="C335" s="8" t="b">
        <f>IF(OR('Items sous domaines Maths '!H342=3,'Items sous domaines Maths '!J342=3 ),'Items sous domaines Maths '!C342)</f>
        <v>0</v>
      </c>
      <c r="D335" s="8">
        <f>IF(OR('Items sous domaines Maths '!H342=3,'Items sous domaines Maths '!J342=3 ),'Items sous domaines Maths '!D342,0)</f>
        <v>0</v>
      </c>
      <c r="E335" s="8">
        <f>IF(OR('Items sous domaines Maths '!H342=3,'Items sous domaines Maths '!J342=3 ),'Items sous domaines Maths '!E342,0)</f>
        <v>0</v>
      </c>
      <c r="F335" s="9">
        <f>IF(OR('Items sous domaines Maths '!H342=3,'Items sous domaines Maths '!J342=3 ),'Items sous domaines Maths '!F342,0)</f>
        <v>0</v>
      </c>
      <c r="G335">
        <f>IF('Items sous domaines Maths '!H342=1,'Items sous domaines Maths '!G342,0)</f>
        <v>0</v>
      </c>
    </row>
    <row r="336" spans="1:8" customFormat="1" ht="17.399999999999999" hidden="1" customHeight="1" thickBot="1" x14ac:dyDescent="0.3">
      <c r="A336" s="17"/>
      <c r="B336" s="8">
        <f>IF(OR('Items sous domaines Maths '!H343=3,'Items sous domaines Maths '!J343=3 ),'Items sous domaines Maths '!B343,0)</f>
        <v>0</v>
      </c>
      <c r="C336" s="8" t="b">
        <f>IF(OR('Items sous domaines Maths '!H343=3,'Items sous domaines Maths '!J343=3 ),'Items sous domaines Maths '!C343)</f>
        <v>0</v>
      </c>
      <c r="D336" s="8">
        <f>IF(OR('Items sous domaines Maths '!H343=3,'Items sous domaines Maths '!J343=3 ),'Items sous domaines Maths '!D343,0)</f>
        <v>0</v>
      </c>
      <c r="E336" s="8">
        <f>IF(OR('Items sous domaines Maths '!H343=3,'Items sous domaines Maths '!J343=3 ),'Items sous domaines Maths '!E343,0)</f>
        <v>0</v>
      </c>
      <c r="F336" s="9">
        <f>IF(OR('Items sous domaines Maths '!H343=3,'Items sous domaines Maths '!J343=3 ),'Items sous domaines Maths '!F343,0)</f>
        <v>0</v>
      </c>
      <c r="G336">
        <f>IF('Items sous domaines Maths '!H343=1,'Items sous domaines Maths '!G343,0)</f>
        <v>0</v>
      </c>
    </row>
    <row r="337" spans="1:9" customFormat="1" ht="17.399999999999999" hidden="1" customHeight="1" thickBot="1" x14ac:dyDescent="0.3">
      <c r="A337" s="17"/>
      <c r="B337" s="8">
        <f>IF(OR('Items sous domaines Maths '!H344=3,'Items sous domaines Maths '!J344=3 ),'Items sous domaines Maths '!B344,0)</f>
        <v>0</v>
      </c>
      <c r="C337" s="8" t="b">
        <f>IF(OR('Items sous domaines Maths '!H344=3,'Items sous domaines Maths '!J344=3 ),'Items sous domaines Maths '!C344)</f>
        <v>0</v>
      </c>
      <c r="D337" s="8">
        <f>IF(OR('Items sous domaines Maths '!H344=3,'Items sous domaines Maths '!J344=3 ),'Items sous domaines Maths '!D344,0)</f>
        <v>0</v>
      </c>
      <c r="E337" s="8">
        <f>IF(OR('Items sous domaines Maths '!H344=3,'Items sous domaines Maths '!J344=3 ),'Items sous domaines Maths '!E344,0)</f>
        <v>0</v>
      </c>
      <c r="F337" s="9">
        <f>IF(OR('Items sous domaines Maths '!H344=3,'Items sous domaines Maths '!J344=3 ),'Items sous domaines Maths '!F344,0)</f>
        <v>0</v>
      </c>
      <c r="G337">
        <f>IF('Items sous domaines Maths '!H344=1,'Items sous domaines Maths '!G344,0)</f>
        <v>0</v>
      </c>
    </row>
    <row r="338" spans="1:9" customFormat="1" ht="17.399999999999999" hidden="1" customHeight="1" thickBot="1" x14ac:dyDescent="0.3">
      <c r="B338" s="8">
        <f>IF(OR('Items sous domaines Maths '!H345=3,'Items sous domaines Maths '!J345=3 ),'Items sous domaines Maths '!B345,0)</f>
        <v>0</v>
      </c>
      <c r="C338" s="8" t="b">
        <f>IF(OR('Items sous domaines Maths '!H345=3,'Items sous domaines Maths '!J345=3 ),'Items sous domaines Maths '!C345)</f>
        <v>0</v>
      </c>
      <c r="D338" s="8">
        <f>IF(OR('Items sous domaines Maths '!H345=3,'Items sous domaines Maths '!J345=3 ),'Items sous domaines Maths '!D345,0)</f>
        <v>0</v>
      </c>
      <c r="E338" s="8">
        <f>IF(OR('Items sous domaines Maths '!H345=3,'Items sous domaines Maths '!J345=3 ),'Items sous domaines Maths '!E345,0)</f>
        <v>0</v>
      </c>
      <c r="F338" s="9">
        <f>IF(OR('Items sous domaines Maths '!H345=3,'Items sous domaines Maths '!J345=3 ),'Items sous domaines Maths '!F345,0)</f>
        <v>0</v>
      </c>
      <c r="G338">
        <f>IF('Items sous domaines Maths '!H345=1,'Items sous domaines Maths '!G345,0)</f>
        <v>0</v>
      </c>
    </row>
    <row r="339" spans="1:9" ht="19.95" customHeight="1" thickTop="1" x14ac:dyDescent="0.25">
      <c r="A339" s="629" t="s">
        <v>852</v>
      </c>
      <c r="B339" s="181" t="str">
        <f>IF(OR('Items sous domaines Maths '!H346=3,'Items sous domaines Maths '!J346=3 ),'Items sous domaines Maths '!B346,0)</f>
        <v>Probabilité et statistiques</v>
      </c>
      <c r="C339" s="182" t="str">
        <f>IF(OR('Items sous domaines Maths '!H346=3,'Items sous domaines Maths '!J346=3 ),'Items sous domaines Maths '!C346)</f>
        <v>Les probabilités</v>
      </c>
      <c r="D339" s="182" t="str">
        <f>IF(OR('Items sous domaines Maths '!H346=3,'Items sous domaines Maths '!J346=3 ),'Items sous domaines Maths '!D346,0)</f>
        <v>Dénombrement</v>
      </c>
      <c r="E339" s="182" t="str">
        <f>IF(OR('Items sous domaines Maths '!H346=3,'Items sous domaines Maths '!J346=3 ),'Items sous domaines Maths '!E346,0)</f>
        <v>Liste : tirages successifs avec remise</v>
      </c>
      <c r="F339" s="183">
        <f>IF(OR('Items sous domaines Maths '!H346=3,'Items sous domaines Maths '!J346=3 ),'Items sous domaines Maths '!F346,0)</f>
        <v>0</v>
      </c>
      <c r="G339" s="238"/>
      <c r="H339" s="673" t="s">
        <v>464</v>
      </c>
      <c r="I339" s="235"/>
    </row>
    <row r="340" spans="1:9" ht="19.95" customHeight="1" x14ac:dyDescent="0.25">
      <c r="A340" s="630"/>
      <c r="B340" s="141" t="str">
        <f>IF(OR('Items sous domaines Maths '!H347=3,'Items sous domaines Maths '!J347=3 ),'Items sous domaines Maths '!B347,0)</f>
        <v>Probabilité et statistiques</v>
      </c>
      <c r="C340" s="142" t="str">
        <f>IF(OR('Items sous domaines Maths '!H347=3,'Items sous domaines Maths '!J347=3 ),'Items sous domaines Maths '!C347)</f>
        <v>Les probabilités</v>
      </c>
      <c r="D340" s="142">
        <f>IF(OR('Items sous domaines Maths '!H347=3,'Items sous domaines Maths '!J347=3 ),'Items sous domaines Maths '!D347,0)</f>
        <v>0</v>
      </c>
      <c r="E340" s="142" t="str">
        <f>IF(OR('Items sous domaines Maths '!H347=3,'Items sous domaines Maths '!J347=3 ),'Items sous domaines Maths '!E347,0)</f>
        <v>Arrangement : tirages successifs sans remise - Permutations</v>
      </c>
      <c r="F340" s="143" t="str">
        <f>IF(OR('Items sous domaines Maths '!H347=3,'Items sous domaines Maths '!J347=3 ),'Items sous domaines Maths '!F347,0)</f>
        <v>Définition de la notation factorielle n! et propriétés.</v>
      </c>
      <c r="G340" s="174"/>
      <c r="H340" s="678"/>
      <c r="I340" s="236"/>
    </row>
    <row r="341" spans="1:9" ht="19.95" customHeight="1" x14ac:dyDescent="0.25">
      <c r="A341" s="630"/>
      <c r="B341" s="144" t="str">
        <f>IF(OR('Items sous domaines Maths '!H348=3,'Items sous domaines Maths '!J348=3 ),'Items sous domaines Maths '!B348,0)</f>
        <v>Probabilité et statistiques</v>
      </c>
      <c r="C341" s="145" t="str">
        <f>IF(OR('Items sous domaines Maths '!H348=3,'Items sous domaines Maths '!J348=3 ),'Items sous domaines Maths '!C348)</f>
        <v>Les probabilités</v>
      </c>
      <c r="D341" s="145">
        <f>IF(OR('Items sous domaines Maths '!H348=3,'Items sous domaines Maths '!J348=3 ),'Items sous domaines Maths '!D348,0)</f>
        <v>0</v>
      </c>
      <c r="E341" s="145" t="str">
        <f>IF(OR('Items sous domaines Maths '!H348=3,'Items sous domaines Maths '!J348=3 ),'Items sous domaines Maths '!E348,0)</f>
        <v>Combinaison : tirages simultannés</v>
      </c>
      <c r="F341" s="146" t="str">
        <f>IF(OR('Items sous domaines Maths '!H348=3,'Items sous domaines Maths '!J348=3 ),'Items sous domaines Maths '!F348,0)</f>
        <v>Propriétés des combinaisons, formule du binôme.</v>
      </c>
      <c r="G341" s="174"/>
      <c r="H341" s="678"/>
      <c r="I341" s="236"/>
    </row>
    <row r="342" spans="1:9" ht="19.95" customHeight="1" x14ac:dyDescent="0.25">
      <c r="A342" s="630"/>
      <c r="B342" s="141" t="str">
        <f>IF(OR('Items sous domaines Maths '!H349=3,'Items sous domaines Maths '!J349=3 ),'Items sous domaines Maths '!B349,0)</f>
        <v>Probabilité et statistiques</v>
      </c>
      <c r="C342" s="142" t="str">
        <f>IF(OR('Items sous domaines Maths '!H349=3,'Items sous domaines Maths '!J349=3 ),'Items sous domaines Maths '!C349)</f>
        <v>Les probabilités</v>
      </c>
      <c r="D342" s="142" t="str">
        <f>IF(OR('Items sous domaines Maths '!H349=3,'Items sous domaines Maths '!J349=3 ),'Items sous domaines Maths '!D349,0)</f>
        <v>Probabilités sur un univers fini</v>
      </c>
      <c r="E342" s="142" t="str">
        <f>IF(OR('Items sous domaines Maths '!H349=3,'Items sous domaines Maths '!J349=3 ),'Items sous domaines Maths '!E349,0)</f>
        <v>Vocabulaire des événements</v>
      </c>
      <c r="F342" s="143" t="str">
        <f>IF(OR('Items sous domaines Maths '!H349=3,'Items sous domaines Maths '!J349=3 ),'Items sous domaines Maths '!F349,0)</f>
        <v>Univers, évènements élémentaires, évènements contraires, certains et impossibles. Loi de Morgan. Diagrammes de Venn</v>
      </c>
      <c r="G342" s="174"/>
      <c r="H342" s="678"/>
      <c r="I342" s="236"/>
    </row>
    <row r="343" spans="1:9" ht="19.95" customHeight="1" x14ac:dyDescent="0.25">
      <c r="A343" s="630"/>
      <c r="B343" s="144" t="str">
        <f>IF(OR('Items sous domaines Maths '!H350=3,'Items sous domaines Maths '!J350=3 ),'Items sous domaines Maths '!B350,0)</f>
        <v>Probabilité et statistiques</v>
      </c>
      <c r="C343" s="145" t="str">
        <f>IF(OR('Items sous domaines Maths '!H350=3,'Items sous domaines Maths '!J350=3 ),'Items sous domaines Maths '!C350)</f>
        <v>Les probabilités</v>
      </c>
      <c r="D343" s="145">
        <f>IF(OR('Items sous domaines Maths '!H350=3,'Items sous domaines Maths '!J350=3 ),'Items sous domaines Maths '!D350,0)</f>
        <v>0</v>
      </c>
      <c r="E343" s="145" t="str">
        <f>IF(OR('Items sous domaines Maths '!H350=3,'Items sous domaines Maths '!J350=3 ),'Items sous domaines Maths '!E350,0)</f>
        <v>Loi de probabilité</v>
      </c>
      <c r="F343" s="146" t="str">
        <f>IF(OR('Items sous domaines Maths '!H350=3,'Items sous domaines Maths '!J350=3 ),'Items sous domaines Maths '!F350,0)</f>
        <v xml:space="preserve">Définr ce qu'est une expérience aléatoire et une probabilité. Evènements incompatibles. </v>
      </c>
      <c r="G343" s="174"/>
      <c r="H343" s="678"/>
      <c r="I343" s="236"/>
    </row>
    <row r="344" spans="1:9" ht="19.95" customHeight="1" x14ac:dyDescent="0.25">
      <c r="A344" s="630"/>
      <c r="B344" s="141" t="str">
        <f>IF(OR('Items sous domaines Maths '!H351=3,'Items sous domaines Maths '!J351=3 ),'Items sous domaines Maths '!B351,0)</f>
        <v>Probabilité et statistiques</v>
      </c>
      <c r="C344" s="142" t="str">
        <f>IF(OR('Items sous domaines Maths '!H351=3,'Items sous domaines Maths '!J351=3 ),'Items sous domaines Maths '!C351)</f>
        <v>Les probabilités</v>
      </c>
      <c r="D344" s="142">
        <f>IF(OR('Items sous domaines Maths '!H351=3,'Items sous domaines Maths '!J351=3 ),'Items sous domaines Maths '!D351,0)</f>
        <v>0</v>
      </c>
      <c r="E344" s="142" t="str">
        <f>IF(OR('Items sous domaines Maths '!H351=3,'Items sous domaines Maths '!J351=3 ),'Items sous domaines Maths '!E351,0)</f>
        <v>Calcul de probabilités</v>
      </c>
      <c r="F344" s="143" t="str">
        <f>IF(OR('Items sous domaines Maths '!H351=3,'Items sous domaines Maths '!J351=3 ),'Items sous domaines Maths '!F351,0)</f>
        <v>Equiprobabilité et situations non équiprobables. Arbres de probabilité, tableaux.</v>
      </c>
      <c r="G344" s="174"/>
      <c r="H344" s="678"/>
      <c r="I344" s="236"/>
    </row>
    <row r="345" spans="1:9" ht="19.95" customHeight="1" x14ac:dyDescent="0.25">
      <c r="A345" s="630"/>
      <c r="B345" s="144" t="str">
        <f>IF(OR('Items sous domaines Maths '!H352=3,'Items sous domaines Maths '!J352=3 ),'Items sous domaines Maths '!B352,0)</f>
        <v>Probabilité et statistiques</v>
      </c>
      <c r="C345" s="145" t="str">
        <f>IF(OR('Items sous domaines Maths '!H352=3,'Items sous domaines Maths '!J352=3 ),'Items sous domaines Maths '!C352)</f>
        <v>Les probabilités</v>
      </c>
      <c r="D345" s="145">
        <f>IF(OR('Items sous domaines Maths '!H352=3,'Items sous domaines Maths '!J352=3 ),'Items sous domaines Maths '!D352,0)</f>
        <v>0</v>
      </c>
      <c r="E345" s="145" t="str">
        <f>IF(OR('Items sous domaines Maths '!H352=3,'Items sous domaines Maths '!J352=3 ),'Items sous domaines Maths '!E352,0)</f>
        <v>Probabilités conditionnelles et indépendance</v>
      </c>
      <c r="F345" s="146" t="str">
        <f>IF(OR('Items sous domaines Maths '!H352=3,'Items sous domaines Maths '!J352=3 ),'Items sous domaines Maths '!F352,0)</f>
        <v>Baye.</v>
      </c>
      <c r="G345" s="174"/>
      <c r="H345" s="678"/>
      <c r="I345" s="236"/>
    </row>
    <row r="346" spans="1:9" ht="19.95" customHeight="1" x14ac:dyDescent="0.25">
      <c r="A346" s="630"/>
      <c r="B346" s="141" t="str">
        <f>IF(OR('Items sous domaines Maths '!H353=3,'Items sous domaines Maths '!J353=3 ),'Items sous domaines Maths '!B353,0)</f>
        <v>Probabilité et statistiques</v>
      </c>
      <c r="C346" s="142" t="str">
        <f>IF(OR('Items sous domaines Maths '!H353=3,'Items sous domaines Maths '!J353=3 ),'Items sous domaines Maths '!C353)</f>
        <v>Les probabilités</v>
      </c>
      <c r="D346" s="142">
        <f>IF(OR('Items sous domaines Maths '!H353=3,'Items sous domaines Maths '!J353=3 ),'Items sous domaines Maths '!D353,0)</f>
        <v>0</v>
      </c>
      <c r="E346" s="142" t="str">
        <f>IF(OR('Items sous domaines Maths '!H353=3,'Items sous domaines Maths '!J353=3 ),'Items sous domaines Maths '!E353,0)</f>
        <v>Notions de variables aléatoires</v>
      </c>
      <c r="F346" s="143" t="str">
        <f>IF(OR('Items sous domaines Maths '!H353=3,'Items sous domaines Maths '!J353=3 ),'Items sous domaines Maths '!F353,0)</f>
        <v>Exemples simples.</v>
      </c>
      <c r="G346" s="174"/>
      <c r="H346" s="678"/>
      <c r="I346" s="236"/>
    </row>
    <row r="347" spans="1:9" ht="19.95" customHeight="1" x14ac:dyDescent="0.25">
      <c r="A347" s="630"/>
      <c r="B347" s="144" t="str">
        <f>IF(OR('Items sous domaines Maths '!H354=3,'Items sous domaines Maths '!J354=3 ),'Items sous domaines Maths '!B354,0)</f>
        <v>Probabilité et statistiques</v>
      </c>
      <c r="C347" s="145" t="str">
        <f>IF(OR('Items sous domaines Maths '!H354=3,'Items sous domaines Maths '!J354=3 ),'Items sous domaines Maths '!C354)</f>
        <v>Les probabilités</v>
      </c>
      <c r="D347" s="145">
        <f>IF(OR('Items sous domaines Maths '!H354=3,'Items sous domaines Maths '!J354=3 ),'Items sous domaines Maths '!D354,0)</f>
        <v>0</v>
      </c>
      <c r="E347" s="145" t="str">
        <f>IF(OR('Items sous domaines Maths '!H354=3,'Items sous domaines Maths '!J354=3 ),'Items sous domaines Maths '!E354,0)</f>
        <v>Espérance, variance d'une variable aléatoire</v>
      </c>
      <c r="F347" s="146" t="str">
        <f>IF(OR('Items sous domaines Maths '!H354=3,'Items sous domaines Maths '!J354=3 ),'Items sous domaines Maths '!F354,0)</f>
        <v>Lien avec les barycentres / systèmes pondérés.</v>
      </c>
      <c r="G347" s="174"/>
      <c r="H347" s="678"/>
      <c r="I347" s="236"/>
    </row>
    <row r="348" spans="1:9" ht="19.95" customHeight="1" x14ac:dyDescent="0.25">
      <c r="A348" s="630"/>
      <c r="B348" s="141" t="str">
        <f>IF(OR('Items sous domaines Maths '!H355=3,'Items sous domaines Maths '!J355=3 ),'Items sous domaines Maths '!B355,0)</f>
        <v>Probabilité et statistiques</v>
      </c>
      <c r="C348" s="142" t="str">
        <f>IF(OR('Items sous domaines Maths '!H355=3,'Items sous domaines Maths '!J355=3 ),'Items sous domaines Maths '!C355)</f>
        <v>Les probabilités</v>
      </c>
      <c r="D348" s="142" t="str">
        <f>IF(OR('Items sous domaines Maths '!H355=3,'Items sous domaines Maths '!J355=3 ),'Items sous domaines Maths '!D355,0)</f>
        <v>Variables aléatoires</v>
      </c>
      <c r="E348" s="142" t="str">
        <f>IF(OR('Items sous domaines Maths '!H355=3,'Items sous domaines Maths '!J355=3 ),'Items sous domaines Maths '!E355,0)</f>
        <v xml:space="preserve">Variables aléatoires discrètes </v>
      </c>
      <c r="F348" s="143" t="str">
        <f>IF(OR('Items sous domaines Maths '!H355=3,'Items sous domaines Maths '!J355=3 ),'Items sous domaines Maths '!F355,0)</f>
        <v>Loi (et fonction de répartition ?).</v>
      </c>
      <c r="G348" s="174"/>
      <c r="H348" s="678"/>
      <c r="I348" s="236"/>
    </row>
    <row r="349" spans="1:9" ht="19.95" customHeight="1" x14ac:dyDescent="0.25">
      <c r="A349" s="630"/>
      <c r="B349" s="144" t="str">
        <f>IF(OR('Items sous domaines Maths '!H356=3,'Items sous domaines Maths '!J356=3 ),'Items sous domaines Maths '!B356,0)</f>
        <v>Probabilité et statistiques</v>
      </c>
      <c r="C349" s="145" t="str">
        <f>IF(OR('Items sous domaines Maths '!H356=3,'Items sous domaines Maths '!J356=3 ),'Items sous domaines Maths '!C356)</f>
        <v>Les probabilités</v>
      </c>
      <c r="D349" s="145">
        <f>IF(OR('Items sous domaines Maths '!H356=3,'Items sous domaines Maths '!J356=3 ),'Items sous domaines Maths '!D356,0)</f>
        <v>0</v>
      </c>
      <c r="E349" s="145">
        <f>IF(OR('Items sous domaines Maths '!H356=3,'Items sous domaines Maths '!J356=3 ),'Items sous domaines Maths '!E356,0)</f>
        <v>0</v>
      </c>
      <c r="F349" s="146" t="str">
        <f>IF(OR('Items sous domaines Maths '!H356=3,'Items sous domaines Maths '!J356=3 ),'Items sous domaines Maths '!F356,0)</f>
        <v xml:space="preserve">Espérance et variance. </v>
      </c>
      <c r="G349" s="174"/>
      <c r="H349" s="678"/>
      <c r="I349" s="236"/>
    </row>
    <row r="350" spans="1:9" ht="19.95" customHeight="1" x14ac:dyDescent="0.25">
      <c r="A350" s="630"/>
      <c r="B350" s="141" t="str">
        <f>IF(OR('Items sous domaines Maths '!H357=3,'Items sous domaines Maths '!J357=3 ),'Items sous domaines Maths '!B357,0)</f>
        <v>Probabilité et statistiques</v>
      </c>
      <c r="C350" s="142" t="str">
        <f>IF(OR('Items sous domaines Maths '!H357=3,'Items sous domaines Maths '!J357=3 ),'Items sous domaines Maths '!C357)</f>
        <v>Les probabilités</v>
      </c>
      <c r="D350" s="142">
        <f>IF(OR('Items sous domaines Maths '!H357=3,'Items sous domaines Maths '!J357=3 ),'Items sous domaines Maths '!D357,0)</f>
        <v>0</v>
      </c>
      <c r="E350" s="142">
        <f>IF(OR('Items sous domaines Maths '!H357=3,'Items sous domaines Maths '!J357=3 ),'Items sous domaines Maths '!E357,0)</f>
        <v>0</v>
      </c>
      <c r="F350" s="143" t="str">
        <f>IF(OR('Items sous domaines Maths '!H357=3,'Items sous domaines Maths '!J357=3 ),'Items sous domaines Maths '!F357,0)</f>
        <v>Lois usuelles (Uniforme, Bernoulli, binomiale, géométrique, Poisson), lien entre loi uniforme et équiprobabilité.</v>
      </c>
      <c r="G350" s="174"/>
      <c r="H350" s="678"/>
      <c r="I350" s="236"/>
    </row>
    <row r="351" spans="1:9" ht="19.95" customHeight="1" x14ac:dyDescent="0.25">
      <c r="A351" s="630"/>
      <c r="B351" s="144" t="str">
        <f>IF(OR('Items sous domaines Maths '!H358=3,'Items sous domaines Maths '!J358=3 ),'Items sous domaines Maths '!B358,0)</f>
        <v>Probabilité et statistiques</v>
      </c>
      <c r="C351" s="145" t="str">
        <f>IF(OR('Items sous domaines Maths '!H358=3,'Items sous domaines Maths '!J358=3 ),'Items sous domaines Maths '!C358)</f>
        <v>Les probabilités</v>
      </c>
      <c r="D351" s="145">
        <f>IF(OR('Items sous domaines Maths '!H358=3,'Items sous domaines Maths '!J358=3 ),'Items sous domaines Maths '!D358,0)</f>
        <v>0</v>
      </c>
      <c r="E351" s="145">
        <f>IF(OR('Items sous domaines Maths '!H358=3,'Items sous domaines Maths '!J358=3 ),'Items sous domaines Maths '!E358,0)</f>
        <v>0</v>
      </c>
      <c r="F351" s="146" t="str">
        <f>IF(OR('Items sous domaines Maths '!H358=3,'Items sous domaines Maths '!J358=3 ),'Items sous domaines Maths '!F358,0)</f>
        <v>Inégalité de Markov / Bienaymé-Tchebychev.</v>
      </c>
      <c r="G351" s="174"/>
      <c r="H351" s="678"/>
      <c r="I351" s="236"/>
    </row>
    <row r="352" spans="1:9" ht="19.95" customHeight="1" x14ac:dyDescent="0.25">
      <c r="A352" s="630"/>
      <c r="B352" s="141" t="str">
        <f>IF(OR('Items sous domaines Maths '!H359=3,'Items sous domaines Maths '!J359=3 ),'Items sous domaines Maths '!B359,0)</f>
        <v>Probabilité et statistiques</v>
      </c>
      <c r="C352" s="142" t="str">
        <f>IF(OR('Items sous domaines Maths '!H359=3,'Items sous domaines Maths '!J359=3 ),'Items sous domaines Maths '!C359)</f>
        <v>Les probabilités</v>
      </c>
      <c r="D352" s="142">
        <f>IF(OR('Items sous domaines Maths '!H359=3,'Items sous domaines Maths '!J359=3 ),'Items sous domaines Maths '!D359,0)</f>
        <v>0</v>
      </c>
      <c r="E352" s="142" t="str">
        <f>IF(OR('Items sous domaines Maths '!H359=3,'Items sous domaines Maths '!J359=3 ),'Items sous domaines Maths '!E359,0)</f>
        <v xml:space="preserve">Variables aléatoires continues </v>
      </c>
      <c r="F352" s="143" t="str">
        <f>IF(OR('Items sous domaines Maths '!H359=3,'Items sous domaines Maths '!J359=3 ),'Items sous domaines Maths '!F359,0)</f>
        <v xml:space="preserve">Densité et fonction de répartition. </v>
      </c>
      <c r="G352" s="174"/>
      <c r="H352" s="678"/>
      <c r="I352" s="236"/>
    </row>
    <row r="353" spans="1:9" ht="19.95" customHeight="1" x14ac:dyDescent="0.25">
      <c r="A353" s="630"/>
      <c r="B353" s="144" t="str">
        <f>IF(OR('Items sous domaines Maths '!H360=3,'Items sous domaines Maths '!J360=3 ),'Items sous domaines Maths '!B360,0)</f>
        <v>Probabilité et statistiques</v>
      </c>
      <c r="C353" s="145" t="str">
        <f>IF(OR('Items sous domaines Maths '!H360=3,'Items sous domaines Maths '!J360=3 ),'Items sous domaines Maths '!C360)</f>
        <v>Les probabilités</v>
      </c>
      <c r="D353" s="145">
        <f>IF(OR('Items sous domaines Maths '!H360=3,'Items sous domaines Maths '!J360=3 ),'Items sous domaines Maths '!D360,0)</f>
        <v>0</v>
      </c>
      <c r="E353" s="145">
        <f>IF(OR('Items sous domaines Maths '!H360=3,'Items sous domaines Maths '!J360=3 ),'Items sous domaines Maths '!E360,0)</f>
        <v>0</v>
      </c>
      <c r="F353" s="146" t="str">
        <f>IF(OR('Items sous domaines Maths '!H360=3,'Items sous domaines Maths '!J360=3 ),'Items sous domaines Maths '!F360,0)</f>
        <v>Espérance, variance, écart-type</v>
      </c>
      <c r="G353" s="174"/>
      <c r="H353" s="678"/>
      <c r="I353" s="236"/>
    </row>
    <row r="354" spans="1:9" ht="19.95" customHeight="1" x14ac:dyDescent="0.25">
      <c r="A354" s="630"/>
      <c r="B354" s="141" t="str">
        <f>IF(OR('Items sous domaines Maths '!H361=3,'Items sous domaines Maths '!J361=3 ),'Items sous domaines Maths '!B361,0)</f>
        <v>Probabilité et statistiques</v>
      </c>
      <c r="C354" s="142" t="str">
        <f>IF(OR('Items sous domaines Maths '!H361=3,'Items sous domaines Maths '!J361=3 ),'Items sous domaines Maths '!C361)</f>
        <v>Les probabilités</v>
      </c>
      <c r="D354" s="142">
        <f>IF(OR('Items sous domaines Maths '!H361=3,'Items sous domaines Maths '!J361=3 ),'Items sous domaines Maths '!D361,0)</f>
        <v>0</v>
      </c>
      <c r="E354" s="142">
        <f>IF(OR('Items sous domaines Maths '!H361=3,'Items sous domaines Maths '!J361=3 ),'Items sous domaines Maths '!E361,0)</f>
        <v>0</v>
      </c>
      <c r="F354" s="143" t="str">
        <f>IF(OR('Items sous domaines Maths '!H361=3,'Items sous domaines Maths '!J361=3 ),'Items sous domaines Maths '!F361,0)</f>
        <v>Lois usuelles (uniforme, exponentielle, normale) + lois utilisées en statistiques ? (X2, Student, Fisher...).</v>
      </c>
      <c r="G354" s="174"/>
      <c r="H354" s="678"/>
      <c r="I354" s="236"/>
    </row>
    <row r="355" spans="1:9" ht="19.95" customHeight="1" x14ac:dyDescent="0.25">
      <c r="A355" s="630"/>
      <c r="B355" s="144" t="str">
        <f>IF(OR('Items sous domaines Maths '!H362=3,'Items sous domaines Maths '!J362=3 ),'Items sous domaines Maths '!B362,0)</f>
        <v>Probabilité et statistiques</v>
      </c>
      <c r="C355" s="145" t="str">
        <f>IF(OR('Items sous domaines Maths '!H362=3,'Items sous domaines Maths '!J362=3 ),'Items sous domaines Maths '!C362)</f>
        <v>Les probabilités</v>
      </c>
      <c r="D355" s="145">
        <f>IF(OR('Items sous domaines Maths '!H362=3,'Items sous domaines Maths '!J362=3 ),'Items sous domaines Maths '!D362,0)</f>
        <v>0</v>
      </c>
      <c r="E355" s="145">
        <f>IF(OR('Items sous domaines Maths '!H362=3,'Items sous domaines Maths '!J362=3 ),'Items sous domaines Maths '!E362,0)</f>
        <v>0</v>
      </c>
      <c r="F355" s="146" t="str">
        <f>IF(OR('Items sous domaines Maths '!H362=3,'Items sous domaines Maths '!J362=3 ),'Items sous domaines Maths '!F362,0)</f>
        <v>Inégalité de Markov / Bienaymé-Tchebychev.</v>
      </c>
      <c r="G355" s="174"/>
      <c r="H355" s="678"/>
      <c r="I355" s="236"/>
    </row>
    <row r="356" spans="1:9" ht="19.95" customHeight="1" x14ac:dyDescent="0.25">
      <c r="A356" s="630"/>
      <c r="B356" s="141" t="str">
        <f>IF(OR('Items sous domaines Maths '!H363=3,'Items sous domaines Maths '!J363=3 ),'Items sous domaines Maths '!B363,0)</f>
        <v>Probabilité et statistiques</v>
      </c>
      <c r="C356" s="142" t="str">
        <f>IF(OR('Items sous domaines Maths '!H363=3,'Items sous domaines Maths '!J363=3 ),'Items sous domaines Maths '!C363)</f>
        <v>Les probabilités</v>
      </c>
      <c r="D356" s="142">
        <f>IF(OR('Items sous domaines Maths '!H363=3,'Items sous domaines Maths '!J363=3 ),'Items sous domaines Maths '!D363,0)</f>
        <v>0</v>
      </c>
      <c r="E356" s="142">
        <f>IF(OR('Items sous domaines Maths '!H363=3,'Items sous domaines Maths '!J363=3 ),'Items sous domaines Maths '!E363,0)</f>
        <v>0</v>
      </c>
      <c r="F356" s="143" t="str">
        <f>IF(OR('Items sous domaines Maths '!H363=3,'Items sous domaines Maths '!J363=3 ),'Items sous domaines Maths '!F363,0)</f>
        <v>Loi des grands nombres / Lien avec les statistiques (échantillonnage / estimation).</v>
      </c>
      <c r="G356" s="174"/>
      <c r="H356" s="678"/>
      <c r="I356" s="236"/>
    </row>
    <row r="357" spans="1:9" ht="19.95" customHeight="1" x14ac:dyDescent="0.25">
      <c r="A357" s="630"/>
      <c r="B357" s="144" t="str">
        <f>IF(OR('Items sous domaines Maths '!H364=3,'Items sous domaines Maths '!J364=3 ),'Items sous domaines Maths '!B364,0)</f>
        <v>Probabilité et statistiques</v>
      </c>
      <c r="C357" s="145" t="str">
        <f>IF(OR('Items sous domaines Maths '!H364=3,'Items sous domaines Maths '!J364=3 ),'Items sous domaines Maths '!C364)</f>
        <v>Les probabilités</v>
      </c>
      <c r="D357" s="145">
        <f>IF(OR('Items sous domaines Maths '!H364=3,'Items sous domaines Maths '!J364=3 ),'Items sous domaines Maths '!D364,0)</f>
        <v>0</v>
      </c>
      <c r="E357" s="145">
        <f>IF(OR('Items sous domaines Maths '!H364=3,'Items sous domaines Maths '!J364=3 ),'Items sous domaines Maths '!E364,0)</f>
        <v>0</v>
      </c>
      <c r="F357" s="146" t="str">
        <f>IF(OR('Items sous domaines Maths '!H364=3,'Items sous domaines Maths '!J364=3 ),'Items sous domaines Maths '!F364,0)</f>
        <v>Théorème central limite / Théorème de Moivre-Laplace.</v>
      </c>
      <c r="G357" s="174"/>
      <c r="H357" s="678"/>
      <c r="I357" s="236"/>
    </row>
    <row r="358" spans="1:9" ht="19.95" hidden="1" customHeight="1" x14ac:dyDescent="0.25">
      <c r="A358" s="630"/>
      <c r="B358" s="141">
        <f>IF(OR('Items sous domaines Maths '!H366=3,'Items sous domaines Maths '!J366=3 ),'Items sous domaines Maths '!B366,0)</f>
        <v>0</v>
      </c>
      <c r="C358" s="142" t="b">
        <f>IF(OR('Items sous domaines Maths '!H366=3,'Items sous domaines Maths '!J366=3 ),'Items sous domaines Maths '!C366)</f>
        <v>0</v>
      </c>
      <c r="D358" s="142">
        <f>IF(OR('Items sous domaines Maths '!H366=3,'Items sous domaines Maths '!J366=3 ),'Items sous domaines Maths '!D366,0)</f>
        <v>0</v>
      </c>
      <c r="E358" s="142">
        <f>IF(OR('Items sous domaines Maths '!H366=3,'Items sous domaines Maths '!J366=3 ),'Items sous domaines Maths '!E366,0)</f>
        <v>0</v>
      </c>
      <c r="F358" s="143">
        <f>IF(OR('Items sous domaines Maths '!H366=3,'Items sous domaines Maths '!J366=3 ),'Items sous domaines Maths '!F366,0)</f>
        <v>0</v>
      </c>
      <c r="G358" s="174"/>
      <c r="H358" s="678"/>
      <c r="I358" s="236"/>
    </row>
    <row r="359" spans="1:9" ht="19.95" customHeight="1" x14ac:dyDescent="0.25">
      <c r="A359" s="630"/>
      <c r="B359" s="144" t="str">
        <f>IF(OR('Items sous domaines Maths '!H367=3,'Items sous domaines Maths '!J367=3 ),'Items sous domaines Maths '!B367,0)</f>
        <v>Probabilité et statistiques</v>
      </c>
      <c r="C359" s="145" t="str">
        <f>IF(OR('Items sous domaines Maths '!H367=3,'Items sous domaines Maths '!J367=3 ),'Items sous domaines Maths '!C367)</f>
        <v>Les statistiques</v>
      </c>
      <c r="D359" s="145" t="str">
        <f>IF(OR('Items sous domaines Maths '!H367=3,'Items sous domaines Maths '!J367=3 ),'Items sous domaines Maths '!D367,0)</f>
        <v>Statistiques a une variable</v>
      </c>
      <c r="E359" s="145" t="str">
        <f>IF(OR('Items sous domaines Maths '!H367=3,'Items sous domaines Maths '!J367=3 ),'Items sous domaines Maths '!E367,0)</f>
        <v>Méthodes de représentation</v>
      </c>
      <c r="F359" s="146" t="str">
        <f>IF(OR('Items sous domaines Maths '!H367=3,'Items sous domaines Maths '!J367=3 ),'Items sous domaines Maths '!F367,0)</f>
        <v>Vocabulaire (variables quantitatives/qualitatives, discrètes/continues).</v>
      </c>
      <c r="G359" s="174"/>
      <c r="H359" s="678"/>
      <c r="I359" s="236"/>
    </row>
    <row r="360" spans="1:9" ht="19.95" customHeight="1" x14ac:dyDescent="0.25">
      <c r="A360" s="630"/>
      <c r="B360" s="141" t="str">
        <f>IF(OR('Items sous domaines Maths '!H368=3,'Items sous domaines Maths '!J368=3 ),'Items sous domaines Maths '!B368,0)</f>
        <v>Probabilité et statistiques</v>
      </c>
      <c r="C360" s="142" t="str">
        <f>IF(OR('Items sous domaines Maths '!H368=3,'Items sous domaines Maths '!J368=3 ),'Items sous domaines Maths '!C368)</f>
        <v>Les statistiques</v>
      </c>
      <c r="D360" s="142">
        <f>IF(OR('Items sous domaines Maths '!H368=3,'Items sous domaines Maths '!J368=3 ),'Items sous domaines Maths '!D368,0)</f>
        <v>0</v>
      </c>
      <c r="E360" s="142">
        <f>IF(OR('Items sous domaines Maths '!H368=3,'Items sous domaines Maths '!J368=3 ),'Items sous domaines Maths '!E368,0)</f>
        <v>0</v>
      </c>
      <c r="F360" s="143" t="str">
        <f>IF(OR('Items sous domaines Maths '!H368=3,'Items sous domaines Maths '!J368=3 ),'Items sous domaines Maths '!F368,0)</f>
        <v>Tableaux statistiques et graphiques.</v>
      </c>
      <c r="G360" s="174"/>
      <c r="H360" s="678"/>
      <c r="I360" s="236"/>
    </row>
    <row r="361" spans="1:9" ht="19.95" customHeight="1" x14ac:dyDescent="0.25">
      <c r="A361" s="630"/>
      <c r="B361" s="144" t="str">
        <f>IF(OR('Items sous domaines Maths '!H369=3,'Items sous domaines Maths '!J369=3 ),'Items sous domaines Maths '!B369,0)</f>
        <v>Probabilité et statistiques</v>
      </c>
      <c r="C361" s="145" t="str">
        <f>IF(OR('Items sous domaines Maths '!H369=3,'Items sous domaines Maths '!J369=3 ),'Items sous domaines Maths '!C369)</f>
        <v>Les statistiques</v>
      </c>
      <c r="D361" s="145">
        <f>IF(OR('Items sous domaines Maths '!H369=3,'Items sous domaines Maths '!J369=3 ),'Items sous domaines Maths '!D369,0)</f>
        <v>0</v>
      </c>
      <c r="E361" s="145" t="str">
        <f>IF(OR('Items sous domaines Maths '!H369=3,'Items sous domaines Maths '!J369=3 ),'Items sous domaines Maths '!E369,0)</f>
        <v>Caractéristiques de position</v>
      </c>
      <c r="F361" s="146" t="str">
        <f>IF(OR('Items sous domaines Maths '!H369=3,'Items sous domaines Maths '!J369=3 ),'Items sous domaines Maths '!F369,0)</f>
        <v>Mode.</v>
      </c>
      <c r="G361" s="174"/>
      <c r="H361" s="678"/>
      <c r="I361" s="236"/>
    </row>
    <row r="362" spans="1:9" ht="19.95" customHeight="1" x14ac:dyDescent="0.25">
      <c r="A362" s="630"/>
      <c r="B362" s="141" t="str">
        <f>IF(OR('Items sous domaines Maths '!H370=3,'Items sous domaines Maths '!J370=3 ),'Items sous domaines Maths '!B370,0)</f>
        <v>Probabilité et statistiques</v>
      </c>
      <c r="C362" s="142" t="str">
        <f>IF(OR('Items sous domaines Maths '!H370=3,'Items sous domaines Maths '!J370=3 ),'Items sous domaines Maths '!C370)</f>
        <v>Les statistiques</v>
      </c>
      <c r="D362" s="142">
        <f>IF(OR('Items sous domaines Maths '!H370=3,'Items sous domaines Maths '!J370=3 ),'Items sous domaines Maths '!D370,0)</f>
        <v>0</v>
      </c>
      <c r="E362" s="142">
        <f>IF(OR('Items sous domaines Maths '!H370=3,'Items sous domaines Maths '!J370=3 ),'Items sous domaines Maths '!E370,0)</f>
        <v>0</v>
      </c>
      <c r="F362" s="143" t="str">
        <f>IF(OR('Items sous domaines Maths '!H370=3,'Items sous domaines Maths '!J370=3 ),'Items sous domaines Maths '!F370,0)</f>
        <v xml:space="preserve">Moyenne, médiane, quartiles, déciles. </v>
      </c>
      <c r="G362" s="174"/>
      <c r="H362" s="678"/>
      <c r="I362" s="236"/>
    </row>
    <row r="363" spans="1:9" ht="19.95" customHeight="1" x14ac:dyDescent="0.25">
      <c r="A363" s="630"/>
      <c r="B363" s="144" t="str">
        <f>IF(OR('Items sous domaines Maths '!H371=3,'Items sous domaines Maths '!J371=3 ),'Items sous domaines Maths '!B371,0)</f>
        <v>Probabilité et statistiques</v>
      </c>
      <c r="C363" s="145" t="str">
        <f>IF(OR('Items sous domaines Maths '!H371=3,'Items sous domaines Maths '!J371=3 ),'Items sous domaines Maths '!C371)</f>
        <v>Les statistiques</v>
      </c>
      <c r="D363" s="145">
        <f>IF(OR('Items sous domaines Maths '!H371=3,'Items sous domaines Maths '!J371=3 ),'Items sous domaines Maths '!D371,0)</f>
        <v>0</v>
      </c>
      <c r="E363" s="145">
        <f>IF(OR('Items sous domaines Maths '!H371=3,'Items sous domaines Maths '!J371=3 ),'Items sous domaines Maths '!E371,0)</f>
        <v>0</v>
      </c>
      <c r="F363" s="146" t="str">
        <f>IF(OR('Items sous domaines Maths '!H371=3,'Items sous domaines Maths '!J371=3 ),'Items sous domaines Maths '!F371,0)</f>
        <v>Représentation à l'aide d'une boite à moustache.</v>
      </c>
      <c r="G363" s="174"/>
      <c r="H363" s="678"/>
      <c r="I363" s="236"/>
    </row>
    <row r="364" spans="1:9" ht="19.95" customHeight="1" x14ac:dyDescent="0.25">
      <c r="A364" s="630"/>
      <c r="B364" s="141" t="str">
        <f>IF(OR('Items sous domaines Maths '!H372=3,'Items sous domaines Maths '!J372=3 ),'Items sous domaines Maths '!B372,0)</f>
        <v>Probabilité et statistiques</v>
      </c>
      <c r="C364" s="142" t="str">
        <f>IF(OR('Items sous domaines Maths '!H372=3,'Items sous domaines Maths '!J372=3 ),'Items sous domaines Maths '!C372)</f>
        <v>Les statistiques</v>
      </c>
      <c r="D364" s="142">
        <f>IF(OR('Items sous domaines Maths '!H372=3,'Items sous domaines Maths '!J372=3 ),'Items sous domaines Maths '!D372,0)</f>
        <v>0</v>
      </c>
      <c r="E364" s="142" t="str">
        <f>IF(OR('Items sous domaines Maths '!H372=3,'Items sous domaines Maths '!J372=3 ),'Items sous domaines Maths '!E372,0)</f>
        <v>Caractéristiques de dispersion</v>
      </c>
      <c r="F364" s="143" t="str">
        <f>IF(OR('Items sous domaines Maths '!H372=3,'Items sous domaines Maths '!J372=3 ),'Items sous domaines Maths '!F372,0)</f>
        <v>Etendue, Intervalles inter quartillles</v>
      </c>
      <c r="G364" s="174"/>
      <c r="H364" s="678"/>
      <c r="I364" s="236"/>
    </row>
    <row r="365" spans="1:9" ht="19.95" customHeight="1" x14ac:dyDescent="0.25">
      <c r="A365" s="630"/>
      <c r="B365" s="144" t="str">
        <f>IF(OR('Items sous domaines Maths '!H373=3,'Items sous domaines Maths '!J373=3 ),'Items sous domaines Maths '!B373,0)</f>
        <v>Probabilité et statistiques</v>
      </c>
      <c r="C365" s="145" t="str">
        <f>IF(OR('Items sous domaines Maths '!H373=3,'Items sous domaines Maths '!J373=3 ),'Items sous domaines Maths '!C373)</f>
        <v>Les statistiques</v>
      </c>
      <c r="D365" s="145">
        <f>IF(OR('Items sous domaines Maths '!H373=3,'Items sous domaines Maths '!J373=3 ),'Items sous domaines Maths '!D373,0)</f>
        <v>0</v>
      </c>
      <c r="E365" s="145">
        <f>IF(OR('Items sous domaines Maths '!H373=3,'Items sous domaines Maths '!J373=3 ),'Items sous domaines Maths '!E373,0)</f>
        <v>0</v>
      </c>
      <c r="F365" s="146" t="str">
        <f>IF(OR('Items sous domaines Maths '!H373=3,'Items sous domaines Maths '!J373=3 ),'Items sous domaines Maths '!F373,0)</f>
        <v xml:space="preserve">Variance, Ecart type. </v>
      </c>
      <c r="G365" s="174"/>
      <c r="H365" s="678"/>
      <c r="I365" s="236"/>
    </row>
    <row r="366" spans="1:9" ht="19.95" customHeight="1" x14ac:dyDescent="0.25">
      <c r="A366" s="630"/>
      <c r="B366" s="141" t="str">
        <f>IF(OR('Items sous domaines Maths '!H374=3,'Items sous domaines Maths '!J374=3 ),'Items sous domaines Maths '!B374,0)</f>
        <v>Probabilité et statistiques</v>
      </c>
      <c r="C366" s="142" t="str">
        <f>IF(OR('Items sous domaines Maths '!H374=3,'Items sous domaines Maths '!J374=3 ),'Items sous domaines Maths '!C374)</f>
        <v>Les statistiques</v>
      </c>
      <c r="D366" s="142" t="str">
        <f>IF(OR('Items sous domaines Maths '!H374=3,'Items sous domaines Maths '!J374=3 ),'Items sous domaines Maths '!D374,0)</f>
        <v>Statistiques a deux variables quantitatives</v>
      </c>
      <c r="E366" s="142" t="str">
        <f>IF(OR('Items sous domaines Maths '!H374=3,'Items sous domaines Maths '!J374=3 ),'Items sous domaines Maths '!E374,0)</f>
        <v>Position du problème de régression linéaire</v>
      </c>
      <c r="F366" s="143" t="str">
        <f>IF(OR('Items sous domaines Maths '!H374=3,'Items sous domaines Maths '!J374=3 ),'Items sous domaines Maths '!F374,0)</f>
        <v>Nuage de points.</v>
      </c>
      <c r="G366" s="174" t="s">
        <v>446</v>
      </c>
      <c r="H366" s="678"/>
      <c r="I366" s="236"/>
    </row>
    <row r="367" spans="1:9" ht="19.95" customHeight="1" x14ac:dyDescent="0.25">
      <c r="A367" s="630"/>
      <c r="B367" s="144" t="str">
        <f>IF(OR('Items sous domaines Maths '!H375=3,'Items sous domaines Maths '!J375=3 ),'Items sous domaines Maths '!B375,0)</f>
        <v>Probabilité et statistiques</v>
      </c>
      <c r="C367" s="145" t="str">
        <f>IF(OR('Items sous domaines Maths '!H375=3,'Items sous domaines Maths '!J375=3 ),'Items sous domaines Maths '!C375)</f>
        <v>Les statistiques</v>
      </c>
      <c r="D367" s="145">
        <f>IF(OR('Items sous domaines Maths '!H375=3,'Items sous domaines Maths '!J375=3 ),'Items sous domaines Maths '!D375,0)</f>
        <v>0</v>
      </c>
      <c r="E367" s="145">
        <f>IF(OR('Items sous domaines Maths '!H375=3,'Items sous domaines Maths '!J375=3 ),'Items sous domaines Maths '!E375,0)</f>
        <v>0</v>
      </c>
      <c r="F367" s="146" t="str">
        <f>IF(OR('Items sous domaines Maths '!H375=3,'Items sous domaines Maths '!J375=3 ),'Items sous domaines Maths '!F375,0)</f>
        <v>Coefficient de corrélation linéaire.</v>
      </c>
      <c r="G367" s="174"/>
      <c r="H367" s="678"/>
      <c r="I367" s="236"/>
    </row>
    <row r="368" spans="1:9" ht="19.95" customHeight="1" x14ac:dyDescent="0.25">
      <c r="A368" s="630"/>
      <c r="B368" s="141" t="str">
        <f>IF(OR('Items sous domaines Maths '!H376=3,'Items sous domaines Maths '!J376=3 ),'Items sous domaines Maths '!B376,0)</f>
        <v>Probabilité et statistiques</v>
      </c>
      <c r="C368" s="142" t="str">
        <f>IF(OR('Items sous domaines Maths '!H376=3,'Items sous domaines Maths '!J376=3 ),'Items sous domaines Maths '!C376)</f>
        <v>Les statistiques</v>
      </c>
      <c r="D368" s="142">
        <f>IF(OR('Items sous domaines Maths '!H376=3,'Items sous domaines Maths '!J376=3 ),'Items sous domaines Maths '!D376,0)</f>
        <v>0</v>
      </c>
      <c r="E368" s="142" t="str">
        <f>IF(OR('Items sous domaines Maths '!H376=3,'Items sous domaines Maths '!J376=3 ),'Items sous domaines Maths '!E376,0)</f>
        <v>Ajustements linéaires ou non</v>
      </c>
      <c r="F368" s="143" t="str">
        <f>IF(OR('Items sous domaines Maths '!H376=3,'Items sous domaines Maths '!J376=3 ),'Items sous domaines Maths '!F376,0)</f>
        <v>Méthode de Mayer (points moyens).</v>
      </c>
      <c r="G368" s="174"/>
      <c r="H368" s="678"/>
      <c r="I368" s="236"/>
    </row>
    <row r="369" spans="1:9" ht="19.95" customHeight="1" x14ac:dyDescent="0.25">
      <c r="A369" s="630"/>
      <c r="B369" s="144" t="str">
        <f>IF(OR('Items sous domaines Maths '!H377=3,'Items sous domaines Maths '!J377=3 ),'Items sous domaines Maths '!B377,0)</f>
        <v>Probabilité et statistiques</v>
      </c>
      <c r="C369" s="145" t="str">
        <f>IF(OR('Items sous domaines Maths '!H377=3,'Items sous domaines Maths '!J377=3 ),'Items sous domaines Maths '!C377)</f>
        <v>Les statistiques</v>
      </c>
      <c r="D369" s="145">
        <f>IF(OR('Items sous domaines Maths '!H377=3,'Items sous domaines Maths '!J377=3 ),'Items sous domaines Maths '!D377,0)</f>
        <v>0</v>
      </c>
      <c r="E369" s="145">
        <f>IF(OR('Items sous domaines Maths '!H377=3,'Items sous domaines Maths '!J377=3 ),'Items sous domaines Maths '!E377,0)</f>
        <v>0</v>
      </c>
      <c r="F369" s="146" t="str">
        <f>IF(OR('Items sous domaines Maths '!H377=3,'Items sous domaines Maths '!J377=3 ),'Items sous domaines Maths '!F377,0)</f>
        <v>Méthode des points extrêmes.</v>
      </c>
      <c r="G369" s="174"/>
      <c r="H369" s="678"/>
      <c r="I369" s="236"/>
    </row>
    <row r="370" spans="1:9" ht="19.95" customHeight="1" x14ac:dyDescent="0.25">
      <c r="A370" s="630"/>
      <c r="B370" s="141" t="str">
        <f>IF(OR('Items sous domaines Maths '!H378=3,'Items sous domaines Maths '!J378=3 ),'Items sous domaines Maths '!B378,0)</f>
        <v>Probabilité et statistiques</v>
      </c>
      <c r="C370" s="142" t="str">
        <f>IF(OR('Items sous domaines Maths '!H378=3,'Items sous domaines Maths '!J378=3 ),'Items sous domaines Maths '!C378)</f>
        <v>Les statistiques</v>
      </c>
      <c r="D370" s="142">
        <f>IF(OR('Items sous domaines Maths '!H378=3,'Items sous domaines Maths '!J378=3 ),'Items sous domaines Maths '!D378,0)</f>
        <v>0</v>
      </c>
      <c r="E370" s="142">
        <f>IF(OR('Items sous domaines Maths '!H378=3,'Items sous domaines Maths '!J378=3 ),'Items sous domaines Maths '!E378,0)</f>
        <v>0</v>
      </c>
      <c r="F370" s="143" t="str">
        <f>IF(OR('Items sous domaines Maths '!H378=3,'Items sous domaines Maths '!J378=3 ),'Items sous domaines Maths '!F378,0)</f>
        <v>Méthode des moindres carrés.</v>
      </c>
      <c r="G370" s="174"/>
      <c r="H370" s="678"/>
      <c r="I370" s="236"/>
    </row>
    <row r="371" spans="1:9" ht="19.95" customHeight="1" x14ac:dyDescent="0.25">
      <c r="A371" s="630"/>
      <c r="B371" s="144" t="str">
        <f>IF(OR('Items sous domaines Maths '!H379=3,'Items sous domaines Maths '!J379=3 ),'Items sous domaines Maths '!B379,0)</f>
        <v>Probabilité et statistiques</v>
      </c>
      <c r="C371" s="145" t="str">
        <f>IF(OR('Items sous domaines Maths '!H379=3,'Items sous domaines Maths '!J379=3 ),'Items sous domaines Maths '!C379)</f>
        <v>Les statistiques</v>
      </c>
      <c r="D371" s="145">
        <f>IF(OR('Items sous domaines Maths '!H379=3,'Items sous domaines Maths '!J379=3 ),'Items sous domaines Maths '!D379,0)</f>
        <v>0</v>
      </c>
      <c r="E371" s="145">
        <f>IF(OR('Items sous domaines Maths '!H379=3,'Items sous domaines Maths '!J379=3 ),'Items sous domaines Maths '!E379,0)</f>
        <v>0</v>
      </c>
      <c r="F371" s="146" t="str">
        <f>IF(OR('Items sous domaines Maths '!H379=3,'Items sous domaines Maths '!J379=3 ),'Items sous domaines Maths '!F379,0)</f>
        <v>Autres méthodes faisant intervenir des changements de variables (exponentiel, logarithmiques…).</v>
      </c>
      <c r="G371" s="174"/>
      <c r="H371" s="678"/>
      <c r="I371" s="236"/>
    </row>
    <row r="372" spans="1:9" ht="19.95" customHeight="1" x14ac:dyDescent="0.25">
      <c r="A372" s="630"/>
      <c r="B372" s="141" t="str">
        <f>IF(OR('Items sous domaines Maths '!H380=3,'Items sous domaines Maths '!J380=3 ),'Items sous domaines Maths '!B380,0)</f>
        <v>Probabilité et statistiques</v>
      </c>
      <c r="C372" s="142" t="str">
        <f>IF(OR('Items sous domaines Maths '!H380=3,'Items sous domaines Maths '!J380=3 ),'Items sous domaines Maths '!C380)</f>
        <v>Les statistiques</v>
      </c>
      <c r="D372" s="142">
        <f>IF(OR('Items sous domaines Maths '!H380=3,'Items sous domaines Maths '!J380=3 ),'Items sous domaines Maths '!D380,0)</f>
        <v>0</v>
      </c>
      <c r="E372" s="142">
        <f>IF(OR('Items sous domaines Maths '!H380=3,'Items sous domaines Maths '!J380=3 ),'Items sous domaines Maths '!E380,0)</f>
        <v>0</v>
      </c>
      <c r="F372" s="143" t="str">
        <f>IF(OR('Items sous domaines Maths '!H380=3,'Items sous domaines Maths '!J380=3 ),'Items sous domaines Maths '!F380,0)</f>
        <v>"Qualité" d'une régression linéaire</v>
      </c>
      <c r="G372" s="174"/>
      <c r="H372" s="678"/>
      <c r="I372" s="236"/>
    </row>
    <row r="373" spans="1:9" ht="19.95" customHeight="1" x14ac:dyDescent="0.25">
      <c r="A373" s="630"/>
      <c r="B373" s="144" t="str">
        <f>IF(OR('Items sous domaines Maths '!H381=3,'Items sous domaines Maths '!J381=3 ),'Items sous domaines Maths '!B381,0)</f>
        <v>Probabilité et statistiques</v>
      </c>
      <c r="C373" s="145" t="str">
        <f>IF(OR('Items sous domaines Maths '!H381=3,'Items sous domaines Maths '!J381=3 ),'Items sous domaines Maths '!C381)</f>
        <v>Les statistiques</v>
      </c>
      <c r="D373" s="145">
        <f>IF(OR('Items sous domaines Maths '!H381=3,'Items sous domaines Maths '!J381=3 ),'Items sous domaines Maths '!D381,0)</f>
        <v>0</v>
      </c>
      <c r="E373" s="145">
        <f>IF(OR('Items sous domaines Maths '!H381=3,'Items sous domaines Maths '!J381=3 ),'Items sous domaines Maths '!E381,0)</f>
        <v>0</v>
      </c>
      <c r="F373" s="146" t="str">
        <f>IF(OR('Items sous domaines Maths '!H381=3,'Items sous domaines Maths '!J381=3 ),'Items sous domaines Maths '!F381,0)</f>
        <v>Ajustements non linéaires.</v>
      </c>
      <c r="G373" s="174"/>
      <c r="H373" s="678"/>
      <c r="I373" s="236"/>
    </row>
    <row r="374" spans="1:9" ht="19.95" customHeight="1" x14ac:dyDescent="0.25">
      <c r="A374" s="630"/>
      <c r="B374" s="141" t="str">
        <f>IF(OR('Items sous domaines Maths '!H383=3,'Items sous domaines Maths '!J383=3 ),'Items sous domaines Maths '!B383,0)</f>
        <v>Probabilité et statistiques</v>
      </c>
      <c r="C374" s="142" t="str">
        <f>IF(OR('Items sous domaines Maths '!H383=3,'Items sous domaines Maths '!J383=3 ),'Items sous domaines Maths '!C383)</f>
        <v>Les statistiques</v>
      </c>
      <c r="D374" s="142" t="str">
        <f>IF(OR('Items sous domaines Maths '!H383=3,'Items sous domaines Maths '!J383=3 ),'Items sous domaines Maths '!D383,0)</f>
        <v>Estimation / Echantillonnage</v>
      </c>
      <c r="E374" s="142" t="str">
        <f>IF(OR('Items sous domaines Maths '!H383=3,'Items sous domaines Maths '!J383=3 ),'Items sous domaines Maths '!E383,0)</f>
        <v>Echantillonnage</v>
      </c>
      <c r="F374" s="143" t="str">
        <f>IF(OR('Items sous domaines Maths '!H383=3,'Items sous domaines Maths '!J383=3 ),'Items sous domaines Maths '!F383,0)</f>
        <v>Notion d'échantillon.</v>
      </c>
      <c r="G374" s="174"/>
      <c r="H374" s="678"/>
      <c r="I374" s="236"/>
    </row>
    <row r="375" spans="1:9" ht="19.95" customHeight="1" x14ac:dyDescent="0.25">
      <c r="A375" s="630"/>
      <c r="B375" s="144" t="str">
        <f>IF(OR('Items sous domaines Maths '!H384=3,'Items sous domaines Maths '!J384=3 ),'Items sous domaines Maths '!B384,0)</f>
        <v>Probabilité et statistiques</v>
      </c>
      <c r="C375" s="145" t="str">
        <f>IF(OR('Items sous domaines Maths '!H384=3,'Items sous domaines Maths '!J384=3 ),'Items sous domaines Maths '!C384)</f>
        <v>Les statistiques</v>
      </c>
      <c r="D375" s="145">
        <f>IF(OR('Items sous domaines Maths '!H384=3,'Items sous domaines Maths '!J384=3 ),'Items sous domaines Maths '!D384,0)</f>
        <v>0</v>
      </c>
      <c r="E375" s="145">
        <f>IF(OR('Items sous domaines Maths '!H384=3,'Items sous domaines Maths '!J384=3 ),'Items sous domaines Maths '!E384,0)</f>
        <v>0</v>
      </c>
      <c r="F375" s="146" t="str">
        <f>IF(OR('Items sous domaines Maths '!H384=3,'Items sous domaines Maths '!J384=3 ),'Items sous domaines Maths '!F384,0)</f>
        <v>Lois d'échantillonnage de la moyenne et de la fréquence.</v>
      </c>
      <c r="G375" s="174"/>
      <c r="H375" s="678"/>
      <c r="I375" s="236"/>
    </row>
    <row r="376" spans="1:9" ht="19.95" customHeight="1" x14ac:dyDescent="0.25">
      <c r="A376" s="630"/>
      <c r="B376" s="141" t="str">
        <f>IF(OR('Items sous domaines Maths '!H385=3,'Items sous domaines Maths '!J385=3 ),'Items sous domaines Maths '!B385,0)</f>
        <v>Probabilité et statistiques</v>
      </c>
      <c r="C376" s="142" t="str">
        <f>IF(OR('Items sous domaines Maths '!H385=3,'Items sous domaines Maths '!J385=3 ),'Items sous domaines Maths '!C385)</f>
        <v>Les statistiques</v>
      </c>
      <c r="D376" s="142">
        <f>IF(OR('Items sous domaines Maths '!H385=3,'Items sous domaines Maths '!J385=3 ),'Items sous domaines Maths '!D385,0)</f>
        <v>0</v>
      </c>
      <c r="E376" s="142">
        <f>IF(OR('Items sous domaines Maths '!H385=3,'Items sous domaines Maths '!J385=3 ),'Items sous domaines Maths '!E385,0)</f>
        <v>0</v>
      </c>
      <c r="F376" s="143" t="str">
        <f>IF(OR('Items sous domaines Maths '!H385=3,'Items sous domaines Maths '!J385=3 ),'Items sous domaines Maths '!F385,0)</f>
        <v>Intervalle de fluctuation.</v>
      </c>
      <c r="G376" s="174"/>
      <c r="H376" s="678"/>
      <c r="I376" s="236"/>
    </row>
    <row r="377" spans="1:9" ht="19.95" customHeight="1" x14ac:dyDescent="0.25">
      <c r="A377" s="630"/>
      <c r="B377" s="144" t="str">
        <f>IF(OR('Items sous domaines Maths '!H386=3,'Items sous domaines Maths '!J386=3 ),'Items sous domaines Maths '!B386,0)</f>
        <v>Probabilité et statistiques</v>
      </c>
      <c r="C377" s="145" t="str">
        <f>IF(OR('Items sous domaines Maths '!H386=3,'Items sous domaines Maths '!J386=3 ),'Items sous domaines Maths '!C386)</f>
        <v>Les statistiques</v>
      </c>
      <c r="D377" s="145">
        <f>IF(OR('Items sous domaines Maths '!H386=3,'Items sous domaines Maths '!J386=3 ),'Items sous domaines Maths '!D386,0)</f>
        <v>0</v>
      </c>
      <c r="E377" s="145" t="str">
        <f>IF(OR('Items sous domaines Maths '!H386=3,'Items sous domaines Maths '!J386=3 ),'Items sous domaines Maths '!E386,0)</f>
        <v>Estimation</v>
      </c>
      <c r="F377" s="146" t="str">
        <f>IF(OR('Items sous domaines Maths '!H386=3,'Items sous domaines Maths '!J386=3 ),'Items sous domaines Maths '!F386,0)</f>
        <v>Notion d'estimation (biais, ...).</v>
      </c>
      <c r="G377" s="174"/>
      <c r="H377" s="678"/>
      <c r="I377" s="236"/>
    </row>
    <row r="378" spans="1:9" ht="19.95" customHeight="1" x14ac:dyDescent="0.25">
      <c r="A378" s="630"/>
      <c r="B378" s="141" t="str">
        <f>IF(OR('Items sous domaines Maths '!H387=3,'Items sous domaines Maths '!J387=3 ),'Items sous domaines Maths '!B387,0)</f>
        <v>Probabilité et statistiques</v>
      </c>
      <c r="C378" s="142" t="str">
        <f>IF(OR('Items sous domaines Maths '!H387=3,'Items sous domaines Maths '!J387=3 ),'Items sous domaines Maths '!C387)</f>
        <v>Les statistiques</v>
      </c>
      <c r="D378" s="142">
        <f>IF(OR('Items sous domaines Maths '!H387=3,'Items sous domaines Maths '!J387=3 ),'Items sous domaines Maths '!D387,0)</f>
        <v>0</v>
      </c>
      <c r="E378" s="142">
        <f>IF(OR('Items sous domaines Maths '!H387=3,'Items sous domaines Maths '!J387=3 ),'Items sous domaines Maths '!E387,0)</f>
        <v>0</v>
      </c>
      <c r="F378" s="143" t="str">
        <f>IF(OR('Items sous domaines Maths '!H387=3,'Items sous domaines Maths '!J387=3 ),'Items sous domaines Maths '!F387,0)</f>
        <v>Estimation ponctuelle de la moyenne et de la fréquence.</v>
      </c>
      <c r="G378" s="174"/>
      <c r="H378" s="678"/>
      <c r="I378" s="236"/>
    </row>
    <row r="379" spans="1:9" ht="19.95" customHeight="1" x14ac:dyDescent="0.25">
      <c r="A379" s="630"/>
      <c r="B379" s="144" t="str">
        <f>IF(OR('Items sous domaines Maths '!H388=3,'Items sous domaines Maths '!J388=3 ),'Items sous domaines Maths '!B388,0)</f>
        <v>Probabilité et statistiques</v>
      </c>
      <c r="C379" s="145" t="str">
        <f>IF(OR('Items sous domaines Maths '!H388=3,'Items sous domaines Maths '!J388=3 ),'Items sous domaines Maths '!C388)</f>
        <v>Les statistiques</v>
      </c>
      <c r="D379" s="145">
        <f>IF(OR('Items sous domaines Maths '!H388=3,'Items sous domaines Maths '!J388=3 ),'Items sous domaines Maths '!D388,0)</f>
        <v>0</v>
      </c>
      <c r="E379" s="145">
        <f>IF(OR('Items sous domaines Maths '!H388=3,'Items sous domaines Maths '!J388=3 ),'Items sous domaines Maths '!E388,0)</f>
        <v>0</v>
      </c>
      <c r="F379" s="146" t="str">
        <f>IF(OR('Items sous domaines Maths '!H388=3,'Items sous domaines Maths '!J388=3 ),'Items sous domaines Maths '!F388,0)</f>
        <v>Estimation par intervalle de confiance de la moyenne et de la fréquence.</v>
      </c>
      <c r="G379" s="174"/>
      <c r="H379" s="678"/>
      <c r="I379" s="236"/>
    </row>
    <row r="380" spans="1:9" ht="19.95" customHeight="1" x14ac:dyDescent="0.25">
      <c r="A380" s="630"/>
      <c r="B380" s="141" t="str">
        <f>IF(OR('Items sous domaines Maths '!H389=3,'Items sous domaines Maths '!I389=3 ),'Items sous domaines Maths '!B389,0)</f>
        <v>Probabilité et statistiques</v>
      </c>
      <c r="C380" s="142" t="str">
        <f>IF(OR('Items sous domaines Maths '!H389=3,'Items sous domaines Maths '!I389=3 ),'Items sous domaines Maths '!C389)</f>
        <v>Les statistiques</v>
      </c>
      <c r="D380" s="142" t="str">
        <f>IF(OR('Items sous domaines Maths '!H389=3,'Items sous domaines Maths '!I389=3 ),'Items sous domaines Maths '!D389,0)</f>
        <v>Tests d'hypothèses paramétriques</v>
      </c>
      <c r="E380" s="142" t="str">
        <f>IF(OR('Items sous domaines Maths '!H389=3,'Items sous domaines Maths '!I389=3 ),'Items sous domaines Maths '!E389,0)</f>
        <v>Test unilatéral</v>
      </c>
      <c r="F380" s="143" t="str">
        <f>IF(OR('Items sous domaines Maths '!H389=3,'Items sous domaines Maths '!I389=3 ),'Items sous domaines Maths '!F389,0)</f>
        <v>De la moyenne (test de Student).</v>
      </c>
      <c r="G380" s="174"/>
      <c r="H380" s="678"/>
      <c r="I380" s="236"/>
    </row>
    <row r="381" spans="1:9" ht="19.95" customHeight="1" x14ac:dyDescent="0.25">
      <c r="A381" s="630"/>
      <c r="B381" s="144" t="str">
        <f>IF(OR('Items sous domaines Maths '!H390=3,'Items sous domaines Maths '!I390=3 ),'Items sous domaines Maths '!B390,0)</f>
        <v>Probabilité et statistiques</v>
      </c>
      <c r="C381" s="145" t="str">
        <f>IF(OR('Items sous domaines Maths '!H390=3,'Items sous domaines Maths '!I390=3 ),'Items sous domaines Maths '!C390)</f>
        <v>Les statistiques</v>
      </c>
      <c r="D381" s="145">
        <f>IF(OR('Items sous domaines Maths '!H390=3,'Items sous domaines Maths '!I390=3 ),'Items sous domaines Maths '!D390,0)</f>
        <v>0</v>
      </c>
      <c r="E381" s="145">
        <f>IF(OR('Items sous domaines Maths '!H390=3,'Items sous domaines Maths '!I390=3 ),'Items sous domaines Maths '!E390,0)</f>
        <v>0</v>
      </c>
      <c r="F381" s="146" t="str">
        <f>IF(OR('Items sous domaines Maths '!H390=3,'Items sous domaines Maths '!I390=3 ),'Items sous domaines Maths '!F390,0)</f>
        <v>De la fréquence.</v>
      </c>
      <c r="G381" s="174"/>
      <c r="H381" s="678"/>
      <c r="I381" s="236"/>
    </row>
    <row r="382" spans="1:9" ht="19.95" customHeight="1" x14ac:dyDescent="0.25">
      <c r="A382" s="630"/>
      <c r="B382" s="141" t="str">
        <f>IF(OR('Items sous domaines Maths '!H391=3,'Items sous domaines Maths '!I391=3 ),'Items sous domaines Maths '!B391,0)</f>
        <v>Probabilité et statistiques</v>
      </c>
      <c r="C382" s="142" t="str">
        <f>IF(OR('Items sous domaines Maths '!H391=3,'Items sous domaines Maths '!I391=3 ),'Items sous domaines Maths '!C391)</f>
        <v>Les statistiques</v>
      </c>
      <c r="D382" s="142">
        <f>IF(OR('Items sous domaines Maths '!H391=3,'Items sous domaines Maths '!I391=3 ),'Items sous domaines Maths '!D391,0)</f>
        <v>0</v>
      </c>
      <c r="E382" s="142" t="str">
        <f>IF(OR('Items sous domaines Maths '!H391=3,'Items sous domaines Maths '!I391=3 ),'Items sous domaines Maths '!E391,0)</f>
        <v>Test bilatéral</v>
      </c>
      <c r="F382" s="143" t="str">
        <f>IF(OR('Items sous domaines Maths '!H391=3,'Items sous domaines Maths '!I391=3 ),'Items sous domaines Maths '!F391,0)</f>
        <v>De la moyenne.</v>
      </c>
      <c r="G382" s="174"/>
      <c r="H382" s="678"/>
      <c r="I382" s="236"/>
    </row>
    <row r="383" spans="1:9" ht="19.95" customHeight="1" x14ac:dyDescent="0.25">
      <c r="A383" s="630"/>
      <c r="B383" s="144" t="str">
        <f>IF(OR('Items sous domaines Maths '!H392=3,'Items sous domaines Maths '!I392=3 ),'Items sous domaines Maths '!B392,0)</f>
        <v>Probabilité et statistiques</v>
      </c>
      <c r="C383" s="145" t="str">
        <f>IF(OR('Items sous domaines Maths '!H392=3,'Items sous domaines Maths '!I392=3 ),'Items sous domaines Maths '!C392)</f>
        <v>Les statistiques</v>
      </c>
      <c r="D383" s="145">
        <f>IF(OR('Items sous domaines Maths '!H392=3,'Items sous domaines Maths '!I392=3 ),'Items sous domaines Maths '!D392,0)</f>
        <v>0</v>
      </c>
      <c r="E383" s="145">
        <f>IF(OR('Items sous domaines Maths '!H392=3,'Items sous domaines Maths '!I392=3 ),'Items sous domaines Maths '!E392,0)</f>
        <v>0</v>
      </c>
      <c r="F383" s="146" t="str">
        <f>IF(OR('Items sous domaines Maths '!H392=3,'Items sous domaines Maths '!I392=3 ),'Items sous domaines Maths '!F392,0)</f>
        <v>De la fréquence.</v>
      </c>
      <c r="G383" s="174"/>
      <c r="H383" s="678"/>
      <c r="I383" s="236"/>
    </row>
    <row r="384" spans="1:9" ht="19.95" customHeight="1" x14ac:dyDescent="0.25">
      <c r="A384" s="630"/>
      <c r="B384" s="141" t="str">
        <f>IF(OR('Items sous domaines Maths '!H393=3,'Items sous domaines Maths '!I393=3 ),'Items sous domaines Maths '!B393,0)</f>
        <v>Probabilité et statistiques</v>
      </c>
      <c r="C384" s="142" t="str">
        <f>IF(OR('Items sous domaines Maths '!H393=3,'Items sous domaines Maths '!I393=3 ),'Items sous domaines Maths '!C393)</f>
        <v>Les statistiques</v>
      </c>
      <c r="D384" s="142">
        <f>IF(OR('Items sous domaines Maths '!H393=3,'Items sous domaines Maths '!I393=3 ),'Items sous domaines Maths '!D393,0)</f>
        <v>0</v>
      </c>
      <c r="E384" s="142" t="str">
        <f>IF(OR('Items sous domaines Maths '!H393=3,'Items sous domaines Maths '!I393=3 ),'Items sous domaines Maths '!E393,0)</f>
        <v>Comparaison de deux échantillons</v>
      </c>
      <c r="F384" s="143" t="str">
        <f>IF(OR('Items sous domaines Maths '!H393=3,'Items sous domaines Maths '!I393=3 ),'Items sous domaines Maths '!F393,0)</f>
        <v>Comparaison de deux variances (test de Fisher).</v>
      </c>
      <c r="G384" s="174"/>
      <c r="H384" s="678"/>
      <c r="I384" s="236"/>
    </row>
    <row r="385" spans="1:9" ht="19.95" customHeight="1" x14ac:dyDescent="0.25">
      <c r="A385" s="630"/>
      <c r="B385" s="144" t="str">
        <f>IF(OR('Items sous domaines Maths '!H394=3,'Items sous domaines Maths '!I394=3 ),'Items sous domaines Maths '!B394,0)</f>
        <v>Probabilité et statistiques</v>
      </c>
      <c r="C385" s="145" t="str">
        <f>IF(OR('Items sous domaines Maths '!H394=3,'Items sous domaines Maths '!I394=3 ),'Items sous domaines Maths '!C394)</f>
        <v>Les statistiques</v>
      </c>
      <c r="D385" s="145">
        <f>IF(OR('Items sous domaines Maths '!H394=3,'Items sous domaines Maths '!I394=3 ),'Items sous domaines Maths '!D394,0)</f>
        <v>0</v>
      </c>
      <c r="E385" s="145">
        <f>IF(OR('Items sous domaines Maths '!H394=3,'Items sous domaines Maths '!I394=3 ),'Items sous domaines Maths '!E394,0)</f>
        <v>0</v>
      </c>
      <c r="F385" s="146" t="str">
        <f>IF(OR('Items sous domaines Maths '!H394=3,'Items sous domaines Maths '!I394=3 ),'Items sous domaines Maths '!F394,0)</f>
        <v>Comparaison de deux moyennes.</v>
      </c>
      <c r="G385" s="174"/>
      <c r="H385" s="678"/>
      <c r="I385" s="236"/>
    </row>
    <row r="386" spans="1:9" ht="19.95" customHeight="1" x14ac:dyDescent="0.25">
      <c r="A386" s="630"/>
      <c r="B386" s="141" t="str">
        <f>IF(OR('Items sous domaines Maths '!H395=3,'Items sous domaines Maths '!I395=3 ),'Items sous domaines Maths '!B395,0)</f>
        <v>Probabilité et statistiques</v>
      </c>
      <c r="C386" s="142" t="str">
        <f>IF(OR('Items sous domaines Maths '!H395=3,'Items sous domaines Maths '!I395=3 ),'Items sous domaines Maths '!C395)</f>
        <v>Les statistiques</v>
      </c>
      <c r="D386" s="142" t="str">
        <f>IF(OR('Items sous domaines Maths '!H395=3,'Items sous domaines Maths '!I395=3 ),'Items sous domaines Maths '!D395,0)</f>
        <v>Tests non-paramétriques</v>
      </c>
      <c r="E386" s="142" t="str">
        <f>IF(OR('Items sous domaines Maths '!H395=3,'Items sous domaines Maths '!I395=3 ),'Items sous domaines Maths '!E395,0)</f>
        <v>Tests non-paramétriques</v>
      </c>
      <c r="F386" s="143" t="str">
        <f>IF(OR('Items sous domaines Maths '!H395=3,'Items sous domaines Maths '!I395=3 ),'Items sous domaines Maths '!F395,0)</f>
        <v>Illustration de l'ajusement à une loi normale: droite de Henry (QQ plot).</v>
      </c>
      <c r="G386" s="174"/>
      <c r="H386" s="678"/>
      <c r="I386" s="236"/>
    </row>
    <row r="387" spans="1:9" ht="19.95" customHeight="1" x14ac:dyDescent="0.25">
      <c r="A387" s="630"/>
      <c r="B387" s="144" t="str">
        <f>IF(OR('Items sous domaines Maths '!H396=3,'Items sous domaines Maths '!I396=3 ),'Items sous domaines Maths '!B396,0)</f>
        <v>Probabilité et statistiques</v>
      </c>
      <c r="C387" s="145" t="str">
        <f>IF(OR('Items sous domaines Maths '!H396=3,'Items sous domaines Maths '!I396=3 ),'Items sous domaines Maths '!C396)</f>
        <v>Les statistiques</v>
      </c>
      <c r="D387" s="145">
        <f>IF(OR('Items sous domaines Maths '!H396=3,'Items sous domaines Maths '!I396=3 ),'Items sous domaines Maths '!D396,0)</f>
        <v>0</v>
      </c>
      <c r="E387" s="145">
        <f>IF(OR('Items sous domaines Maths '!H396=3,'Items sous domaines Maths '!I396=3 ),'Items sous domaines Maths '!E396,0)</f>
        <v>0</v>
      </c>
      <c r="F387" s="146" t="str">
        <f>IF(OR('Items sous domaines Maths '!H396=3,'Items sous domaines Maths '!I396=3 ),'Items sous domaines Maths '!F396,0)</f>
        <v>Test d'adéquation (ou d'justement) du Khi-Deux (ex: est-ce que ma VA suit une loi normale ?).</v>
      </c>
      <c r="G387" s="174"/>
      <c r="H387" s="678"/>
      <c r="I387" s="236"/>
    </row>
    <row r="388" spans="1:9" ht="19.95" customHeight="1" x14ac:dyDescent="0.25">
      <c r="A388" s="630"/>
      <c r="B388" s="141" t="str">
        <f>IF(OR('Items sous domaines Maths '!H397=3,'Items sous domaines Maths '!I397=3 ),'Items sous domaines Maths '!B397,0)</f>
        <v>Probabilité et statistiques</v>
      </c>
      <c r="C388" s="142" t="str">
        <f>IF(OR('Items sous domaines Maths '!H397=3,'Items sous domaines Maths '!I397=3 ),'Items sous domaines Maths '!C397)</f>
        <v>Les statistiques</v>
      </c>
      <c r="D388" s="142">
        <f>IF(OR('Items sous domaines Maths '!H397=3,'Items sous domaines Maths '!I397=3 ),'Items sous domaines Maths '!D397,0)</f>
        <v>0</v>
      </c>
      <c r="E388" s="142">
        <f>IF(OR('Items sous domaines Maths '!H397=3,'Items sous domaines Maths '!I397=3 ),'Items sous domaines Maths '!E397,0)</f>
        <v>0</v>
      </c>
      <c r="F388" s="143" t="str">
        <f>IF(OR('Items sous domaines Maths '!H397=3,'Items sous domaines Maths '!I397=3 ),'Items sous domaines Maths '!F397,0)</f>
        <v>Test d'indépendance du Khi-Deux (ex: est-ce que les VA Genre et fumeurs sont indépendantes ?).</v>
      </c>
      <c r="G388" s="174"/>
      <c r="H388" s="678"/>
      <c r="I388" s="236"/>
    </row>
    <row r="389" spans="1:9" ht="19.95" hidden="1" customHeight="1" thickBot="1" x14ac:dyDescent="0.3">
      <c r="A389" s="632"/>
      <c r="B389" s="144">
        <f>IF(OR('Items sous domaines Maths '!H398=3,'Items sous domaines Maths '!I398=3 ),'Items sous domaines Maths '!B398,0)</f>
        <v>0</v>
      </c>
      <c r="C389" s="145" t="b">
        <f>IF(OR('Items sous domaines Maths '!H398=3,'Items sous domaines Maths '!I398=3 ),'Items sous domaines Maths '!C398)</f>
        <v>0</v>
      </c>
      <c r="D389" s="145">
        <f>IF(OR('Items sous domaines Maths '!H398=3,'Items sous domaines Maths '!I398=3 ),'Items sous domaines Maths '!D398,0)</f>
        <v>0</v>
      </c>
      <c r="E389" s="145">
        <f>IF(OR('Items sous domaines Maths '!H398=3,'Items sous domaines Maths '!I398=3 ),'Items sous domaines Maths '!E398,0)</f>
        <v>0</v>
      </c>
      <c r="F389" s="146">
        <f>IF(OR('Items sous domaines Maths '!H398=3,'Items sous domaines Maths '!I398=3 ),'Items sous domaines Maths '!F398,0)</f>
        <v>0</v>
      </c>
      <c r="G389" s="175"/>
      <c r="H389" s="678"/>
      <c r="I389" s="236"/>
    </row>
    <row r="390" spans="1:9" ht="19.95" customHeight="1" x14ac:dyDescent="0.25">
      <c r="A390" s="625" t="s">
        <v>529</v>
      </c>
      <c r="B390" s="144" t="str">
        <f>IF(OR('Items sous domaines Maths '!H399=3,'Items sous domaines Maths '!J399=3 ),'Items sous domaines Maths '!B399,0)</f>
        <v>Algorithmique et Complexité</v>
      </c>
      <c r="C390" s="145" t="str">
        <f>IF(OR('Items sous domaines Maths '!H399=3,'Items sous domaines Maths '!J399=3 ),'Items sous domaines Maths '!C399)</f>
        <v>Algorithmique et Complexité</v>
      </c>
      <c r="D390" s="145" t="str">
        <f>IF(OR('Items sous domaines Maths '!H399=3,'Items sous domaines Maths '!J399=3 ),'Items sous domaines Maths '!D399,0)</f>
        <v>Algorithmique et Complexité</v>
      </c>
      <c r="E390" s="145" t="str">
        <f>IF(OR('Items sous domaines Maths '!H399=3,'Items sous domaines Maths '!J399=3 ),'Items sous domaines Maths '!E399,0)</f>
        <v>Théorie du langage, automates et complexité</v>
      </c>
      <c r="F390" s="146" t="str">
        <f>IF(OR('Items sous domaines Maths '!H399=3,'Items sous domaines Maths '!J399=3 ),'Items sous domaines Maths '!F399,0)</f>
        <v>Distinguer les différents types de complexité.</v>
      </c>
      <c r="G390" s="649" t="s">
        <v>474</v>
      </c>
      <c r="H390" s="678" t="s">
        <v>475</v>
      </c>
      <c r="I390" s="241"/>
    </row>
    <row r="391" spans="1:9" ht="19.95" customHeight="1" thickBot="1" x14ac:dyDescent="0.3">
      <c r="A391" s="625"/>
      <c r="B391" s="147" t="str">
        <f>IF(OR('Items sous domaines Maths '!H400=3,'Items sous domaines Maths '!J400=3 ),'Items sous domaines Maths '!B400,0)</f>
        <v>Algorithmique et Complexité</v>
      </c>
      <c r="C391" s="148" t="str">
        <f>IF(OR('Items sous domaines Maths '!H400=3,'Items sous domaines Maths '!J400=3 ),'Items sous domaines Maths '!C400)</f>
        <v>Algorithmique et Complexité</v>
      </c>
      <c r="D391" s="148">
        <f>IF(OR('Items sous domaines Maths '!H400=3,'Items sous domaines Maths '!J400=3 ),'Items sous domaines Maths '!D400,0)</f>
        <v>0</v>
      </c>
      <c r="E391" s="148">
        <f>IF(OR('Items sous domaines Maths '!H400=3,'Items sous domaines Maths '!J400=3 ),'Items sous domaines Maths '!E400,0)</f>
        <v>0</v>
      </c>
      <c r="F391" s="149" t="str">
        <f>IF(OR('Items sous domaines Maths '!H400=3,'Items sous domaines Maths '!J400=3 ),'Items sous domaines Maths '!F400,0)</f>
        <v>Calculer la complexité d'un programme simple.</v>
      </c>
      <c r="G391" s="649"/>
      <c r="H391" s="678"/>
      <c r="I391" s="236"/>
    </row>
    <row r="392" spans="1:9" ht="19.95" hidden="1" customHeight="1" thickBot="1" x14ac:dyDescent="0.3">
      <c r="A392" s="626"/>
      <c r="B392" s="242">
        <f>IF(OR('Items sous domaines Maths '!H416=3,'Items sous domaines Maths '!J416=3 ),'Items sous domaines Maths '!B416,0)</f>
        <v>0</v>
      </c>
      <c r="C392" s="242" t="b">
        <f>IF(OR('Items sous domaines Maths '!H416=3,'Items sous domaines Maths '!J416=3 ),'Items sous domaines Maths '!C416)</f>
        <v>0</v>
      </c>
      <c r="D392" s="242">
        <f>IF(OR('Items sous domaines Maths '!H416=3,'Items sous domaines Maths '!J416=3 ),'Items sous domaines Maths '!D416,0)</f>
        <v>0</v>
      </c>
      <c r="E392" s="242">
        <f>IF(OR('Items sous domaines Maths '!H416=3,'Items sous domaines Maths '!J416=3 ),'Items sous domaines Maths '!E416,0)</f>
        <v>0</v>
      </c>
      <c r="F392" s="243">
        <f>IF(OR('Items sous domaines Maths '!H416=3,'Items sous domaines Maths '!J416=3 ),'Items sous domaines Maths '!F416,0)</f>
        <v>0</v>
      </c>
      <c r="G392" s="650"/>
      <c r="H392" s="679"/>
      <c r="I392" s="237"/>
    </row>
    <row r="393" spans="1:9" customFormat="1" ht="12.75" hidden="1" customHeight="1" thickTop="1" thickBot="1" x14ac:dyDescent="0.3">
      <c r="B393">
        <f>IF(OR('Items sous domaines Maths '!H417=3,'Items sous domaines Maths '!J417=3 ),'Items sous domaines Maths '!B417,0)</f>
        <v>0</v>
      </c>
      <c r="C393" t="b">
        <f>IF(OR('Items sous domaines Maths '!H417=3,'Items sous domaines Maths '!J417=3 ),'Items sous domaines Maths '!C417)</f>
        <v>0</v>
      </c>
      <c r="D393">
        <f>IF(OR('Items sous domaines Maths '!H417=3,'Items sous domaines Maths '!J417=3 ),'Items sous domaines Maths '!D417,0)</f>
        <v>0</v>
      </c>
      <c r="E393">
        <f>IF(OR('Items sous domaines Maths '!H417=3,'Items sous domaines Maths '!J417=3 ),'Items sous domaines Maths '!E417,0)</f>
        <v>0</v>
      </c>
      <c r="F393" s="10">
        <f>IF(OR('Items sous domaines Maths '!H417=3,'Items sous domaines Maths '!J417=3 ),'Items sous domaines Maths '!#REF!,0)</f>
        <v>0</v>
      </c>
      <c r="G393">
        <f>IF('Items sous domaines Maths '!H417=1,'Items sous domaines Maths '!G417,0)</f>
        <v>0</v>
      </c>
    </row>
    <row r="394" spans="1:9" customFormat="1" ht="13.2" hidden="1" x14ac:dyDescent="0.25">
      <c r="B394" s="8">
        <f>IF(OR('Items sous domaines Maths '!H418=3,'Items sous domaines Maths '!J418=3 ),'Items sous domaines Maths '!B418,0)</f>
        <v>0</v>
      </c>
      <c r="C394" s="8" t="b">
        <f>IF(OR('Items sous domaines Maths '!H418=3,'Items sous domaines Maths '!J418=3 ),'Items sous domaines Maths '!C418)</f>
        <v>0</v>
      </c>
      <c r="D394" s="8">
        <f>IF(OR('Items sous domaines Maths '!H418=3,'Items sous domaines Maths '!J418=3 ),'Items sous domaines Maths '!D418,0)</f>
        <v>0</v>
      </c>
      <c r="E394" s="8">
        <f>IF(OR('Items sous domaines Maths '!H418=3,'Items sous domaines Maths '!J418=3 ),'Items sous domaines Maths '!E418,0)</f>
        <v>0</v>
      </c>
      <c r="F394" s="9">
        <f>IF(OR('Items sous domaines Maths '!H418=3,'Items sous domaines Maths '!J418=3 ),'Items sous domaines Maths '!F417,0)</f>
        <v>0</v>
      </c>
      <c r="G394">
        <f>IF('Items sous domaines Maths '!H418=1,'Items sous domaines Maths '!G418,0)</f>
        <v>0</v>
      </c>
    </row>
    <row r="395" spans="1:9" customFormat="1" ht="13.2" hidden="1" x14ac:dyDescent="0.25">
      <c r="B395" s="8">
        <f>IF(OR('Items sous domaines Maths '!H419=3,'Items sous domaines Maths '!J419=3 ),'Items sous domaines Maths '!B419,0)</f>
        <v>0</v>
      </c>
      <c r="C395" s="8" t="b">
        <f>IF(OR('Items sous domaines Maths '!H419=3,'Items sous domaines Maths '!J419=3 ),'Items sous domaines Maths '!C419)</f>
        <v>0</v>
      </c>
      <c r="D395" s="8">
        <f>IF(OR('Items sous domaines Maths '!H419=3,'Items sous domaines Maths '!J419=3 ),'Items sous domaines Maths '!D419,0)</f>
        <v>0</v>
      </c>
      <c r="E395" s="8">
        <f>IF(OR('Items sous domaines Maths '!H419=3,'Items sous domaines Maths '!J419=3 ),'Items sous domaines Maths '!E419,0)</f>
        <v>0</v>
      </c>
      <c r="F395" s="9">
        <f>IF(OR('Items sous domaines Maths '!H419=3,'Items sous domaines Maths '!J419=3 ),'Items sous domaines Maths '!F418,0)</f>
        <v>0</v>
      </c>
      <c r="G395">
        <f>IF('Items sous domaines Maths '!H419=1,'Items sous domaines Maths '!G419,0)</f>
        <v>0</v>
      </c>
    </row>
    <row r="396" spans="1:9" customFormat="1" ht="13.2" hidden="1" x14ac:dyDescent="0.25">
      <c r="B396" s="8">
        <f>IF(OR('Items sous domaines Maths '!H420=3,'Items sous domaines Maths '!J420=3 ),'Items sous domaines Maths '!B420,0)</f>
        <v>0</v>
      </c>
      <c r="C396" s="8" t="b">
        <f>IF(OR('Items sous domaines Maths '!H420=3,'Items sous domaines Maths '!J420=3 ),'Items sous domaines Maths '!C420)</f>
        <v>0</v>
      </c>
      <c r="D396" s="8">
        <f>IF(OR('Items sous domaines Maths '!H420=3,'Items sous domaines Maths '!J420=3 ),'Items sous domaines Maths '!D420,0)</f>
        <v>0</v>
      </c>
      <c r="E396" s="8">
        <f>IF(OR('Items sous domaines Maths '!H420=3,'Items sous domaines Maths '!J420=3 ),'Items sous domaines Maths '!E420,0)</f>
        <v>0</v>
      </c>
      <c r="F396" s="9">
        <f>IF(OR('Items sous domaines Maths '!H420=3,'Items sous domaines Maths '!J420=3 ),'Items sous domaines Maths '!F419,0)</f>
        <v>0</v>
      </c>
      <c r="G396">
        <f>IF('Items sous domaines Maths '!H420=1,'Items sous domaines Maths '!G420,0)</f>
        <v>0</v>
      </c>
    </row>
    <row r="397" spans="1:9" customFormat="1" ht="13.2" hidden="1" x14ac:dyDescent="0.25">
      <c r="B397" s="8">
        <f>IF(OR('Items sous domaines Maths '!H421=3,'Items sous domaines Maths '!J421=3 ),'Items sous domaines Maths '!B421,0)</f>
        <v>0</v>
      </c>
      <c r="C397" s="8" t="b">
        <f>IF(OR('Items sous domaines Maths '!H421=3,'Items sous domaines Maths '!J421=3 ),'Items sous domaines Maths '!C421)</f>
        <v>0</v>
      </c>
      <c r="D397" s="8">
        <f>IF(OR('Items sous domaines Maths '!H421=3,'Items sous domaines Maths '!J421=3 ),'Items sous domaines Maths '!D421,0)</f>
        <v>0</v>
      </c>
      <c r="E397" s="8">
        <f>IF(OR('Items sous domaines Maths '!H421=3,'Items sous domaines Maths '!J421=3 ),'Items sous domaines Maths '!E421,0)</f>
        <v>0</v>
      </c>
      <c r="F397" s="9">
        <f>IF(OR('Items sous domaines Maths '!H421=3,'Items sous domaines Maths '!J421=3 ),'Items sous domaines Maths '!F420,0)</f>
        <v>0</v>
      </c>
      <c r="G397">
        <f>IF('Items sous domaines Maths '!H421=1,'Items sous domaines Maths '!G421,0)</f>
        <v>0</v>
      </c>
    </row>
    <row r="398" spans="1:9" customFormat="1" ht="13.2" hidden="1" x14ac:dyDescent="0.25">
      <c r="B398" s="8">
        <f>IF(OR('Items sous domaines Maths '!H422=3,'Items sous domaines Maths '!J422=3 ),'Items sous domaines Maths '!B422,0)</f>
        <v>0</v>
      </c>
      <c r="C398" s="8" t="b">
        <f>IF(OR('Items sous domaines Maths '!H422=3,'Items sous domaines Maths '!J422=3 ),'Items sous domaines Maths '!C422)</f>
        <v>0</v>
      </c>
      <c r="D398" s="8">
        <f>IF(OR('Items sous domaines Maths '!H422=3,'Items sous domaines Maths '!J422=3 ),'Items sous domaines Maths '!D422,0)</f>
        <v>0</v>
      </c>
      <c r="E398" s="8">
        <f>IF(OR('Items sous domaines Maths '!H422=3,'Items sous domaines Maths '!J422=3 ),'Items sous domaines Maths '!E422,0)</f>
        <v>0</v>
      </c>
      <c r="F398" s="9">
        <f>IF(OR('Items sous domaines Maths '!H422=3,'Items sous domaines Maths '!J422=3 ),'Items sous domaines Maths '!F421,0)</f>
        <v>0</v>
      </c>
      <c r="G398">
        <f>IF('Items sous domaines Maths '!H422=1,'Items sous domaines Maths '!G422,0)</f>
        <v>0</v>
      </c>
    </row>
    <row r="399" spans="1:9" customFormat="1" ht="13.2" hidden="1" x14ac:dyDescent="0.25">
      <c r="B399" s="8">
        <f>IF(OR('Items sous domaines Maths '!H423=3,'Items sous domaines Maths '!J423=3 ),'Items sous domaines Maths '!B423,0)</f>
        <v>0</v>
      </c>
      <c r="C399" s="8" t="b">
        <f>IF(OR('Items sous domaines Maths '!H423=3,'Items sous domaines Maths '!J423=3 ),'Items sous domaines Maths '!C423)</f>
        <v>0</v>
      </c>
      <c r="D399" s="8">
        <f>IF(OR('Items sous domaines Maths '!H423=3,'Items sous domaines Maths '!J423=3 ),'Items sous domaines Maths '!D423,0)</f>
        <v>0</v>
      </c>
      <c r="E399" s="8">
        <f>IF(OR('Items sous domaines Maths '!H423=3,'Items sous domaines Maths '!J423=3 ),'Items sous domaines Maths '!E423,0)</f>
        <v>0</v>
      </c>
      <c r="F399" s="9">
        <f>IF(OR('Items sous domaines Maths '!H423=3,'Items sous domaines Maths '!J423=3 ),'Items sous domaines Maths '!F422,0)</f>
        <v>0</v>
      </c>
      <c r="G399">
        <f>IF('Items sous domaines Maths '!H423=1,'Items sous domaines Maths '!G423,0)</f>
        <v>0</v>
      </c>
    </row>
    <row r="400" spans="1:9" customFormat="1" ht="13.2" hidden="1" x14ac:dyDescent="0.25">
      <c r="B400" s="8">
        <f>IF(OR('Items sous domaines Maths '!H424=3,'Items sous domaines Maths '!J424=3 ),'Items sous domaines Maths '!B424,0)</f>
        <v>0</v>
      </c>
      <c r="C400" s="8" t="b">
        <f>IF(OR('Items sous domaines Maths '!H424=3,'Items sous domaines Maths '!J424=3 ),'Items sous domaines Maths '!C424)</f>
        <v>0</v>
      </c>
      <c r="D400" s="8">
        <f>IF(OR('Items sous domaines Maths '!H424=3,'Items sous domaines Maths '!J424=3 ),'Items sous domaines Maths '!D424,0)</f>
        <v>0</v>
      </c>
      <c r="E400" s="8">
        <f>IF(OR('Items sous domaines Maths '!H424=3,'Items sous domaines Maths '!J424=3 ),'Items sous domaines Maths '!E424,0)</f>
        <v>0</v>
      </c>
      <c r="F400" s="9">
        <f>IF(OR('Items sous domaines Maths '!H424=3,'Items sous domaines Maths '!J424=3 ),'Items sous domaines Maths '!F423,0)</f>
        <v>0</v>
      </c>
      <c r="G400">
        <f>IF('Items sous domaines Maths '!H424=1,'Items sous domaines Maths '!G424,0)</f>
        <v>0</v>
      </c>
    </row>
    <row r="401" spans="2:7" customFormat="1" ht="13.2" hidden="1" x14ac:dyDescent="0.25">
      <c r="B401" s="8">
        <f>IF(OR('Items sous domaines Maths '!H425=3,'Items sous domaines Maths '!J425=3 ),'Items sous domaines Maths '!B425,0)</f>
        <v>0</v>
      </c>
      <c r="C401" s="8" t="b">
        <f>IF(OR('Items sous domaines Maths '!H425=3,'Items sous domaines Maths '!J425=3 ),'Items sous domaines Maths '!C425)</f>
        <v>0</v>
      </c>
      <c r="D401" s="8">
        <f>IF(OR('Items sous domaines Maths '!H425=3,'Items sous domaines Maths '!J425=3 ),'Items sous domaines Maths '!D425,0)</f>
        <v>0</v>
      </c>
      <c r="E401" s="8">
        <f>IF(OR('Items sous domaines Maths '!H425=3,'Items sous domaines Maths '!J425=3 ),'Items sous domaines Maths '!E425,0)</f>
        <v>0</v>
      </c>
      <c r="F401" s="9">
        <f>IF(OR('Items sous domaines Maths '!H425=3,'Items sous domaines Maths '!J425=3 ),'Items sous domaines Maths '!F424,0)</f>
        <v>0</v>
      </c>
      <c r="G401">
        <f>IF('Items sous domaines Maths '!H425=1,'Items sous domaines Maths '!G425,0)</f>
        <v>0</v>
      </c>
    </row>
    <row r="402" spans="2:7" customFormat="1" ht="13.2" hidden="1" x14ac:dyDescent="0.25">
      <c r="B402" s="8">
        <f>IF(OR('Items sous domaines Maths '!H426=3,'Items sous domaines Maths '!J426=3 ),'Items sous domaines Maths '!B426,0)</f>
        <v>0</v>
      </c>
      <c r="C402" s="8" t="b">
        <f>IF(OR('Items sous domaines Maths '!H426=3,'Items sous domaines Maths '!J426=3 ),'Items sous domaines Maths '!C426)</f>
        <v>0</v>
      </c>
      <c r="D402" s="8">
        <f>IF(OR('Items sous domaines Maths '!H426=3,'Items sous domaines Maths '!J426=3 ),'Items sous domaines Maths '!D426,0)</f>
        <v>0</v>
      </c>
      <c r="E402" s="8">
        <f>IF(OR('Items sous domaines Maths '!H426=3,'Items sous domaines Maths '!J426=3 ),'Items sous domaines Maths '!E426,0)</f>
        <v>0</v>
      </c>
      <c r="F402" s="9">
        <f>IF(OR('Items sous domaines Maths '!H426=3,'Items sous domaines Maths '!J426=3 ),'Items sous domaines Maths '!F425,0)</f>
        <v>0</v>
      </c>
      <c r="G402">
        <f>IF('Items sous domaines Maths '!H426=1,'Items sous domaines Maths '!G426,0)</f>
        <v>0</v>
      </c>
    </row>
    <row r="403" spans="2:7" customFormat="1" ht="13.2" hidden="1" x14ac:dyDescent="0.25">
      <c r="B403" s="8">
        <f>IF(OR('Items sous domaines Maths '!H427=3,'Items sous domaines Maths '!J427=3 ),'Items sous domaines Maths '!B427,0)</f>
        <v>0</v>
      </c>
      <c r="C403" s="8" t="b">
        <f>IF(OR('Items sous domaines Maths '!H427=3,'Items sous domaines Maths '!J427=3 ),'Items sous domaines Maths '!C427)</f>
        <v>0</v>
      </c>
      <c r="D403" s="8">
        <f>IF(OR('Items sous domaines Maths '!H427=3,'Items sous domaines Maths '!J427=3 ),'Items sous domaines Maths '!D427,0)</f>
        <v>0</v>
      </c>
      <c r="E403" s="8">
        <f>IF(OR('Items sous domaines Maths '!H427=3,'Items sous domaines Maths '!J427=3 ),'Items sous domaines Maths '!E427,0)</f>
        <v>0</v>
      </c>
      <c r="F403" s="9">
        <f>IF(OR('Items sous domaines Maths '!H427=3,'Items sous domaines Maths '!J427=3 ),'Items sous domaines Maths '!F426,0)</f>
        <v>0</v>
      </c>
      <c r="G403">
        <f>IF('Items sous domaines Maths '!H427=1,'Items sous domaines Maths '!G427,0)</f>
        <v>0</v>
      </c>
    </row>
    <row r="404" spans="2:7" customFormat="1" ht="13.2" hidden="1" x14ac:dyDescent="0.25">
      <c r="B404" s="8">
        <f>IF(OR('Items sous domaines Maths '!H428=3,'Items sous domaines Maths '!J428=3 ),'Items sous domaines Maths '!B428,0)</f>
        <v>0</v>
      </c>
      <c r="C404" s="8" t="b">
        <f>IF(OR('Items sous domaines Maths '!H428=3,'Items sous domaines Maths '!J428=3 ),'Items sous domaines Maths '!C428)</f>
        <v>0</v>
      </c>
      <c r="D404" s="8">
        <f>IF(OR('Items sous domaines Maths '!H428=3,'Items sous domaines Maths '!J428=3 ),'Items sous domaines Maths '!D428,0)</f>
        <v>0</v>
      </c>
      <c r="E404" s="8">
        <f>IF(OR('Items sous domaines Maths '!H428=3,'Items sous domaines Maths '!J428=3 ),'Items sous domaines Maths '!E428,0)</f>
        <v>0</v>
      </c>
      <c r="F404" s="9">
        <f>IF(OR('Items sous domaines Maths '!H428=3,'Items sous domaines Maths '!J428=3 ),'Items sous domaines Maths '!#REF!,0)</f>
        <v>0</v>
      </c>
      <c r="G404">
        <f>IF('Items sous domaines Maths '!H428=1,'Items sous domaines Maths '!G428,0)</f>
        <v>0</v>
      </c>
    </row>
    <row r="405" spans="2:7" customFormat="1" ht="13.2" hidden="1" x14ac:dyDescent="0.25">
      <c r="B405" s="8">
        <f>IF(OR('Items sous domaines Maths '!H429=3,'Items sous domaines Maths '!J429=3 ),'Items sous domaines Maths '!B429,0)</f>
        <v>0</v>
      </c>
      <c r="C405" s="8" t="b">
        <f>IF(OR('Items sous domaines Maths '!H429=3,'Items sous domaines Maths '!J429=3 ),'Items sous domaines Maths '!C429)</f>
        <v>0</v>
      </c>
      <c r="D405" s="8">
        <f>IF(OR('Items sous domaines Maths '!H429=3,'Items sous domaines Maths '!J429=3 ),'Items sous domaines Maths '!D429,0)</f>
        <v>0</v>
      </c>
      <c r="E405" s="8">
        <f>IF(OR('Items sous domaines Maths '!H429=3,'Items sous domaines Maths '!J429=3 ),'Items sous domaines Maths '!E429,0)</f>
        <v>0</v>
      </c>
      <c r="F405" s="9">
        <f>IF(OR('Items sous domaines Maths '!H429=3,'Items sous domaines Maths '!J429=3 ),'Items sous domaines Maths '!#REF!,0)</f>
        <v>0</v>
      </c>
      <c r="G405">
        <f>IF('Items sous domaines Maths '!H429=1,'Items sous domaines Maths '!G429,0)</f>
        <v>0</v>
      </c>
    </row>
    <row r="406" spans="2:7" customFormat="1" ht="13.2" hidden="1" x14ac:dyDescent="0.25">
      <c r="B406" s="8">
        <f>IF(OR('Items sous domaines Maths '!G430=3,'Items sous domaines Maths '!I430=3 ),'Items sous domaines Maths '!B430,0)</f>
        <v>0</v>
      </c>
      <c r="C406" s="8" t="b">
        <f>IF(OR('Items sous domaines Maths '!G430=3,'Items sous domaines Maths '!I430=3 ),'Items sous domaines Maths '!C430)</f>
        <v>0</v>
      </c>
      <c r="D406" s="8">
        <f>IF(OR('Items sous domaines Maths '!G430=3,'Items sous domaines Maths '!I430=3 ),'Items sous domaines Maths '!D430,0)</f>
        <v>0</v>
      </c>
      <c r="E406" s="8">
        <f>IF(OR('Items sous domaines Maths '!G430=3,'Items sous domaines Maths '!I430=3 ),'Items sous domaines Maths '!E430,0)</f>
        <v>0</v>
      </c>
      <c r="F406" s="9">
        <f>IF(OR('Items sous domaines Maths '!G430=3,'Items sous domaines Maths '!I430=3 ),'Items sous domaines Maths '!#REF!,0)</f>
        <v>0</v>
      </c>
      <c r="G406">
        <f>IF('Items sous domaines Maths '!G430=1,'Items sous domaines Maths '!F430,0)</f>
        <v>0</v>
      </c>
    </row>
    <row r="407" spans="2:7" customFormat="1" ht="13.2" hidden="1" x14ac:dyDescent="0.25">
      <c r="B407" s="8">
        <f>IF(OR('Items sous domaines Maths '!G431=3,'Items sous domaines Maths '!I431=3 ),'Items sous domaines Maths '!B431,0)</f>
        <v>0</v>
      </c>
      <c r="C407" s="8" t="b">
        <f>IF(OR('Items sous domaines Maths '!G431=3,'Items sous domaines Maths '!I431=3 ),'Items sous domaines Maths '!C431)</f>
        <v>0</v>
      </c>
      <c r="D407" s="8">
        <f>IF(OR('Items sous domaines Maths '!G431=3,'Items sous domaines Maths '!I431=3 ),'Items sous domaines Maths '!D431,0)</f>
        <v>0</v>
      </c>
      <c r="E407" s="8">
        <f>IF(OR('Items sous domaines Maths '!G431=3,'Items sous domaines Maths '!I431=3 ),'Items sous domaines Maths '!E431,0)</f>
        <v>0</v>
      </c>
      <c r="F407" s="9">
        <f>IF(OR('Items sous domaines Maths '!G431=3,'Items sous domaines Maths '!I431=3 ),'Items sous domaines Maths '!F427,0)</f>
        <v>0</v>
      </c>
      <c r="G407">
        <f>IF('Items sous domaines Maths '!G431=1,'Items sous domaines Maths '!F431,0)</f>
        <v>0</v>
      </c>
    </row>
    <row r="408" spans="2:7" customFormat="1" ht="13.2" hidden="1" x14ac:dyDescent="0.25">
      <c r="B408" s="8">
        <f>IF(OR('Items sous domaines Maths '!G432=3,'Items sous domaines Maths '!I432=3 ),'Items sous domaines Maths '!B432,0)</f>
        <v>0</v>
      </c>
      <c r="C408" s="8" t="b">
        <f>IF(OR('Items sous domaines Maths '!G432=3,'Items sous domaines Maths '!I432=3 ),'Items sous domaines Maths '!C432)</f>
        <v>0</v>
      </c>
      <c r="D408" s="8">
        <f>IF(OR('Items sous domaines Maths '!G432=3,'Items sous domaines Maths '!I432=3 ),'Items sous domaines Maths '!D432,0)</f>
        <v>0</v>
      </c>
      <c r="E408" s="8">
        <f>IF(OR('Items sous domaines Maths '!G432=3,'Items sous domaines Maths '!I432=3 ),'Items sous domaines Maths '!E432,0)</f>
        <v>0</v>
      </c>
      <c r="F408" s="9">
        <f>IF(OR('Items sous domaines Maths '!G432=3,'Items sous domaines Maths '!I432=3 ),'Items sous domaines Maths '!#REF!,0)</f>
        <v>0</v>
      </c>
      <c r="G408">
        <f>IF('Items sous domaines Maths '!G432=1,'Items sous domaines Maths '!F432,0)</f>
        <v>0</v>
      </c>
    </row>
    <row r="409" spans="2:7" customFormat="1" ht="13.2" hidden="1" x14ac:dyDescent="0.25">
      <c r="B409" s="8">
        <f>IF(OR('Items sous domaines Maths '!G433=3,'Items sous domaines Maths '!I433=3 ),'Items sous domaines Maths '!B433,0)</f>
        <v>0</v>
      </c>
      <c r="C409" s="8" t="b">
        <f>IF(OR('Items sous domaines Maths '!G433=3,'Items sous domaines Maths '!I433=3 ),'Items sous domaines Maths '!C433)</f>
        <v>0</v>
      </c>
      <c r="D409" s="8">
        <f>IF(OR('Items sous domaines Maths '!G433=3,'Items sous domaines Maths '!I433=3 ),'Items sous domaines Maths '!D433,0)</f>
        <v>0</v>
      </c>
      <c r="E409" s="8">
        <f>IF(OR('Items sous domaines Maths '!G433=3,'Items sous domaines Maths '!I433=3 ),'Items sous domaines Maths '!E433,0)</f>
        <v>0</v>
      </c>
      <c r="F409" s="9">
        <f>IF(OR('Items sous domaines Maths '!G433=3,'Items sous domaines Maths '!I433=3 ),'Items sous domaines Maths '!F428,0)</f>
        <v>0</v>
      </c>
      <c r="G409">
        <f>IF('Items sous domaines Maths '!G433=1,'Items sous domaines Maths '!F433,0)</f>
        <v>0</v>
      </c>
    </row>
    <row r="410" spans="2:7" customFormat="1" ht="13.2" hidden="1" x14ac:dyDescent="0.25">
      <c r="B410" s="8">
        <f>IF(OR('Items sous domaines Maths '!G434=3,'Items sous domaines Maths '!I434=3 ),'Items sous domaines Maths '!B434,0)</f>
        <v>0</v>
      </c>
      <c r="C410" s="8" t="b">
        <f>IF(OR('Items sous domaines Maths '!G434=3,'Items sous domaines Maths '!I434=3 ),'Items sous domaines Maths '!C434)</f>
        <v>0</v>
      </c>
      <c r="D410" s="8">
        <f>IF(OR('Items sous domaines Maths '!G434=3,'Items sous domaines Maths '!I434=3 ),'Items sous domaines Maths '!D434,0)</f>
        <v>0</v>
      </c>
      <c r="E410" s="8">
        <f>IF(OR('Items sous domaines Maths '!G434=3,'Items sous domaines Maths '!I434=3 ),'Items sous domaines Maths '!E434,0)</f>
        <v>0</v>
      </c>
      <c r="F410" s="9">
        <f>IF(OR('Items sous domaines Maths '!G434=3,'Items sous domaines Maths '!I434=3 ),'Items sous domaines Maths '!#REF!,0)</f>
        <v>0</v>
      </c>
      <c r="G410">
        <f>IF('Items sous domaines Maths '!G434=1,'Items sous domaines Maths '!F434,0)</f>
        <v>0</v>
      </c>
    </row>
    <row r="411" spans="2:7" customFormat="1" ht="13.2" hidden="1" x14ac:dyDescent="0.25">
      <c r="B411" s="8">
        <f>IF(OR('Items sous domaines Maths '!G435=3,'Items sous domaines Maths '!I435=3 ),'Items sous domaines Maths '!B435,0)</f>
        <v>0</v>
      </c>
      <c r="C411" s="8" t="b">
        <f>IF(OR('Items sous domaines Maths '!G435=3,'Items sous domaines Maths '!I435=3 ),'Items sous domaines Maths '!C435)</f>
        <v>0</v>
      </c>
      <c r="D411" s="8">
        <f>IF(OR('Items sous domaines Maths '!G435=3,'Items sous domaines Maths '!I435=3 ),'Items sous domaines Maths '!D435,0)</f>
        <v>0</v>
      </c>
      <c r="E411" s="8">
        <f>IF(OR('Items sous domaines Maths '!G435=3,'Items sous domaines Maths '!I435=3 ),'Items sous domaines Maths '!E435,0)</f>
        <v>0</v>
      </c>
      <c r="F411" s="9">
        <f>IF(OR('Items sous domaines Maths '!G435=3,'Items sous domaines Maths '!I435=3 ),'Items sous domaines Maths '!F429,0)</f>
        <v>0</v>
      </c>
      <c r="G411">
        <f>IF('Items sous domaines Maths '!G435=1,'Items sous domaines Maths '!F435,0)</f>
        <v>0</v>
      </c>
    </row>
    <row r="412" spans="2:7" customFormat="1" ht="13.2" hidden="1" x14ac:dyDescent="0.25">
      <c r="B412" s="8">
        <f>IF(OR('Items sous domaines Maths '!G436=3,'Items sous domaines Maths '!I436=3 ),'Items sous domaines Maths '!B436,0)</f>
        <v>0</v>
      </c>
      <c r="C412" s="8" t="b">
        <f>IF(OR('Items sous domaines Maths '!G436=3,'Items sous domaines Maths '!I436=3 ),'Items sous domaines Maths '!C436)</f>
        <v>0</v>
      </c>
      <c r="D412" s="8">
        <f>IF(OR('Items sous domaines Maths '!G436=3,'Items sous domaines Maths '!I436=3 ),'Items sous domaines Maths '!D436,0)</f>
        <v>0</v>
      </c>
      <c r="E412" s="8">
        <f>IF(OR('Items sous domaines Maths '!G436=3,'Items sous domaines Maths '!I436=3 ),'Items sous domaines Maths '!E436,0)</f>
        <v>0</v>
      </c>
      <c r="F412" s="9">
        <f>IF(OR('Items sous domaines Maths '!G436=3,'Items sous domaines Maths '!I436=3 ),'Items sous domaines Maths '!#REF!,0)</f>
        <v>0</v>
      </c>
      <c r="G412">
        <f>IF('Items sous domaines Maths '!G436=1,'Items sous domaines Maths '!F436,0)</f>
        <v>0</v>
      </c>
    </row>
    <row r="413" spans="2:7" customFormat="1" ht="13.2" hidden="1" x14ac:dyDescent="0.25">
      <c r="B413" s="8">
        <f>IF(OR('Items sous domaines Maths '!G437=3,'Items sous domaines Maths '!I437=3 ),'Items sous domaines Maths '!B437,0)</f>
        <v>0</v>
      </c>
      <c r="C413" s="8" t="b">
        <f>IF(OR('Items sous domaines Maths '!G437=3,'Items sous domaines Maths '!I437=3 ),'Items sous domaines Maths '!C437)</f>
        <v>0</v>
      </c>
      <c r="D413" s="8">
        <f>IF(OR('Items sous domaines Maths '!G437=3,'Items sous domaines Maths '!I437=3 ),'Items sous domaines Maths '!D437,0)</f>
        <v>0</v>
      </c>
      <c r="E413" s="8">
        <f>IF(OR('Items sous domaines Maths '!G437=3,'Items sous domaines Maths '!I437=3 ),'Items sous domaines Maths '!E437,0)</f>
        <v>0</v>
      </c>
      <c r="F413" s="9">
        <f>IF(OR('Items sous domaines Maths '!G437=3,'Items sous domaines Maths '!I437=3 ),'Items sous domaines Maths '!#REF!,0)</f>
        <v>0</v>
      </c>
      <c r="G413">
        <f>IF('Items sous domaines Maths '!G437=1,'Items sous domaines Maths '!F437,0)</f>
        <v>0</v>
      </c>
    </row>
    <row r="414" spans="2:7" customFormat="1" ht="13.2" hidden="1" x14ac:dyDescent="0.25">
      <c r="B414" s="8">
        <f>IF(OR('Items sous domaines Maths '!G438=3,'Items sous domaines Maths '!I438=3 ),'Items sous domaines Maths '!B438,0)</f>
        <v>0</v>
      </c>
      <c r="C414" s="8" t="b">
        <f>IF(OR('Items sous domaines Maths '!G438=3,'Items sous domaines Maths '!I438=3 ),'Items sous domaines Maths '!C438)</f>
        <v>0</v>
      </c>
      <c r="D414" s="8">
        <f>IF(OR('Items sous domaines Maths '!G438=3,'Items sous domaines Maths '!I438=3 ),'Items sous domaines Maths '!D438,0)</f>
        <v>0</v>
      </c>
      <c r="E414" s="8">
        <f>IF(OR('Items sous domaines Maths '!G438=3,'Items sous domaines Maths '!I438=3 ),'Items sous domaines Maths '!E438,0)</f>
        <v>0</v>
      </c>
      <c r="F414" s="9">
        <f>IF(OR('Items sous domaines Maths '!G438=3,'Items sous domaines Maths '!I438=3 ),'Items sous domaines Maths '!#REF!,0)</f>
        <v>0</v>
      </c>
      <c r="G414">
        <f>IF('Items sous domaines Maths '!G438=1,'Items sous domaines Maths '!F438,0)</f>
        <v>0</v>
      </c>
    </row>
    <row r="415" spans="2:7" customFormat="1" ht="13.2" hidden="1" x14ac:dyDescent="0.25">
      <c r="B415" s="8">
        <f>IF(OR('Items sous domaines Maths '!G439=3,'Items sous domaines Maths '!I439=3 ),'Items sous domaines Maths '!B439,0)</f>
        <v>0</v>
      </c>
      <c r="C415" s="8" t="b">
        <f>IF(OR('Items sous domaines Maths '!G439=3,'Items sous domaines Maths '!I439=3 ),'Items sous domaines Maths '!C439)</f>
        <v>0</v>
      </c>
      <c r="D415" s="8">
        <f>IF(OR('Items sous domaines Maths '!G439=3,'Items sous domaines Maths '!I439=3 ),'Items sous domaines Maths '!D439,0)</f>
        <v>0</v>
      </c>
      <c r="E415" s="8">
        <f>IF(OR('Items sous domaines Maths '!G439=3,'Items sous domaines Maths '!I439=3 ),'Items sous domaines Maths '!E439,0)</f>
        <v>0</v>
      </c>
      <c r="F415" s="9">
        <f>IF(OR('Items sous domaines Maths '!G439=3,'Items sous domaines Maths '!I439=3 ),'Items sous domaines Maths '!#REF!,0)</f>
        <v>0</v>
      </c>
      <c r="G415">
        <f>IF('Items sous domaines Maths '!G439=1,'Items sous domaines Maths '!F439,0)</f>
        <v>0</v>
      </c>
    </row>
    <row r="416" spans="2:7" customFormat="1" ht="13.2" hidden="1" x14ac:dyDescent="0.25">
      <c r="B416" s="8">
        <f>IF(OR('Items sous domaines Maths '!G440=3,'Items sous domaines Maths '!I440=3 ),'Items sous domaines Maths '!B440,0)</f>
        <v>0</v>
      </c>
      <c r="C416" s="8" t="b">
        <f>IF(OR('Items sous domaines Maths '!G440=3,'Items sous domaines Maths '!I440=3 ),'Items sous domaines Maths '!C440)</f>
        <v>0</v>
      </c>
      <c r="D416" s="8">
        <f>IF(OR('Items sous domaines Maths '!G440=3,'Items sous domaines Maths '!I440=3 ),'Items sous domaines Maths '!D440,0)</f>
        <v>0</v>
      </c>
      <c r="E416" s="8">
        <f>IF(OR('Items sous domaines Maths '!G440=3,'Items sous domaines Maths '!I440=3 ),'Items sous domaines Maths '!E440,0)</f>
        <v>0</v>
      </c>
      <c r="F416" s="9">
        <f>IF(OR('Items sous domaines Maths '!G440=3,'Items sous domaines Maths '!I440=3 ),'Items sous domaines Maths '!#REF!,0)</f>
        <v>0</v>
      </c>
      <c r="G416">
        <f>IF('Items sous domaines Maths '!G440=1,'Items sous domaines Maths '!F440,0)</f>
        <v>0</v>
      </c>
    </row>
    <row r="417" spans="2:7" customFormat="1" ht="13.2" hidden="1" x14ac:dyDescent="0.25">
      <c r="B417" s="8">
        <f>IF(OR('Items sous domaines Maths '!G441=3,'Items sous domaines Maths '!I441=3 ),'Items sous domaines Maths '!B441,0)</f>
        <v>0</v>
      </c>
      <c r="C417" s="8" t="b">
        <f>IF(OR('Items sous domaines Maths '!G441=3,'Items sous domaines Maths '!I441=3 ),'Items sous domaines Maths '!C441)</f>
        <v>0</v>
      </c>
      <c r="D417" s="8">
        <f>IF(OR('Items sous domaines Maths '!G441=3,'Items sous domaines Maths '!I441=3 ),'Items sous domaines Maths '!D441,0)</f>
        <v>0</v>
      </c>
      <c r="E417" s="8">
        <f>IF(OR('Items sous domaines Maths '!G441=3,'Items sous domaines Maths '!I441=3 ),'Items sous domaines Maths '!E441,0)</f>
        <v>0</v>
      </c>
      <c r="F417" s="9">
        <f>IF(OR('Items sous domaines Maths '!G441=3,'Items sous domaines Maths '!I441=3 ),'Items sous domaines Maths '!#REF!,0)</f>
        <v>0</v>
      </c>
      <c r="G417">
        <f>IF('Items sous domaines Maths '!G441=1,'Items sous domaines Maths '!F441,0)</f>
        <v>0</v>
      </c>
    </row>
    <row r="418" spans="2:7" customFormat="1" ht="13.2" hidden="1" x14ac:dyDescent="0.25">
      <c r="B418" s="8">
        <f>IF(OR('Items sous domaines Maths '!G442=3,'Items sous domaines Maths '!I442=3 ),'Items sous domaines Maths '!B442,0)</f>
        <v>0</v>
      </c>
      <c r="C418" s="8" t="b">
        <f>IF(OR('Items sous domaines Maths '!G442=3,'Items sous domaines Maths '!I442=3 ),'Items sous domaines Maths '!C442)</f>
        <v>0</v>
      </c>
      <c r="D418" s="8">
        <f>IF(OR('Items sous domaines Maths '!G442=3,'Items sous domaines Maths '!I442=3 ),'Items sous domaines Maths '!D442,0)</f>
        <v>0</v>
      </c>
      <c r="E418" s="8">
        <f>IF(OR('Items sous domaines Maths '!G442=3,'Items sous domaines Maths '!I442=3 ),'Items sous domaines Maths '!E442,0)</f>
        <v>0</v>
      </c>
      <c r="F418" s="9">
        <f>IF(OR('Items sous domaines Maths '!G442=3,'Items sous domaines Maths '!I442=3 ),'Items sous domaines Maths '!#REF!,0)</f>
        <v>0</v>
      </c>
      <c r="G418">
        <f>IF('Items sous domaines Maths '!G442=1,'Items sous domaines Maths '!F442,0)</f>
        <v>0</v>
      </c>
    </row>
    <row r="419" spans="2:7" customFormat="1" ht="13.2" hidden="1" x14ac:dyDescent="0.25">
      <c r="B419" s="8">
        <f>IF(OR('Items sous domaines Maths '!G443=3,'Items sous domaines Maths '!I443=3 ),'Items sous domaines Maths '!B443,0)</f>
        <v>0</v>
      </c>
      <c r="C419" s="8" t="b">
        <f>IF(OR('Items sous domaines Maths '!G443=3,'Items sous domaines Maths '!I443=3 ),'Items sous domaines Maths '!C443)</f>
        <v>0</v>
      </c>
      <c r="D419" s="8">
        <f>IF(OR('Items sous domaines Maths '!G443=3,'Items sous domaines Maths '!I443=3 ),'Items sous domaines Maths '!D443,0)</f>
        <v>0</v>
      </c>
      <c r="E419" s="8">
        <f>IF(OR('Items sous domaines Maths '!G443=3,'Items sous domaines Maths '!I443=3 ),'Items sous domaines Maths '!E443,0)</f>
        <v>0</v>
      </c>
      <c r="F419" s="9">
        <f>IF(OR('Items sous domaines Maths '!G443=3,'Items sous domaines Maths '!I443=3 ),'Items sous domaines Maths '!#REF!,0)</f>
        <v>0</v>
      </c>
      <c r="G419">
        <f>IF('Items sous domaines Maths '!G443=1,'Items sous domaines Maths '!F443,0)</f>
        <v>0</v>
      </c>
    </row>
    <row r="420" spans="2:7" customFormat="1" ht="13.2" hidden="1" x14ac:dyDescent="0.25">
      <c r="B420" s="8">
        <f>IF(OR('Items sous domaines Maths '!G444=3,'Items sous domaines Maths '!I444=3 ),'Items sous domaines Maths '!B444,0)</f>
        <v>0</v>
      </c>
      <c r="C420" s="8" t="b">
        <f>IF(OR('Items sous domaines Maths '!G444=3,'Items sous domaines Maths '!I444=3 ),'Items sous domaines Maths '!C444)</f>
        <v>0</v>
      </c>
      <c r="D420" s="8">
        <f>IF(OR('Items sous domaines Maths '!G444=3,'Items sous domaines Maths '!I444=3 ),'Items sous domaines Maths '!D444,0)</f>
        <v>0</v>
      </c>
      <c r="E420" s="8">
        <f>IF(OR('Items sous domaines Maths '!G444=3,'Items sous domaines Maths '!I444=3 ),'Items sous domaines Maths '!E444,0)</f>
        <v>0</v>
      </c>
      <c r="F420" s="9">
        <f>IF(OR('Items sous domaines Maths '!G444=3,'Items sous domaines Maths '!I444=3 ),'Items sous domaines Maths '!#REF!,0)</f>
        <v>0</v>
      </c>
      <c r="G420">
        <f>IF('Items sous domaines Maths '!G444=1,'Items sous domaines Maths '!F444,0)</f>
        <v>0</v>
      </c>
    </row>
    <row r="421" spans="2:7" customFormat="1" ht="13.2" hidden="1" x14ac:dyDescent="0.25">
      <c r="B421" s="8">
        <f>IF(OR('Items sous domaines Maths '!G445=3,'Items sous domaines Maths '!I445=3 ),'Items sous domaines Maths '!B445,0)</f>
        <v>0</v>
      </c>
      <c r="C421" s="8" t="b">
        <f>IF(OR('Items sous domaines Maths '!G445=3,'Items sous domaines Maths '!I445=3 ),'Items sous domaines Maths '!C445)</f>
        <v>0</v>
      </c>
      <c r="D421" s="8">
        <f>IF(OR('Items sous domaines Maths '!G445=3,'Items sous domaines Maths '!I445=3 ),'Items sous domaines Maths '!D445,0)</f>
        <v>0</v>
      </c>
      <c r="E421" s="8">
        <f>IF(OR('Items sous domaines Maths '!G445=3,'Items sous domaines Maths '!I445=3 ),'Items sous domaines Maths '!E445,0)</f>
        <v>0</v>
      </c>
      <c r="F421" s="9">
        <f>IF(OR('Items sous domaines Maths '!G445=3,'Items sous domaines Maths '!I445=3 ),'Items sous domaines Maths '!#REF!,0)</f>
        <v>0</v>
      </c>
      <c r="G421">
        <f>IF('Items sous domaines Maths '!G445=1,'Items sous domaines Maths '!F445,0)</f>
        <v>0</v>
      </c>
    </row>
    <row r="422" spans="2:7" customFormat="1" ht="13.2" hidden="1" x14ac:dyDescent="0.25">
      <c r="B422" s="8">
        <f>IF(OR('Items sous domaines Maths '!G446=3,'Items sous domaines Maths '!I446=3 ),'Items sous domaines Maths '!B446,0)</f>
        <v>0</v>
      </c>
      <c r="C422" s="8" t="b">
        <f>IF(OR('Items sous domaines Maths '!G446=3,'Items sous domaines Maths '!I446=3 ),'Items sous domaines Maths '!C446)</f>
        <v>0</v>
      </c>
      <c r="D422" s="8">
        <f>IF(OR('Items sous domaines Maths '!G446=3,'Items sous domaines Maths '!I446=3 ),'Items sous domaines Maths '!D446,0)</f>
        <v>0</v>
      </c>
      <c r="E422" s="8">
        <f>IF(OR('Items sous domaines Maths '!G446=3,'Items sous domaines Maths '!I446=3 ),'Items sous domaines Maths '!E446,0)</f>
        <v>0</v>
      </c>
      <c r="F422" s="9">
        <f>IF(OR('Items sous domaines Maths '!G446=3,'Items sous domaines Maths '!I446=3 ),'Items sous domaines Maths '!#REF!,0)</f>
        <v>0</v>
      </c>
      <c r="G422">
        <f>IF('Items sous domaines Maths '!G446=1,'Items sous domaines Maths '!F446,0)</f>
        <v>0</v>
      </c>
    </row>
    <row r="423" spans="2:7" customFormat="1" ht="13.2" hidden="1" x14ac:dyDescent="0.25">
      <c r="B423" s="8">
        <f>IF(OR('Items sous domaines Maths '!G447=3,'Items sous domaines Maths '!I447=3 ),'Items sous domaines Maths '!B447,0)</f>
        <v>0</v>
      </c>
      <c r="C423" s="8" t="b">
        <f>IF(OR('Items sous domaines Maths '!G447=3,'Items sous domaines Maths '!I447=3 ),'Items sous domaines Maths '!C447)</f>
        <v>0</v>
      </c>
      <c r="D423" s="8">
        <f>IF(OR('Items sous domaines Maths '!G447=3,'Items sous domaines Maths '!I447=3 ),'Items sous domaines Maths '!D447,0)</f>
        <v>0</v>
      </c>
      <c r="E423" s="8">
        <f>IF(OR('Items sous domaines Maths '!G447=3,'Items sous domaines Maths '!I447=3 ),'Items sous domaines Maths '!E447,0)</f>
        <v>0</v>
      </c>
      <c r="F423" s="9">
        <f>IF(OR('Items sous domaines Maths '!G447=3,'Items sous domaines Maths '!I447=3 ),'Items sous domaines Maths '!#REF!,0)</f>
        <v>0</v>
      </c>
      <c r="G423">
        <f>IF('Items sous domaines Maths '!G447=1,'Items sous domaines Maths '!F447,0)</f>
        <v>0</v>
      </c>
    </row>
    <row r="424" spans="2:7" customFormat="1" ht="13.2" hidden="1" x14ac:dyDescent="0.25">
      <c r="B424" s="8">
        <f>IF(OR('Items sous domaines Maths '!G448=3,'Items sous domaines Maths '!I448=3 ),'Items sous domaines Maths '!B448,0)</f>
        <v>0</v>
      </c>
      <c r="C424" s="8" t="b">
        <f>IF(OR('Items sous domaines Maths '!G448=3,'Items sous domaines Maths '!I448=3 ),'Items sous domaines Maths '!C448)</f>
        <v>0</v>
      </c>
      <c r="D424" s="8">
        <f>IF(OR('Items sous domaines Maths '!G448=3,'Items sous domaines Maths '!I448=3 ),'Items sous domaines Maths '!D448,0)</f>
        <v>0</v>
      </c>
      <c r="E424" s="8">
        <f>IF(OR('Items sous domaines Maths '!G448=3,'Items sous domaines Maths '!I448=3 ),'Items sous domaines Maths '!E448,0)</f>
        <v>0</v>
      </c>
      <c r="F424" s="9">
        <f>IF(OR('Items sous domaines Maths '!G448=3,'Items sous domaines Maths '!I448=3 ),'Items sous domaines Maths '!#REF!,0)</f>
        <v>0</v>
      </c>
      <c r="G424">
        <f>IF('Items sous domaines Maths '!G448=1,'Items sous domaines Maths '!F448,0)</f>
        <v>0</v>
      </c>
    </row>
    <row r="425" spans="2:7" customFormat="1" ht="13.2" hidden="1" x14ac:dyDescent="0.25">
      <c r="B425" s="8">
        <f>IF(OR('Items sous domaines Maths '!G449=3,'Items sous domaines Maths '!I449=3 ),'Items sous domaines Maths '!B449,0)</f>
        <v>0</v>
      </c>
      <c r="C425" s="8" t="b">
        <f>IF(OR('Items sous domaines Maths '!G449=3,'Items sous domaines Maths '!I449=3 ),'Items sous domaines Maths '!C449)</f>
        <v>0</v>
      </c>
      <c r="D425" s="8">
        <f>IF(OR('Items sous domaines Maths '!G449=3,'Items sous domaines Maths '!I449=3 ),'Items sous domaines Maths '!D449,0)</f>
        <v>0</v>
      </c>
      <c r="E425" s="8">
        <f>IF(OR('Items sous domaines Maths '!G449=3,'Items sous domaines Maths '!I449=3 ),'Items sous domaines Maths '!E449,0)</f>
        <v>0</v>
      </c>
      <c r="F425" s="9">
        <f>IF(OR('Items sous domaines Maths '!G449=3,'Items sous domaines Maths '!I449=3 ),'Items sous domaines Maths '!#REF!,0)</f>
        <v>0</v>
      </c>
      <c r="G425">
        <f>IF('Items sous domaines Maths '!G449=1,'Items sous domaines Maths '!F449,0)</f>
        <v>0</v>
      </c>
    </row>
    <row r="426" spans="2:7" customFormat="1" ht="13.2" hidden="1" x14ac:dyDescent="0.25">
      <c r="B426" s="8">
        <f>IF(OR('Items sous domaines Maths '!G450=3,'Items sous domaines Maths '!I450=3 ),'Items sous domaines Maths '!B450,0)</f>
        <v>0</v>
      </c>
      <c r="C426" s="8" t="b">
        <f>IF(OR('Items sous domaines Maths '!G450=3,'Items sous domaines Maths '!I450=3 ),'Items sous domaines Maths '!C450)</f>
        <v>0</v>
      </c>
      <c r="D426" s="8">
        <f>IF(OR('Items sous domaines Maths '!G450=3,'Items sous domaines Maths '!I450=3 ),'Items sous domaines Maths '!D450,0)</f>
        <v>0</v>
      </c>
      <c r="E426" s="8">
        <f>IF(OR('Items sous domaines Maths '!G450=3,'Items sous domaines Maths '!I450=3 ),'Items sous domaines Maths '!E450,0)</f>
        <v>0</v>
      </c>
      <c r="F426" s="9">
        <f>IF(OR('Items sous domaines Maths '!G450=3,'Items sous domaines Maths '!I450=3 ),'Items sous domaines Maths '!#REF!,0)</f>
        <v>0</v>
      </c>
      <c r="G426">
        <f>IF('Items sous domaines Maths '!G450=1,'Items sous domaines Maths '!F450,0)</f>
        <v>0</v>
      </c>
    </row>
    <row r="427" spans="2:7" customFormat="1" ht="13.2" hidden="1" x14ac:dyDescent="0.25">
      <c r="B427" s="8">
        <f>IF(OR('Items sous domaines Maths '!G451=3,'Items sous domaines Maths '!I451=3 ),'Items sous domaines Maths '!B451,0)</f>
        <v>0</v>
      </c>
      <c r="C427" s="8" t="b">
        <f>IF(OR('Items sous domaines Maths '!G451=3,'Items sous domaines Maths '!I451=3 ),'Items sous domaines Maths '!C451)</f>
        <v>0</v>
      </c>
      <c r="D427" s="8">
        <f>IF(OR('Items sous domaines Maths '!G451=3,'Items sous domaines Maths '!I451=3 ),'Items sous domaines Maths '!D451,0)</f>
        <v>0</v>
      </c>
      <c r="E427" s="8">
        <f>IF(OR('Items sous domaines Maths '!G451=3,'Items sous domaines Maths '!I451=3 ),'Items sous domaines Maths '!E451,0)</f>
        <v>0</v>
      </c>
      <c r="F427" s="9">
        <f>IF(OR('Items sous domaines Maths '!G451=3,'Items sous domaines Maths '!I451=3 ),'Items sous domaines Maths '!#REF!,0)</f>
        <v>0</v>
      </c>
      <c r="G427">
        <f>IF('Items sous domaines Maths '!G451=1,'Items sous domaines Maths '!F451,0)</f>
        <v>0</v>
      </c>
    </row>
    <row r="428" spans="2:7" customFormat="1" ht="13.2" hidden="1" x14ac:dyDescent="0.25">
      <c r="B428" s="8">
        <f>IF(OR('Items sous domaines Maths '!H452=3,'Items sous domaines Maths '!J452=3 ),'Items sous domaines Maths '!B452,0)</f>
        <v>0</v>
      </c>
      <c r="C428" s="8" t="b">
        <f>IF(OR('Items sous domaines Maths '!H452=3,'Items sous domaines Maths '!J452=3 ),'Items sous domaines Maths '!C452)</f>
        <v>0</v>
      </c>
      <c r="D428" s="8">
        <f>IF(OR('Items sous domaines Maths '!H452=3,'Items sous domaines Maths '!J452=3 ),'Items sous domaines Maths '!D452,0)</f>
        <v>0</v>
      </c>
      <c r="E428" s="8">
        <f>IF(OR('Items sous domaines Maths '!H452=3,'Items sous domaines Maths '!J452=3 ),'Items sous domaines Maths '!E452,0)</f>
        <v>0</v>
      </c>
      <c r="F428" s="9">
        <f>IF(OR('Items sous domaines Maths '!H452=3,'Items sous domaines Maths '!J452=3 ),'Items sous domaines Maths '!#REF!,0)</f>
        <v>0</v>
      </c>
      <c r="G428">
        <f>IF('Items sous domaines Maths '!H452=1,'Items sous domaines Maths '!G452,0)</f>
        <v>0</v>
      </c>
    </row>
    <row r="429" spans="2:7" customFormat="1" ht="13.2" hidden="1" x14ac:dyDescent="0.25">
      <c r="B429" s="8">
        <f>IF(OR('Items sous domaines Maths '!H453=3,'Items sous domaines Maths '!J453=3 ),'Items sous domaines Maths '!B453,0)</f>
        <v>0</v>
      </c>
      <c r="C429" s="8" t="b">
        <f>IF(OR('Items sous domaines Maths '!H453=3,'Items sous domaines Maths '!J453=3 ),'Items sous domaines Maths '!C453)</f>
        <v>0</v>
      </c>
      <c r="D429" s="8">
        <f>IF(OR('Items sous domaines Maths '!H453=3,'Items sous domaines Maths '!J453=3 ),'Items sous domaines Maths '!D453,0)</f>
        <v>0</v>
      </c>
      <c r="E429" s="8">
        <f>IF(OR('Items sous domaines Maths '!H453=3,'Items sous domaines Maths '!J453=3 ),'Items sous domaines Maths '!E453,0)</f>
        <v>0</v>
      </c>
      <c r="F429" s="9">
        <f>IF(OR('Items sous domaines Maths '!H453=3,'Items sous domaines Maths '!J453=3 ),'Items sous domaines Maths '!#REF!,0)</f>
        <v>0</v>
      </c>
      <c r="G429">
        <f>IF('Items sous domaines Maths '!H453=1,'Items sous domaines Maths '!G453,0)</f>
        <v>0</v>
      </c>
    </row>
    <row r="430" spans="2:7" customFormat="1" ht="13.2" hidden="1" x14ac:dyDescent="0.25">
      <c r="B430" s="8">
        <f>IF(OR('Items sous domaines Maths '!H454=3,'Items sous domaines Maths '!J454=3 ),'Items sous domaines Maths '!B454,0)</f>
        <v>0</v>
      </c>
      <c r="C430" s="8" t="b">
        <f>IF(OR('Items sous domaines Maths '!H454=3,'Items sous domaines Maths '!J454=3 ),'Items sous domaines Maths '!C454)</f>
        <v>0</v>
      </c>
      <c r="D430" s="8">
        <f>IF(OR('Items sous domaines Maths '!H454=3,'Items sous domaines Maths '!J454=3 ),'Items sous domaines Maths '!D454,0)</f>
        <v>0</v>
      </c>
      <c r="E430" s="8">
        <f>IF(OR('Items sous domaines Maths '!H454=3,'Items sous domaines Maths '!J454=3 ),'Items sous domaines Maths '!E454,0)</f>
        <v>0</v>
      </c>
      <c r="F430" s="9">
        <f>IF(OR('Items sous domaines Maths '!H454=3,'Items sous domaines Maths '!J454=3 ),'Items sous domaines Maths '!#REF!,0)</f>
        <v>0</v>
      </c>
      <c r="G430">
        <f>IF('Items sous domaines Maths '!H454=1,'Items sous domaines Maths '!G454,0)</f>
        <v>0</v>
      </c>
    </row>
    <row r="431" spans="2:7" customFormat="1" ht="13.2" hidden="1" x14ac:dyDescent="0.25">
      <c r="B431" s="8">
        <f>IF(OR('Items sous domaines Maths '!H455=3,'Items sous domaines Maths '!J455=3 ),'Items sous domaines Maths '!B455,0)</f>
        <v>0</v>
      </c>
      <c r="C431" s="8" t="b">
        <f>IF(OR('Items sous domaines Maths '!H455=3,'Items sous domaines Maths '!J455=3 ),'Items sous domaines Maths '!C455)</f>
        <v>0</v>
      </c>
      <c r="D431" s="8">
        <f>IF(OR('Items sous domaines Maths '!H455=3,'Items sous domaines Maths '!J455=3 ),'Items sous domaines Maths '!D455,0)</f>
        <v>0</v>
      </c>
      <c r="E431" s="8">
        <f>IF(OR('Items sous domaines Maths '!H455=3,'Items sous domaines Maths '!J455=3 ),'Items sous domaines Maths '!E455,0)</f>
        <v>0</v>
      </c>
      <c r="F431" s="9">
        <f>IF(OR('Items sous domaines Maths '!H455=3,'Items sous domaines Maths '!J455=3 ),'Items sous domaines Maths '!#REF!,0)</f>
        <v>0</v>
      </c>
      <c r="G431">
        <f>IF('Items sous domaines Maths '!H455=1,'Items sous domaines Maths '!G455,0)</f>
        <v>0</v>
      </c>
    </row>
    <row r="432" spans="2:7" customFormat="1" ht="13.2" hidden="1" x14ac:dyDescent="0.25">
      <c r="B432" s="8">
        <f>IF(OR('Items sous domaines Maths '!H456=3,'Items sous domaines Maths '!J456=3 ),'Items sous domaines Maths '!B456,0)</f>
        <v>0</v>
      </c>
      <c r="C432" s="8" t="b">
        <f>IF(OR('Items sous domaines Maths '!H456=3,'Items sous domaines Maths '!J456=3 ),'Items sous domaines Maths '!C456)</f>
        <v>0</v>
      </c>
      <c r="D432" s="8">
        <f>IF(OR('Items sous domaines Maths '!H456=3,'Items sous domaines Maths '!J456=3 ),'Items sous domaines Maths '!D456,0)</f>
        <v>0</v>
      </c>
      <c r="E432" s="8">
        <f>IF(OR('Items sous domaines Maths '!H456=3,'Items sous domaines Maths '!J456=3 ),'Items sous domaines Maths '!E456,0)</f>
        <v>0</v>
      </c>
      <c r="F432" s="9">
        <f>IF(OR('Items sous domaines Maths '!H456=3,'Items sous domaines Maths '!J456=3 ),'Items sous domaines Maths '!#REF!,0)</f>
        <v>0</v>
      </c>
      <c r="G432">
        <f>IF('Items sous domaines Maths '!H456=1,'Items sous domaines Maths '!G456,0)</f>
        <v>0</v>
      </c>
    </row>
    <row r="433" spans="2:7" customFormat="1" ht="13.2" hidden="1" x14ac:dyDescent="0.25">
      <c r="B433" s="8">
        <f>IF(OR('Items sous domaines Maths '!H457=3,'Items sous domaines Maths '!J457=3 ),'Items sous domaines Maths '!B457,0)</f>
        <v>0</v>
      </c>
      <c r="C433" s="8" t="b">
        <f>IF(OR('Items sous domaines Maths '!H457=3,'Items sous domaines Maths '!J457=3 ),'Items sous domaines Maths '!C457)</f>
        <v>0</v>
      </c>
      <c r="D433" s="8">
        <f>IF(OR('Items sous domaines Maths '!H457=3,'Items sous domaines Maths '!J457=3 ),'Items sous domaines Maths '!D457,0)</f>
        <v>0</v>
      </c>
      <c r="E433" s="8">
        <f>IF(OR('Items sous domaines Maths '!H457=3,'Items sous domaines Maths '!J457=3 ),'Items sous domaines Maths '!E457,0)</f>
        <v>0</v>
      </c>
      <c r="F433" s="9">
        <f>IF(OR('Items sous domaines Maths '!H457=3,'Items sous domaines Maths '!J457=3 ),'Items sous domaines Maths '!#REF!,0)</f>
        <v>0</v>
      </c>
      <c r="G433">
        <f>IF('Items sous domaines Maths '!H457=1,'Items sous domaines Maths '!G457,0)</f>
        <v>0</v>
      </c>
    </row>
    <row r="434" spans="2:7" customFormat="1" ht="13.2" hidden="1" x14ac:dyDescent="0.25">
      <c r="B434" s="8">
        <f>IF(OR('Items sous domaines Maths '!H458=3,'Items sous domaines Maths '!J458=3 ),'Items sous domaines Maths '!B458,0)</f>
        <v>0</v>
      </c>
      <c r="C434" s="8" t="b">
        <f>IF(OR('Items sous domaines Maths '!H458=3,'Items sous domaines Maths '!J458=3 ),'Items sous domaines Maths '!C458)</f>
        <v>0</v>
      </c>
      <c r="D434" s="8">
        <f>IF(OR('Items sous domaines Maths '!H458=3,'Items sous domaines Maths '!J458=3 ),'Items sous domaines Maths '!D458,0)</f>
        <v>0</v>
      </c>
      <c r="E434" s="8">
        <f>IF(OR('Items sous domaines Maths '!H458=3,'Items sous domaines Maths '!J458=3 ),'Items sous domaines Maths '!E458,0)</f>
        <v>0</v>
      </c>
      <c r="F434" s="9">
        <f>IF(OR('Items sous domaines Maths '!H458=3,'Items sous domaines Maths '!J458=3 ),'Items sous domaines Maths '!F452,0)</f>
        <v>0</v>
      </c>
      <c r="G434">
        <f>IF('Items sous domaines Maths '!H458=1,'Items sous domaines Maths '!G458,0)</f>
        <v>0</v>
      </c>
    </row>
    <row r="435" spans="2:7" customFormat="1" ht="13.2" hidden="1" x14ac:dyDescent="0.25">
      <c r="B435" s="8">
        <f>IF(OR('Items sous domaines Maths '!H459=3,'Items sous domaines Maths '!J459=3 ),'Items sous domaines Maths '!B459,0)</f>
        <v>0</v>
      </c>
      <c r="C435" s="8" t="b">
        <f>IF(OR('Items sous domaines Maths '!H459=3,'Items sous domaines Maths '!J459=3 ),'Items sous domaines Maths '!C459)</f>
        <v>0</v>
      </c>
      <c r="D435" s="8">
        <f>IF(OR('Items sous domaines Maths '!H459=3,'Items sous domaines Maths '!J459=3 ),'Items sous domaines Maths '!D459,0)</f>
        <v>0</v>
      </c>
      <c r="E435" s="8">
        <f>IF(OR('Items sous domaines Maths '!H459=3,'Items sous domaines Maths '!J459=3 ),'Items sous domaines Maths '!E459,0)</f>
        <v>0</v>
      </c>
      <c r="F435" s="9">
        <f>IF(OR('Items sous domaines Maths '!H459=3,'Items sous domaines Maths '!J459=3 ),'Items sous domaines Maths '!F453,0)</f>
        <v>0</v>
      </c>
      <c r="G435">
        <f>IF('Items sous domaines Maths '!H459=1,'Items sous domaines Maths '!G459,0)</f>
        <v>0</v>
      </c>
    </row>
    <row r="436" spans="2:7" customFormat="1" ht="13.2" hidden="1" x14ac:dyDescent="0.25">
      <c r="B436" s="8">
        <f>IF(OR('Items sous domaines Maths '!H460=3,'Items sous domaines Maths '!J460=3 ),'Items sous domaines Maths '!B460,0)</f>
        <v>0</v>
      </c>
      <c r="C436" s="8" t="b">
        <f>IF(OR('Items sous domaines Maths '!H460=3,'Items sous domaines Maths '!J460=3 ),'Items sous domaines Maths '!C460)</f>
        <v>0</v>
      </c>
      <c r="D436" s="8">
        <f>IF(OR('Items sous domaines Maths '!H460=3,'Items sous domaines Maths '!J460=3 ),'Items sous domaines Maths '!D460,0)</f>
        <v>0</v>
      </c>
      <c r="E436" s="8">
        <f>IF(OR('Items sous domaines Maths '!H460=3,'Items sous domaines Maths '!J460=3 ),'Items sous domaines Maths '!E460,0)</f>
        <v>0</v>
      </c>
      <c r="F436" s="9">
        <f>IF(OR('Items sous domaines Maths '!H460=3,'Items sous domaines Maths '!J460=3 ),'Items sous domaines Maths '!F454,0)</f>
        <v>0</v>
      </c>
      <c r="G436">
        <f>IF('Items sous domaines Maths '!H460=1,'Items sous domaines Maths '!G460,0)</f>
        <v>0</v>
      </c>
    </row>
    <row r="437" spans="2:7" customFormat="1" ht="13.2" hidden="1" x14ac:dyDescent="0.25">
      <c r="B437" s="8">
        <f>IF(OR('Items sous domaines Maths '!H461=3,'Items sous domaines Maths '!J461=3 ),'Items sous domaines Maths '!B461,0)</f>
        <v>0</v>
      </c>
      <c r="C437" s="8" t="b">
        <f>IF(OR('Items sous domaines Maths '!H461=3,'Items sous domaines Maths '!J461=3 ),'Items sous domaines Maths '!C461)</f>
        <v>0</v>
      </c>
      <c r="D437" s="8">
        <f>IF(OR('Items sous domaines Maths '!H461=3,'Items sous domaines Maths '!J461=3 ),'Items sous domaines Maths '!D461,0)</f>
        <v>0</v>
      </c>
      <c r="E437" s="8">
        <f>IF(OR('Items sous domaines Maths '!H461=3,'Items sous domaines Maths '!J461=3 ),'Items sous domaines Maths '!E461,0)</f>
        <v>0</v>
      </c>
      <c r="F437" s="9">
        <f>IF(OR('Items sous domaines Maths '!H461=3,'Items sous domaines Maths '!J461=3 ),'Items sous domaines Maths '!F455,0)</f>
        <v>0</v>
      </c>
      <c r="G437">
        <f>IF('Items sous domaines Maths '!H461=1,'Items sous domaines Maths '!G461,0)</f>
        <v>0</v>
      </c>
    </row>
    <row r="438" spans="2:7" customFormat="1" ht="13.2" hidden="1" x14ac:dyDescent="0.25">
      <c r="B438" s="8">
        <f>IF(OR('Items sous domaines Maths '!H462=3,'Items sous domaines Maths '!J462=3 ),'Items sous domaines Maths '!B462,0)</f>
        <v>0</v>
      </c>
      <c r="C438" s="8" t="b">
        <f>IF(OR('Items sous domaines Maths '!H462=3,'Items sous domaines Maths '!J462=3 ),'Items sous domaines Maths '!C462)</f>
        <v>0</v>
      </c>
      <c r="D438" s="8">
        <f>IF(OR('Items sous domaines Maths '!H462=3,'Items sous domaines Maths '!J462=3 ),'Items sous domaines Maths '!D462,0)</f>
        <v>0</v>
      </c>
      <c r="E438" s="8">
        <f>IF(OR('Items sous domaines Maths '!H462=3,'Items sous domaines Maths '!J462=3 ),'Items sous domaines Maths '!E462,0)</f>
        <v>0</v>
      </c>
      <c r="F438" s="9">
        <f>IF(OR('Items sous domaines Maths '!H462=3,'Items sous domaines Maths '!J462=3 ),'Items sous domaines Maths '!F456,0)</f>
        <v>0</v>
      </c>
      <c r="G438">
        <f>IF('Items sous domaines Maths '!H462=1,'Items sous domaines Maths '!G462,0)</f>
        <v>0</v>
      </c>
    </row>
    <row r="439" spans="2:7" customFormat="1" ht="13.2" hidden="1" x14ac:dyDescent="0.25">
      <c r="B439" s="8">
        <f>IF(OR('Items sous domaines Maths '!H463=3,'Items sous domaines Maths '!J463=3 ),'Items sous domaines Maths '!B463,0)</f>
        <v>0</v>
      </c>
      <c r="C439" s="8" t="b">
        <f>IF(OR('Items sous domaines Maths '!H463=3,'Items sous domaines Maths '!J463=3 ),'Items sous domaines Maths '!C463)</f>
        <v>0</v>
      </c>
      <c r="D439" s="8">
        <f>IF(OR('Items sous domaines Maths '!H463=3,'Items sous domaines Maths '!J463=3 ),'Items sous domaines Maths '!D463,0)</f>
        <v>0</v>
      </c>
      <c r="E439" s="8">
        <f>IF(OR('Items sous domaines Maths '!H463=3,'Items sous domaines Maths '!J463=3 ),'Items sous domaines Maths '!E463,0)</f>
        <v>0</v>
      </c>
      <c r="F439" s="9">
        <f>IF(OR('Items sous domaines Maths '!H463=3,'Items sous domaines Maths '!J463=3 ),'Items sous domaines Maths '!F457,0)</f>
        <v>0</v>
      </c>
      <c r="G439">
        <f>IF('Items sous domaines Maths '!H463=1,'Items sous domaines Maths '!G463,0)</f>
        <v>0</v>
      </c>
    </row>
    <row r="440" spans="2:7" customFormat="1" ht="13.2" hidden="1" x14ac:dyDescent="0.25">
      <c r="B440" s="8">
        <f>IF(OR('Items sous domaines Maths '!H464=3,'Items sous domaines Maths '!J464=3 ),'Items sous domaines Maths '!B464,0)</f>
        <v>0</v>
      </c>
      <c r="C440" s="8" t="b">
        <f>IF(OR('Items sous domaines Maths '!H464=3,'Items sous domaines Maths '!J464=3 ),'Items sous domaines Maths '!C464)</f>
        <v>0</v>
      </c>
      <c r="D440" s="8">
        <f>IF(OR('Items sous domaines Maths '!H464=3,'Items sous domaines Maths '!J464=3 ),'Items sous domaines Maths '!D464,0)</f>
        <v>0</v>
      </c>
      <c r="E440" s="8">
        <f>IF(OR('Items sous domaines Maths '!H464=3,'Items sous domaines Maths '!J464=3 ),'Items sous domaines Maths '!E464,0)</f>
        <v>0</v>
      </c>
      <c r="F440" s="9">
        <f>IF(OR('Items sous domaines Maths '!H464=3,'Items sous domaines Maths '!J464=3 ),'Items sous domaines Maths '!F458,0)</f>
        <v>0</v>
      </c>
      <c r="G440">
        <f>IF('Items sous domaines Maths '!H464=1,'Items sous domaines Maths '!G464,0)</f>
        <v>0</v>
      </c>
    </row>
    <row r="441" spans="2:7" customFormat="1" ht="13.2" hidden="1" x14ac:dyDescent="0.25">
      <c r="B441" s="8">
        <f>IF(OR('Items sous domaines Maths '!H465=3,'Items sous domaines Maths '!J465=3 ),'Items sous domaines Maths '!B465,0)</f>
        <v>0</v>
      </c>
      <c r="C441" s="8" t="b">
        <f>IF(OR('Items sous domaines Maths '!H465=3,'Items sous domaines Maths '!J465=3 ),'Items sous domaines Maths '!C465)</f>
        <v>0</v>
      </c>
      <c r="D441" s="8">
        <f>IF(OR('Items sous domaines Maths '!H465=3,'Items sous domaines Maths '!J465=3 ),'Items sous domaines Maths '!D465,0)</f>
        <v>0</v>
      </c>
      <c r="E441" s="8">
        <f>IF(OR('Items sous domaines Maths '!H465=3,'Items sous domaines Maths '!J465=3 ),'Items sous domaines Maths '!E465,0)</f>
        <v>0</v>
      </c>
      <c r="F441" s="9">
        <f>IF(OR('Items sous domaines Maths '!H465=3,'Items sous domaines Maths '!J465=3 ),'Items sous domaines Maths '!F459,0)</f>
        <v>0</v>
      </c>
      <c r="G441">
        <f>IF('Items sous domaines Maths '!H465=1,'Items sous domaines Maths '!G465,0)</f>
        <v>0</v>
      </c>
    </row>
    <row r="442" spans="2:7" customFormat="1" ht="13.2" hidden="1" x14ac:dyDescent="0.25">
      <c r="B442" s="8">
        <f>IF(OR('Items sous domaines Maths '!H466=3,'Items sous domaines Maths '!J466=3 ),'Items sous domaines Maths '!B466,0)</f>
        <v>0</v>
      </c>
      <c r="C442" s="8" t="b">
        <f>IF(OR('Items sous domaines Maths '!H466=3,'Items sous domaines Maths '!J466=3 ),'Items sous domaines Maths '!C466)</f>
        <v>0</v>
      </c>
      <c r="D442" s="8">
        <f>IF(OR('Items sous domaines Maths '!H466=3,'Items sous domaines Maths '!J466=3 ),'Items sous domaines Maths '!D466,0)</f>
        <v>0</v>
      </c>
      <c r="E442" s="8">
        <f>IF(OR('Items sous domaines Maths '!H466=3,'Items sous domaines Maths '!J466=3 ),'Items sous domaines Maths '!E466,0)</f>
        <v>0</v>
      </c>
      <c r="F442" s="9">
        <f>IF(OR('Items sous domaines Maths '!H466=3,'Items sous domaines Maths '!J466=3 ),'Items sous domaines Maths '!F460,0)</f>
        <v>0</v>
      </c>
      <c r="G442">
        <f>IF('Items sous domaines Maths '!H466=1,'Items sous domaines Maths '!G466,0)</f>
        <v>0</v>
      </c>
    </row>
    <row r="443" spans="2:7" customFormat="1" ht="13.2" hidden="1" x14ac:dyDescent="0.25">
      <c r="B443" s="8">
        <f>IF(OR('Items sous domaines Maths '!H467=3,'Items sous domaines Maths '!J467=3 ),'Items sous domaines Maths '!B467,0)</f>
        <v>0</v>
      </c>
      <c r="C443" s="8" t="b">
        <f>IF(OR('Items sous domaines Maths '!H467=3,'Items sous domaines Maths '!J467=3 ),'Items sous domaines Maths '!C467)</f>
        <v>0</v>
      </c>
      <c r="D443" s="8">
        <f>IF(OR('Items sous domaines Maths '!H467=3,'Items sous domaines Maths '!J467=3 ),'Items sous domaines Maths '!D467,0)</f>
        <v>0</v>
      </c>
      <c r="E443" s="8">
        <f>IF(OR('Items sous domaines Maths '!H467=3,'Items sous domaines Maths '!J467=3 ),'Items sous domaines Maths '!E467,0)</f>
        <v>0</v>
      </c>
      <c r="F443" s="9">
        <f>IF(OR('Items sous domaines Maths '!H467=3,'Items sous domaines Maths '!J467=3 ),'Items sous domaines Maths '!F461,0)</f>
        <v>0</v>
      </c>
      <c r="G443">
        <f>IF('Items sous domaines Maths '!H467=1,'Items sous domaines Maths '!G467,0)</f>
        <v>0</v>
      </c>
    </row>
    <row r="444" spans="2:7" customFormat="1" ht="13.2" hidden="1" x14ac:dyDescent="0.25">
      <c r="B444" s="8">
        <f>IF(OR('Items sous domaines Maths '!H468=3,'Items sous domaines Maths '!J468=3 ),'Items sous domaines Maths '!B468,0)</f>
        <v>0</v>
      </c>
      <c r="C444" s="8" t="b">
        <f>IF(OR('Items sous domaines Maths '!H468=3,'Items sous domaines Maths '!J468=3 ),'Items sous domaines Maths '!C468)</f>
        <v>0</v>
      </c>
      <c r="D444" s="8">
        <f>IF(OR('Items sous domaines Maths '!H468=3,'Items sous domaines Maths '!J468=3 ),'Items sous domaines Maths '!D468,0)</f>
        <v>0</v>
      </c>
      <c r="E444" s="8">
        <f>IF(OR('Items sous domaines Maths '!H468=3,'Items sous domaines Maths '!J468=3 ),'Items sous domaines Maths '!E468,0)</f>
        <v>0</v>
      </c>
      <c r="F444" s="9">
        <f>IF(OR('Items sous domaines Maths '!H468=3,'Items sous domaines Maths '!J468=3 ),'Items sous domaines Maths '!F462,0)</f>
        <v>0</v>
      </c>
      <c r="G444">
        <f>IF('Items sous domaines Maths '!H468=1,'Items sous domaines Maths '!G468,0)</f>
        <v>0</v>
      </c>
    </row>
    <row r="445" spans="2:7" customFormat="1" ht="13.2" hidden="1" x14ac:dyDescent="0.25">
      <c r="B445" s="8">
        <f>IF(OR('Items sous domaines Maths '!H469=3,'Items sous domaines Maths '!J469=3 ),'Items sous domaines Maths '!B469,0)</f>
        <v>0</v>
      </c>
      <c r="C445" s="8" t="b">
        <f>IF(OR('Items sous domaines Maths '!H469=3,'Items sous domaines Maths '!J469=3 ),'Items sous domaines Maths '!C469)</f>
        <v>0</v>
      </c>
      <c r="D445" s="8">
        <f>IF(OR('Items sous domaines Maths '!H469=3,'Items sous domaines Maths '!J469=3 ),'Items sous domaines Maths '!D469,0)</f>
        <v>0</v>
      </c>
      <c r="E445" s="8">
        <f>IF(OR('Items sous domaines Maths '!H469=3,'Items sous domaines Maths '!J469=3 ),'Items sous domaines Maths '!E469,0)</f>
        <v>0</v>
      </c>
      <c r="F445" s="9">
        <f>IF(OR('Items sous domaines Maths '!H469=3,'Items sous domaines Maths '!J469=3 ),'Items sous domaines Maths '!F463,0)</f>
        <v>0</v>
      </c>
      <c r="G445">
        <f>IF('Items sous domaines Maths '!H469=1,'Items sous domaines Maths '!G469,0)</f>
        <v>0</v>
      </c>
    </row>
    <row r="446" spans="2:7" customFormat="1" ht="13.2" hidden="1" x14ac:dyDescent="0.25">
      <c r="B446" s="8">
        <f>IF(OR('Items sous domaines Maths '!H470=3,'Items sous domaines Maths '!J470=3 ),'Items sous domaines Maths '!B470,0)</f>
        <v>0</v>
      </c>
      <c r="C446" s="8" t="b">
        <f>IF(OR('Items sous domaines Maths '!H470=3,'Items sous domaines Maths '!J470=3 ),'Items sous domaines Maths '!C470)</f>
        <v>0</v>
      </c>
      <c r="D446" s="8">
        <f>IF(OR('Items sous domaines Maths '!H470=3,'Items sous domaines Maths '!J470=3 ),'Items sous domaines Maths '!D470,0)</f>
        <v>0</v>
      </c>
      <c r="E446" s="8">
        <f>IF(OR('Items sous domaines Maths '!H470=3,'Items sous domaines Maths '!J470=3 ),'Items sous domaines Maths '!E470,0)</f>
        <v>0</v>
      </c>
      <c r="F446" s="9">
        <f>IF(OR('Items sous domaines Maths '!H470=3,'Items sous domaines Maths '!J470=3 ),'Items sous domaines Maths '!F464,0)</f>
        <v>0</v>
      </c>
      <c r="G446">
        <f>IF('Items sous domaines Maths '!H470=1,'Items sous domaines Maths '!G470,0)</f>
        <v>0</v>
      </c>
    </row>
    <row r="447" spans="2:7" customFormat="1" ht="13.2" hidden="1" x14ac:dyDescent="0.25">
      <c r="B447" s="8">
        <f>IF(OR('Items sous domaines Maths '!H471=3,'Items sous domaines Maths '!J471=3 ),'Items sous domaines Maths '!B471,0)</f>
        <v>0</v>
      </c>
      <c r="C447" s="8" t="b">
        <f>IF(OR('Items sous domaines Maths '!H471=3,'Items sous domaines Maths '!J471=3 ),'Items sous domaines Maths '!C471)</f>
        <v>0</v>
      </c>
      <c r="D447" s="8">
        <f>IF(OR('Items sous domaines Maths '!H471=3,'Items sous domaines Maths '!J471=3 ),'Items sous domaines Maths '!D471,0)</f>
        <v>0</v>
      </c>
      <c r="E447" s="8">
        <f>IF(OR('Items sous domaines Maths '!H471=3,'Items sous domaines Maths '!J471=3 ),'Items sous domaines Maths '!E471,0)</f>
        <v>0</v>
      </c>
      <c r="F447" s="9">
        <f>IF(OR('Items sous domaines Maths '!H471=3,'Items sous domaines Maths '!J471=3 ),'Items sous domaines Maths '!F465,0)</f>
        <v>0</v>
      </c>
      <c r="G447">
        <f>IF('Items sous domaines Maths '!H471=1,'Items sous domaines Maths '!G471,0)</f>
        <v>0</v>
      </c>
    </row>
    <row r="448" spans="2:7" customFormat="1" ht="13.2" hidden="1" x14ac:dyDescent="0.25">
      <c r="B448" s="8">
        <f>IF(OR('Items sous domaines Maths '!H472=3,'Items sous domaines Maths '!J472=3 ),'Items sous domaines Maths '!B472,0)</f>
        <v>0</v>
      </c>
      <c r="C448" s="8" t="b">
        <f>IF(OR('Items sous domaines Maths '!H472=3,'Items sous domaines Maths '!J472=3 ),'Items sous domaines Maths '!C472)</f>
        <v>0</v>
      </c>
      <c r="D448" s="8">
        <f>IF(OR('Items sous domaines Maths '!H472=3,'Items sous domaines Maths '!J472=3 ),'Items sous domaines Maths '!D472,0)</f>
        <v>0</v>
      </c>
      <c r="E448" s="8">
        <f>IF(OR('Items sous domaines Maths '!H472=3,'Items sous domaines Maths '!J472=3 ),'Items sous domaines Maths '!E472,0)</f>
        <v>0</v>
      </c>
      <c r="F448" s="9">
        <f>IF(OR('Items sous domaines Maths '!H472=3,'Items sous domaines Maths '!J472=3 ),'Items sous domaines Maths '!F466,0)</f>
        <v>0</v>
      </c>
      <c r="G448">
        <f>IF('Items sous domaines Maths '!H472=1,'Items sous domaines Maths '!G472,0)</f>
        <v>0</v>
      </c>
    </row>
    <row r="449" spans="2:7" customFormat="1" ht="13.2" hidden="1" x14ac:dyDescent="0.25">
      <c r="B449" s="8">
        <f>IF(OR('Items sous domaines Maths '!H473=3,'Items sous domaines Maths '!J473=3 ),'Items sous domaines Maths '!B473,0)</f>
        <v>0</v>
      </c>
      <c r="C449" s="8" t="b">
        <f>IF(OR('Items sous domaines Maths '!H473=3,'Items sous domaines Maths '!J473=3 ),'Items sous domaines Maths '!C473)</f>
        <v>0</v>
      </c>
      <c r="D449" s="8">
        <f>IF(OR('Items sous domaines Maths '!H473=3,'Items sous domaines Maths '!J473=3 ),'Items sous domaines Maths '!D473,0)</f>
        <v>0</v>
      </c>
      <c r="E449" s="8">
        <f>IF(OR('Items sous domaines Maths '!H473=3,'Items sous domaines Maths '!J473=3 ),'Items sous domaines Maths '!E473,0)</f>
        <v>0</v>
      </c>
      <c r="F449" s="9">
        <f>IF(OR('Items sous domaines Maths '!H473=3,'Items sous domaines Maths '!J473=3 ),'Items sous domaines Maths '!F467,0)</f>
        <v>0</v>
      </c>
      <c r="G449">
        <f>IF('Items sous domaines Maths '!H473=1,'Items sous domaines Maths '!G473,0)</f>
        <v>0</v>
      </c>
    </row>
    <row r="450" spans="2:7" customFormat="1" ht="13.2" hidden="1" x14ac:dyDescent="0.25">
      <c r="B450" s="8">
        <f>IF(OR('Items sous domaines Maths '!H474=3,'Items sous domaines Maths '!J474=3 ),'Items sous domaines Maths '!B474,0)</f>
        <v>0</v>
      </c>
      <c r="C450" s="8" t="b">
        <f>IF(OR('Items sous domaines Maths '!H474=3,'Items sous domaines Maths '!J474=3 ),'Items sous domaines Maths '!C474)</f>
        <v>0</v>
      </c>
      <c r="D450" s="8">
        <f>IF(OR('Items sous domaines Maths '!H474=3,'Items sous domaines Maths '!J474=3 ),'Items sous domaines Maths '!D474,0)</f>
        <v>0</v>
      </c>
      <c r="E450" s="8">
        <f>IF(OR('Items sous domaines Maths '!H474=3,'Items sous domaines Maths '!J474=3 ),'Items sous domaines Maths '!E474,0)</f>
        <v>0</v>
      </c>
      <c r="F450" s="9">
        <f>IF(OR('Items sous domaines Maths '!H474=3,'Items sous domaines Maths '!J474=3 ),'Items sous domaines Maths '!F468,0)</f>
        <v>0</v>
      </c>
      <c r="G450">
        <f>IF('Items sous domaines Maths '!H474=1,'Items sous domaines Maths '!G474,0)</f>
        <v>0</v>
      </c>
    </row>
    <row r="451" spans="2:7" customFormat="1" ht="13.2" hidden="1" x14ac:dyDescent="0.25">
      <c r="B451" s="8">
        <f>IF(OR('Items sous domaines Maths '!H475=3,'Items sous domaines Maths '!J475=3 ),'Items sous domaines Maths '!B475,0)</f>
        <v>0</v>
      </c>
      <c r="C451" s="8" t="b">
        <f>IF(OR('Items sous domaines Maths '!H475=3,'Items sous domaines Maths '!J475=3 ),'Items sous domaines Maths '!C475)</f>
        <v>0</v>
      </c>
      <c r="D451" s="8">
        <f>IF(OR('Items sous domaines Maths '!H475=3,'Items sous domaines Maths '!J475=3 ),'Items sous domaines Maths '!D475,0)</f>
        <v>0</v>
      </c>
      <c r="E451" s="8">
        <f>IF(OR('Items sous domaines Maths '!H475=3,'Items sous domaines Maths '!J475=3 ),'Items sous domaines Maths '!E475,0)</f>
        <v>0</v>
      </c>
      <c r="F451" s="9">
        <f>IF(OR('Items sous domaines Maths '!H475=3,'Items sous domaines Maths '!J475=3 ),'Items sous domaines Maths '!F469,0)</f>
        <v>0</v>
      </c>
      <c r="G451">
        <f>IF('Items sous domaines Maths '!H475=1,'Items sous domaines Maths '!G475,0)</f>
        <v>0</v>
      </c>
    </row>
    <row r="452" spans="2:7" customFormat="1" ht="13.2" hidden="1" x14ac:dyDescent="0.25">
      <c r="B452" s="8">
        <f>IF(OR('Items sous domaines Maths '!H476=3,'Items sous domaines Maths '!J476=3 ),'Items sous domaines Maths '!B476,0)</f>
        <v>0</v>
      </c>
      <c r="C452" s="8" t="b">
        <f>IF(OR('Items sous domaines Maths '!H476=3,'Items sous domaines Maths '!J476=3 ),'Items sous domaines Maths '!C476)</f>
        <v>0</v>
      </c>
      <c r="D452" s="8">
        <f>IF(OR('Items sous domaines Maths '!H476=3,'Items sous domaines Maths '!J476=3 ),'Items sous domaines Maths '!D476,0)</f>
        <v>0</v>
      </c>
      <c r="E452" s="8">
        <f>IF(OR('Items sous domaines Maths '!H476=3,'Items sous domaines Maths '!J476=3 ),'Items sous domaines Maths '!E476,0)</f>
        <v>0</v>
      </c>
      <c r="F452" s="9">
        <f>IF(OR('Items sous domaines Maths '!H476=3,'Items sous domaines Maths '!J476=3 ),'Items sous domaines Maths '!F470,0)</f>
        <v>0</v>
      </c>
      <c r="G452">
        <f>IF('Items sous domaines Maths '!H476=1,'Items sous domaines Maths '!G476,0)</f>
        <v>0</v>
      </c>
    </row>
    <row r="453" spans="2:7" customFormat="1" ht="13.2" hidden="1" x14ac:dyDescent="0.25">
      <c r="B453" s="8">
        <f>IF(OR('Items sous domaines Maths '!H477=3,'Items sous domaines Maths '!J477=3 ),'Items sous domaines Maths '!B477,0)</f>
        <v>0</v>
      </c>
      <c r="C453" s="8" t="b">
        <f>IF(OR('Items sous domaines Maths '!H477=3,'Items sous domaines Maths '!J477=3 ),'Items sous domaines Maths '!C477)</f>
        <v>0</v>
      </c>
      <c r="D453" s="8">
        <f>IF(OR('Items sous domaines Maths '!H477=3,'Items sous domaines Maths '!J477=3 ),'Items sous domaines Maths '!D477,0)</f>
        <v>0</v>
      </c>
      <c r="E453" s="8">
        <f>IF(OR('Items sous domaines Maths '!H477=3,'Items sous domaines Maths '!J477=3 ),'Items sous domaines Maths '!E477,0)</f>
        <v>0</v>
      </c>
      <c r="F453" s="9">
        <f>IF(OR('Items sous domaines Maths '!H477=3,'Items sous domaines Maths '!J477=3 ),'Items sous domaines Maths '!F471,0)</f>
        <v>0</v>
      </c>
      <c r="G453">
        <f>IF('Items sous domaines Maths '!H477=1,'Items sous domaines Maths '!G477,0)</f>
        <v>0</v>
      </c>
    </row>
    <row r="454" spans="2:7" customFormat="1" ht="13.2" hidden="1" x14ac:dyDescent="0.25">
      <c r="B454" s="8">
        <f>IF(OR('Items sous domaines Maths '!H478=3,'Items sous domaines Maths '!J478=3 ),'Items sous domaines Maths '!B478,0)</f>
        <v>0</v>
      </c>
      <c r="C454" s="8" t="b">
        <f>IF(OR('Items sous domaines Maths '!H478=3,'Items sous domaines Maths '!J478=3 ),'Items sous domaines Maths '!C478)</f>
        <v>0</v>
      </c>
      <c r="D454" s="8">
        <f>IF(OR('Items sous domaines Maths '!H478=3,'Items sous domaines Maths '!J478=3 ),'Items sous domaines Maths '!D478,0)</f>
        <v>0</v>
      </c>
      <c r="E454" s="8">
        <f>IF(OR('Items sous domaines Maths '!H478=3,'Items sous domaines Maths '!J478=3 ),'Items sous domaines Maths '!E478,0)</f>
        <v>0</v>
      </c>
      <c r="F454" s="9">
        <f>IF(OR('Items sous domaines Maths '!H478=3,'Items sous domaines Maths '!J478=3 ),'Items sous domaines Maths '!F472,0)</f>
        <v>0</v>
      </c>
      <c r="G454">
        <f>IF('Items sous domaines Maths '!H478=1,'Items sous domaines Maths '!G478,0)</f>
        <v>0</v>
      </c>
    </row>
    <row r="455" spans="2:7" customFormat="1" ht="13.2" hidden="1" x14ac:dyDescent="0.25">
      <c r="B455" s="8">
        <f>IF(OR('Items sous domaines Maths '!H479=3,'Items sous domaines Maths '!J479=3 ),'Items sous domaines Maths '!B479,0)</f>
        <v>0</v>
      </c>
      <c r="C455" s="8" t="b">
        <f>IF(OR('Items sous domaines Maths '!H479=3,'Items sous domaines Maths '!J479=3 ),'Items sous domaines Maths '!C479)</f>
        <v>0</v>
      </c>
      <c r="D455" s="8">
        <f>IF(OR('Items sous domaines Maths '!H479=3,'Items sous domaines Maths '!J479=3 ),'Items sous domaines Maths '!D479,0)</f>
        <v>0</v>
      </c>
      <c r="E455" s="8">
        <f>IF(OR('Items sous domaines Maths '!H479=3,'Items sous domaines Maths '!J479=3 ),'Items sous domaines Maths '!E479,0)</f>
        <v>0</v>
      </c>
      <c r="F455" s="9">
        <f>IF(OR('Items sous domaines Maths '!H479=3,'Items sous domaines Maths '!J479=3 ),'Items sous domaines Maths '!F473,0)</f>
        <v>0</v>
      </c>
      <c r="G455">
        <f>IF('Items sous domaines Maths '!H479=1,'Items sous domaines Maths '!G479,0)</f>
        <v>0</v>
      </c>
    </row>
    <row r="456" spans="2:7" customFormat="1" ht="13.2" hidden="1" x14ac:dyDescent="0.25">
      <c r="B456" s="8">
        <f>IF(OR('Items sous domaines Maths '!H480=3,'Items sous domaines Maths '!J480=3 ),'Items sous domaines Maths '!B480,0)</f>
        <v>0</v>
      </c>
      <c r="C456" s="8" t="b">
        <f>IF(OR('Items sous domaines Maths '!H480=3,'Items sous domaines Maths '!J480=3 ),'Items sous domaines Maths '!C480)</f>
        <v>0</v>
      </c>
      <c r="D456" s="8">
        <f>IF(OR('Items sous domaines Maths '!H480=3,'Items sous domaines Maths '!J480=3 ),'Items sous domaines Maths '!D480,0)</f>
        <v>0</v>
      </c>
      <c r="E456" s="8">
        <f>IF(OR('Items sous domaines Maths '!H480=3,'Items sous domaines Maths '!J480=3 ),'Items sous domaines Maths '!E480,0)</f>
        <v>0</v>
      </c>
      <c r="F456" s="9">
        <f>IF(OR('Items sous domaines Maths '!H480=3,'Items sous domaines Maths '!J480=3 ),'Items sous domaines Maths '!F474,0)</f>
        <v>0</v>
      </c>
      <c r="G456">
        <f>IF('Items sous domaines Maths '!H480=1,'Items sous domaines Maths '!G480,0)</f>
        <v>0</v>
      </c>
    </row>
    <row r="457" spans="2:7" customFormat="1" ht="13.2" hidden="1" x14ac:dyDescent="0.25">
      <c r="B457" s="8">
        <f>IF(OR('Items sous domaines Maths '!H481=3,'Items sous domaines Maths '!J481=3 ),'Items sous domaines Maths '!B481,0)</f>
        <v>0</v>
      </c>
      <c r="C457" s="8" t="b">
        <f>IF(OR('Items sous domaines Maths '!H481=3,'Items sous domaines Maths '!J481=3 ),'Items sous domaines Maths '!C481)</f>
        <v>0</v>
      </c>
      <c r="D457" s="8">
        <f>IF(OR('Items sous domaines Maths '!H481=3,'Items sous domaines Maths '!J481=3 ),'Items sous domaines Maths '!D481,0)</f>
        <v>0</v>
      </c>
      <c r="E457" s="8">
        <f>IF(OR('Items sous domaines Maths '!H481=3,'Items sous domaines Maths '!J481=3 ),'Items sous domaines Maths '!E481,0)</f>
        <v>0</v>
      </c>
      <c r="F457" s="9">
        <f>IF(OR('Items sous domaines Maths '!H481=3,'Items sous domaines Maths '!J481=3 ),'Items sous domaines Maths '!F475,0)</f>
        <v>0</v>
      </c>
      <c r="G457">
        <f>IF('Items sous domaines Maths '!H481=1,'Items sous domaines Maths '!G481,0)</f>
        <v>0</v>
      </c>
    </row>
    <row r="458" spans="2:7" customFormat="1" ht="13.2" hidden="1" x14ac:dyDescent="0.25">
      <c r="B458" s="8">
        <f>IF(OR('Items sous domaines Maths '!H482=3,'Items sous domaines Maths '!J482=3 ),'Items sous domaines Maths '!B482,0)</f>
        <v>0</v>
      </c>
      <c r="C458" s="8" t="b">
        <f>IF(OR('Items sous domaines Maths '!H482=3,'Items sous domaines Maths '!J482=3 ),'Items sous domaines Maths '!C482)</f>
        <v>0</v>
      </c>
      <c r="D458" s="8">
        <f>IF(OR('Items sous domaines Maths '!H482=3,'Items sous domaines Maths '!J482=3 ),'Items sous domaines Maths '!D482,0)</f>
        <v>0</v>
      </c>
      <c r="E458" s="8">
        <f>IF(OR('Items sous domaines Maths '!H482=3,'Items sous domaines Maths '!J482=3 ),'Items sous domaines Maths '!E482,0)</f>
        <v>0</v>
      </c>
      <c r="F458" s="9">
        <f>IF(OR('Items sous domaines Maths '!H482=3,'Items sous domaines Maths '!J482=3 ),'Items sous domaines Maths '!F476,0)</f>
        <v>0</v>
      </c>
      <c r="G458">
        <f>IF('Items sous domaines Maths '!H482=1,'Items sous domaines Maths '!G482,0)</f>
        <v>0</v>
      </c>
    </row>
    <row r="459" spans="2:7" customFormat="1" ht="13.2" hidden="1" x14ac:dyDescent="0.25">
      <c r="B459" s="8">
        <f>IF(OR('Items sous domaines Maths '!H483=3,'Items sous domaines Maths '!J483=3 ),'Items sous domaines Maths '!B483,0)</f>
        <v>0</v>
      </c>
      <c r="C459" s="8" t="b">
        <f>IF(OR('Items sous domaines Maths '!H483=3,'Items sous domaines Maths '!J483=3 ),'Items sous domaines Maths '!C483)</f>
        <v>0</v>
      </c>
      <c r="D459" s="8">
        <f>IF(OR('Items sous domaines Maths '!H483=3,'Items sous domaines Maths '!J483=3 ),'Items sous domaines Maths '!D483,0)</f>
        <v>0</v>
      </c>
      <c r="E459" s="8">
        <f>IF(OR('Items sous domaines Maths '!H483=3,'Items sous domaines Maths '!J483=3 ),'Items sous domaines Maths '!E483,0)</f>
        <v>0</v>
      </c>
      <c r="F459" s="9">
        <f>IF(OR('Items sous domaines Maths '!H483=3,'Items sous domaines Maths '!J483=3 ),'Items sous domaines Maths '!F477,0)</f>
        <v>0</v>
      </c>
      <c r="G459">
        <f>IF('Items sous domaines Maths '!H483=1,'Items sous domaines Maths '!G483,0)</f>
        <v>0</v>
      </c>
    </row>
    <row r="460" spans="2:7" customFormat="1" ht="13.2" hidden="1" x14ac:dyDescent="0.25">
      <c r="B460" s="8">
        <f>IF(OR('Items sous domaines Maths '!H484=3,'Items sous domaines Maths '!J484=3 ),'Items sous domaines Maths '!B484,0)</f>
        <v>0</v>
      </c>
      <c r="C460" s="8" t="b">
        <f>IF(OR('Items sous domaines Maths '!H484=3,'Items sous domaines Maths '!J484=3 ),'Items sous domaines Maths '!C484)</f>
        <v>0</v>
      </c>
      <c r="D460" s="8">
        <f>IF(OR('Items sous domaines Maths '!H484=3,'Items sous domaines Maths '!J484=3 ),'Items sous domaines Maths '!D484,0)</f>
        <v>0</v>
      </c>
      <c r="E460" s="8">
        <f>IF(OR('Items sous domaines Maths '!H484=3,'Items sous domaines Maths '!J484=3 ),'Items sous domaines Maths '!E484,0)</f>
        <v>0</v>
      </c>
      <c r="F460" s="9">
        <f>IF(OR('Items sous domaines Maths '!H484=3,'Items sous domaines Maths '!J484=3 ),'Items sous domaines Maths '!F478,0)</f>
        <v>0</v>
      </c>
      <c r="G460">
        <f>IF('Items sous domaines Maths '!H484=1,'Items sous domaines Maths '!G484,0)</f>
        <v>0</v>
      </c>
    </row>
    <row r="461" spans="2:7" customFormat="1" ht="13.2" hidden="1" x14ac:dyDescent="0.25">
      <c r="B461" s="8">
        <f>IF(OR('Items sous domaines Maths '!H485=3,'Items sous domaines Maths '!J485=3 ),'Items sous domaines Maths '!B485,0)</f>
        <v>0</v>
      </c>
      <c r="C461" s="8" t="b">
        <f>IF(OR('Items sous domaines Maths '!H485=3,'Items sous domaines Maths '!J485=3 ),'Items sous domaines Maths '!C485)</f>
        <v>0</v>
      </c>
      <c r="D461" s="8">
        <f>IF(OR('Items sous domaines Maths '!H485=3,'Items sous domaines Maths '!J485=3 ),'Items sous domaines Maths '!D485,0)</f>
        <v>0</v>
      </c>
      <c r="E461" s="8">
        <f>IF(OR('Items sous domaines Maths '!H485=3,'Items sous domaines Maths '!J485=3 ),'Items sous domaines Maths '!E485,0)</f>
        <v>0</v>
      </c>
      <c r="F461" s="9">
        <f>IF(OR('Items sous domaines Maths '!H485=3,'Items sous domaines Maths '!J485=3 ),'Items sous domaines Maths '!F479,0)</f>
        <v>0</v>
      </c>
      <c r="G461">
        <f>IF('Items sous domaines Maths '!H485=1,'Items sous domaines Maths '!G485,0)</f>
        <v>0</v>
      </c>
    </row>
    <row r="462" spans="2:7" customFormat="1" ht="13.2" hidden="1" x14ac:dyDescent="0.25">
      <c r="B462" s="8">
        <f>IF(OR('Items sous domaines Maths '!H486=3,'Items sous domaines Maths '!J486=3 ),'Items sous domaines Maths '!B486,0)</f>
        <v>0</v>
      </c>
      <c r="C462" s="8" t="b">
        <f>IF(OR('Items sous domaines Maths '!H486=3,'Items sous domaines Maths '!J486=3 ),'Items sous domaines Maths '!C486)</f>
        <v>0</v>
      </c>
      <c r="D462" s="8">
        <f>IF(OR('Items sous domaines Maths '!H486=3,'Items sous domaines Maths '!J486=3 ),'Items sous domaines Maths '!D486,0)</f>
        <v>0</v>
      </c>
      <c r="E462" s="8">
        <f>IF(OR('Items sous domaines Maths '!H486=3,'Items sous domaines Maths '!J486=3 ),'Items sous domaines Maths '!E486,0)</f>
        <v>0</v>
      </c>
      <c r="F462" s="9">
        <f>IF(OR('Items sous domaines Maths '!H486=3,'Items sous domaines Maths '!J486=3 ),'Items sous domaines Maths '!F480,0)</f>
        <v>0</v>
      </c>
      <c r="G462">
        <f>IF('Items sous domaines Maths '!H486=1,'Items sous domaines Maths '!G486,0)</f>
        <v>0</v>
      </c>
    </row>
    <row r="463" spans="2:7" customFormat="1" ht="13.2" hidden="1" x14ac:dyDescent="0.25">
      <c r="B463" s="8">
        <f>IF(OR('Items sous domaines Maths '!H487=3,'Items sous domaines Maths '!J487=3 ),'Items sous domaines Maths '!B487,0)</f>
        <v>0</v>
      </c>
      <c r="C463" s="8" t="b">
        <f>IF(OR('Items sous domaines Maths '!H487=3,'Items sous domaines Maths '!J487=3 ),'Items sous domaines Maths '!C487)</f>
        <v>0</v>
      </c>
      <c r="D463" s="8">
        <f>IF(OR('Items sous domaines Maths '!H487=3,'Items sous domaines Maths '!J487=3 ),'Items sous domaines Maths '!D487,0)</f>
        <v>0</v>
      </c>
      <c r="E463" s="8">
        <f>IF(OR('Items sous domaines Maths '!H487=3,'Items sous domaines Maths '!J487=3 ),'Items sous domaines Maths '!E487,0)</f>
        <v>0</v>
      </c>
      <c r="F463" s="9">
        <f>IF(OR('Items sous domaines Maths '!H487=3,'Items sous domaines Maths '!J487=3 ),'Items sous domaines Maths '!F481,0)</f>
        <v>0</v>
      </c>
      <c r="G463">
        <f>IF('Items sous domaines Maths '!H487=1,'Items sous domaines Maths '!G487,0)</f>
        <v>0</v>
      </c>
    </row>
    <row r="464" spans="2:7" customFormat="1" ht="13.2" hidden="1" x14ac:dyDescent="0.25">
      <c r="B464" s="8">
        <f>IF(OR('Items sous domaines Maths '!H488=3,'Items sous domaines Maths '!J488=3 ),'Items sous domaines Maths '!B488,0)</f>
        <v>0</v>
      </c>
      <c r="C464" s="8" t="b">
        <f>IF(OR('Items sous domaines Maths '!H488=3,'Items sous domaines Maths '!J488=3 ),'Items sous domaines Maths '!C488)</f>
        <v>0</v>
      </c>
      <c r="D464" s="8">
        <f>IF(OR('Items sous domaines Maths '!H488=3,'Items sous domaines Maths '!J488=3 ),'Items sous domaines Maths '!D488,0)</f>
        <v>0</v>
      </c>
      <c r="E464" s="8">
        <f>IF(OR('Items sous domaines Maths '!H488=3,'Items sous domaines Maths '!J488=3 ),'Items sous domaines Maths '!E488,0)</f>
        <v>0</v>
      </c>
      <c r="F464" s="9">
        <f>IF(OR('Items sous domaines Maths '!H488=3,'Items sous domaines Maths '!J488=3 ),'Items sous domaines Maths '!F482,0)</f>
        <v>0</v>
      </c>
      <c r="G464">
        <f>IF('Items sous domaines Maths '!H488=1,'Items sous domaines Maths '!G488,0)</f>
        <v>0</v>
      </c>
    </row>
    <row r="465" spans="2:7" customFormat="1" ht="13.2" hidden="1" x14ac:dyDescent="0.25">
      <c r="B465" s="8">
        <f>IF(OR('Items sous domaines Maths '!H489=3,'Items sous domaines Maths '!J489=3 ),'Items sous domaines Maths '!B489,0)</f>
        <v>0</v>
      </c>
      <c r="C465" s="8" t="b">
        <f>IF(OR('Items sous domaines Maths '!H489=3,'Items sous domaines Maths '!J489=3 ),'Items sous domaines Maths '!C489)</f>
        <v>0</v>
      </c>
      <c r="D465" s="8">
        <f>IF(OR('Items sous domaines Maths '!H489=3,'Items sous domaines Maths '!J489=3 ),'Items sous domaines Maths '!D489,0)</f>
        <v>0</v>
      </c>
      <c r="E465" s="8">
        <f>IF(OR('Items sous domaines Maths '!H489=3,'Items sous domaines Maths '!J489=3 ),'Items sous domaines Maths '!E489,0)</f>
        <v>0</v>
      </c>
      <c r="F465" s="9">
        <f>IF(OR('Items sous domaines Maths '!H489=3,'Items sous domaines Maths '!J489=3 ),'Items sous domaines Maths '!F483,0)</f>
        <v>0</v>
      </c>
      <c r="G465">
        <f>IF('Items sous domaines Maths '!H489=1,'Items sous domaines Maths '!G489,0)</f>
        <v>0</v>
      </c>
    </row>
    <row r="466" spans="2:7" customFormat="1" ht="13.2" hidden="1" x14ac:dyDescent="0.25">
      <c r="B466" s="8">
        <f>IF(OR('Items sous domaines Maths '!H490=3,'Items sous domaines Maths '!J490=3 ),'Items sous domaines Maths '!B490,0)</f>
        <v>0</v>
      </c>
      <c r="C466" s="8" t="b">
        <f>IF(OR('Items sous domaines Maths '!H490=3,'Items sous domaines Maths '!J490=3 ),'Items sous domaines Maths '!C490)</f>
        <v>0</v>
      </c>
      <c r="D466" s="8">
        <f>IF(OR('Items sous domaines Maths '!H490=3,'Items sous domaines Maths '!J490=3 ),'Items sous domaines Maths '!D490,0)</f>
        <v>0</v>
      </c>
      <c r="E466" s="8">
        <f>IF(OR('Items sous domaines Maths '!H490=3,'Items sous domaines Maths '!J490=3 ),'Items sous domaines Maths '!E490,0)</f>
        <v>0</v>
      </c>
      <c r="F466" s="9">
        <f>IF(OR('Items sous domaines Maths '!H490=3,'Items sous domaines Maths '!J490=3 ),'Items sous domaines Maths '!F484,0)</f>
        <v>0</v>
      </c>
      <c r="G466">
        <f>IF('Items sous domaines Maths '!H490=1,'Items sous domaines Maths '!G490,0)</f>
        <v>0</v>
      </c>
    </row>
    <row r="467" spans="2:7" customFormat="1" ht="13.2" hidden="1" x14ac:dyDescent="0.25">
      <c r="B467" s="8">
        <f>IF(OR('Items sous domaines Maths '!H491=3,'Items sous domaines Maths '!J491=3 ),'Items sous domaines Maths '!B491,0)</f>
        <v>0</v>
      </c>
      <c r="C467" s="8" t="b">
        <f>IF(OR('Items sous domaines Maths '!H491=3,'Items sous domaines Maths '!J491=3 ),'Items sous domaines Maths '!C491)</f>
        <v>0</v>
      </c>
      <c r="D467" s="8">
        <f>IF(OR('Items sous domaines Maths '!H491=3,'Items sous domaines Maths '!J491=3 ),'Items sous domaines Maths '!D491,0)</f>
        <v>0</v>
      </c>
      <c r="E467" s="8">
        <f>IF(OR('Items sous domaines Maths '!H491=3,'Items sous domaines Maths '!J491=3 ),'Items sous domaines Maths '!E491,0)</f>
        <v>0</v>
      </c>
      <c r="F467" s="9">
        <f>IF(OR('Items sous domaines Maths '!H491=3,'Items sous domaines Maths '!J491=3 ),'Items sous domaines Maths '!F485,0)</f>
        <v>0</v>
      </c>
      <c r="G467">
        <f>IF('Items sous domaines Maths '!H491=1,'Items sous domaines Maths '!G491,0)</f>
        <v>0</v>
      </c>
    </row>
    <row r="468" spans="2:7" customFormat="1" ht="13.2" hidden="1" x14ac:dyDescent="0.25">
      <c r="B468" s="8">
        <f>IF(OR('Items sous domaines Maths '!H492=3,'Items sous domaines Maths '!J492=3 ),'Items sous domaines Maths '!B492,0)</f>
        <v>0</v>
      </c>
      <c r="C468" s="8" t="b">
        <f>IF(OR('Items sous domaines Maths '!H492=3,'Items sous domaines Maths '!J492=3 ),'Items sous domaines Maths '!C492)</f>
        <v>0</v>
      </c>
      <c r="D468" s="8">
        <f>IF(OR('Items sous domaines Maths '!H492=3,'Items sous domaines Maths '!J492=3 ),'Items sous domaines Maths '!D492,0)</f>
        <v>0</v>
      </c>
      <c r="E468" s="8">
        <f>IF(OR('Items sous domaines Maths '!H492=3,'Items sous domaines Maths '!J492=3 ),'Items sous domaines Maths '!E492,0)</f>
        <v>0</v>
      </c>
      <c r="F468" s="9">
        <f>IF(OR('Items sous domaines Maths '!H492=3,'Items sous domaines Maths '!J492=3 ),'Items sous domaines Maths '!F486,0)</f>
        <v>0</v>
      </c>
      <c r="G468">
        <f>IF('Items sous domaines Maths '!H492=1,'Items sous domaines Maths '!G492,0)</f>
        <v>0</v>
      </c>
    </row>
    <row r="469" spans="2:7" customFormat="1" ht="13.2" hidden="1" x14ac:dyDescent="0.25">
      <c r="B469" s="8">
        <f>IF(OR('Items sous domaines Maths '!H493=3,'Items sous domaines Maths '!J493=3 ),'Items sous domaines Maths '!B493,0)</f>
        <v>0</v>
      </c>
      <c r="C469" s="8" t="b">
        <f>IF(OR('Items sous domaines Maths '!H493=3,'Items sous domaines Maths '!J493=3 ),'Items sous domaines Maths '!C493)</f>
        <v>0</v>
      </c>
      <c r="D469" s="8">
        <f>IF(OR('Items sous domaines Maths '!H493=3,'Items sous domaines Maths '!J493=3 ),'Items sous domaines Maths '!D493,0)</f>
        <v>0</v>
      </c>
      <c r="E469" s="8">
        <f>IF(OR('Items sous domaines Maths '!H493=3,'Items sous domaines Maths '!J493=3 ),'Items sous domaines Maths '!E493,0)</f>
        <v>0</v>
      </c>
      <c r="F469" s="9">
        <f>IF(OR('Items sous domaines Maths '!H493=3,'Items sous domaines Maths '!J493=3 ),'Items sous domaines Maths '!F487,0)</f>
        <v>0</v>
      </c>
      <c r="G469">
        <f>IF('Items sous domaines Maths '!H493=1,'Items sous domaines Maths '!G493,0)</f>
        <v>0</v>
      </c>
    </row>
    <row r="470" spans="2:7" customFormat="1" ht="13.2" hidden="1" x14ac:dyDescent="0.25">
      <c r="B470" s="8">
        <f>IF(OR('Items sous domaines Maths '!H494=3,'Items sous domaines Maths '!J494=3 ),'Items sous domaines Maths '!B494,0)</f>
        <v>0</v>
      </c>
      <c r="C470" s="8" t="b">
        <f>IF(OR('Items sous domaines Maths '!H494=3,'Items sous domaines Maths '!J494=3 ),'Items sous domaines Maths '!C494)</f>
        <v>0</v>
      </c>
      <c r="D470" s="8">
        <f>IF(OR('Items sous domaines Maths '!H494=3,'Items sous domaines Maths '!J494=3 ),'Items sous domaines Maths '!D494,0)</f>
        <v>0</v>
      </c>
      <c r="E470" s="8">
        <f>IF(OR('Items sous domaines Maths '!H494=3,'Items sous domaines Maths '!J494=3 ),'Items sous domaines Maths '!E494,0)</f>
        <v>0</v>
      </c>
      <c r="F470" s="9">
        <f>IF(OR('Items sous domaines Maths '!H494=3,'Items sous domaines Maths '!J494=3 ),'Items sous domaines Maths '!F488,0)</f>
        <v>0</v>
      </c>
      <c r="G470">
        <f>IF('Items sous domaines Maths '!H494=1,'Items sous domaines Maths '!G494,0)</f>
        <v>0</v>
      </c>
    </row>
    <row r="471" spans="2:7" customFormat="1" ht="13.2" hidden="1" x14ac:dyDescent="0.25">
      <c r="B471" s="8">
        <f>IF(OR('Items sous domaines Maths '!H495=3,'Items sous domaines Maths '!J495=3 ),'Items sous domaines Maths '!B495,0)</f>
        <v>0</v>
      </c>
      <c r="C471" s="8" t="b">
        <f>IF(OR('Items sous domaines Maths '!H495=3,'Items sous domaines Maths '!J495=3 ),'Items sous domaines Maths '!C495)</f>
        <v>0</v>
      </c>
      <c r="D471" s="8">
        <f>IF(OR('Items sous domaines Maths '!H495=3,'Items sous domaines Maths '!J495=3 ),'Items sous domaines Maths '!D495,0)</f>
        <v>0</v>
      </c>
      <c r="E471" s="8">
        <f>IF(OR('Items sous domaines Maths '!H495=3,'Items sous domaines Maths '!J495=3 ),'Items sous domaines Maths '!E495,0)</f>
        <v>0</v>
      </c>
      <c r="F471" s="9">
        <f>IF(OR('Items sous domaines Maths '!H495=3,'Items sous domaines Maths '!J495=3 ),'Items sous domaines Maths '!F489,0)</f>
        <v>0</v>
      </c>
      <c r="G471">
        <f>IF('Items sous domaines Maths '!H495=1,'Items sous domaines Maths '!G495,0)</f>
        <v>0</v>
      </c>
    </row>
    <row r="472" spans="2:7" customFormat="1" ht="13.2" hidden="1" x14ac:dyDescent="0.25">
      <c r="B472" s="8">
        <f>IF(OR('Items sous domaines Maths '!H496=3,'Items sous domaines Maths '!J496=3 ),'Items sous domaines Maths '!B496,0)</f>
        <v>0</v>
      </c>
      <c r="C472" s="8" t="b">
        <f>IF(OR('Items sous domaines Maths '!H496=3,'Items sous domaines Maths '!J496=3 ),'Items sous domaines Maths '!C496)</f>
        <v>0</v>
      </c>
      <c r="D472" s="8">
        <f>IF(OR('Items sous domaines Maths '!H496=3,'Items sous domaines Maths '!J496=3 ),'Items sous domaines Maths '!D496,0)</f>
        <v>0</v>
      </c>
      <c r="E472" s="8">
        <f>IF(OR('Items sous domaines Maths '!H496=3,'Items sous domaines Maths '!J496=3 ),'Items sous domaines Maths '!E496,0)</f>
        <v>0</v>
      </c>
      <c r="F472" s="9">
        <f>IF(OR('Items sous domaines Maths '!H496=3,'Items sous domaines Maths '!J496=3 ),'Items sous domaines Maths '!F490,0)</f>
        <v>0</v>
      </c>
      <c r="G472">
        <f>IF('Items sous domaines Maths '!H496=1,'Items sous domaines Maths '!G496,0)</f>
        <v>0</v>
      </c>
    </row>
    <row r="473" spans="2:7" customFormat="1" ht="13.2" hidden="1" x14ac:dyDescent="0.25">
      <c r="B473" s="8">
        <f>IF(OR('Items sous domaines Maths '!H497=3,'Items sous domaines Maths '!J497=3 ),'Items sous domaines Maths '!B497,0)</f>
        <v>0</v>
      </c>
      <c r="C473" s="8" t="b">
        <f>IF(OR('Items sous domaines Maths '!H497=3,'Items sous domaines Maths '!J497=3 ),'Items sous domaines Maths '!C497)</f>
        <v>0</v>
      </c>
      <c r="D473" s="8">
        <f>IF(OR('Items sous domaines Maths '!H497=3,'Items sous domaines Maths '!J497=3 ),'Items sous domaines Maths '!D497,0)</f>
        <v>0</v>
      </c>
      <c r="E473" s="8">
        <f>IF(OR('Items sous domaines Maths '!H497=3,'Items sous domaines Maths '!J497=3 ),'Items sous domaines Maths '!E497,0)</f>
        <v>0</v>
      </c>
      <c r="F473" s="9">
        <f>IF(OR('Items sous domaines Maths '!H497=3,'Items sous domaines Maths '!J497=3 ),'Items sous domaines Maths '!F491,0)</f>
        <v>0</v>
      </c>
      <c r="G473">
        <f>IF('Items sous domaines Maths '!H497=1,'Items sous domaines Maths '!G497,0)</f>
        <v>0</v>
      </c>
    </row>
    <row r="474" spans="2:7" customFormat="1" ht="13.2" hidden="1" x14ac:dyDescent="0.25">
      <c r="B474" s="8">
        <f>IF(OR('Items sous domaines Maths '!H498=3,'Items sous domaines Maths '!J498=3 ),'Items sous domaines Maths '!B498,0)</f>
        <v>0</v>
      </c>
      <c r="C474" s="8" t="b">
        <f>IF(OR('Items sous domaines Maths '!H498=3,'Items sous domaines Maths '!J498=3 ),'Items sous domaines Maths '!C498)</f>
        <v>0</v>
      </c>
      <c r="D474" s="8">
        <f>IF(OR('Items sous domaines Maths '!H498=3,'Items sous domaines Maths '!J498=3 ),'Items sous domaines Maths '!D498,0)</f>
        <v>0</v>
      </c>
      <c r="E474" s="8">
        <f>IF(OR('Items sous domaines Maths '!H498=3,'Items sous domaines Maths '!J498=3 ),'Items sous domaines Maths '!E498,0)</f>
        <v>0</v>
      </c>
      <c r="F474" s="9">
        <f>IF(OR('Items sous domaines Maths '!H498=3,'Items sous domaines Maths '!J498=3 ),'Items sous domaines Maths '!F492,0)</f>
        <v>0</v>
      </c>
      <c r="G474">
        <f>IF('Items sous domaines Maths '!H498=1,'Items sous domaines Maths '!G498,0)</f>
        <v>0</v>
      </c>
    </row>
    <row r="475" spans="2:7" customFormat="1" ht="13.2" hidden="1" x14ac:dyDescent="0.25">
      <c r="B475" s="8">
        <f>IF(OR('Items sous domaines Maths '!H499=3,'Items sous domaines Maths '!J499=3 ),'Items sous domaines Maths '!B499,0)</f>
        <v>0</v>
      </c>
      <c r="C475" s="8" t="b">
        <f>IF(OR('Items sous domaines Maths '!H499=3,'Items sous domaines Maths '!J499=3 ),'Items sous domaines Maths '!C499)</f>
        <v>0</v>
      </c>
      <c r="D475" s="8">
        <f>IF(OR('Items sous domaines Maths '!H499=3,'Items sous domaines Maths '!J499=3 ),'Items sous domaines Maths '!D499,0)</f>
        <v>0</v>
      </c>
      <c r="E475" s="8">
        <f>IF(OR('Items sous domaines Maths '!H499=3,'Items sous domaines Maths '!J499=3 ),'Items sous domaines Maths '!E499,0)</f>
        <v>0</v>
      </c>
      <c r="F475" s="9">
        <f>IF(OR('Items sous domaines Maths '!H499=3,'Items sous domaines Maths '!J499=3 ),'Items sous domaines Maths '!F493,0)</f>
        <v>0</v>
      </c>
      <c r="G475">
        <f>IF('Items sous domaines Maths '!H499=1,'Items sous domaines Maths '!G499,0)</f>
        <v>0</v>
      </c>
    </row>
    <row r="476" spans="2:7" customFormat="1" ht="13.2" hidden="1" x14ac:dyDescent="0.25">
      <c r="B476" s="8">
        <f>IF(OR('Items sous domaines Maths '!H500=3,'Items sous domaines Maths '!J500=3 ),'Items sous domaines Maths '!B500,0)</f>
        <v>0</v>
      </c>
      <c r="C476" s="8" t="b">
        <f>IF(OR('Items sous domaines Maths '!H500=3,'Items sous domaines Maths '!J500=3 ),'Items sous domaines Maths '!C500)</f>
        <v>0</v>
      </c>
      <c r="D476" s="8">
        <f>IF(OR('Items sous domaines Maths '!H500=3,'Items sous domaines Maths '!J500=3 ),'Items sous domaines Maths '!D500,0)</f>
        <v>0</v>
      </c>
      <c r="E476" s="8">
        <f>IF(OR('Items sous domaines Maths '!H500=3,'Items sous domaines Maths '!J500=3 ),'Items sous domaines Maths '!E500,0)</f>
        <v>0</v>
      </c>
      <c r="F476" s="9">
        <f>IF(OR('Items sous domaines Maths '!H500=3,'Items sous domaines Maths '!J500=3 ),'Items sous domaines Maths '!F494,0)</f>
        <v>0</v>
      </c>
      <c r="G476">
        <f>IF('Items sous domaines Maths '!H500=1,'Items sous domaines Maths '!G500,0)</f>
        <v>0</v>
      </c>
    </row>
    <row r="477" spans="2:7" customFormat="1" ht="13.2" hidden="1" x14ac:dyDescent="0.25">
      <c r="B477" s="8">
        <f>IF(OR('Items sous domaines Maths '!H501=3,'Items sous domaines Maths '!J501=3 ),'Items sous domaines Maths '!B501,0)</f>
        <v>0</v>
      </c>
      <c r="C477" s="8" t="b">
        <f>IF(OR('Items sous domaines Maths '!H501=3,'Items sous domaines Maths '!J501=3 ),'Items sous domaines Maths '!C501)</f>
        <v>0</v>
      </c>
      <c r="D477" s="8">
        <f>IF(OR('Items sous domaines Maths '!H501=3,'Items sous domaines Maths '!J501=3 ),'Items sous domaines Maths '!D501,0)</f>
        <v>0</v>
      </c>
      <c r="E477" s="8">
        <f>IF(OR('Items sous domaines Maths '!H501=3,'Items sous domaines Maths '!J501=3 ),'Items sous domaines Maths '!E501,0)</f>
        <v>0</v>
      </c>
      <c r="F477" s="9">
        <f>IF(OR('Items sous domaines Maths '!H501=3,'Items sous domaines Maths '!J501=3 ),'Items sous domaines Maths '!F495,0)</f>
        <v>0</v>
      </c>
      <c r="G477">
        <f>IF('Items sous domaines Maths '!H501=1,'Items sous domaines Maths '!G501,0)</f>
        <v>0</v>
      </c>
    </row>
    <row r="478" spans="2:7" customFormat="1" ht="13.2" hidden="1" x14ac:dyDescent="0.25">
      <c r="B478" s="8">
        <f>IF(OR('Items sous domaines Maths '!H502=3,'Items sous domaines Maths '!J502=3 ),'Items sous domaines Maths '!B502,0)</f>
        <v>0</v>
      </c>
      <c r="C478" s="8" t="b">
        <f>IF(OR('Items sous domaines Maths '!H502=3,'Items sous domaines Maths '!J502=3 ),'Items sous domaines Maths '!C502)</f>
        <v>0</v>
      </c>
      <c r="D478" s="8">
        <f>IF(OR('Items sous domaines Maths '!H502=3,'Items sous domaines Maths '!J502=3 ),'Items sous domaines Maths '!D502,0)</f>
        <v>0</v>
      </c>
      <c r="E478" s="8">
        <f>IF(OR('Items sous domaines Maths '!H502=3,'Items sous domaines Maths '!J502=3 ),'Items sous domaines Maths '!E502,0)</f>
        <v>0</v>
      </c>
      <c r="F478" s="9">
        <f>IF(OR('Items sous domaines Maths '!H502=3,'Items sous domaines Maths '!J502=3 ),'Items sous domaines Maths '!F496,0)</f>
        <v>0</v>
      </c>
      <c r="G478">
        <f>IF('Items sous domaines Maths '!H502=1,'Items sous domaines Maths '!G502,0)</f>
        <v>0</v>
      </c>
    </row>
    <row r="479" spans="2:7" customFormat="1" ht="13.2" hidden="1" x14ac:dyDescent="0.25">
      <c r="B479" s="8">
        <f>IF(OR('Items sous domaines Maths '!H503=3,'Items sous domaines Maths '!J503=3 ),'Items sous domaines Maths '!B503,0)</f>
        <v>0</v>
      </c>
      <c r="C479" s="8" t="b">
        <f>IF(OR('Items sous domaines Maths '!H503=3,'Items sous domaines Maths '!J503=3 ),'Items sous domaines Maths '!C503)</f>
        <v>0</v>
      </c>
      <c r="D479" s="8">
        <f>IF(OR('Items sous domaines Maths '!H503=3,'Items sous domaines Maths '!J503=3 ),'Items sous domaines Maths '!D503,0)</f>
        <v>0</v>
      </c>
      <c r="E479" s="8">
        <f>IF(OR('Items sous domaines Maths '!H503=3,'Items sous domaines Maths '!J503=3 ),'Items sous domaines Maths '!E503,0)</f>
        <v>0</v>
      </c>
      <c r="F479" s="9">
        <f>IF(OR('Items sous domaines Maths '!H503=3,'Items sous domaines Maths '!J503=3 ),'Items sous domaines Maths '!F497,0)</f>
        <v>0</v>
      </c>
      <c r="G479">
        <f>IF('Items sous domaines Maths '!H503=1,'Items sous domaines Maths '!G503,0)</f>
        <v>0</v>
      </c>
    </row>
    <row r="480" spans="2:7" customFormat="1" ht="13.2" hidden="1" x14ac:dyDescent="0.25">
      <c r="B480" s="8">
        <f>IF(OR('Items sous domaines Maths '!H504=3,'Items sous domaines Maths '!J504=3 ),'Items sous domaines Maths '!B504,0)</f>
        <v>0</v>
      </c>
      <c r="C480" s="8" t="b">
        <f>IF(OR('Items sous domaines Maths '!H504=3,'Items sous domaines Maths '!J504=3 ),'Items sous domaines Maths '!C504)</f>
        <v>0</v>
      </c>
      <c r="D480" s="8">
        <f>IF(OR('Items sous domaines Maths '!H504=3,'Items sous domaines Maths '!J504=3 ),'Items sous domaines Maths '!D504,0)</f>
        <v>0</v>
      </c>
      <c r="E480" s="8">
        <f>IF(OR('Items sous domaines Maths '!H504=3,'Items sous domaines Maths '!J504=3 ),'Items sous domaines Maths '!E504,0)</f>
        <v>0</v>
      </c>
      <c r="F480" s="9">
        <f>IF(OR('Items sous domaines Maths '!H504=3,'Items sous domaines Maths '!J504=3 ),'Items sous domaines Maths '!F498,0)</f>
        <v>0</v>
      </c>
      <c r="G480">
        <f>IF('Items sous domaines Maths '!H504=1,'Items sous domaines Maths '!G504,0)</f>
        <v>0</v>
      </c>
    </row>
    <row r="481" spans="2:7" customFormat="1" ht="13.2" hidden="1" x14ac:dyDescent="0.25">
      <c r="B481" s="8">
        <f>IF(OR('Items sous domaines Maths '!H505=3,'Items sous domaines Maths '!J505=3 ),'Items sous domaines Maths '!B505,0)</f>
        <v>0</v>
      </c>
      <c r="C481" s="8" t="b">
        <f>IF(OR('Items sous domaines Maths '!H505=3,'Items sous domaines Maths '!J505=3 ),'Items sous domaines Maths '!C505)</f>
        <v>0</v>
      </c>
      <c r="D481" s="8">
        <f>IF(OR('Items sous domaines Maths '!H505=3,'Items sous domaines Maths '!J505=3 ),'Items sous domaines Maths '!D505,0)</f>
        <v>0</v>
      </c>
      <c r="E481" s="8">
        <f>IF(OR('Items sous domaines Maths '!H505=3,'Items sous domaines Maths '!J505=3 ),'Items sous domaines Maths '!E505,0)</f>
        <v>0</v>
      </c>
      <c r="F481" s="9">
        <f>IF(OR('Items sous domaines Maths '!H505=3,'Items sous domaines Maths '!J505=3 ),'Items sous domaines Maths '!F499,0)</f>
        <v>0</v>
      </c>
      <c r="G481">
        <f>IF('Items sous domaines Maths '!H505=1,'Items sous domaines Maths '!G505,0)</f>
        <v>0</v>
      </c>
    </row>
    <row r="482" spans="2:7" customFormat="1" ht="13.2" hidden="1" x14ac:dyDescent="0.25">
      <c r="B482" s="8">
        <f>IF(OR('Items sous domaines Maths '!H506=3,'Items sous domaines Maths '!J506=3 ),'Items sous domaines Maths '!B506,0)</f>
        <v>0</v>
      </c>
      <c r="C482" s="8" t="b">
        <f>IF(OR('Items sous domaines Maths '!H506=3,'Items sous domaines Maths '!J506=3 ),'Items sous domaines Maths '!C506)</f>
        <v>0</v>
      </c>
      <c r="D482" s="8">
        <f>IF(OR('Items sous domaines Maths '!H506=3,'Items sous domaines Maths '!J506=3 ),'Items sous domaines Maths '!D506,0)</f>
        <v>0</v>
      </c>
      <c r="E482" s="8">
        <f>IF(OR('Items sous domaines Maths '!H506=3,'Items sous domaines Maths '!J506=3 ),'Items sous domaines Maths '!E506,0)</f>
        <v>0</v>
      </c>
      <c r="F482" s="9">
        <f>IF(OR('Items sous domaines Maths '!H506=3,'Items sous domaines Maths '!J506=3 ),'Items sous domaines Maths '!F500,0)</f>
        <v>0</v>
      </c>
      <c r="G482">
        <f>IF('Items sous domaines Maths '!H506=1,'Items sous domaines Maths '!G506,0)</f>
        <v>0</v>
      </c>
    </row>
    <row r="483" spans="2:7" customFormat="1" ht="13.2" hidden="1" x14ac:dyDescent="0.25">
      <c r="B483" s="8">
        <f>IF(OR('Items sous domaines Maths '!H507=3,'Items sous domaines Maths '!J507=3 ),'Items sous domaines Maths '!B507,0)</f>
        <v>0</v>
      </c>
      <c r="C483" s="8" t="b">
        <f>IF(OR('Items sous domaines Maths '!H507=3,'Items sous domaines Maths '!J507=3 ),'Items sous domaines Maths '!C507)</f>
        <v>0</v>
      </c>
      <c r="D483" s="8">
        <f>IF(OR('Items sous domaines Maths '!H507=3,'Items sous domaines Maths '!J507=3 ),'Items sous domaines Maths '!D507,0)</f>
        <v>0</v>
      </c>
      <c r="E483" s="8">
        <f>IF(OR('Items sous domaines Maths '!H507=3,'Items sous domaines Maths '!J507=3 ),'Items sous domaines Maths '!E507,0)</f>
        <v>0</v>
      </c>
      <c r="F483" s="9">
        <f>IF(OR('Items sous domaines Maths '!H507=3,'Items sous domaines Maths '!J507=3 ),'Items sous domaines Maths '!F501,0)</f>
        <v>0</v>
      </c>
      <c r="G483">
        <f>IF('Items sous domaines Maths '!H507=1,'Items sous domaines Maths '!G507,0)</f>
        <v>0</v>
      </c>
    </row>
    <row r="484" spans="2:7" customFormat="1" ht="13.2" hidden="1" x14ac:dyDescent="0.25">
      <c r="B484" s="8">
        <f>IF(OR('Items sous domaines Maths '!H508=3,'Items sous domaines Maths '!J508=3 ),'Items sous domaines Maths '!B508,0)</f>
        <v>0</v>
      </c>
      <c r="C484" s="8" t="b">
        <f>IF(OR('Items sous domaines Maths '!H508=3,'Items sous domaines Maths '!J508=3 ),'Items sous domaines Maths '!C508)</f>
        <v>0</v>
      </c>
      <c r="D484" s="8">
        <f>IF(OR('Items sous domaines Maths '!H508=3,'Items sous domaines Maths '!J508=3 ),'Items sous domaines Maths '!D508,0)</f>
        <v>0</v>
      </c>
      <c r="E484" s="8">
        <f>IF(OR('Items sous domaines Maths '!H508=3,'Items sous domaines Maths '!J508=3 ),'Items sous domaines Maths '!E508,0)</f>
        <v>0</v>
      </c>
      <c r="F484" s="9">
        <f>IF(OR('Items sous domaines Maths '!H508=3,'Items sous domaines Maths '!J508=3 ),'Items sous domaines Maths '!F502,0)</f>
        <v>0</v>
      </c>
      <c r="G484">
        <f>IF('Items sous domaines Maths '!H508=1,'Items sous domaines Maths '!G508,0)</f>
        <v>0</v>
      </c>
    </row>
  </sheetData>
  <autoFilter ref="A3:G484" xr:uid="{00000000-0009-0000-0000-000008000000}">
    <filterColumn colId="1">
      <filters>
        <filter val="Algèbre"/>
        <filter val="Algorithmique et Complexité"/>
        <filter val="Analyse"/>
        <filter val="Probabilité et statistiques"/>
      </filters>
    </filterColumn>
  </autoFilter>
  <mergeCells count="31">
    <mergeCell ref="A390:A392"/>
    <mergeCell ref="A1:G1"/>
    <mergeCell ref="A2:G2"/>
    <mergeCell ref="A4:A97"/>
    <mergeCell ref="A187:A206"/>
    <mergeCell ref="A208:A228"/>
    <mergeCell ref="A264:A277"/>
    <mergeCell ref="A279:A295"/>
    <mergeCell ref="A307:A317"/>
    <mergeCell ref="A109:A123"/>
    <mergeCell ref="A125:A133"/>
    <mergeCell ref="A230:A262"/>
    <mergeCell ref="A339:A389"/>
    <mergeCell ref="G187:G206"/>
    <mergeCell ref="G208:G228"/>
    <mergeCell ref="G230:G262"/>
    <mergeCell ref="G264:G277"/>
    <mergeCell ref="G390:G392"/>
    <mergeCell ref="H2:I2"/>
    <mergeCell ref="H3:I3"/>
    <mergeCell ref="G36:G97"/>
    <mergeCell ref="H230:H243"/>
    <mergeCell ref="H208:H228"/>
    <mergeCell ref="H187:H206"/>
    <mergeCell ref="H36:H97"/>
    <mergeCell ref="H245:H262"/>
    <mergeCell ref="H264:H277"/>
    <mergeCell ref="H280:H297"/>
    <mergeCell ref="H307:H324"/>
    <mergeCell ref="H339:H389"/>
    <mergeCell ref="H390:H392"/>
  </mergeCells>
  <hyperlinks>
    <hyperlink ref="H230" r:id="rId1" display="https://uel.unisciel.fr/mathematiques/dev_limites/dev_limites/co/dev_limites.html" xr:uid="{00000000-0004-0000-0800-000000000000}"/>
    <hyperlink ref="H187" r:id="rId2" xr:uid="{00000000-0004-0000-0800-000001000000}"/>
    <hyperlink ref="H264" r:id="rId3" xr:uid="{00000000-0004-0000-0800-000002000000}"/>
    <hyperlink ref="H339" r:id="rId4" xr:uid="{00000000-0004-0000-0800-000003000000}"/>
  </hyperlinks>
  <pageMargins left="0.7" right="0.7" top="0.75" bottom="0.75" header="0.3" footer="0.3"/>
  <pageSetup paperSize="9" orientation="portrait"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tabColor rgb="FF326295"/>
  </sheetPr>
  <dimension ref="A1:I486"/>
  <sheetViews>
    <sheetView topLeftCell="A310" zoomScale="70" zoomScaleNormal="70" workbookViewId="0">
      <selection activeCell="A339" sqref="A339:A357"/>
    </sheetView>
  </sheetViews>
  <sheetFormatPr baseColWidth="10" defaultColWidth="11.44140625" defaultRowHeight="18" x14ac:dyDescent="0.3"/>
  <cols>
    <col min="1" max="1" width="32.6640625" style="109" customWidth="1"/>
    <col min="2" max="2" width="30.6640625" style="28" customWidth="1"/>
    <col min="3" max="3" width="30.6640625" style="110" customWidth="1"/>
    <col min="4" max="4" width="70.6640625" style="111" customWidth="1"/>
    <col min="5" max="5" width="68.6640625" style="111" customWidth="1"/>
    <col min="6" max="6" width="120.6640625" style="112" customWidth="1"/>
    <col min="7" max="7" width="46.6640625" style="113" customWidth="1"/>
    <col min="8" max="8" width="60.6640625" style="108" customWidth="1"/>
    <col min="9" max="16384" width="11.44140625" style="28"/>
  </cols>
  <sheetData>
    <row r="1" spans="1:9" ht="46.2" customHeight="1" thickTop="1" x14ac:dyDescent="0.3">
      <c r="A1" s="700" t="s">
        <v>441</v>
      </c>
      <c r="B1" s="701"/>
      <c r="C1" s="701"/>
      <c r="D1" s="701"/>
      <c r="E1" s="701"/>
      <c r="F1" s="701"/>
      <c r="G1" s="701"/>
      <c r="H1" s="244"/>
      <c r="I1" s="245"/>
    </row>
    <row r="2" spans="1:9" ht="42" customHeight="1" thickBot="1" x14ac:dyDescent="0.35">
      <c r="A2" s="702" t="s">
        <v>519</v>
      </c>
      <c r="B2" s="703"/>
      <c r="C2" s="703"/>
      <c r="D2" s="703"/>
      <c r="E2" s="703"/>
      <c r="F2" s="703"/>
      <c r="G2" s="703"/>
      <c r="H2" s="492"/>
      <c r="I2" s="652"/>
    </row>
    <row r="3" spans="1:9" s="107" customFormat="1" ht="17.399999999999999" customHeight="1" thickBot="1" x14ac:dyDescent="0.45">
      <c r="A3" s="246" t="str">
        <f>'A1 CPI S1'!A3</f>
        <v>EE du DS</v>
      </c>
      <c r="B3" s="247" t="str">
        <f>'A1 CPI S1'!B3</f>
        <v>Domaine</v>
      </c>
      <c r="C3" s="247" t="str">
        <f>'A1 CPI S1'!C3</f>
        <v>Discipline</v>
      </c>
      <c r="D3" s="247" t="str">
        <f>'A1 CPI S1'!D3</f>
        <v>Chapitres</v>
      </c>
      <c r="E3" s="247" t="str">
        <f>'A1 CPI S1'!E3</f>
        <v>Thèmes</v>
      </c>
      <c r="F3" s="247" t="str">
        <f>'A1 CPI S1'!F3</f>
        <v>Détail des chapitres</v>
      </c>
      <c r="G3" s="247" t="s">
        <v>303</v>
      </c>
      <c r="I3" s="248"/>
    </row>
    <row r="4" spans="1:9" ht="19.95" customHeight="1" x14ac:dyDescent="0.3">
      <c r="A4" s="606" t="s">
        <v>476</v>
      </c>
      <c r="B4" s="152" t="str">
        <f>IF(AND('Items sous domaines Maths '!K8&lt;=5, 'Items sous domaines Maths '!K8&gt;0),'Items sous domaines Maths '!B8,0)</f>
        <v>Algèbre</v>
      </c>
      <c r="C4" s="153" t="str">
        <f>IF(AND('Items sous domaines Maths '!K8&lt;=5, 'Items sous domaines Maths '!K8&gt;0),'Items sous domaines Maths '!C8)</f>
        <v>Arithmétique</v>
      </c>
      <c r="D4" s="153" t="str">
        <f>IF(AND('Items sous domaines Maths '!K8&lt;=5, 'Items sous domaines Maths '!K8&gt;0),'Items sous domaines Maths '!D8,0)</f>
        <v>Divisibilité</v>
      </c>
      <c r="E4" s="153" t="str">
        <f>IF(AND('Items sous domaines Maths '!K8&lt;=5, 'Items sous domaines Maths '!K8&gt;0),'Items sous domaines Maths '!E8,0)</f>
        <v>Critères de divisibilité</v>
      </c>
      <c r="F4" s="154">
        <f>IF(AND('Items sous domaines Maths '!K8&lt;=5, 'Items sous domaines Maths '!K8&gt;0),'Items sous domaines Maths '!F8,0)</f>
        <v>0</v>
      </c>
      <c r="G4" s="721" t="s">
        <v>477</v>
      </c>
      <c r="H4" s="717" t="s">
        <v>21</v>
      </c>
      <c r="I4" s="249"/>
    </row>
    <row r="5" spans="1:9" ht="19.95" customHeight="1" x14ac:dyDescent="0.3">
      <c r="A5" s="607"/>
      <c r="B5" s="155" t="str">
        <f>IF(AND('Items sous domaines Maths '!K9&lt;=5, 'Items sous domaines Maths '!K9&gt;0),'Items sous domaines Maths '!B9,0)</f>
        <v>Algèbre</v>
      </c>
      <c r="C5" s="156" t="str">
        <f>IF(AND('Items sous domaines Maths '!K9&lt;=5, 'Items sous domaines Maths '!K9&gt;0),'Items sous domaines Maths '!C9)</f>
        <v>Arithmétique</v>
      </c>
      <c r="D5" s="156">
        <f>IF(AND('Items sous domaines Maths '!K9&lt;=5, 'Items sous domaines Maths '!K9&gt;0),'Items sous domaines Maths '!D9,0)</f>
        <v>0</v>
      </c>
      <c r="E5" s="156" t="str">
        <f>IF(AND('Items sous domaines Maths '!K9&lt;=5, 'Items sous domaines Maths '!K9&gt;0),'Items sous domaines Maths '!E9,0)</f>
        <v>Division euclidienne</v>
      </c>
      <c r="F5" s="157" t="str">
        <f>IF(AND('Items sous domaines Maths '!K9&lt;=5, 'Items sous domaines Maths '!K9&gt;0),'Items sous domaines Maths '!F9,0)</f>
        <v>Algorithme d'Euclide.</v>
      </c>
      <c r="G5" s="722"/>
      <c r="H5" s="708"/>
      <c r="I5" s="249"/>
    </row>
    <row r="6" spans="1:9" ht="19.95" customHeight="1" thickBot="1" x14ac:dyDescent="0.35">
      <c r="A6" s="608"/>
      <c r="B6" s="250" t="str">
        <f>IF(AND('Items sous domaines Maths '!K10&lt;=5, 'Items sous domaines Maths '!K10&gt;0),'Items sous domaines Maths '!B10,0)</f>
        <v>Algèbre</v>
      </c>
      <c r="C6" s="251" t="str">
        <f>IF(AND('Items sous domaines Maths '!K10&lt;=5, 'Items sous domaines Maths '!K10&gt;0),'Items sous domaines Maths '!C10)</f>
        <v>Arithmétique</v>
      </c>
      <c r="D6" s="251">
        <f>IF(AND('Items sous domaines Maths '!K10&lt;=5, 'Items sous domaines Maths '!K10&gt;0),'Items sous domaines Maths '!D10,0)</f>
        <v>0</v>
      </c>
      <c r="E6" s="251" t="str">
        <f>IF(AND('Items sous domaines Maths '!K10&lt;=5, 'Items sous domaines Maths '!K10&gt;0),'Items sous domaines Maths '!E10,0)</f>
        <v>Congruences</v>
      </c>
      <c r="F6" s="252">
        <f>IF(AND('Items sous domaines Maths '!K10&lt;=5, 'Items sous domaines Maths '!K10&gt;0),'Items sous domaines Maths '!F10,0)</f>
        <v>0</v>
      </c>
      <c r="G6" s="723"/>
      <c r="H6" s="707"/>
      <c r="I6" s="253"/>
    </row>
    <row r="7" spans="1:9" customFormat="1" ht="17.399999999999999" customHeight="1" thickTop="1" thickBot="1" x14ac:dyDescent="0.3">
      <c r="A7" s="718"/>
      <c r="B7" t="str">
        <f>IF(AND('Items sous domaines Maths '!K11&lt;=5, 'Items sous domaines Maths '!K11&gt;0),'Items sous domaines Maths '!B11,0)</f>
        <v>Algèbre</v>
      </c>
      <c r="C7" t="str">
        <f>IF(AND('Items sous domaines Maths '!K11&lt;=5, 'Items sous domaines Maths '!K11&gt;0),'Items sous domaines Maths '!C11)</f>
        <v>Arithmétique</v>
      </c>
      <c r="D7" t="str">
        <f>IF(AND('Items sous domaines Maths '!K11&lt;=5, 'Items sous domaines Maths '!K11&gt;0),'Items sous domaines Maths '!D11,0)</f>
        <v>Factorisation</v>
      </c>
      <c r="E7" t="str">
        <f>IF(AND('Items sous domaines Maths '!K11&lt;=5, 'Items sous domaines Maths '!K11&gt;0),'Items sous domaines Maths '!E11,0)</f>
        <v>Nombres premiers, Crible d'Eratosthène</v>
      </c>
      <c r="F7" s="10">
        <f>IF(AND('Items sous domaines Maths '!K11&lt;=5, 'Items sous domaines Maths '!K11&gt;0),'Items sous domaines Maths '!F11,0)</f>
        <v>0</v>
      </c>
      <c r="G7" s="647"/>
      <c r="H7" s="705"/>
    </row>
    <row r="8" spans="1:9" customFormat="1" ht="30.6" customHeight="1" thickBot="1" x14ac:dyDescent="0.3">
      <c r="A8" s="718"/>
      <c r="B8" s="8" t="str">
        <f>IF(AND('Items sous domaines Maths '!K12&lt;=5, 'Items sous domaines Maths '!K12&gt;0),'Items sous domaines Maths '!B12,0)</f>
        <v>Algèbre</v>
      </c>
      <c r="C8" s="8" t="str">
        <f>IF(AND('Items sous domaines Maths '!K12&lt;=5, 'Items sous domaines Maths '!K12&gt;0),'Items sous domaines Maths '!C12)</f>
        <v>Arithmétique</v>
      </c>
      <c r="D8" s="8">
        <f>IF(AND('Items sous domaines Maths '!K12&lt;=5, 'Items sous domaines Maths '!K12&gt;0),'Items sous domaines Maths '!D12,0)</f>
        <v>0</v>
      </c>
      <c r="E8" s="8" t="str">
        <f>IF(AND('Items sous domaines Maths '!K12&lt;=5, 'Items sous domaines Maths '!K12&gt;0),'Items sous domaines Maths '!E12,0)</f>
        <v>Lemme d'Euclide</v>
      </c>
      <c r="F8" s="9">
        <f>IF(AND('Items sous domaines Maths '!K12&lt;=5, 'Items sous domaines Maths '!K12&gt;0),'Items sous domaines Maths '!F12,0)</f>
        <v>0</v>
      </c>
      <c r="G8" s="647"/>
      <c r="H8" s="705"/>
    </row>
    <row r="9" spans="1:9" customFormat="1" ht="27" customHeight="1" thickBot="1" x14ac:dyDescent="0.3">
      <c r="A9" s="718"/>
      <c r="B9" s="8" t="str">
        <f>IF(AND('Items sous domaines Maths '!K13&lt;=5, 'Items sous domaines Maths '!K13&gt;0),'Items sous domaines Maths '!B13,0)</f>
        <v>Algèbre</v>
      </c>
      <c r="C9" s="8" t="str">
        <f>IF(AND('Items sous domaines Maths '!K13&lt;=5, 'Items sous domaines Maths '!K13&gt;0),'Items sous domaines Maths '!C13)</f>
        <v>Arithmétique</v>
      </c>
      <c r="D9" s="8">
        <f>IF(AND('Items sous domaines Maths '!K13&lt;=5, 'Items sous domaines Maths '!K13&gt;0),'Items sous domaines Maths '!D13,0)</f>
        <v>0</v>
      </c>
      <c r="E9" s="8" t="str">
        <f>IF(AND('Items sous domaines Maths '!K13&lt;=5, 'Items sous domaines Maths '!K13&gt;0),'Items sous domaines Maths '!E13,0)</f>
        <v>Petit théorème de Fermat</v>
      </c>
      <c r="F9" s="9">
        <f>IF(AND('Items sous domaines Maths '!K13&lt;=5, 'Items sous domaines Maths '!K13&gt;0),'Items sous domaines Maths '!F13,0)</f>
        <v>0</v>
      </c>
      <c r="G9" s="647"/>
      <c r="H9" s="705"/>
    </row>
    <row r="10" spans="1:9" customFormat="1" ht="17.399999999999999" customHeight="1" thickBot="1" x14ac:dyDescent="0.3">
      <c r="A10" s="718"/>
      <c r="B10" s="8" t="str">
        <f>IF(AND('Items sous domaines Maths '!K14&lt;=5, 'Items sous domaines Maths '!K14&gt;0),'Items sous domaines Maths '!B14,0)</f>
        <v>Algèbre</v>
      </c>
      <c r="C10" s="8" t="str">
        <f>IF(AND('Items sous domaines Maths '!K14&lt;=5, 'Items sous domaines Maths '!K14&gt;0),'Items sous domaines Maths '!C14)</f>
        <v>Arithmétique</v>
      </c>
      <c r="D10" s="8">
        <f>IF(AND('Items sous domaines Maths '!K14&lt;=5, 'Items sous domaines Maths '!K14&gt;0),'Items sous domaines Maths '!D14,0)</f>
        <v>0</v>
      </c>
      <c r="E10" s="8" t="str">
        <f>IF(AND('Items sous domaines Maths '!K14&lt;=5, 'Items sous domaines Maths '!K14&gt;0),'Items sous domaines Maths '!E14,0)</f>
        <v>Décomposition en facteurs premiers / Théorème fondamental de l'arithmétique</v>
      </c>
      <c r="F10" s="9">
        <f>IF(AND('Items sous domaines Maths '!K14&lt;=5, 'Items sous domaines Maths '!K14&gt;0),'Items sous domaines Maths '!F14,0)</f>
        <v>0</v>
      </c>
      <c r="G10" s="647"/>
      <c r="H10" s="705"/>
    </row>
    <row r="11" spans="1:9" ht="19.95" customHeight="1" thickTop="1" x14ac:dyDescent="0.3">
      <c r="A11" s="609"/>
      <c r="B11" s="254" t="str">
        <f>IF(AND('Items sous domaines Maths '!K15&lt;=5, 'Items sous domaines Maths '!K15&gt;0),'Items sous domaines Maths '!B15,0)</f>
        <v>Algèbre</v>
      </c>
      <c r="C11" s="255" t="str">
        <f>IF(AND('Items sous domaines Maths '!K15&lt;=5, 'Items sous domaines Maths '!K15&gt;0),'Items sous domaines Maths '!C15)</f>
        <v>Arithmétique</v>
      </c>
      <c r="D11" s="255" t="str">
        <f>IF(AND('Items sous domaines Maths '!K15&lt;=5, 'Items sous domaines Maths '!K15&gt;0),'Items sous domaines Maths '!D15,0)</f>
        <v>PGCD</v>
      </c>
      <c r="E11" s="255" t="str">
        <f>IF(AND('Items sous domaines Maths '!K15&lt;=5, 'Items sous domaines Maths '!K15&gt;0),'Items sous domaines Maths '!E15,0)</f>
        <v>PGCD de 2 entiers, lien avec la décomposition en facteurs premiers</v>
      </c>
      <c r="F11" s="256">
        <f>IF(AND('Items sous domaines Maths '!K15&lt;=5, 'Items sous domaines Maths '!K15&gt;0),'Items sous domaines Maths '!F15,0)</f>
        <v>0</v>
      </c>
      <c r="G11" s="724"/>
      <c r="H11" s="706"/>
      <c r="I11" s="245"/>
    </row>
    <row r="12" spans="1:9" ht="19.95" customHeight="1" x14ac:dyDescent="0.3">
      <c r="A12" s="607"/>
      <c r="B12" s="155" t="str">
        <f>IF(AND('Items sous domaines Maths '!K16&lt;=5, 'Items sous domaines Maths '!K16&gt;0),'Items sous domaines Maths '!B16,0)</f>
        <v>Algèbre</v>
      </c>
      <c r="C12" s="156" t="str">
        <f>IF(AND('Items sous domaines Maths '!K16&lt;=5, 'Items sous domaines Maths '!K16&gt;0),'Items sous domaines Maths '!C16)</f>
        <v>Arithmétique</v>
      </c>
      <c r="D12" s="156">
        <f>IF(AND('Items sous domaines Maths '!K16&lt;=5, 'Items sous domaines Maths '!K16&gt;0),'Items sous domaines Maths '!D16,0)</f>
        <v>0</v>
      </c>
      <c r="E12" s="156" t="str">
        <f>IF(AND('Items sous domaines Maths '!K16&lt;=5, 'Items sous domaines Maths '!K16&gt;0),'Items sous domaines Maths '!E16,0)</f>
        <v>Théorème de Bezout</v>
      </c>
      <c r="F12" s="157">
        <f>IF(AND('Items sous domaines Maths '!K16&lt;=5, 'Items sous domaines Maths '!K16&gt;0),'Items sous domaines Maths '!F16,0)</f>
        <v>0</v>
      </c>
      <c r="G12" s="722"/>
      <c r="H12" s="708"/>
      <c r="I12" s="249"/>
    </row>
    <row r="13" spans="1:9" ht="19.95" customHeight="1" x14ac:dyDescent="0.3">
      <c r="A13" s="607"/>
      <c r="B13" s="161" t="str">
        <f>IF(AND('Items sous domaines Maths '!K17&lt;=5, 'Items sous domaines Maths '!K17&gt;0),'Items sous domaines Maths '!B17,0)</f>
        <v>Algèbre</v>
      </c>
      <c r="C13" s="162" t="str">
        <f>IF(AND('Items sous domaines Maths '!K17&lt;=5, 'Items sous domaines Maths '!K17&gt;0),'Items sous domaines Maths '!C17)</f>
        <v>Arithmétique</v>
      </c>
      <c r="D13" s="162">
        <f>IF(AND('Items sous domaines Maths '!K17&lt;=5, 'Items sous domaines Maths '!K17&gt;0),'Items sous domaines Maths '!D17,0)</f>
        <v>0</v>
      </c>
      <c r="E13" s="162" t="str">
        <f>IF(AND('Items sous domaines Maths '!K17&lt;=5, 'Items sous domaines Maths '!K17&gt;0),'Items sous domaines Maths '!E17,0)</f>
        <v>Nombres premiers entre eux, caractérisation via Bezout, Lemme de Gauss</v>
      </c>
      <c r="F13" s="163">
        <f>IF(AND('Items sous domaines Maths '!K17&lt;=5, 'Items sous domaines Maths '!K17&gt;0),'Items sous domaines Maths '!F17,0)</f>
        <v>0</v>
      </c>
      <c r="G13" s="722"/>
      <c r="H13" s="708"/>
      <c r="I13" s="249"/>
    </row>
    <row r="14" spans="1:9" ht="19.95" customHeight="1" x14ac:dyDescent="0.3">
      <c r="A14" s="607"/>
      <c r="B14" s="155" t="str">
        <f>IF(AND('Items sous domaines Maths '!K18&lt;=5, 'Items sous domaines Maths '!K18&gt;0),'Items sous domaines Maths '!B18,0)</f>
        <v>Algèbre</v>
      </c>
      <c r="C14" s="156" t="str">
        <f>IF(AND('Items sous domaines Maths '!K18&lt;=5, 'Items sous domaines Maths '!K18&gt;0),'Items sous domaines Maths '!C18)</f>
        <v>Arithmétique</v>
      </c>
      <c r="D14" s="156">
        <f>IF(AND('Items sous domaines Maths '!K18&lt;=5, 'Items sous domaines Maths '!K18&gt;0),'Items sous domaines Maths '!D18,0)</f>
        <v>0</v>
      </c>
      <c r="E14" s="156" t="str">
        <f>IF(AND('Items sous domaines Maths '!K18&lt;=5, 'Items sous domaines Maths '!K18&gt;0),'Items sous domaines Maths '!E18,0)</f>
        <v>PPCM</v>
      </c>
      <c r="F14" s="157">
        <f>IF(AND('Items sous domaines Maths '!K18&lt;=5, 'Items sous domaines Maths '!K18&gt;0),'Items sous domaines Maths '!F18,0)</f>
        <v>0</v>
      </c>
      <c r="G14" s="722"/>
      <c r="H14" s="708"/>
      <c r="I14" s="249"/>
    </row>
    <row r="15" spans="1:9" ht="19.95" customHeight="1" x14ac:dyDescent="0.3">
      <c r="A15" s="607"/>
      <c r="B15" s="161" t="str">
        <f>IF(AND('Items sous domaines Maths '!K19&lt;=5, 'Items sous domaines Maths '!K19&gt;0),'Items sous domaines Maths '!B19,0)</f>
        <v>Algèbre</v>
      </c>
      <c r="C15" s="162" t="str">
        <f>IF(AND('Items sous domaines Maths '!K19&lt;=5, 'Items sous domaines Maths '!K19&gt;0),'Items sous domaines Maths '!C19)</f>
        <v>Arithmétique</v>
      </c>
      <c r="D15" s="162" t="str">
        <f>IF(AND('Items sous domaines Maths '!K19&lt;=5, 'Items sous domaines Maths '!K19&gt;0),'Items sous domaines Maths '!D19,0)</f>
        <v>Équations dophantiennes</v>
      </c>
      <c r="E15" s="162">
        <f>IF(AND('Items sous domaines Maths '!K19&lt;=5, 'Items sous domaines Maths '!K19&gt;0),'Items sous domaines Maths '!E19,0)</f>
        <v>0</v>
      </c>
      <c r="F15" s="163">
        <f>IF(AND('Items sous domaines Maths '!K19&lt;=5, 'Items sous domaines Maths '!K19&gt;0),'Items sous domaines Maths '!F19,0)</f>
        <v>0</v>
      </c>
      <c r="G15" s="722"/>
      <c r="H15" s="708"/>
      <c r="I15" s="249"/>
    </row>
    <row r="16" spans="1:9" ht="19.95" customHeight="1" x14ac:dyDescent="0.3">
      <c r="A16" s="607"/>
      <c r="B16" s="155" t="str">
        <f>IF(AND('Items sous domaines Maths '!K20&lt;=5, 'Items sous domaines Maths '!K20&gt;0),'Items sous domaines Maths '!B20,0)</f>
        <v>Algèbre</v>
      </c>
      <c r="C16" s="156" t="str">
        <f>IF(AND('Items sous domaines Maths '!K20&lt;=5, 'Items sous domaines Maths '!K20&gt;0),'Items sous domaines Maths '!C20)</f>
        <v>Arithmétique</v>
      </c>
      <c r="D16" s="156" t="str">
        <f>IF(AND('Items sous domaines Maths '!K20&lt;=5, 'Items sous domaines Maths '!K20&gt;0),'Items sous domaines Maths '!D20,0)</f>
        <v>Chiffrage</v>
      </c>
      <c r="E16" s="156" t="str">
        <f>IF(AND('Items sous domaines Maths '!K20&lt;=5, 'Items sous domaines Maths '!K20&gt;0),'Items sous domaines Maths '!E20,0)</f>
        <v>Chiffrement simple</v>
      </c>
      <c r="F16" s="157" t="str">
        <f>IF(AND('Items sous domaines Maths '!K20&lt;=5, 'Items sous domaines Maths '!K20&gt;0),'Items sous domaines Maths '!F20,0)</f>
        <v>rot, César, Vigenère...</v>
      </c>
      <c r="G16" s="722"/>
      <c r="H16" s="708"/>
      <c r="I16" s="249"/>
    </row>
    <row r="17" spans="1:9" ht="19.95" customHeight="1" x14ac:dyDescent="0.3">
      <c r="A17" s="607"/>
      <c r="B17" s="161" t="str">
        <f>IF(AND('Items sous domaines Maths '!K21&lt;=5, 'Items sous domaines Maths '!K21&gt;0),'Items sous domaines Maths '!B21,0)</f>
        <v>Algèbre</v>
      </c>
      <c r="C17" s="162" t="str">
        <f>IF(AND('Items sous domaines Maths '!K21&lt;=5, 'Items sous domaines Maths '!K21&gt;0),'Items sous domaines Maths '!C21)</f>
        <v>Arithmétique</v>
      </c>
      <c r="D17" s="162">
        <f>IF(AND('Items sous domaines Maths '!K21&lt;=5, 'Items sous domaines Maths '!K21&gt;0),'Items sous domaines Maths '!D21,0)</f>
        <v>0</v>
      </c>
      <c r="E17" s="162" t="str">
        <f>IF(AND('Items sous domaines Maths '!K21&lt;=5, 'Items sous domaines Maths '!K21&gt;0),'Items sous domaines Maths '!E21,0)</f>
        <v>Chiffrement symétrique</v>
      </c>
      <c r="F17" s="163" t="str">
        <f>IF(AND('Items sous domaines Maths '!K21&lt;=5, 'Items sous domaines Maths '!K21&gt;0),'Items sous domaines Maths '!F21,0)</f>
        <v>Verman</v>
      </c>
      <c r="G17" s="722"/>
      <c r="H17" s="708"/>
      <c r="I17" s="249"/>
    </row>
    <row r="18" spans="1:9" ht="19.95" customHeight="1" x14ac:dyDescent="0.3">
      <c r="A18" s="607"/>
      <c r="B18" s="155" t="str">
        <f>IF(AND('Items sous domaines Maths '!K22&lt;=5, 'Items sous domaines Maths '!K22&gt;0),'Items sous domaines Maths '!B22,0)</f>
        <v>Algèbre</v>
      </c>
      <c r="C18" s="156" t="str">
        <f>IF(AND('Items sous domaines Maths '!K22&lt;=5, 'Items sous domaines Maths '!K22&gt;0),'Items sous domaines Maths '!C22)</f>
        <v>Arithmétique</v>
      </c>
      <c r="D18" s="156">
        <f>IF(AND('Items sous domaines Maths '!K22&lt;=5, 'Items sous domaines Maths '!K22&gt;0),'Items sous domaines Maths '!D22,0)</f>
        <v>0</v>
      </c>
      <c r="E18" s="156" t="str">
        <f>IF(AND('Items sous domaines Maths '!K22&lt;=5, 'Items sous domaines Maths '!K22&gt;0),'Items sous domaines Maths '!E22,0)</f>
        <v>Division euclidienne de polynômes</v>
      </c>
      <c r="F18" s="157" t="str">
        <f>IF(AND('Items sous domaines Maths '!K22&lt;=5, 'Items sous domaines Maths '!K22&gt;0),'Items sous domaines Maths '!F22,0)</f>
        <v>Lien avec les CRC</v>
      </c>
      <c r="G18" s="722"/>
      <c r="H18" s="708"/>
      <c r="I18" s="249"/>
    </row>
    <row r="19" spans="1:9" ht="19.95" customHeight="1" thickBot="1" x14ac:dyDescent="0.35">
      <c r="A19" s="608"/>
      <c r="B19" s="250" t="str">
        <f>IF(AND('Items sous domaines Maths '!K23&lt;=5, 'Items sous domaines Maths '!K23&gt;0),'Items sous domaines Maths '!B23,0)</f>
        <v>Algèbre</v>
      </c>
      <c r="C19" s="251" t="str">
        <f>IF(AND('Items sous domaines Maths '!K23&lt;=5, 'Items sous domaines Maths '!K23&gt;0),'Items sous domaines Maths '!C23)</f>
        <v>Arithmétique</v>
      </c>
      <c r="D19" s="251">
        <f>IF(AND('Items sous domaines Maths '!K23&lt;=5, 'Items sous domaines Maths '!K23&gt;0),'Items sous domaines Maths '!D23,0)</f>
        <v>0</v>
      </c>
      <c r="E19" s="251" t="str">
        <f>IF(AND('Items sous domaines Maths '!K23&lt;=5, 'Items sous domaines Maths '!K23&gt;0),'Items sous domaines Maths '!E23,0)</f>
        <v>Chiffrement asymétrique</v>
      </c>
      <c r="F19" s="252" t="str">
        <f>IF(AND('Items sous domaines Maths '!K23&lt;=5, 'Items sous domaines Maths '!K23&gt;0),'Items sous domaines Maths '!F23,0)</f>
        <v>RSA, PGP (hybride)</v>
      </c>
      <c r="G19" s="723"/>
      <c r="H19" s="707"/>
      <c r="I19" s="253"/>
    </row>
    <row r="20" spans="1:9" customFormat="1" ht="17.399999999999999" hidden="1" customHeight="1" thickTop="1" thickBot="1" x14ac:dyDescent="0.3">
      <c r="A20" s="718"/>
      <c r="B20">
        <f>IF(AND('Items sous domaines Maths '!K24&lt;=5, 'Items sous domaines Maths '!K24&gt;0),'Items sous domaines Maths '!B24,0)</f>
        <v>0</v>
      </c>
      <c r="C20" t="b">
        <f>IF(AND('Items sous domaines Maths '!K24&lt;=5, 'Items sous domaines Maths '!K24&gt;0),'Items sous domaines Maths '!C24)</f>
        <v>0</v>
      </c>
      <c r="D20">
        <f>IF(AND('Items sous domaines Maths '!K24&lt;=5, 'Items sous domaines Maths '!K24&gt;0),'Items sous domaines Maths '!D24,0)</f>
        <v>0</v>
      </c>
      <c r="E20">
        <f>IF(AND('Items sous domaines Maths '!K24&lt;=5, 'Items sous domaines Maths '!K24&gt;0),'Items sous domaines Maths '!E24,0)</f>
        <v>0</v>
      </c>
      <c r="F20" s="10">
        <f>IF(AND('Items sous domaines Maths '!K24&lt;=5, 'Items sous domaines Maths '!K24&gt;0),'Items sous domaines Maths '!F24,0)</f>
        <v>0</v>
      </c>
      <c r="G20" s="647"/>
      <c r="H20" s="9">
        <f>IF(AND('Items sous domaines Maths '!K24&lt;=5, 'Items sous domaines Maths '!K24&gt;0),'Items sous domaines Maths '!L24,0)</f>
        <v>0</v>
      </c>
    </row>
    <row r="21" spans="1:9" customFormat="1" ht="17.399999999999999" hidden="1" customHeight="1" thickBot="1" x14ac:dyDescent="0.3">
      <c r="A21" s="718"/>
      <c r="B21" s="8">
        <f>IF(AND('Items sous domaines Maths '!K25&lt;=5, 'Items sous domaines Maths '!K25&gt;0),'Items sous domaines Maths '!B25,0)</f>
        <v>0</v>
      </c>
      <c r="C21" s="8" t="b">
        <f>IF(AND('Items sous domaines Maths '!K25&lt;=5, 'Items sous domaines Maths '!K25&gt;0),'Items sous domaines Maths '!C25)</f>
        <v>0</v>
      </c>
      <c r="D21" s="8">
        <f>IF(AND('Items sous domaines Maths '!K25&lt;=5, 'Items sous domaines Maths '!K25&gt;0),'Items sous domaines Maths '!D25,0)</f>
        <v>0</v>
      </c>
      <c r="E21" s="8">
        <f>IF(AND('Items sous domaines Maths '!K25&lt;=5, 'Items sous domaines Maths '!K25&gt;0),'Items sous domaines Maths '!E25,0)</f>
        <v>0</v>
      </c>
      <c r="F21" s="9">
        <f>IF(AND('Items sous domaines Maths '!K25&lt;=5, 'Items sous domaines Maths '!K25&gt;0),'Items sous domaines Maths '!F25,0)</f>
        <v>0</v>
      </c>
      <c r="G21" s="647"/>
      <c r="H21" s="9">
        <f>IF(AND('Items sous domaines Maths '!K25&lt;=5, 'Items sous domaines Maths '!K25&gt;0),'Items sous domaines Maths '!L25,0)</f>
        <v>0</v>
      </c>
    </row>
    <row r="22" spans="1:9" ht="19.95" customHeight="1" thickTop="1" x14ac:dyDescent="0.3">
      <c r="A22" s="609"/>
      <c r="B22" s="254" t="str">
        <f>IF(AND('Items sous domaines Maths '!K26&lt;=5, 'Items sous domaines Maths '!K26&gt;0),'Items sous domaines Maths '!B26,0)</f>
        <v>Algèbre</v>
      </c>
      <c r="C22" s="255" t="str">
        <f>IF(AND('Items sous domaines Maths '!K26&lt;=5, 'Items sous domaines Maths '!K26&gt;0),'Items sous domaines Maths '!C26)</f>
        <v>Logique</v>
      </c>
      <c r="D22" s="255" t="str">
        <f>IF(AND('Items sous domaines Maths '!K26&lt;=5, 'Items sous domaines Maths '!K26&gt;0),'Items sous domaines Maths '!D26,0)</f>
        <v>Logique et raisonnements</v>
      </c>
      <c r="E22" s="255" t="str">
        <f>IF(AND('Items sous domaines Maths '!K26&lt;=5, 'Items sous domaines Maths '!K26&gt;0),'Items sous domaines Maths '!E26,0)</f>
        <v xml:space="preserve">Rudiments de logique </v>
      </c>
      <c r="F22" s="256" t="str">
        <f>IF(AND('Items sous domaines Maths '!K26&lt;=5, 'Items sous domaines Maths '!K26&gt;0),'Items sous domaines Maths '!F26,0)</f>
        <v>Opérations : négation, conjonction, disjonction, implication, équivalence.</v>
      </c>
      <c r="G22" s="724"/>
      <c r="H22" s="713" t="str">
        <f>IF(AND('Items sous domaines Maths '!K26&lt;=5, 'Items sous domaines Maths '!K26&gt;0),'Items sous domaines Maths '!L26,0)</f>
        <v>https://uel.unisciel.fr/mathematiques/logique1/logique1/co/logique1.html</v>
      </c>
      <c r="I22" s="245"/>
    </row>
    <row r="23" spans="1:9" ht="19.95" customHeight="1" x14ac:dyDescent="0.3">
      <c r="A23" s="607"/>
      <c r="B23" s="155" t="str">
        <f>IF(AND('Items sous domaines Maths '!K27&lt;=5, 'Items sous domaines Maths '!K27&gt;0),'Items sous domaines Maths '!B27,0)</f>
        <v>Algèbre</v>
      </c>
      <c r="C23" s="156" t="str">
        <f>IF(AND('Items sous domaines Maths '!K27&lt;=5, 'Items sous domaines Maths '!K27&gt;0),'Items sous domaines Maths '!C27)</f>
        <v>Logique</v>
      </c>
      <c r="D23" s="156">
        <f>IF(AND('Items sous domaines Maths '!K27&lt;=5, 'Items sous domaines Maths '!K27&gt;0),'Items sous domaines Maths '!D27,0)</f>
        <v>0</v>
      </c>
      <c r="E23" s="156">
        <f>IF(AND('Items sous domaines Maths '!K27&lt;=5, 'Items sous domaines Maths '!K27&gt;0),'Items sous domaines Maths '!E27,0)</f>
        <v>0</v>
      </c>
      <c r="F23" s="157" t="str">
        <f>IF(AND('Items sous domaines Maths '!K27&lt;=5, 'Items sous domaines Maths '!K27&gt;0),'Items sous domaines Maths '!F27,0)</f>
        <v>Tables de vérité</v>
      </c>
      <c r="G23" s="722"/>
      <c r="H23" s="711"/>
      <c r="I23" s="249"/>
    </row>
    <row r="24" spans="1:9" ht="19.95" customHeight="1" x14ac:dyDescent="0.3">
      <c r="A24" s="607"/>
      <c r="B24" s="161" t="str">
        <f>IF(AND('Items sous domaines Maths '!K28&lt;=5, 'Items sous domaines Maths '!K28&gt;0),'Items sous domaines Maths '!B28,0)</f>
        <v>Algèbre</v>
      </c>
      <c r="C24" s="162" t="str">
        <f>IF(AND('Items sous domaines Maths '!K28&lt;=5, 'Items sous domaines Maths '!K28&gt;0),'Items sous domaines Maths '!C28)</f>
        <v>Logique</v>
      </c>
      <c r="D24" s="162">
        <f>IF(AND('Items sous domaines Maths '!K28&lt;=5, 'Items sous domaines Maths '!K28&gt;0),'Items sous domaines Maths '!D28,0)</f>
        <v>0</v>
      </c>
      <c r="E24" s="162">
        <f>IF(AND('Items sous domaines Maths '!K28&lt;=5, 'Items sous domaines Maths '!K28&gt;0),'Items sous domaines Maths '!E28,0)</f>
        <v>0</v>
      </c>
      <c r="F24" s="163" t="str">
        <f>IF(AND('Items sous domaines Maths '!K28&lt;=5, 'Items sous domaines Maths '!K28&gt;0),'Items sous domaines Maths '!F28,0)</f>
        <v>Quantificateurs .</v>
      </c>
      <c r="G24" s="722"/>
      <c r="H24" s="711"/>
      <c r="I24" s="249"/>
    </row>
    <row r="25" spans="1:9" ht="19.95" customHeight="1" x14ac:dyDescent="0.3">
      <c r="A25" s="607"/>
      <c r="B25" s="155" t="str">
        <f>IF(AND('Items sous domaines Maths '!K29&lt;=5, 'Items sous domaines Maths '!K29&gt;0),'Items sous domaines Maths '!B29,0)</f>
        <v>Algèbre</v>
      </c>
      <c r="C25" s="156" t="str">
        <f>IF(AND('Items sous domaines Maths '!K29&lt;=5, 'Items sous domaines Maths '!K29&gt;0),'Items sous domaines Maths '!C29)</f>
        <v>Logique</v>
      </c>
      <c r="D25" s="156">
        <f>IF(AND('Items sous domaines Maths '!K29&lt;=5, 'Items sous domaines Maths '!K29&gt;0),'Items sous domaines Maths '!D29,0)</f>
        <v>0</v>
      </c>
      <c r="E25" s="156">
        <f>IF(AND('Items sous domaines Maths '!K29&lt;=5, 'Items sous domaines Maths '!K29&gt;0),'Items sous domaines Maths '!E29,0)</f>
        <v>0</v>
      </c>
      <c r="F25" s="157" t="str">
        <f>IF(AND('Items sous domaines Maths '!K29&lt;=5, 'Items sous domaines Maths '!K29&gt;0),'Items sous domaines Maths '!F29,0)</f>
        <v xml:space="preserve">Négations </v>
      </c>
      <c r="G25" s="722"/>
      <c r="H25" s="711"/>
      <c r="I25" s="249"/>
    </row>
    <row r="26" spans="1:9" ht="19.95" customHeight="1" x14ac:dyDescent="0.3">
      <c r="A26" s="607"/>
      <c r="B26" s="161" t="str">
        <f>IF(AND('Items sous domaines Maths '!K30&lt;=5, 'Items sous domaines Maths '!K30&gt;0),'Items sous domaines Maths '!B30,0)</f>
        <v>Algèbre</v>
      </c>
      <c r="C26" s="162" t="str">
        <f>IF(AND('Items sous domaines Maths '!K30&lt;=5, 'Items sous domaines Maths '!K30&gt;0),'Items sous domaines Maths '!C30)</f>
        <v>Logique</v>
      </c>
      <c r="D26" s="162">
        <f>IF(AND('Items sous domaines Maths '!K30&lt;=5, 'Items sous domaines Maths '!K30&gt;0),'Items sous domaines Maths '!D30,0)</f>
        <v>0</v>
      </c>
      <c r="E26" s="162" t="str">
        <f>IF(AND('Items sous domaines Maths '!K30&lt;=5, 'Items sous domaines Maths '!K30&gt;0),'Items sous domaines Maths '!E30,0)</f>
        <v xml:space="preserve">Propriétés de N </v>
      </c>
      <c r="F26" s="163" t="str">
        <f>IF(AND('Items sous domaines Maths '!K30&lt;=5, 'Items sous domaines Maths '!K30&gt;0),'Items sous domaines Maths '!F30,0)</f>
        <v>Définitions générales .</v>
      </c>
      <c r="G26" s="722"/>
      <c r="H26" s="711"/>
      <c r="I26" s="249"/>
    </row>
    <row r="27" spans="1:9" ht="19.95" customHeight="1" x14ac:dyDescent="0.3">
      <c r="A27" s="607"/>
      <c r="B27" s="155" t="str">
        <f>IF(AND('Items sous domaines Maths '!K31&lt;=5, 'Items sous domaines Maths '!K31&gt;0),'Items sous domaines Maths '!B31,0)</f>
        <v>Algèbre</v>
      </c>
      <c r="C27" s="156" t="str">
        <f>IF(AND('Items sous domaines Maths '!K31&lt;=5, 'Items sous domaines Maths '!K31&gt;0),'Items sous domaines Maths '!C31)</f>
        <v>Logique</v>
      </c>
      <c r="D27" s="156">
        <f>IF(AND('Items sous domaines Maths '!K31&lt;=5, 'Items sous domaines Maths '!K31&gt;0),'Items sous domaines Maths '!D31,0)</f>
        <v>0</v>
      </c>
      <c r="E27" s="156">
        <f>IF(AND('Items sous domaines Maths '!K31&lt;=5, 'Items sous domaines Maths '!K31&gt;0),'Items sous domaines Maths '!E31,0)</f>
        <v>0</v>
      </c>
      <c r="F27" s="157" t="str">
        <f>IF(AND('Items sous domaines Maths '!K31&lt;=5, 'Items sous domaines Maths '!K31&gt;0),'Items sous domaines Maths '!F31,0)</f>
        <v>Parties de N .</v>
      </c>
      <c r="G27" s="722"/>
      <c r="H27" s="711"/>
      <c r="I27" s="249"/>
    </row>
    <row r="28" spans="1:9" ht="19.95" customHeight="1" x14ac:dyDescent="0.3">
      <c r="A28" s="607"/>
      <c r="B28" s="161" t="str">
        <f>IF(AND('Items sous domaines Maths '!K32&lt;=5, 'Items sous domaines Maths '!K32&gt;0),'Items sous domaines Maths '!B32,0)</f>
        <v>Algèbre</v>
      </c>
      <c r="C28" s="162" t="str">
        <f>IF(AND('Items sous domaines Maths '!K32&lt;=5, 'Items sous domaines Maths '!K32&gt;0),'Items sous domaines Maths '!C32)</f>
        <v>Logique</v>
      </c>
      <c r="D28" s="162">
        <f>IF(AND('Items sous domaines Maths '!K32&lt;=5, 'Items sous domaines Maths '!K32&gt;0),'Items sous domaines Maths '!D32,0)</f>
        <v>0</v>
      </c>
      <c r="E28" s="162" t="str">
        <f>IF(AND('Items sous domaines Maths '!K32&lt;=5, 'Items sous domaines Maths '!K32&gt;0),'Items sous domaines Maths '!E32,0)</f>
        <v xml:space="preserve">Autres types de raisonnements </v>
      </c>
      <c r="F28" s="163" t="str">
        <f>IF(AND('Items sous domaines Maths '!K32&lt;=5, 'Items sous domaines Maths '!K32&gt;0),'Items sous domaines Maths '!F32,0)</f>
        <v xml:space="preserve">Raisonnement par récurrence </v>
      </c>
      <c r="G28" s="722"/>
      <c r="H28" s="711"/>
      <c r="I28" s="249"/>
    </row>
    <row r="29" spans="1:9" ht="19.95" customHeight="1" x14ac:dyDescent="0.3">
      <c r="A29" s="607"/>
      <c r="B29" s="155" t="str">
        <f>IF(AND('Items sous domaines Maths '!K33&lt;=5, 'Items sous domaines Maths '!K33&gt;0),'Items sous domaines Maths '!B33,0)</f>
        <v>Algèbre</v>
      </c>
      <c r="C29" s="156" t="str">
        <f>IF(AND('Items sous domaines Maths '!K33&lt;=5, 'Items sous domaines Maths '!K33&gt;0),'Items sous domaines Maths '!C33)</f>
        <v>Logique</v>
      </c>
      <c r="D29" s="156">
        <f>IF(AND('Items sous domaines Maths '!K33&lt;=5, 'Items sous domaines Maths '!K33&gt;0),'Items sous domaines Maths '!D33,0)</f>
        <v>0</v>
      </c>
      <c r="E29" s="156">
        <f>IF(AND('Items sous domaines Maths '!K33&lt;=5, 'Items sous domaines Maths '!K33&gt;0),'Items sous domaines Maths '!E33,0)</f>
        <v>0</v>
      </c>
      <c r="F29" s="157" t="str">
        <f>IF(AND('Items sous domaines Maths '!K33&lt;=5, 'Items sous domaines Maths '!K33&gt;0),'Items sous domaines Maths '!F33,0)</f>
        <v>Raisonnement par contraposition</v>
      </c>
      <c r="G29" s="722"/>
      <c r="H29" s="711"/>
      <c r="I29" s="249"/>
    </row>
    <row r="30" spans="1:9" ht="19.95" customHeight="1" x14ac:dyDescent="0.3">
      <c r="A30" s="607"/>
      <c r="B30" s="161" t="str">
        <f>IF(AND('Items sous domaines Maths '!K34&lt;=5, 'Items sous domaines Maths '!K34&gt;0),'Items sous domaines Maths '!B34,0)</f>
        <v>Algèbre</v>
      </c>
      <c r="C30" s="162" t="str">
        <f>IF(AND('Items sous domaines Maths '!K34&lt;=5, 'Items sous domaines Maths '!K34&gt;0),'Items sous domaines Maths '!C34)</f>
        <v>Logique</v>
      </c>
      <c r="D30" s="162">
        <f>IF(AND('Items sous domaines Maths '!K34&lt;=5, 'Items sous domaines Maths '!K34&gt;0),'Items sous domaines Maths '!D34,0)</f>
        <v>0</v>
      </c>
      <c r="E30" s="162">
        <f>IF(AND('Items sous domaines Maths '!K34&lt;=5, 'Items sous domaines Maths '!K34&gt;0),'Items sous domaines Maths '!E34,0)</f>
        <v>0</v>
      </c>
      <c r="F30" s="163" t="str">
        <f>IF(AND('Items sous domaines Maths '!K34&lt;=5, 'Items sous domaines Maths '!K34&gt;0),'Items sous domaines Maths '!F34,0)</f>
        <v xml:space="preserve">Raisonnement par l’absurde </v>
      </c>
      <c r="G30" s="722"/>
      <c r="H30" s="711"/>
      <c r="I30" s="249"/>
    </row>
    <row r="31" spans="1:9" ht="19.95" customHeight="1" x14ac:dyDescent="0.3">
      <c r="A31" s="607"/>
      <c r="B31" s="155" t="str">
        <f>IF(AND('Items sous domaines Maths '!K35&lt;=5, 'Items sous domaines Maths '!K35&gt;0),'Items sous domaines Maths '!B35,0)</f>
        <v>Algèbre</v>
      </c>
      <c r="C31" s="156" t="str">
        <f>IF(AND('Items sous domaines Maths '!K35&lt;=5, 'Items sous domaines Maths '!K35&gt;0),'Items sous domaines Maths '!C35)</f>
        <v>Logique</v>
      </c>
      <c r="D31" s="156" t="str">
        <f>IF(AND('Items sous domaines Maths '!K35&lt;=5, 'Items sous domaines Maths '!K35&gt;0),'Items sous domaines Maths '!D35,0)</f>
        <v>Logique booléenne</v>
      </c>
      <c r="E31" s="156" t="str">
        <f>IF(AND('Items sous domaines Maths '!K35&lt;=5, 'Items sous domaines Maths '!K35&gt;0),'Items sous domaines Maths '!E35,0)</f>
        <v>Fonctions Booléennes</v>
      </c>
      <c r="F31" s="157" t="str">
        <f>IF(AND('Items sous domaines Maths '!K35&lt;=5, 'Items sous domaines Maths '!K35&gt;0),'Items sous domaines Maths '!F35,0)</f>
        <v>Fonction NOT, NOR, AND, OR</v>
      </c>
      <c r="G31" s="722"/>
      <c r="H31" s="711"/>
      <c r="I31" s="249"/>
    </row>
    <row r="32" spans="1:9" ht="19.95" customHeight="1" x14ac:dyDescent="0.3">
      <c r="A32" s="607"/>
      <c r="B32" s="161" t="str">
        <f>IF(AND('Items sous domaines Maths '!K36&lt;=5, 'Items sous domaines Maths '!K36&gt;0),'Items sous domaines Maths '!B36,0)</f>
        <v>Algèbre</v>
      </c>
      <c r="C32" s="162" t="str">
        <f>IF(AND('Items sous domaines Maths '!K36&lt;=5, 'Items sous domaines Maths '!K36&gt;0),'Items sous domaines Maths '!C36)</f>
        <v>Logique</v>
      </c>
      <c r="D32" s="162">
        <f>IF(AND('Items sous domaines Maths '!K36&lt;=5, 'Items sous domaines Maths '!K36&gt;0),'Items sous domaines Maths '!D36,0)</f>
        <v>0</v>
      </c>
      <c r="E32" s="162">
        <f>IF(AND('Items sous domaines Maths '!K36&lt;=5, 'Items sous domaines Maths '!K36&gt;0),'Items sous domaines Maths '!E36,0)</f>
        <v>0</v>
      </c>
      <c r="F32" s="163" t="str">
        <f>IF(AND('Items sous domaines Maths '!K36&lt;=5, 'Items sous domaines Maths '!K36&gt;0),'Items sous domaines Maths '!F36,0)</f>
        <v>Tables de verité</v>
      </c>
      <c r="G32" s="722"/>
      <c r="H32" s="711"/>
      <c r="I32" s="249"/>
    </row>
    <row r="33" spans="1:9" ht="19.95" customHeight="1" x14ac:dyDescent="0.3">
      <c r="A33" s="607"/>
      <c r="B33" s="155" t="str">
        <f>IF(AND('Items sous domaines Maths '!K37&lt;=5, 'Items sous domaines Maths '!K37&gt;0),'Items sous domaines Maths '!B37,0)</f>
        <v>Algèbre</v>
      </c>
      <c r="C33" s="156" t="str">
        <f>IF(AND('Items sous domaines Maths '!K37&lt;=5, 'Items sous domaines Maths '!K37&gt;0),'Items sous domaines Maths '!C37)</f>
        <v>Logique</v>
      </c>
      <c r="D33" s="156">
        <f>IF(AND('Items sous domaines Maths '!K37&lt;=5, 'Items sous domaines Maths '!K37&gt;0),'Items sous domaines Maths '!D37,0)</f>
        <v>0</v>
      </c>
      <c r="E33" s="156" t="str">
        <f>IF(AND('Items sous domaines Maths '!K37&lt;=5, 'Items sous domaines Maths '!K37&gt;0),'Items sous domaines Maths '!E37,0)</f>
        <v>Représentations graphiques des fonctions booléennes</v>
      </c>
      <c r="F33" s="157" t="str">
        <f>IF(AND('Items sous domaines Maths '!K37&lt;=5, 'Items sous domaines Maths '!K37&gt;0),'Items sous domaines Maths '!F37,0)</f>
        <v>Connaissance des symboles de représentation</v>
      </c>
      <c r="G33" s="722"/>
      <c r="H33" s="711"/>
      <c r="I33" s="249"/>
    </row>
    <row r="34" spans="1:9" ht="19.95" customHeight="1" thickBot="1" x14ac:dyDescent="0.35">
      <c r="A34" s="608"/>
      <c r="B34" s="250" t="str">
        <f>IF(AND('Items sous domaines Maths '!K38&lt;=5, 'Items sous domaines Maths '!K38&gt;0),'Items sous domaines Maths '!B38,0)</f>
        <v>Algèbre</v>
      </c>
      <c r="C34" s="251" t="str">
        <f>IF(AND('Items sous domaines Maths '!K38&lt;=5, 'Items sous domaines Maths '!K38&gt;0),'Items sous domaines Maths '!C38)</f>
        <v>Logique</v>
      </c>
      <c r="D34" s="251">
        <f>IF(AND('Items sous domaines Maths '!K38&lt;=5, 'Items sous domaines Maths '!K38&gt;0),'Items sous domaines Maths '!D38,0)</f>
        <v>0</v>
      </c>
      <c r="E34" s="251">
        <f>IF(AND('Items sous domaines Maths '!K38&lt;=5, 'Items sous domaines Maths '!K38&gt;0),'Items sous domaines Maths '!E38,0)</f>
        <v>0</v>
      </c>
      <c r="F34" s="252" t="str">
        <f>IF(AND('Items sous domaines Maths '!K38&lt;=5, 'Items sous domaines Maths '!K38&gt;0),'Items sous domaines Maths '!F38,0)</f>
        <v>Utilisation dans la description des circuits logiques.</v>
      </c>
      <c r="G34" s="723"/>
      <c r="H34" s="712"/>
      <c r="I34" s="253"/>
    </row>
    <row r="35" spans="1:9" customFormat="1" ht="17.399999999999999" hidden="1" customHeight="1" thickTop="1" thickBot="1" x14ac:dyDescent="0.3">
      <c r="A35" s="718"/>
      <c r="B35">
        <f>IF(AND('Items sous domaines Maths '!K39&lt;=5, 'Items sous domaines Maths '!K39&gt;0),'Items sous domaines Maths '!B39,0)</f>
        <v>0</v>
      </c>
      <c r="C35" t="b">
        <f>IF(AND('Items sous domaines Maths '!K39&lt;=5, 'Items sous domaines Maths '!K39&gt;0),'Items sous domaines Maths '!C39)</f>
        <v>0</v>
      </c>
      <c r="D35">
        <f>IF(AND('Items sous domaines Maths '!K39&lt;=5, 'Items sous domaines Maths '!K39&gt;0),'Items sous domaines Maths '!D39,0)</f>
        <v>0</v>
      </c>
      <c r="E35">
        <f>IF(AND('Items sous domaines Maths '!K39&lt;=5, 'Items sous domaines Maths '!K39&gt;0),'Items sous domaines Maths '!E39,0)</f>
        <v>0</v>
      </c>
      <c r="F35" s="10">
        <f>IF(AND('Items sous domaines Maths '!K39&lt;=5, 'Items sous domaines Maths '!K39&gt;0),'Items sous domaines Maths '!F39,0)</f>
        <v>0</v>
      </c>
      <c r="G35" s="647"/>
      <c r="H35" s="9">
        <f>IF(AND('Items sous domaines Maths '!K39&lt;=5, 'Items sous domaines Maths '!K39&gt;0),'Items sous domaines Maths '!L39,0)</f>
        <v>0</v>
      </c>
    </row>
    <row r="36" spans="1:9" ht="19.95" customHeight="1" thickTop="1" x14ac:dyDescent="0.3">
      <c r="A36" s="609"/>
      <c r="B36" s="254" t="str">
        <f>IF(AND('Items sous domaines Maths '!K40&lt;=5, 'Items sous domaines Maths '!K40&gt;0),'Items sous domaines Maths '!B40,0)</f>
        <v>Algèbre</v>
      </c>
      <c r="C36" s="255" t="str">
        <f>IF(AND('Items sous domaines Maths '!K40&lt;=5, 'Items sous domaines Maths '!K40&gt;0),'Items sous domaines Maths '!C40)</f>
        <v>Les nombres complexes</v>
      </c>
      <c r="D36" s="255" t="str">
        <f>IF(AND('Items sous domaines Maths '!K40&lt;=5, 'Items sous domaines Maths '!K40&gt;0),'Items sous domaines Maths '!D40,0)</f>
        <v>Définition et écriture algébrique des nombres complexes</v>
      </c>
      <c r="E36" s="255" t="str">
        <f>IF(AND('Items sous domaines Maths '!K40&lt;=5, 'Items sous domaines Maths '!K40&gt;0),'Items sous domaines Maths '!E40,0)</f>
        <v>Définition</v>
      </c>
      <c r="F36" s="256" t="str">
        <f>IF(AND('Items sous domaines Maths '!K40&lt;=5, 'Items sous domaines Maths '!K40&gt;0),'Items sous domaines Maths '!F40,0)</f>
        <v>Connaître l'écriture algébrique, la partie réelle et imaginaire d'un nombre complexe</v>
      </c>
      <c r="G36" s="724"/>
      <c r="H36" s="713" t="str">
        <f>IF(AND('Items sous domaines Maths '!K40&lt;=5, 'Items sous domaines Maths '!K40&gt;0),'Items sous domaines Maths '!L40,0)</f>
        <v>https://uel.unisciel.fr/physique/outils_nancy/outils_nancy_ch04/co/apprendre_ch04.html</v>
      </c>
      <c r="I36" s="245"/>
    </row>
    <row r="37" spans="1:9" ht="19.95" customHeight="1" x14ac:dyDescent="0.3">
      <c r="A37" s="607"/>
      <c r="B37" s="155" t="str">
        <f>IF(AND('Items sous domaines Maths '!K41&lt;=5, 'Items sous domaines Maths '!K41&gt;0),'Items sous domaines Maths '!B41,0)</f>
        <v>Algèbre</v>
      </c>
      <c r="C37" s="156" t="str">
        <f>IF(AND('Items sous domaines Maths '!K41&lt;=5, 'Items sous domaines Maths '!K41&gt;0),'Items sous domaines Maths '!C41)</f>
        <v>Les nombres complexes</v>
      </c>
      <c r="D37" s="156">
        <f>IF(AND('Items sous domaines Maths '!K41&lt;=5, 'Items sous domaines Maths '!K41&gt;0),'Items sous domaines Maths '!D41,0)</f>
        <v>0</v>
      </c>
      <c r="E37" s="156">
        <f>IF(AND('Items sous domaines Maths '!K41&lt;=5, 'Items sous domaines Maths '!K41&gt;0),'Items sous domaines Maths '!E41,0)</f>
        <v>0</v>
      </c>
      <c r="F37" s="157" t="str">
        <f>IF(AND('Items sous domaines Maths '!K41&lt;=5, 'Items sous domaines Maths '!K41&gt;0),'Items sous domaines Maths '!F41,0)</f>
        <v>Savoir faire des opérations sur les nombres complexes.</v>
      </c>
      <c r="G37" s="722"/>
      <c r="H37" s="711"/>
      <c r="I37" s="249"/>
    </row>
    <row r="38" spans="1:9" ht="19.95" customHeight="1" x14ac:dyDescent="0.3">
      <c r="A38" s="607"/>
      <c r="B38" s="161" t="str">
        <f>IF(AND('Items sous domaines Maths '!K42&lt;=5, 'Items sous domaines Maths '!K42&gt;0),'Items sous domaines Maths '!B42,0)</f>
        <v>Algèbre</v>
      </c>
      <c r="C38" s="162" t="str">
        <f>IF(AND('Items sous domaines Maths '!K42&lt;=5, 'Items sous domaines Maths '!K42&gt;0),'Items sous domaines Maths '!C42)</f>
        <v>Les nombres complexes</v>
      </c>
      <c r="D38" s="162">
        <f>IF(AND('Items sous domaines Maths '!K42&lt;=5, 'Items sous domaines Maths '!K42&gt;0),'Items sous domaines Maths '!D42,0)</f>
        <v>0</v>
      </c>
      <c r="E38" s="162">
        <f>IF(AND('Items sous domaines Maths '!K42&lt;=5, 'Items sous domaines Maths '!K42&gt;0),'Items sous domaines Maths '!E42,0)</f>
        <v>0</v>
      </c>
      <c r="F38" s="163" t="str">
        <f>IF(AND('Items sous domaines Maths '!K42&lt;=5, 'Items sous domaines Maths '!K42&gt;0),'Items sous domaines Maths '!F42,0)</f>
        <v>Connaître et savoir calculer le conjugué d'un nombre complexe. Connaître les propriétés du conjugué et son utilité dans l'écriture des fractions complexes sous forme algébrique.</v>
      </c>
      <c r="G38" s="722"/>
      <c r="H38" s="711"/>
      <c r="I38" s="249"/>
    </row>
    <row r="39" spans="1:9" ht="19.95" customHeight="1" x14ac:dyDescent="0.3">
      <c r="A39" s="607"/>
      <c r="B39" s="155" t="str">
        <f>IF(AND('Items sous domaines Maths '!K43&lt;=5, 'Items sous domaines Maths '!K43&gt;0),'Items sous domaines Maths '!B43,0)</f>
        <v>Algèbre</v>
      </c>
      <c r="C39" s="156" t="str">
        <f>IF(AND('Items sous domaines Maths '!K43&lt;=5, 'Items sous domaines Maths '!K43&gt;0),'Items sous domaines Maths '!C43)</f>
        <v>Les nombres complexes</v>
      </c>
      <c r="D39" s="156">
        <f>IF(AND('Items sous domaines Maths '!K43&lt;=5, 'Items sous domaines Maths '!K43&gt;0),'Items sous domaines Maths '!D43,0)</f>
        <v>0</v>
      </c>
      <c r="E39" s="156">
        <f>IF(AND('Items sous domaines Maths '!K43&lt;=5, 'Items sous domaines Maths '!K43&gt;0),'Items sous domaines Maths '!E43,0)</f>
        <v>0</v>
      </c>
      <c r="F39" s="157" t="str">
        <f>IF(AND('Items sous domaines Maths '!K43&lt;=5, 'Items sous domaines Maths '!K43&gt;0),'Items sous domaines Maths '!F43,0)</f>
        <v>Savoir associer un point du plan à un nombre complexe, affixe d’un point du plan, affixe d’un vecteur du plan (dentifier C au plan usuel muni d’un repère orthonormé direct)</v>
      </c>
      <c r="G39" s="722"/>
      <c r="H39" s="711"/>
      <c r="I39" s="249"/>
    </row>
    <row r="40" spans="1:9" ht="19.95" customHeight="1" x14ac:dyDescent="0.3">
      <c r="A40" s="607"/>
      <c r="B40" s="161" t="str">
        <f>IF(AND('Items sous domaines Maths '!K44&lt;=5, 'Items sous domaines Maths '!K44&gt;0),'Items sous domaines Maths '!B44,0)</f>
        <v>Algèbre</v>
      </c>
      <c r="C40" s="162" t="str">
        <f>IF(AND('Items sous domaines Maths '!K44&lt;=5, 'Items sous domaines Maths '!K44&gt;0),'Items sous domaines Maths '!C44)</f>
        <v>Les nombres complexes</v>
      </c>
      <c r="D40" s="162">
        <f>IF(AND('Items sous domaines Maths '!K44&lt;=5, 'Items sous domaines Maths '!K44&gt;0),'Items sous domaines Maths '!D44,0)</f>
        <v>0</v>
      </c>
      <c r="E40" s="162" t="str">
        <f>IF(AND('Items sous domaines Maths '!K44&lt;=5, 'Items sous domaines Maths '!K44&gt;0),'Items sous domaines Maths '!E44,0)</f>
        <v>Module d’un nombre complexe</v>
      </c>
      <c r="F40" s="163" t="str">
        <f>IF(AND('Items sous domaines Maths '!K44&lt;=5, 'Items sous domaines Maths '!K44&gt;0),'Items sous domaines Maths '!F44,0)</f>
        <v>Savoir calculer un module d'un nombre complexe.</v>
      </c>
      <c r="G40" s="722"/>
      <c r="H40" s="711"/>
      <c r="I40" s="249"/>
    </row>
    <row r="41" spans="1:9" ht="19.95" customHeight="1" x14ac:dyDescent="0.3">
      <c r="A41" s="607"/>
      <c r="B41" s="155" t="str">
        <f>IF(AND('Items sous domaines Maths '!K45&lt;=5, 'Items sous domaines Maths '!K45&gt;0),'Items sous domaines Maths '!B45,0)</f>
        <v>Algèbre</v>
      </c>
      <c r="C41" s="156" t="str">
        <f>IF(AND('Items sous domaines Maths '!K45&lt;=5, 'Items sous domaines Maths '!K45&gt;0),'Items sous domaines Maths '!C45)</f>
        <v>Les nombres complexes</v>
      </c>
      <c r="D41" s="156">
        <f>IF(AND('Items sous domaines Maths '!K45&lt;=5, 'Items sous domaines Maths '!K45&gt;0),'Items sous domaines Maths '!D45,0)</f>
        <v>0</v>
      </c>
      <c r="E41" s="156">
        <f>IF(AND('Items sous domaines Maths '!K45&lt;=5, 'Items sous domaines Maths '!K45&gt;0),'Items sous domaines Maths '!E45,0)</f>
        <v>0</v>
      </c>
      <c r="F41" s="157" t="str">
        <f>IF(AND('Items sous domaines Maths '!K45&lt;=5, 'Items sous domaines Maths '!K45&gt;0),'Items sous domaines Maths '!F45,0)</f>
        <v>Connaître l'interprétation géométrique d'un module et repérer les images des affixes de même module.</v>
      </c>
      <c r="G41" s="722"/>
      <c r="H41" s="711"/>
      <c r="I41" s="249"/>
    </row>
    <row r="42" spans="1:9" ht="19.95" customHeight="1" x14ac:dyDescent="0.3">
      <c r="A42" s="607"/>
      <c r="B42" s="161" t="str">
        <f>IF(AND('Items sous domaines Maths '!K46&lt;=5, 'Items sous domaines Maths '!K46&gt;0),'Items sous domaines Maths '!B46,0)</f>
        <v>Algèbre</v>
      </c>
      <c r="C42" s="162" t="str">
        <f>IF(AND('Items sous domaines Maths '!K46&lt;=5, 'Items sous domaines Maths '!K46&gt;0),'Items sous domaines Maths '!C46)</f>
        <v>Les nombres complexes</v>
      </c>
      <c r="D42" s="162">
        <f>IF(AND('Items sous domaines Maths '!K46&lt;=5, 'Items sous domaines Maths '!K46&gt;0),'Items sous domaines Maths '!D46,0)</f>
        <v>0</v>
      </c>
      <c r="E42" s="162">
        <f>IF(AND('Items sous domaines Maths '!K46&lt;=5, 'Items sous domaines Maths '!K46&gt;0),'Items sous domaines Maths '!E46,0)</f>
        <v>0</v>
      </c>
      <c r="F42" s="163" t="str">
        <f>IF(AND('Items sous domaines Maths '!K46&lt;=5, 'Items sous domaines Maths '!K46&gt;0),'Items sous domaines Maths '!F46,0)</f>
        <v xml:space="preserve">Savoir calculer le module d’un produit, d’un quotient. </v>
      </c>
      <c r="G42" s="722"/>
      <c r="H42" s="711"/>
      <c r="I42" s="249"/>
    </row>
    <row r="43" spans="1:9" ht="19.95" customHeight="1" x14ac:dyDescent="0.3">
      <c r="A43" s="607"/>
      <c r="B43" s="155" t="str">
        <f>IF(AND('Items sous domaines Maths '!K47&lt;=5, 'Items sous domaines Maths '!K47&gt;0),'Items sous domaines Maths '!B47,0)</f>
        <v>Algèbre</v>
      </c>
      <c r="C43" s="156" t="str">
        <f>IF(AND('Items sous domaines Maths '!K47&lt;=5, 'Items sous domaines Maths '!K47&gt;0),'Items sous domaines Maths '!C47)</f>
        <v>Les nombres complexes</v>
      </c>
      <c r="D43" s="156">
        <f>IF(AND('Items sous domaines Maths '!K47&lt;=5, 'Items sous domaines Maths '!K47&gt;0),'Items sous domaines Maths '!D47,0)</f>
        <v>0</v>
      </c>
      <c r="E43" s="156">
        <f>IF(AND('Items sous domaines Maths '!K47&lt;=5, 'Items sous domaines Maths '!K47&gt;0),'Items sous domaines Maths '!E47,0)</f>
        <v>0</v>
      </c>
      <c r="F43" s="157" t="str">
        <f>IF(AND('Items sous domaines Maths '!K47&lt;=5, 'Items sous domaines Maths '!K47&gt;0),'Items sous domaines Maths '!F47,0)</f>
        <v>Savoir résoudre des équations du type |z-zA|=|z-zB| et |z-zA|=R &gt; 0</v>
      </c>
      <c r="G43" s="722"/>
      <c r="H43" s="711"/>
      <c r="I43" s="249"/>
    </row>
    <row r="44" spans="1:9" ht="19.95" customHeight="1" x14ac:dyDescent="0.3">
      <c r="A44" s="607"/>
      <c r="B44" s="161" t="str">
        <f>IF(AND('Items sous domaines Maths '!K48&lt;=5, 'Items sous domaines Maths '!K48&gt;0),'Items sous domaines Maths '!B48,0)</f>
        <v>Algèbre</v>
      </c>
      <c r="C44" s="162" t="str">
        <f>IF(AND('Items sous domaines Maths '!K48&lt;=5, 'Items sous domaines Maths '!K48&gt;0),'Items sous domaines Maths '!C48)</f>
        <v>Les nombres complexes</v>
      </c>
      <c r="D44" s="162" t="str">
        <f>IF(AND('Items sous domaines Maths '!K48&lt;=5, 'Items sous domaines Maths '!K48&gt;0),'Items sous domaines Maths '!D48,0)</f>
        <v xml:space="preserve"> Forme trigonométrique et exponentielle d'un nombre complexe</v>
      </c>
      <c r="E44" s="162" t="str">
        <f>IF(AND('Items sous domaines Maths '!K48&lt;=5, 'Items sous domaines Maths '!K48&gt;0),'Items sous domaines Maths '!E48,0)</f>
        <v>Argument d'un nombre complexe et forme trigonometrique</v>
      </c>
      <c r="F44" s="163" t="str">
        <f>IF(AND('Items sous domaines Maths '!K48&lt;=5, 'Items sous domaines Maths '!K48&gt;0),'Items sous domaines Maths '!F48,0)</f>
        <v>Connaître le cercle trigonométrique. Savoir repérer un point du cercle avec les fonctions circulaires sinus et cosinus. Connaître les formules des angles associés, cos(a±b), sin(a±b), cos(2a), sin(2a),</v>
      </c>
      <c r="G44" s="722"/>
      <c r="H44" s="711"/>
      <c r="I44" s="249"/>
    </row>
    <row r="45" spans="1:9" ht="19.95" customHeight="1" x14ac:dyDescent="0.3">
      <c r="A45" s="607"/>
      <c r="B45" s="155" t="str">
        <f>IF(AND('Items sous domaines Maths '!K49&lt;=5, 'Items sous domaines Maths '!K49&gt;0),'Items sous domaines Maths '!B49,0)</f>
        <v>Algèbre</v>
      </c>
      <c r="C45" s="156" t="str">
        <f>IF(AND('Items sous domaines Maths '!K49&lt;=5, 'Items sous domaines Maths '!K49&gt;0),'Items sous domaines Maths '!C49)</f>
        <v>Les nombres complexes</v>
      </c>
      <c r="D45" s="156">
        <f>IF(AND('Items sous domaines Maths '!K49&lt;=5, 'Items sous domaines Maths '!K49&gt;0),'Items sous domaines Maths '!D49,0)</f>
        <v>0</v>
      </c>
      <c r="E45" s="156">
        <f>IF(AND('Items sous domaines Maths '!K49&lt;=5, 'Items sous domaines Maths '!K49&gt;0),'Items sous domaines Maths '!E49,0)</f>
        <v>0</v>
      </c>
      <c r="F45" s="157" t="str">
        <f>IF(AND('Items sous domaines Maths '!K49&lt;=5, 'Items sous domaines Maths '!K49&gt;0),'Items sous domaines Maths '!F49,0)</f>
        <v xml:space="preserve">Savoir calculer l'argument d'un nombre complexe à partir de sa forme algébrique et connaître l'interprétation géométrique de l'argument. </v>
      </c>
      <c r="G45" s="722"/>
      <c r="H45" s="711"/>
      <c r="I45" s="249"/>
    </row>
    <row r="46" spans="1:9" ht="19.95" customHeight="1" x14ac:dyDescent="0.3">
      <c r="A46" s="607"/>
      <c r="B46" s="161" t="str">
        <f>IF(AND('Items sous domaines Maths '!K50&lt;=5, 'Items sous domaines Maths '!K50&gt;0),'Items sous domaines Maths '!B50,0)</f>
        <v>Algèbre</v>
      </c>
      <c r="C46" s="162" t="str">
        <f>IF(AND('Items sous domaines Maths '!K50&lt;=5, 'Items sous domaines Maths '!K50&gt;0),'Items sous domaines Maths '!C50)</f>
        <v>Les nombres complexes</v>
      </c>
      <c r="D46" s="162">
        <f>IF(AND('Items sous domaines Maths '!K50&lt;=5, 'Items sous domaines Maths '!K50&gt;0),'Items sous domaines Maths '!D50,0)</f>
        <v>0</v>
      </c>
      <c r="E46" s="162">
        <f>IF(AND('Items sous domaines Maths '!K50&lt;=5, 'Items sous domaines Maths '!K50&gt;0),'Items sous domaines Maths '!E50,0)</f>
        <v>0</v>
      </c>
      <c r="F46" s="163" t="str">
        <f>IF(AND('Items sous domaines Maths '!K50&lt;=5, 'Items sous domaines Maths '!K50&gt;0),'Items sous domaines Maths '!F50,0)</f>
        <v xml:space="preserve">Savoir calculer l'argument d’un produit, d’un quotient. </v>
      </c>
      <c r="G46" s="722"/>
      <c r="H46" s="711"/>
      <c r="I46" s="249"/>
    </row>
    <row r="47" spans="1:9" ht="19.95" customHeight="1" x14ac:dyDescent="0.3">
      <c r="A47" s="607"/>
      <c r="B47" s="155" t="str">
        <f>IF(AND('Items sous domaines Maths '!K51&lt;=5, 'Items sous domaines Maths '!K51&gt;0),'Items sous domaines Maths '!B51,0)</f>
        <v>Algèbre</v>
      </c>
      <c r="C47" s="156" t="str">
        <f>IF(AND('Items sous domaines Maths '!K51&lt;=5, 'Items sous domaines Maths '!K51&gt;0),'Items sous domaines Maths '!C51)</f>
        <v>Les nombres complexes</v>
      </c>
      <c r="D47" s="156">
        <f>IF(AND('Items sous domaines Maths '!K51&lt;=5, 'Items sous domaines Maths '!K51&gt;0),'Items sous domaines Maths '!D51,0)</f>
        <v>0</v>
      </c>
      <c r="E47" s="156">
        <f>IF(AND('Items sous domaines Maths '!K51&lt;=5, 'Items sous domaines Maths '!K51&gt;0),'Items sous domaines Maths '!E51,0)</f>
        <v>0</v>
      </c>
      <c r="F47" s="157" t="str">
        <f>IF(AND('Items sous domaines Maths '!K51&lt;=5, 'Items sous domaines Maths '!K51&gt;0),'Items sous domaines Maths '!F51,0)</f>
        <v>Savoir passer de la forme algébrique à la forme trigonométrique d'un nombre complexe.</v>
      </c>
      <c r="G47" s="722"/>
      <c r="H47" s="711"/>
      <c r="I47" s="249"/>
    </row>
    <row r="48" spans="1:9" ht="19.95" customHeight="1" x14ac:dyDescent="0.3">
      <c r="A48" s="607"/>
      <c r="B48" s="161" t="str">
        <f>IF(AND('Items sous domaines Maths '!K52&lt;=5, 'Items sous domaines Maths '!K52&gt;0),'Items sous domaines Maths '!B52,0)</f>
        <v>Algèbre</v>
      </c>
      <c r="C48" s="162" t="str">
        <f>IF(AND('Items sous domaines Maths '!K52&lt;=5, 'Items sous domaines Maths '!K52&gt;0),'Items sous domaines Maths '!C52)</f>
        <v>Les nombres complexes</v>
      </c>
      <c r="D48" s="162">
        <f>IF(AND('Items sous domaines Maths '!K52&lt;=5, 'Items sous domaines Maths '!K52&gt;0),'Items sous domaines Maths '!D52,0)</f>
        <v>0</v>
      </c>
      <c r="E48" s="162" t="str">
        <f>IF(AND('Items sous domaines Maths '!K52&lt;=5, 'Items sous domaines Maths '!K52&gt;0),'Items sous domaines Maths '!E52,0)</f>
        <v>Complexes de module 1 et forme exponentielle d'un nombre complexe</v>
      </c>
      <c r="F48" s="163" t="str">
        <f>IF(AND('Items sous domaines Maths '!K52&lt;=5, 'Items sous domaines Maths '!K52&gt;0),'Items sous domaines Maths '!F52,0)</f>
        <v>Définition de exp(it) pour t réel.</v>
      </c>
      <c r="G48" s="722"/>
      <c r="H48" s="711"/>
      <c r="I48" s="249"/>
    </row>
    <row r="49" spans="1:9" ht="19.95" customHeight="1" x14ac:dyDescent="0.3">
      <c r="A49" s="607"/>
      <c r="B49" s="155" t="str">
        <f>IF(AND('Items sous domaines Maths '!K53&lt;=5, 'Items sous domaines Maths '!K53&gt;0),'Items sous domaines Maths '!B53,0)</f>
        <v>Algèbre</v>
      </c>
      <c r="C49" s="156" t="str">
        <f>IF(AND('Items sous domaines Maths '!K53&lt;=5, 'Items sous domaines Maths '!K53&gt;0),'Items sous domaines Maths '!C53)</f>
        <v>Les nombres complexes</v>
      </c>
      <c r="D49" s="156">
        <f>IF(AND('Items sous domaines Maths '!K53&lt;=5, 'Items sous domaines Maths '!K53&gt;0),'Items sous domaines Maths '!D53,0)</f>
        <v>0</v>
      </c>
      <c r="E49" s="156">
        <f>IF(AND('Items sous domaines Maths '!K53&lt;=5, 'Items sous domaines Maths '!K53&gt;0),'Items sous domaines Maths '!E53,0)</f>
        <v>0</v>
      </c>
      <c r="F49" s="157" t="str">
        <f>IF(AND('Items sous domaines Maths '!K53&lt;=5, 'Items sous domaines Maths '!K53&gt;0),'Items sous domaines Maths '!F53,0)</f>
        <v>Savoir réaliser des opérations avec les nombres complexes.</v>
      </c>
      <c r="G49" s="722"/>
      <c r="H49" s="711"/>
      <c r="I49" s="249"/>
    </row>
    <row r="50" spans="1:9" s="108" customFormat="1" ht="19.95" customHeight="1" x14ac:dyDescent="0.3">
      <c r="A50" s="607"/>
      <c r="B50" s="161" t="str">
        <f>IF(AND('Items sous domaines Maths '!K54&lt;=5, 'Items sous domaines Maths '!K54&gt;0),'Items sous domaines Maths '!B54,0)</f>
        <v>Algèbre</v>
      </c>
      <c r="C50" s="162" t="str">
        <f>IF(AND('Items sous domaines Maths '!K54&lt;=5, 'Items sous domaines Maths '!K54&gt;0),'Items sous domaines Maths '!C54)</f>
        <v>Les nombres complexes</v>
      </c>
      <c r="D50" s="162">
        <f>IF(AND('Items sous domaines Maths '!K54&lt;=5, 'Items sous domaines Maths '!K54&gt;0),'Items sous domaines Maths '!D54,0)</f>
        <v>0</v>
      </c>
      <c r="E50" s="162">
        <f>IF(AND('Items sous domaines Maths '!K54&lt;=5, 'Items sous domaines Maths '!K54&gt;0),'Items sous domaines Maths '!E54,0)</f>
        <v>0</v>
      </c>
      <c r="F50" s="163" t="str">
        <f>IF(AND('Items sous domaines Maths '!K54&lt;=5, 'Items sous domaines Maths '!K54&gt;0),'Items sous domaines Maths '!F54,0)</f>
        <v>Connaître l'écriture exponentielle d'un nombre complexe sous la forme r.exp(it).</v>
      </c>
      <c r="G50" s="722"/>
      <c r="H50" s="711"/>
      <c r="I50" s="257"/>
    </row>
    <row r="51" spans="1:9" ht="19.95" customHeight="1" x14ac:dyDescent="0.3">
      <c r="A51" s="607"/>
      <c r="B51" s="155" t="str">
        <f>IF(AND('Items sous domaines Maths '!K55&lt;=5, 'Items sous domaines Maths '!K55&gt;0),'Items sous domaines Maths '!B55,0)</f>
        <v>Algèbre</v>
      </c>
      <c r="C51" s="156" t="str">
        <f>IF(AND('Items sous domaines Maths '!K55&lt;=5, 'Items sous domaines Maths '!K55&gt;0),'Items sous domaines Maths '!C55)</f>
        <v>Les nombres complexes</v>
      </c>
      <c r="D51" s="156">
        <f>IF(AND('Items sous domaines Maths '!K55&lt;=5, 'Items sous domaines Maths '!K55&gt;0),'Items sous domaines Maths '!D55,0)</f>
        <v>0</v>
      </c>
      <c r="E51" s="156">
        <f>IF(AND('Items sous domaines Maths '!K55&lt;=5, 'Items sous domaines Maths '!K55&gt;0),'Items sous domaines Maths '!E55,0)</f>
        <v>0</v>
      </c>
      <c r="F51" s="157" t="str">
        <f>IF(AND('Items sous domaines Maths '!K55&lt;=5, 'Items sous domaines Maths '!K55&gt;0),'Items sous domaines Maths '!F55,0)</f>
        <v>Connaître les formules de Moivre et d'Euler. Savoir factoriser 1±exp(it)</v>
      </c>
      <c r="G51" s="722"/>
      <c r="H51" s="711"/>
      <c r="I51" s="249"/>
    </row>
    <row r="52" spans="1:9" ht="19.95" customHeight="1" thickBot="1" x14ac:dyDescent="0.35">
      <c r="A52" s="608"/>
      <c r="B52" s="250" t="str">
        <f>IF(AND('Items sous domaines Maths '!K56&lt;=5, 'Items sous domaines Maths '!K56&gt;0),'Items sous domaines Maths '!B56,0)</f>
        <v>Algèbre</v>
      </c>
      <c r="C52" s="251" t="str">
        <f>IF(AND('Items sous domaines Maths '!K56&lt;=5, 'Items sous domaines Maths '!K56&gt;0),'Items sous domaines Maths '!C56)</f>
        <v>Les nombres complexes</v>
      </c>
      <c r="D52" s="251" t="str">
        <f>IF(AND('Items sous domaines Maths '!K56&lt;=5, 'Items sous domaines Maths '!K56&gt;0),'Items sous domaines Maths '!D56,0)</f>
        <v>Solutions complexes d'équations polynomiales</v>
      </c>
      <c r="E52" s="251" t="str">
        <f>IF(AND('Items sous domaines Maths '!K56&lt;=5, 'Items sous domaines Maths '!K56&gt;0),'Items sous domaines Maths '!E56,0)</f>
        <v>Equations du second degré</v>
      </c>
      <c r="F52" s="252" t="str">
        <f>IF(AND('Items sous domaines Maths '!K56&lt;=5, 'Items sous domaines Maths '!K56&gt;0),'Items sous domaines Maths '!F56,0)</f>
        <v>Connaître la méthode permettant de calculer les racines carrées d’un nombre complexe.</v>
      </c>
      <c r="G52" s="723"/>
      <c r="H52" s="712"/>
      <c r="I52" s="253"/>
    </row>
    <row r="53" spans="1:9" customFormat="1" ht="17.399999999999999" hidden="1" customHeight="1" thickTop="1" thickBot="1" x14ac:dyDescent="0.3">
      <c r="A53" s="718"/>
      <c r="B53">
        <f>IF(AND('Items sous domaines Maths '!K57&lt;=5, 'Items sous domaines Maths '!K57&gt;0),'Items sous domaines Maths '!B57,0)</f>
        <v>0</v>
      </c>
      <c r="C53" t="b">
        <f>IF(AND('Items sous domaines Maths '!K57&lt;=5, 'Items sous domaines Maths '!K57&gt;0),'Items sous domaines Maths '!C57)</f>
        <v>0</v>
      </c>
      <c r="D53">
        <f>IF(AND('Items sous domaines Maths '!K57&lt;=5, 'Items sous domaines Maths '!K57&gt;0),'Items sous domaines Maths '!D57,0)</f>
        <v>0</v>
      </c>
      <c r="E53">
        <f>IF(AND('Items sous domaines Maths '!K57&lt;=5, 'Items sous domaines Maths '!K57&gt;0),'Items sous domaines Maths '!E57,0)</f>
        <v>0</v>
      </c>
      <c r="F53" s="10">
        <f>IF(AND('Items sous domaines Maths '!K57&lt;=5, 'Items sous domaines Maths '!K57&gt;0),'Items sous domaines Maths '!F57,0)</f>
        <v>0</v>
      </c>
      <c r="G53" s="647"/>
      <c r="H53" s="9">
        <f>IF(AND('Items sous domaines Maths '!K57&lt;=5, 'Items sous domaines Maths '!K57&gt;0),'Items sous domaines Maths '!L57,0)</f>
        <v>0</v>
      </c>
    </row>
    <row r="54" spans="1:9" customFormat="1" ht="17.399999999999999" hidden="1" customHeight="1" thickBot="1" x14ac:dyDescent="0.3">
      <c r="A54" s="718"/>
      <c r="B54" s="8">
        <f>IF(AND('Items sous domaines Maths '!K58&lt;=5, 'Items sous domaines Maths '!K58&gt;0),'Items sous domaines Maths '!B58,0)</f>
        <v>0</v>
      </c>
      <c r="C54" s="8" t="b">
        <f>IF(AND('Items sous domaines Maths '!K58&lt;=5, 'Items sous domaines Maths '!K58&gt;0),'Items sous domaines Maths '!C58)</f>
        <v>0</v>
      </c>
      <c r="D54" s="8">
        <f>IF(AND('Items sous domaines Maths '!K58&lt;=5, 'Items sous domaines Maths '!K58&gt;0),'Items sous domaines Maths '!D58,0)</f>
        <v>0</v>
      </c>
      <c r="E54" s="8">
        <f>IF(AND('Items sous domaines Maths '!K58&lt;=5, 'Items sous domaines Maths '!K58&gt;0),'Items sous domaines Maths '!E58,0)</f>
        <v>0</v>
      </c>
      <c r="F54" s="9">
        <f>IF(AND('Items sous domaines Maths '!K58&lt;=5, 'Items sous domaines Maths '!K58&gt;0),'Items sous domaines Maths '!F58,0)</f>
        <v>0</v>
      </c>
      <c r="G54" s="647"/>
      <c r="H54" s="9">
        <f>IF(AND('Items sous domaines Maths '!K58&lt;=5, 'Items sous domaines Maths '!K58&gt;0),'Items sous domaines Maths '!L58,0)</f>
        <v>0</v>
      </c>
    </row>
    <row r="55" spans="1:9" customFormat="1" ht="17.399999999999999" hidden="1" customHeight="1" thickBot="1" x14ac:dyDescent="0.3">
      <c r="A55" s="718"/>
      <c r="B55" s="8">
        <f>IF(AND('Items sous domaines Maths '!K59&lt;=5, 'Items sous domaines Maths '!K59&gt;0),'Items sous domaines Maths '!B59,0)</f>
        <v>0</v>
      </c>
      <c r="C55" s="8" t="b">
        <f>IF(AND('Items sous domaines Maths '!K59&lt;=5, 'Items sous domaines Maths '!K59&gt;0),'Items sous domaines Maths '!C59)</f>
        <v>0</v>
      </c>
      <c r="D55" s="8">
        <f>IF(AND('Items sous domaines Maths '!K59&lt;=5, 'Items sous domaines Maths '!K59&gt;0),'Items sous domaines Maths '!D59,0)</f>
        <v>0</v>
      </c>
      <c r="E55" s="8">
        <f>IF(AND('Items sous domaines Maths '!K59&lt;=5, 'Items sous domaines Maths '!K59&gt;0),'Items sous domaines Maths '!E59,0)</f>
        <v>0</v>
      </c>
      <c r="F55" s="9">
        <f>IF(AND('Items sous domaines Maths '!K59&lt;=5, 'Items sous domaines Maths '!K59&gt;0),'Items sous domaines Maths '!F59,0)</f>
        <v>0</v>
      </c>
      <c r="G55" s="647"/>
      <c r="H55" s="9">
        <f>IF(AND('Items sous domaines Maths '!K59&lt;=5, 'Items sous domaines Maths '!K59&gt;0),'Items sous domaines Maths '!L59,0)</f>
        <v>0</v>
      </c>
    </row>
    <row r="56" spans="1:9" customFormat="1" ht="23.4" hidden="1" customHeight="1" thickBot="1" x14ac:dyDescent="0.3">
      <c r="A56" s="718"/>
      <c r="B56" s="8">
        <f>IF(AND('Items sous domaines Maths '!K60&lt;=5, 'Items sous domaines Maths '!K60&gt;0),'Items sous domaines Maths '!B60,0)</f>
        <v>0</v>
      </c>
      <c r="C56" s="8" t="b">
        <f>IF(AND('Items sous domaines Maths '!K60&lt;=5, 'Items sous domaines Maths '!K60&gt;0),'Items sous domaines Maths '!C60)</f>
        <v>0</v>
      </c>
      <c r="D56" s="8">
        <f>IF(AND('Items sous domaines Maths '!K60&lt;=5, 'Items sous domaines Maths '!K60&gt;0),'Items sous domaines Maths '!D60,0)</f>
        <v>0</v>
      </c>
      <c r="E56" s="8">
        <f>IF(AND('Items sous domaines Maths '!K60&lt;=5, 'Items sous domaines Maths '!K60&gt;0),'Items sous domaines Maths '!E60,0)</f>
        <v>0</v>
      </c>
      <c r="F56" s="9">
        <f>IF(AND('Items sous domaines Maths '!K60&lt;=5, 'Items sous domaines Maths '!K60&gt;0),'Items sous domaines Maths '!F60,0)</f>
        <v>0</v>
      </c>
      <c r="G56" s="647"/>
      <c r="H56" s="9">
        <f>IF(AND('Items sous domaines Maths '!K60&lt;=5, 'Items sous domaines Maths '!K60&gt;0),'Items sous domaines Maths '!L60,0)</f>
        <v>0</v>
      </c>
    </row>
    <row r="57" spans="1:9" customFormat="1" ht="43.95" hidden="1" customHeight="1" thickBot="1" x14ac:dyDescent="0.3">
      <c r="A57" s="718"/>
      <c r="B57" s="8">
        <f>IF(AND('Items sous domaines Maths '!K61&lt;=5, 'Items sous domaines Maths '!K61&gt;0),'Items sous domaines Maths '!B61,0)</f>
        <v>0</v>
      </c>
      <c r="C57" s="8" t="b">
        <f>IF(AND('Items sous domaines Maths '!K61&lt;=5, 'Items sous domaines Maths '!K61&gt;0),'Items sous domaines Maths '!C61)</f>
        <v>0</v>
      </c>
      <c r="D57" s="8">
        <f>IF(AND('Items sous domaines Maths '!K61&lt;=5, 'Items sous domaines Maths '!K61&gt;0),'Items sous domaines Maths '!D61,0)</f>
        <v>0</v>
      </c>
      <c r="E57" s="8">
        <f>IF(AND('Items sous domaines Maths '!K61&lt;=5, 'Items sous domaines Maths '!K61&gt;0),'Items sous domaines Maths '!E61,0)</f>
        <v>0</v>
      </c>
      <c r="F57" s="9">
        <f>IF(AND('Items sous domaines Maths '!K61&lt;=5, 'Items sous domaines Maths '!K61&gt;0),'Items sous domaines Maths '!F61,0)</f>
        <v>0</v>
      </c>
      <c r="G57" s="647"/>
      <c r="H57" s="9">
        <f>IF(AND('Items sous domaines Maths '!K61&lt;=5, 'Items sous domaines Maths '!K61&gt;0),'Items sous domaines Maths '!L61,0)</f>
        <v>0</v>
      </c>
    </row>
    <row r="58" spans="1:9" customFormat="1" ht="30" hidden="1" customHeight="1" thickBot="1" x14ac:dyDescent="0.3">
      <c r="A58" s="718"/>
      <c r="B58" s="8">
        <f>IF(AND('Items sous domaines Maths '!K62&lt;=5, 'Items sous domaines Maths '!K62&gt;0),'Items sous domaines Maths '!B62,0)</f>
        <v>0</v>
      </c>
      <c r="C58" s="8" t="b">
        <f>IF(AND('Items sous domaines Maths '!K62&lt;=5, 'Items sous domaines Maths '!K62&gt;0),'Items sous domaines Maths '!C62)</f>
        <v>0</v>
      </c>
      <c r="D58" s="8">
        <f>IF(AND('Items sous domaines Maths '!K62&lt;=5, 'Items sous domaines Maths '!K62&gt;0),'Items sous domaines Maths '!D62,0)</f>
        <v>0</v>
      </c>
      <c r="E58" s="8">
        <f>IF(AND('Items sous domaines Maths '!K62&lt;=5, 'Items sous domaines Maths '!K62&gt;0),'Items sous domaines Maths '!E62,0)</f>
        <v>0</v>
      </c>
      <c r="F58" s="9">
        <f>IF(AND('Items sous domaines Maths '!K62&lt;=5, 'Items sous domaines Maths '!K62&gt;0),'Items sous domaines Maths '!F62,0)</f>
        <v>0</v>
      </c>
      <c r="G58" s="647"/>
      <c r="H58" s="9">
        <f>IF(AND('Items sous domaines Maths '!K62&lt;=5, 'Items sous domaines Maths '!K62&gt;0),'Items sous domaines Maths '!L62,0)</f>
        <v>0</v>
      </c>
    </row>
    <row r="59" spans="1:9" ht="19.95" customHeight="1" thickTop="1" x14ac:dyDescent="0.3">
      <c r="A59" s="609" t="s">
        <v>414</v>
      </c>
      <c r="B59" s="254" t="str">
        <f>IF(AND('Items sous domaines Maths '!K63&lt;=5, 'Items sous domaines Maths '!K63&gt;0),'Items sous domaines Maths '!B63,0)</f>
        <v>Algèbre</v>
      </c>
      <c r="C59" s="255" t="str">
        <f>IF(AND('Items sous domaines Maths '!K63&lt;=5, 'Items sous domaines Maths '!K63&gt;0),'Items sous domaines Maths '!C63)</f>
        <v>Les polynômes</v>
      </c>
      <c r="D59" s="255" t="str">
        <f>IF(AND('Items sous domaines Maths '!K63&lt;=5, 'Items sous domaines Maths '!K63&gt;0),'Items sous domaines Maths '!D63,0)</f>
        <v>Présentation de l'ensemble IK[X]</v>
      </c>
      <c r="E59" s="255" t="str">
        <f>IF(AND('Items sous domaines Maths '!K63&lt;=5, 'Items sous domaines Maths '!K63&gt;0),'Items sous domaines Maths '!E63,0)</f>
        <v>Degré</v>
      </c>
      <c r="F59" s="256" t="str">
        <f>IF(AND('Items sous domaines Maths '!K63&lt;=5, 'Items sous domaines Maths '!K63&gt;0),'Items sous domaines Maths '!F63,0)</f>
        <v>Savoir repérer le coefficient dominant, terme de plus haurt degré, polynôme nul, polynôme unitaire.</v>
      </c>
      <c r="G59" s="724"/>
      <c r="H59" s="713" t="str">
        <f>IF(AND('Items sous domaines Maths '!K63&lt;=5, 'Items sous domaines Maths '!K63&gt;0),'Items sous domaines Maths '!L63,0)</f>
        <v>Développements limités (unisciel.fr)</v>
      </c>
      <c r="I59" s="245"/>
    </row>
    <row r="60" spans="1:9" ht="19.95" customHeight="1" x14ac:dyDescent="0.3">
      <c r="A60" s="607"/>
      <c r="B60" s="155" t="str">
        <f>IF(AND('Items sous domaines Maths '!K64&lt;=5, 'Items sous domaines Maths '!K64&gt;0),'Items sous domaines Maths '!B64,0)</f>
        <v>Algèbre</v>
      </c>
      <c r="C60" s="156" t="str">
        <f>IF(AND('Items sous domaines Maths '!K64&lt;=5, 'Items sous domaines Maths '!K64&gt;0),'Items sous domaines Maths '!C64)</f>
        <v>Les polynômes</v>
      </c>
      <c r="D60" s="156">
        <f>IF(AND('Items sous domaines Maths '!K64&lt;=5, 'Items sous domaines Maths '!K64&gt;0),'Items sous domaines Maths '!D64,0)</f>
        <v>0</v>
      </c>
      <c r="E60" s="156">
        <f>IF(AND('Items sous domaines Maths '!K64&lt;=5, 'Items sous domaines Maths '!K64&gt;0),'Items sous domaines Maths '!E64,0)</f>
        <v>0</v>
      </c>
      <c r="F60" s="157" t="str">
        <f>IF(AND('Items sous domaines Maths '!K64&lt;=5, 'Items sous domaines Maths '!K64&gt;0),'Items sous domaines Maths '!F64,0)</f>
        <v>Savoir trouver le degré d'une somme, d'un produit, d'une composée.</v>
      </c>
      <c r="G60" s="722"/>
      <c r="H60" s="711"/>
      <c r="I60" s="249"/>
    </row>
    <row r="61" spans="1:9" ht="19.95" customHeight="1" x14ac:dyDescent="0.3">
      <c r="A61" s="607"/>
      <c r="B61" s="161" t="str">
        <f>IF(AND('Items sous domaines Maths '!K65&lt;=5, 'Items sous domaines Maths '!K65&gt;0),'Items sous domaines Maths '!B65,0)</f>
        <v>Algèbre</v>
      </c>
      <c r="C61" s="162" t="str">
        <f>IF(AND('Items sous domaines Maths '!K65&lt;=5, 'Items sous domaines Maths '!K65&gt;0),'Items sous domaines Maths '!C65)</f>
        <v>Les polynômes</v>
      </c>
      <c r="D61" s="162">
        <f>IF(AND('Items sous domaines Maths '!K65&lt;=5, 'Items sous domaines Maths '!K65&gt;0),'Items sous domaines Maths '!D65,0)</f>
        <v>0</v>
      </c>
      <c r="E61" s="162" t="str">
        <f>IF(AND('Items sous domaines Maths '!K65&lt;=5, 'Items sous domaines Maths '!K65&gt;0),'Items sous domaines Maths '!E65,0)</f>
        <v>Opérations</v>
      </c>
      <c r="F61" s="163" t="str">
        <f>IF(AND('Items sous domaines Maths '!K65&lt;=5, 'Items sous domaines Maths '!K65&gt;0),'Items sous domaines Maths '!F65,0)</f>
        <v>Savoir effectuer la somme, produit, composée de deux polynômes.</v>
      </c>
      <c r="G61" s="722"/>
      <c r="H61" s="711"/>
      <c r="I61" s="249"/>
    </row>
    <row r="62" spans="1:9" ht="19.95" customHeight="1" x14ac:dyDescent="0.3">
      <c r="A62" s="607"/>
      <c r="B62" s="155" t="str">
        <f>IF(AND('Items sous domaines Maths '!K66&lt;=5, 'Items sous domaines Maths '!K66&gt;0),'Items sous domaines Maths '!B66,0)</f>
        <v>Algèbre</v>
      </c>
      <c r="C62" s="156" t="str">
        <f>IF(AND('Items sous domaines Maths '!K66&lt;=5, 'Items sous domaines Maths '!K66&gt;0),'Items sous domaines Maths '!C66)</f>
        <v>Les polynômes</v>
      </c>
      <c r="D62" s="156">
        <f>IF(AND('Items sous domaines Maths '!K66&lt;=5, 'Items sous domaines Maths '!K66&gt;0),'Items sous domaines Maths '!D66,0)</f>
        <v>0</v>
      </c>
      <c r="E62" s="156" t="str">
        <f>IF(AND('Items sous domaines Maths '!K66&lt;=5, 'Items sous domaines Maths '!K66&gt;0),'Items sous domaines Maths '!E66,0)</f>
        <v>Divisibilité et division euclidienne dans IK[X]</v>
      </c>
      <c r="F62" s="157" t="str">
        <f>IF(AND('Items sous domaines Maths '!K66&lt;=5, 'Items sous domaines Maths '!K66&gt;0),'Items sous domaines Maths '!F66,0)</f>
        <v>Savoir effectuer une division posée suivant les puissances décroissantes, polynômes premiers entre eux.</v>
      </c>
      <c r="G62" s="722"/>
      <c r="H62" s="711"/>
      <c r="I62" s="249"/>
    </row>
    <row r="63" spans="1:9" ht="19.95" customHeight="1" x14ac:dyDescent="0.3">
      <c r="A63" s="607"/>
      <c r="B63" s="161" t="str">
        <f>IF(AND('Items sous domaines Maths '!K67&lt;=5, 'Items sous domaines Maths '!K67&gt;0),'Items sous domaines Maths '!B67,0)</f>
        <v>Algèbre</v>
      </c>
      <c r="C63" s="162" t="str">
        <f>IF(AND('Items sous domaines Maths '!K67&lt;=5, 'Items sous domaines Maths '!K67&gt;0),'Items sous domaines Maths '!C67)</f>
        <v>Les polynômes</v>
      </c>
      <c r="D63" s="162" t="str">
        <f>IF(AND('Items sous domaines Maths '!K67&lt;=5, 'Items sous domaines Maths '!K67&gt;0),'Items sous domaines Maths '!D67,0)</f>
        <v>Dérivation des polynomes</v>
      </c>
      <c r="E63" s="162" t="str">
        <f>IF(AND('Items sous domaines Maths '!K67&lt;=5, 'Items sous domaines Maths '!K67&gt;0),'Items sous domaines Maths '!E67,0)</f>
        <v>Polynôme dérivé et degré</v>
      </c>
      <c r="F63" s="163" t="str">
        <f>IF(AND('Items sous domaines Maths '!K67&lt;=5, 'Items sous domaines Maths '!K67&gt;0),'Items sous domaines Maths '!F67,0)</f>
        <v>Connaître l'écriture du polynôme dérivé d'ordre 1 et d'ordres supérieurs. Connaître la formule de la dérivée du monôme de degré n pour tout n.</v>
      </c>
      <c r="G63" s="722"/>
      <c r="H63" s="711"/>
      <c r="I63" s="249"/>
    </row>
    <row r="64" spans="1:9" ht="19.95" customHeight="1" x14ac:dyDescent="0.3">
      <c r="A64" s="607"/>
      <c r="B64" s="155" t="str">
        <f>IF(AND('Items sous domaines Maths '!K68&lt;=5, 'Items sous domaines Maths '!K68&gt;0),'Items sous domaines Maths '!B68,0)</f>
        <v>Algèbre</v>
      </c>
      <c r="C64" s="156" t="str">
        <f>IF(AND('Items sous domaines Maths '!K68&lt;=5, 'Items sous domaines Maths '!K68&gt;0),'Items sous domaines Maths '!C68)</f>
        <v>Les polynômes</v>
      </c>
      <c r="D64" s="156">
        <f>IF(AND('Items sous domaines Maths '!K68&lt;=5, 'Items sous domaines Maths '!K68&gt;0),'Items sous domaines Maths '!D68,0)</f>
        <v>0</v>
      </c>
      <c r="E64" s="156">
        <f>IF(AND('Items sous domaines Maths '!K68&lt;=5, 'Items sous domaines Maths '!K68&gt;0),'Items sous domaines Maths '!E68,0)</f>
        <v>0</v>
      </c>
      <c r="F64" s="157" t="str">
        <f>IF(AND('Items sous domaines Maths '!K68&lt;=5, 'Items sous domaines Maths '!K68&gt;0),'Items sous domaines Maths '!F68,0)</f>
        <v>Connaître la formule de Leibniz : savoir l'appliquer à la dérivation d'un produit de polynômes.</v>
      </c>
      <c r="G64" s="722"/>
      <c r="H64" s="711"/>
      <c r="I64" s="249"/>
    </row>
    <row r="65" spans="1:9" ht="19.95" customHeight="1" x14ac:dyDescent="0.3">
      <c r="A65" s="607"/>
      <c r="B65" s="161" t="str">
        <f>IF(AND('Items sous domaines Maths '!K69&lt;=5, 'Items sous domaines Maths '!K69&gt;0),'Items sous domaines Maths '!B69,0)</f>
        <v>Algèbre</v>
      </c>
      <c r="C65" s="162" t="str">
        <f>IF(AND('Items sous domaines Maths '!K69&lt;=5, 'Items sous domaines Maths '!K69&gt;0),'Items sous domaines Maths '!C69)</f>
        <v>Les polynômes</v>
      </c>
      <c r="D65" s="162">
        <f>IF(AND('Items sous domaines Maths '!K69&lt;=5, 'Items sous domaines Maths '!K69&gt;0),'Items sous domaines Maths '!D69,0)</f>
        <v>0</v>
      </c>
      <c r="E65" s="162" t="str">
        <f>IF(AND('Items sous domaines Maths '!K69&lt;=5, 'Items sous domaines Maths '!K69&gt;0),'Items sous domaines Maths '!E69,0)</f>
        <v>Formules de Taylor</v>
      </c>
      <c r="F65" s="163" t="str">
        <f>IF(AND('Items sous domaines Maths '!K69&lt;=5, 'Items sous domaines Maths '!K69&gt;0),'Items sous domaines Maths '!F69,0)</f>
        <v>Savoir établir la formules de Taylor d'un polynôme, à un ordre n, en 0 et en a réel donné.</v>
      </c>
      <c r="G65" s="722"/>
      <c r="H65" s="711"/>
      <c r="I65" s="249"/>
    </row>
    <row r="66" spans="1:9" ht="19.95" customHeight="1" x14ac:dyDescent="0.3">
      <c r="A66" s="607"/>
      <c r="B66" s="155" t="str">
        <f>IF(AND('Items sous domaines Maths '!K70&lt;=5, 'Items sous domaines Maths '!K70&gt;0),'Items sous domaines Maths '!B70,0)</f>
        <v>Algèbre</v>
      </c>
      <c r="C66" s="156" t="str">
        <f>IF(AND('Items sous domaines Maths '!K70&lt;=5, 'Items sous domaines Maths '!K70&gt;0),'Items sous domaines Maths '!C70)</f>
        <v>Les polynômes</v>
      </c>
      <c r="D66" s="156" t="str">
        <f>IF(AND('Items sous domaines Maths '!K70&lt;=5, 'Items sous domaines Maths '!K70&gt;0),'Items sous domaines Maths '!D70,0)</f>
        <v>Décomposition en facteurs irreductibles</v>
      </c>
      <c r="E66" s="156" t="str">
        <f>IF(AND('Items sous domaines Maths '!K70&lt;=5, 'Items sous domaines Maths '!K70&gt;0),'Items sous domaines Maths '!E70,0)</f>
        <v xml:space="preserve">Racines (ou zéros) d’un polynôme. </v>
      </c>
      <c r="F66" s="157" t="str">
        <f>IF(AND('Items sous domaines Maths '!K70&lt;=5, 'Items sous domaines Maths '!K70&gt;0),'Items sous domaines Maths '!F70,0)</f>
        <v>Connaître les techniques de détermination des racines d'un polynôme et les factorisations qui en découlent (polynômes d'ordre 2, 3 et plus).</v>
      </c>
      <c r="G66" s="722"/>
      <c r="H66" s="711"/>
      <c r="I66" s="249"/>
    </row>
    <row r="67" spans="1:9" ht="19.95" customHeight="1" x14ac:dyDescent="0.3">
      <c r="A67" s="607"/>
      <c r="B67" s="161" t="str">
        <f>IF(AND('Items sous domaines Maths '!K71&lt;=5, 'Items sous domaines Maths '!K71&gt;0),'Items sous domaines Maths '!B71,0)</f>
        <v>Algèbre</v>
      </c>
      <c r="C67" s="162" t="str">
        <f>IF(AND('Items sous domaines Maths '!K71&lt;=5, 'Items sous domaines Maths '!K71&gt;0),'Items sous domaines Maths '!C71)</f>
        <v>Les polynômes</v>
      </c>
      <c r="D67" s="162">
        <f>IF(AND('Items sous domaines Maths '!K71&lt;=5, 'Items sous domaines Maths '!K71&gt;0),'Items sous domaines Maths '!D71,0)</f>
        <v>0</v>
      </c>
      <c r="E67" s="162" t="str">
        <f>IF(AND('Items sous domaines Maths '!K71&lt;=5, 'Items sous domaines Maths '!K71&gt;0),'Items sous domaines Maths '!E71,0)</f>
        <v xml:space="preserve">Multiplicité d’une racine. </v>
      </c>
      <c r="F67" s="163" t="str">
        <f>IF(AND('Items sous domaines Maths '!K71&lt;=5, 'Items sous domaines Maths '!K71&gt;0),'Items sous domaines Maths '!F71,0)</f>
        <v>Savoir caractériser l'ordre de multiplicité d'une racine par l'annulation des dérivées successives.</v>
      </c>
      <c r="G67" s="722"/>
      <c r="H67" s="711"/>
      <c r="I67" s="249"/>
    </row>
    <row r="68" spans="1:9" ht="19.95" customHeight="1" thickBot="1" x14ac:dyDescent="0.35">
      <c r="A68" s="608"/>
      <c r="B68" s="258" t="str">
        <f>IF(AND('Items sous domaines Maths '!K72&lt;=5, 'Items sous domaines Maths '!K72&gt;0),'Items sous domaines Maths '!B72,0)</f>
        <v>Algèbre</v>
      </c>
      <c r="C68" s="259" t="str">
        <f>IF(AND('Items sous domaines Maths '!K72&lt;=5, 'Items sous domaines Maths '!K72&gt;0),'Items sous domaines Maths '!C72)</f>
        <v>Les polynômes</v>
      </c>
      <c r="D68" s="259">
        <f>IF(AND('Items sous domaines Maths '!K72&lt;=5, 'Items sous domaines Maths '!K72&gt;0),'Items sous domaines Maths '!D72,0)</f>
        <v>0</v>
      </c>
      <c r="E68" s="259">
        <f>IF(AND('Items sous domaines Maths '!K72&lt;=5, 'Items sous domaines Maths '!K72&gt;0),'Items sous domaines Maths '!E72,0)</f>
        <v>0</v>
      </c>
      <c r="F68" s="260" t="str">
        <f>IF(AND('Items sous domaines Maths '!K72&lt;=5, 'Items sous domaines Maths '!K72&gt;0),'Items sous domaines Maths '!F72,0)</f>
        <v xml:space="preserve">Savoir que le nombre de racines d’un polynôme P non nul est majoré par le degré de P. </v>
      </c>
      <c r="G68" s="723"/>
      <c r="H68" s="712"/>
      <c r="I68" s="253"/>
    </row>
    <row r="69" spans="1:9" customFormat="1" ht="17.399999999999999" hidden="1" customHeight="1" thickTop="1" thickBot="1" x14ac:dyDescent="0.3">
      <c r="B69">
        <f>IF(AND('Items sous domaines Maths '!K73&lt;=5, 'Items sous domaines Maths '!K73&gt;0),'Items sous domaines Maths '!B73,0)</f>
        <v>0</v>
      </c>
      <c r="C69" t="b">
        <f>IF(AND('Items sous domaines Maths '!K73&lt;=5, 'Items sous domaines Maths '!K73&gt;0),'Items sous domaines Maths '!C73)</f>
        <v>0</v>
      </c>
      <c r="D69">
        <f>IF(AND('Items sous domaines Maths '!K73&lt;=5, 'Items sous domaines Maths '!K73&gt;0),'Items sous domaines Maths '!D73,0)</f>
        <v>0</v>
      </c>
      <c r="E69">
        <f>IF(AND('Items sous domaines Maths '!K73&lt;=5, 'Items sous domaines Maths '!K73&gt;0),'Items sous domaines Maths '!E73,0)</f>
        <v>0</v>
      </c>
      <c r="F69" s="10">
        <f>IF(AND('Items sous domaines Maths '!K73&lt;=5, 'Items sous domaines Maths '!K73&gt;0),'Items sous domaines Maths '!F73,0)</f>
        <v>0</v>
      </c>
      <c r="G69" s="647"/>
      <c r="H69" s="9">
        <f>IF(AND('Items sous domaines Maths '!K73&lt;=5, 'Items sous domaines Maths '!K73&gt;0),'Items sous domaines Maths '!L73,0)</f>
        <v>0</v>
      </c>
    </row>
    <row r="70" spans="1:9" customFormat="1" ht="17.399999999999999" hidden="1" customHeight="1" thickBot="1" x14ac:dyDescent="0.3">
      <c r="B70" s="8">
        <f>IF(AND('Items sous domaines Maths '!K74&lt;=5, 'Items sous domaines Maths '!K74&gt;0),'Items sous domaines Maths '!B74,0)</f>
        <v>0</v>
      </c>
      <c r="C70" s="8" t="b">
        <f>IF(AND('Items sous domaines Maths '!K74&lt;=5, 'Items sous domaines Maths '!K74&gt;0),'Items sous domaines Maths '!C74)</f>
        <v>0</v>
      </c>
      <c r="D70" s="8">
        <f>IF(AND('Items sous domaines Maths '!K74&lt;=5, 'Items sous domaines Maths '!K74&gt;0),'Items sous domaines Maths '!D74,0)</f>
        <v>0</v>
      </c>
      <c r="E70" s="8">
        <f>IF(AND('Items sous domaines Maths '!K74&lt;=5, 'Items sous domaines Maths '!K74&gt;0),'Items sous domaines Maths '!E74,0)</f>
        <v>0</v>
      </c>
      <c r="F70" s="9">
        <f>IF(AND('Items sous domaines Maths '!K74&lt;=5, 'Items sous domaines Maths '!K74&gt;0),'Items sous domaines Maths '!F74,0)</f>
        <v>0</v>
      </c>
      <c r="G70" s="647"/>
      <c r="H70" s="9">
        <f>IF(AND('Items sous domaines Maths '!K74&lt;=5, 'Items sous domaines Maths '!K74&gt;0),'Items sous domaines Maths '!L74,0)</f>
        <v>0</v>
      </c>
    </row>
    <row r="71" spans="1:9" customFormat="1" ht="17.399999999999999" hidden="1" customHeight="1" thickBot="1" x14ac:dyDescent="0.3">
      <c r="B71" s="8">
        <f>IF(AND('Items sous domaines Maths '!K75&lt;=5, 'Items sous domaines Maths '!K75&gt;0),'Items sous domaines Maths '!B75,0)</f>
        <v>0</v>
      </c>
      <c r="C71" s="8" t="b">
        <f>IF(AND('Items sous domaines Maths '!K75&lt;=5, 'Items sous domaines Maths '!K75&gt;0),'Items sous domaines Maths '!C75)</f>
        <v>0</v>
      </c>
      <c r="D71" s="8">
        <f>IF(AND('Items sous domaines Maths '!K75&lt;=5, 'Items sous domaines Maths '!K75&gt;0),'Items sous domaines Maths '!D75,0)</f>
        <v>0</v>
      </c>
      <c r="E71" s="8">
        <f>IF(AND('Items sous domaines Maths '!K75&lt;=5, 'Items sous domaines Maths '!K75&gt;0),'Items sous domaines Maths '!E75,0)</f>
        <v>0</v>
      </c>
      <c r="F71" s="9">
        <f>IF(AND('Items sous domaines Maths '!K75&lt;=5, 'Items sous domaines Maths '!K75&gt;0),'Items sous domaines Maths '!F75,0)</f>
        <v>0</v>
      </c>
      <c r="G71" s="647"/>
      <c r="H71" s="9">
        <f>IF(AND('Items sous domaines Maths '!K75&lt;=5, 'Items sous domaines Maths '!K75&gt;0),'Items sous domaines Maths '!L75,0)</f>
        <v>0</v>
      </c>
    </row>
    <row r="72" spans="1:9" customFormat="1" ht="17.399999999999999" hidden="1" customHeight="1" thickBot="1" x14ac:dyDescent="0.3">
      <c r="B72" s="8">
        <f>IF(AND('Items sous domaines Maths '!K76&lt;=5, 'Items sous domaines Maths '!K76&gt;0),'Items sous domaines Maths '!B76,0)</f>
        <v>0</v>
      </c>
      <c r="C72" s="8" t="b">
        <f>IF(AND('Items sous domaines Maths '!K76&lt;=5, 'Items sous domaines Maths '!K76&gt;0),'Items sous domaines Maths '!C76)</f>
        <v>0</v>
      </c>
      <c r="D72" s="8">
        <f>IF(AND('Items sous domaines Maths '!K76&lt;=5, 'Items sous domaines Maths '!K76&gt;0),'Items sous domaines Maths '!D76,0)</f>
        <v>0</v>
      </c>
      <c r="E72" s="8">
        <f>IF(AND('Items sous domaines Maths '!K76&lt;=5, 'Items sous domaines Maths '!K76&gt;0),'Items sous domaines Maths '!E76,0)</f>
        <v>0</v>
      </c>
      <c r="F72" s="9">
        <f>IF(AND('Items sous domaines Maths '!K76&lt;=5, 'Items sous domaines Maths '!K76&gt;0),'Items sous domaines Maths '!F76,0)</f>
        <v>0</v>
      </c>
      <c r="G72" s="647"/>
      <c r="H72" s="9">
        <f>IF(AND('Items sous domaines Maths '!K76&lt;=5, 'Items sous domaines Maths '!K76&gt;0),'Items sous domaines Maths '!L76,0)</f>
        <v>0</v>
      </c>
    </row>
    <row r="73" spans="1:9" customFormat="1" ht="17.399999999999999" hidden="1" customHeight="1" thickBot="1" x14ac:dyDescent="0.3">
      <c r="B73" s="8">
        <f>IF(AND('Items sous domaines Maths '!K77&lt;=5, 'Items sous domaines Maths '!K77&gt;0),'Items sous domaines Maths '!B77,0)</f>
        <v>0</v>
      </c>
      <c r="C73" s="8" t="b">
        <f>IF(AND('Items sous domaines Maths '!K77&lt;=5, 'Items sous domaines Maths '!K77&gt;0),'Items sous domaines Maths '!C77)</f>
        <v>0</v>
      </c>
      <c r="D73" s="8">
        <f>IF(AND('Items sous domaines Maths '!K77&lt;=5, 'Items sous domaines Maths '!K77&gt;0),'Items sous domaines Maths '!D77,0)</f>
        <v>0</v>
      </c>
      <c r="E73" s="8">
        <f>IF(AND('Items sous domaines Maths '!K77&lt;=5, 'Items sous domaines Maths '!K77&gt;0),'Items sous domaines Maths '!E77,0)</f>
        <v>0</v>
      </c>
      <c r="F73" s="9">
        <f>IF(AND('Items sous domaines Maths '!K77&lt;=5, 'Items sous domaines Maths '!K77&gt;0),'Items sous domaines Maths '!F77,0)</f>
        <v>0</v>
      </c>
      <c r="G73" s="647"/>
      <c r="H73" s="9">
        <f>IF(AND('Items sous domaines Maths '!K77&lt;=5, 'Items sous domaines Maths '!K77&gt;0),'Items sous domaines Maths '!L77,0)</f>
        <v>0</v>
      </c>
    </row>
    <row r="74" spans="1:9" customFormat="1" ht="17.399999999999999" hidden="1" customHeight="1" thickBot="1" x14ac:dyDescent="0.3">
      <c r="B74" s="8">
        <f>IF(AND('Items sous domaines Maths '!K78&lt;=5, 'Items sous domaines Maths '!K78&gt;0),'Items sous domaines Maths '!B78,0)</f>
        <v>0</v>
      </c>
      <c r="C74" s="8" t="b">
        <f>IF(AND('Items sous domaines Maths '!K78&lt;=5, 'Items sous domaines Maths '!K78&gt;0),'Items sous domaines Maths '!C78)</f>
        <v>0</v>
      </c>
      <c r="D74" s="8">
        <f>IF(AND('Items sous domaines Maths '!K78&lt;=5, 'Items sous domaines Maths '!K78&gt;0),'Items sous domaines Maths '!D78,0)</f>
        <v>0</v>
      </c>
      <c r="E74" s="8">
        <f>IF(AND('Items sous domaines Maths '!K78&lt;=5, 'Items sous domaines Maths '!K78&gt;0),'Items sous domaines Maths '!E78,0)</f>
        <v>0</v>
      </c>
      <c r="F74" s="9">
        <f>IF(AND('Items sous domaines Maths '!K78&lt;=5, 'Items sous domaines Maths '!K78&gt;0),'Items sous domaines Maths '!F78,0)</f>
        <v>0</v>
      </c>
      <c r="G74" s="647"/>
      <c r="H74" s="9">
        <f>IF(AND('Items sous domaines Maths '!K78&lt;=5, 'Items sous domaines Maths '!K78&gt;0),'Items sous domaines Maths '!L78,0)</f>
        <v>0</v>
      </c>
    </row>
    <row r="75" spans="1:9" customFormat="1" ht="17.399999999999999" hidden="1" customHeight="1" thickBot="1" x14ac:dyDescent="0.3">
      <c r="B75" s="8">
        <f>IF(AND('Items sous domaines Maths '!K79&lt;=5, 'Items sous domaines Maths '!K79&gt;0),'Items sous domaines Maths '!B79,0)</f>
        <v>0</v>
      </c>
      <c r="C75" s="8" t="b">
        <f>IF(AND('Items sous domaines Maths '!K79&lt;=5, 'Items sous domaines Maths '!K79&gt;0),'Items sous domaines Maths '!C79)</f>
        <v>0</v>
      </c>
      <c r="D75" s="8">
        <f>IF(AND('Items sous domaines Maths '!K79&lt;=5, 'Items sous domaines Maths '!K79&gt;0),'Items sous domaines Maths '!D79,0)</f>
        <v>0</v>
      </c>
      <c r="E75" s="8">
        <f>IF(AND('Items sous domaines Maths '!K79&lt;=5, 'Items sous domaines Maths '!K79&gt;0),'Items sous domaines Maths '!E79,0)</f>
        <v>0</v>
      </c>
      <c r="F75" s="9">
        <f>IF(AND('Items sous domaines Maths '!K79&lt;=5, 'Items sous domaines Maths '!K79&gt;0),'Items sous domaines Maths '!F79,0)</f>
        <v>0</v>
      </c>
      <c r="G75" s="647"/>
      <c r="H75" s="9">
        <f>IF(AND('Items sous domaines Maths '!K79&lt;=5, 'Items sous domaines Maths '!K79&gt;0),'Items sous domaines Maths '!L79,0)</f>
        <v>0</v>
      </c>
    </row>
    <row r="76" spans="1:9" customFormat="1" ht="17.399999999999999" hidden="1" customHeight="1" thickBot="1" x14ac:dyDescent="0.3">
      <c r="B76" s="8">
        <f>IF(AND('Items sous domaines Maths '!K80&lt;=5, 'Items sous domaines Maths '!K80&gt;0),'Items sous domaines Maths '!B80,0)</f>
        <v>0</v>
      </c>
      <c r="C76" s="8" t="b">
        <f>IF(AND('Items sous domaines Maths '!K80&lt;=5, 'Items sous domaines Maths '!K80&gt;0),'Items sous domaines Maths '!C80)</f>
        <v>0</v>
      </c>
      <c r="D76" s="8">
        <f>IF(AND('Items sous domaines Maths '!K80&lt;=5, 'Items sous domaines Maths '!K80&gt;0),'Items sous domaines Maths '!D80,0)</f>
        <v>0</v>
      </c>
      <c r="E76" s="8">
        <f>IF(AND('Items sous domaines Maths '!K80&lt;=5, 'Items sous domaines Maths '!K80&gt;0),'Items sous domaines Maths '!E80,0)</f>
        <v>0</v>
      </c>
      <c r="F76" s="9">
        <f>IF(AND('Items sous domaines Maths '!K80&lt;=5, 'Items sous domaines Maths '!K80&gt;0),'Items sous domaines Maths '!F80,0)</f>
        <v>0</v>
      </c>
      <c r="G76" s="647"/>
      <c r="H76" s="9">
        <f>IF(AND('Items sous domaines Maths '!K80&lt;=5, 'Items sous domaines Maths '!K80&gt;0),'Items sous domaines Maths '!L80,0)</f>
        <v>0</v>
      </c>
    </row>
    <row r="77" spans="1:9" customFormat="1" ht="17.399999999999999" hidden="1" customHeight="1" thickBot="1" x14ac:dyDescent="0.3">
      <c r="B77" s="8">
        <f>IF(AND('Items sous domaines Maths '!K81&lt;=5, 'Items sous domaines Maths '!K81&gt;0),'Items sous domaines Maths '!B81,0)</f>
        <v>0</v>
      </c>
      <c r="C77" s="8" t="b">
        <f>IF(AND('Items sous domaines Maths '!K81&lt;=5, 'Items sous domaines Maths '!K81&gt;0),'Items sous domaines Maths '!C81)</f>
        <v>0</v>
      </c>
      <c r="D77" s="8">
        <f>IF(AND('Items sous domaines Maths '!K81&lt;=5, 'Items sous domaines Maths '!K81&gt;0),'Items sous domaines Maths '!D81,0)</f>
        <v>0</v>
      </c>
      <c r="E77" s="8">
        <f>IF(AND('Items sous domaines Maths '!K81&lt;=5, 'Items sous domaines Maths '!K81&gt;0),'Items sous domaines Maths '!E81,0)</f>
        <v>0</v>
      </c>
      <c r="F77" s="9">
        <f>IF(AND('Items sous domaines Maths '!K81&lt;=5, 'Items sous domaines Maths '!K81&gt;0),'Items sous domaines Maths '!F81,0)</f>
        <v>0</v>
      </c>
      <c r="G77" s="647"/>
      <c r="H77" s="9">
        <f>IF(AND('Items sous domaines Maths '!K81&lt;=5, 'Items sous domaines Maths '!K81&gt;0),'Items sous domaines Maths '!L81,0)</f>
        <v>0</v>
      </c>
    </row>
    <row r="78" spans="1:9" customFormat="1" ht="17.399999999999999" hidden="1" customHeight="1" thickBot="1" x14ac:dyDescent="0.3">
      <c r="B78" s="8">
        <f>IF(AND('Items sous domaines Maths '!K82&lt;=5, 'Items sous domaines Maths '!K82&gt;0),'Items sous domaines Maths '!B82,0)</f>
        <v>0</v>
      </c>
      <c r="C78" s="8" t="b">
        <f>IF(AND('Items sous domaines Maths '!K82&lt;=5, 'Items sous domaines Maths '!K82&gt;0),'Items sous domaines Maths '!C82)</f>
        <v>0</v>
      </c>
      <c r="D78" s="8">
        <f>IF(AND('Items sous domaines Maths '!K82&lt;=5, 'Items sous domaines Maths '!K82&gt;0),'Items sous domaines Maths '!D82,0)</f>
        <v>0</v>
      </c>
      <c r="E78" s="8">
        <f>IF(AND('Items sous domaines Maths '!K82&lt;=5, 'Items sous domaines Maths '!K82&gt;0),'Items sous domaines Maths '!E82,0)</f>
        <v>0</v>
      </c>
      <c r="F78" s="9">
        <f>IF(AND('Items sous domaines Maths '!K82&lt;=5, 'Items sous domaines Maths '!K82&gt;0),'Items sous domaines Maths '!F82,0)</f>
        <v>0</v>
      </c>
      <c r="G78" s="647"/>
      <c r="H78" s="9">
        <f>IF(AND('Items sous domaines Maths '!K82&lt;=5, 'Items sous domaines Maths '!K82&gt;0),'Items sous domaines Maths '!L82,0)</f>
        <v>0</v>
      </c>
    </row>
    <row r="79" spans="1:9" customFormat="1" ht="17.399999999999999" hidden="1" customHeight="1" thickBot="1" x14ac:dyDescent="0.3">
      <c r="B79" s="8">
        <f>IF(AND('Items sous domaines Maths '!K83&lt;=5, 'Items sous domaines Maths '!K83&gt;0),'Items sous domaines Maths '!B83,0)</f>
        <v>0</v>
      </c>
      <c r="C79" s="8" t="b">
        <f>IF(AND('Items sous domaines Maths '!K83&lt;=5, 'Items sous domaines Maths '!K83&gt;0),'Items sous domaines Maths '!C83)</f>
        <v>0</v>
      </c>
      <c r="D79" s="8">
        <f>IF(AND('Items sous domaines Maths '!K83&lt;=5, 'Items sous domaines Maths '!K83&gt;0),'Items sous domaines Maths '!D83,0)</f>
        <v>0</v>
      </c>
      <c r="E79" s="8">
        <f>IF(AND('Items sous domaines Maths '!K83&lt;=5, 'Items sous domaines Maths '!K83&gt;0),'Items sous domaines Maths '!E83,0)</f>
        <v>0</v>
      </c>
      <c r="F79" s="9">
        <f>IF(AND('Items sous domaines Maths '!K83&lt;=5, 'Items sous domaines Maths '!K83&gt;0),'Items sous domaines Maths '!F83,0)</f>
        <v>0</v>
      </c>
      <c r="G79" s="647"/>
      <c r="H79" s="9">
        <f>IF(AND('Items sous domaines Maths '!K83&lt;=5, 'Items sous domaines Maths '!K83&gt;0),'Items sous domaines Maths '!L83,0)</f>
        <v>0</v>
      </c>
    </row>
    <row r="80" spans="1:9" customFormat="1" ht="17.399999999999999" hidden="1" customHeight="1" thickBot="1" x14ac:dyDescent="0.3">
      <c r="B80" s="8">
        <f>IF(AND('Items sous domaines Maths '!K84&lt;=5, 'Items sous domaines Maths '!K84&gt;0),'Items sous domaines Maths '!B84,0)</f>
        <v>0</v>
      </c>
      <c r="C80" s="8" t="b">
        <f>IF(AND('Items sous domaines Maths '!K84&lt;=5, 'Items sous domaines Maths '!K84&gt;0),'Items sous domaines Maths '!C84)</f>
        <v>0</v>
      </c>
      <c r="D80" s="8">
        <f>IF(AND('Items sous domaines Maths '!K84&lt;=5, 'Items sous domaines Maths '!K84&gt;0),'Items sous domaines Maths '!D84,0)</f>
        <v>0</v>
      </c>
      <c r="E80" s="8">
        <f>IF(AND('Items sous domaines Maths '!K84&lt;=5, 'Items sous domaines Maths '!K84&gt;0),'Items sous domaines Maths '!E84,0)</f>
        <v>0</v>
      </c>
      <c r="F80" s="9">
        <f>IF(AND('Items sous domaines Maths '!K84&lt;=5, 'Items sous domaines Maths '!K84&gt;0),'Items sous domaines Maths '!F84,0)</f>
        <v>0</v>
      </c>
      <c r="G80" s="647"/>
      <c r="H80" s="9">
        <f>IF(AND('Items sous domaines Maths '!K84&lt;=5, 'Items sous domaines Maths '!K84&gt;0),'Items sous domaines Maths '!L84,0)</f>
        <v>0</v>
      </c>
    </row>
    <row r="81" spans="1:9" customFormat="1" ht="17.399999999999999" hidden="1" customHeight="1" thickBot="1" x14ac:dyDescent="0.3">
      <c r="B81" s="8">
        <f>IF(AND('Items sous domaines Maths '!K85&lt;=5, 'Items sous domaines Maths '!K85&gt;0),'Items sous domaines Maths '!B85,0)</f>
        <v>0</v>
      </c>
      <c r="C81" s="8" t="b">
        <f>IF(AND('Items sous domaines Maths '!K85&lt;=5, 'Items sous domaines Maths '!K85&gt;0),'Items sous domaines Maths '!C85)</f>
        <v>0</v>
      </c>
      <c r="D81" s="8">
        <f>IF(AND('Items sous domaines Maths '!K85&lt;=5, 'Items sous domaines Maths '!K85&gt;0),'Items sous domaines Maths '!D85,0)</f>
        <v>0</v>
      </c>
      <c r="E81" s="8">
        <f>IF(AND('Items sous domaines Maths '!K85&lt;=5, 'Items sous domaines Maths '!K85&gt;0),'Items sous domaines Maths '!E85,0)</f>
        <v>0</v>
      </c>
      <c r="F81" s="9">
        <f>IF(AND('Items sous domaines Maths '!K85&lt;=5, 'Items sous domaines Maths '!K85&gt;0),'Items sous domaines Maths '!F85,0)</f>
        <v>0</v>
      </c>
      <c r="G81" s="647"/>
      <c r="H81" s="9">
        <f>IF(AND('Items sous domaines Maths '!K85&lt;=5, 'Items sous domaines Maths '!K85&gt;0),'Items sous domaines Maths '!L85,0)</f>
        <v>0</v>
      </c>
    </row>
    <row r="82" spans="1:9" customFormat="1" ht="17.399999999999999" hidden="1" customHeight="1" thickBot="1" x14ac:dyDescent="0.3">
      <c r="B82" s="8">
        <f>IF(AND('Items sous domaines Maths '!K86&lt;=5, 'Items sous domaines Maths '!K86&gt;0),'Items sous domaines Maths '!B86,0)</f>
        <v>0</v>
      </c>
      <c r="C82" s="8" t="b">
        <f>IF(AND('Items sous domaines Maths '!K86&lt;=5, 'Items sous domaines Maths '!K86&gt;0),'Items sous domaines Maths '!C86)</f>
        <v>0</v>
      </c>
      <c r="D82" s="8">
        <f>IF(AND('Items sous domaines Maths '!K86&lt;=5, 'Items sous domaines Maths '!K86&gt;0),'Items sous domaines Maths '!D86,0)</f>
        <v>0</v>
      </c>
      <c r="E82" s="8">
        <f>IF(AND('Items sous domaines Maths '!K86&lt;=5, 'Items sous domaines Maths '!K86&gt;0),'Items sous domaines Maths '!E86,0)</f>
        <v>0</v>
      </c>
      <c r="F82" s="9">
        <f>IF(AND('Items sous domaines Maths '!K86&lt;=5, 'Items sous domaines Maths '!K86&gt;0),'Items sous domaines Maths '!F86,0)</f>
        <v>0</v>
      </c>
      <c r="G82" s="647"/>
      <c r="H82" s="9">
        <f>IF(AND('Items sous domaines Maths '!K86&lt;=5, 'Items sous domaines Maths '!K86&gt;0),'Items sous domaines Maths '!L86,0)</f>
        <v>0</v>
      </c>
    </row>
    <row r="83" spans="1:9" customFormat="1" ht="17.399999999999999" hidden="1" customHeight="1" thickBot="1" x14ac:dyDescent="0.3">
      <c r="B83" s="8">
        <f>IF(AND('Items sous domaines Maths '!K87&lt;=5, 'Items sous domaines Maths '!K87&gt;0),'Items sous domaines Maths '!B87,0)</f>
        <v>0</v>
      </c>
      <c r="C83" s="8" t="b">
        <f>IF(AND('Items sous domaines Maths '!K87&lt;=5, 'Items sous domaines Maths '!K87&gt;0),'Items sous domaines Maths '!C87)</f>
        <v>0</v>
      </c>
      <c r="D83" s="8">
        <f>IF(AND('Items sous domaines Maths '!K87&lt;=5, 'Items sous domaines Maths '!K87&gt;0),'Items sous domaines Maths '!D87,0)</f>
        <v>0</v>
      </c>
      <c r="E83" s="8">
        <f>IF(AND('Items sous domaines Maths '!K87&lt;=5, 'Items sous domaines Maths '!K87&gt;0),'Items sous domaines Maths '!E87,0)</f>
        <v>0</v>
      </c>
      <c r="F83" s="9">
        <f>IF(AND('Items sous domaines Maths '!K87&lt;=5, 'Items sous domaines Maths '!K87&gt;0),'Items sous domaines Maths '!F87,0)</f>
        <v>0</v>
      </c>
      <c r="G83" s="647"/>
      <c r="H83" s="9">
        <f>IF(AND('Items sous domaines Maths '!K87&lt;=5, 'Items sous domaines Maths '!K87&gt;0),'Items sous domaines Maths '!L87,0)</f>
        <v>0</v>
      </c>
    </row>
    <row r="84" spans="1:9" customFormat="1" ht="17.399999999999999" hidden="1" customHeight="1" thickBot="1" x14ac:dyDescent="0.3">
      <c r="A84" s="23" t="s">
        <v>478</v>
      </c>
      <c r="B84" s="8">
        <f>IF(AND('Items sous domaines Maths '!K88&lt;=5, 'Items sous domaines Maths '!K88&gt;0),'Items sous domaines Maths '!B88,0)</f>
        <v>0</v>
      </c>
      <c r="C84" s="8" t="b">
        <f>IF(AND('Items sous domaines Maths '!K88&lt;=5, 'Items sous domaines Maths '!K88&gt;0),'Items sous domaines Maths '!C88)</f>
        <v>0</v>
      </c>
      <c r="D84" s="8">
        <f>IF(AND('Items sous domaines Maths '!K88&lt;=5, 'Items sous domaines Maths '!K88&gt;0),'Items sous domaines Maths '!D88,0)</f>
        <v>0</v>
      </c>
      <c r="E84" s="8">
        <f>IF(AND('Items sous domaines Maths '!K88&lt;=5, 'Items sous domaines Maths '!K88&gt;0),'Items sous domaines Maths '!E88,0)</f>
        <v>0</v>
      </c>
      <c r="F84" s="9">
        <f>IF(AND('Items sous domaines Maths '!K88&lt;=5, 'Items sous domaines Maths '!K88&gt;0),'Items sous domaines Maths '!F88,0)</f>
        <v>0</v>
      </c>
      <c r="G84" s="647"/>
      <c r="H84" s="9">
        <f>IF(AND('Items sous domaines Maths '!K88&lt;=5, 'Items sous domaines Maths '!K88&gt;0),'Items sous domaines Maths '!L88,0)</f>
        <v>0</v>
      </c>
    </row>
    <row r="85" spans="1:9" ht="19.95" customHeight="1" thickTop="1" thickBot="1" x14ac:dyDescent="0.35">
      <c r="A85" s="615" t="s">
        <v>476</v>
      </c>
      <c r="B85" s="261" t="str">
        <f>IF(AND('Items sous domaines Maths '!K89&lt;=5, 'Items sous domaines Maths '!K89&gt;0),'Items sous domaines Maths '!B89,0)</f>
        <v>Algèbre</v>
      </c>
      <c r="C85" s="262" t="str">
        <f>IF(AND('Items sous domaines Maths '!K89&lt;=5, 'Items sous domaines Maths '!K89&gt;0),'Items sous domaines Maths '!C89)</f>
        <v>Les Matrices</v>
      </c>
      <c r="D85" s="262">
        <f>IF(AND('Items sous domaines Maths '!K89&lt;=5, 'Items sous domaines Maths '!K89&gt;0),'Items sous domaines Maths '!D89,0)</f>
        <v>0</v>
      </c>
      <c r="E85" s="262" t="str">
        <f>IF(AND('Items sous domaines Maths '!K89&lt;=5, 'Items sous domaines Maths '!K89&gt;0),'Items sous domaines Maths '!E89,0)</f>
        <v>Propriétés des opérations matricielles.</v>
      </c>
      <c r="F85" s="263" t="str">
        <f>IF(AND('Items sous domaines Maths '!K89&lt;=5, 'Items sous domaines Maths '!K89&gt;0),'Items sous domaines Maths '!F89,0)</f>
        <v>Savoir effectuer des opérations de type somme, produit par un scalaire produit de deux matrices. Savoir transposer un système en écriture matricielle. Savoir qu'il existe des matrices non nulles dont le produit est nul.</v>
      </c>
      <c r="G85" s="725"/>
      <c r="H85" s="704" t="s">
        <v>479</v>
      </c>
      <c r="I85" s="264"/>
    </row>
    <row r="86" spans="1:9" customFormat="1" ht="17.399999999999999" hidden="1" customHeight="1" thickTop="1" thickBot="1" x14ac:dyDescent="0.3">
      <c r="A86" s="718"/>
      <c r="B86">
        <f>IF(AND('Items sous domaines Maths '!K90&lt;=5, 'Items sous domaines Maths '!K90&gt;0),'Items sous domaines Maths '!B90,0)</f>
        <v>0</v>
      </c>
      <c r="C86" t="b">
        <f>IF(AND('Items sous domaines Maths '!K90&lt;=5, 'Items sous domaines Maths '!K90&gt;0),'Items sous domaines Maths '!C90)</f>
        <v>0</v>
      </c>
      <c r="D86">
        <f>IF(AND('Items sous domaines Maths '!K90&lt;=5, 'Items sous domaines Maths '!K90&gt;0),'Items sous domaines Maths '!D90,0)</f>
        <v>0</v>
      </c>
      <c r="E86">
        <f>IF(AND('Items sous domaines Maths '!K90&lt;=5, 'Items sous domaines Maths '!K90&gt;0),'Items sous domaines Maths '!E90,0)</f>
        <v>0</v>
      </c>
      <c r="F86" s="10">
        <f>IF(AND('Items sous domaines Maths '!K90&lt;=5, 'Items sous domaines Maths '!K90&gt;0),'Items sous domaines Maths '!F90,0)</f>
        <v>0</v>
      </c>
      <c r="G86" s="647"/>
      <c r="H86" s="705"/>
    </row>
    <row r="87" spans="1:9" customFormat="1" ht="17.399999999999999" hidden="1" customHeight="1" thickBot="1" x14ac:dyDescent="0.3">
      <c r="A87" s="718"/>
      <c r="B87" s="8">
        <f>IF(AND('Items sous domaines Maths '!K91&lt;=5, 'Items sous domaines Maths '!K91&gt;0),'Items sous domaines Maths '!B91,0)</f>
        <v>0</v>
      </c>
      <c r="C87" s="8" t="b">
        <f>IF(AND('Items sous domaines Maths '!K91&lt;=5, 'Items sous domaines Maths '!K91&gt;0),'Items sous domaines Maths '!C91)</f>
        <v>0</v>
      </c>
      <c r="D87" s="8">
        <f>IF(AND('Items sous domaines Maths '!K91&lt;=5, 'Items sous domaines Maths '!K91&gt;0),'Items sous domaines Maths '!D91,0)</f>
        <v>0</v>
      </c>
      <c r="E87" s="8">
        <f>IF(AND('Items sous domaines Maths '!K91&lt;=5, 'Items sous domaines Maths '!K91&gt;0),'Items sous domaines Maths '!E91,0)</f>
        <v>0</v>
      </c>
      <c r="F87" s="9">
        <f>IF(AND('Items sous domaines Maths '!K91&lt;=5, 'Items sous domaines Maths '!K91&gt;0),'Items sous domaines Maths '!F91,0)</f>
        <v>0</v>
      </c>
      <c r="G87" s="647"/>
      <c r="H87" s="705"/>
    </row>
    <row r="88" spans="1:9" customFormat="1" ht="17.399999999999999" hidden="1" customHeight="1" thickBot="1" x14ac:dyDescent="0.3">
      <c r="A88" s="718"/>
      <c r="B88" s="8">
        <f>IF(AND('Items sous domaines Maths '!K92&lt;=5, 'Items sous domaines Maths '!K92&gt;0),'Items sous domaines Maths '!B92,0)</f>
        <v>0</v>
      </c>
      <c r="C88" s="8" t="b">
        <f>IF(AND('Items sous domaines Maths '!K92&lt;=5, 'Items sous domaines Maths '!K92&gt;0),'Items sous domaines Maths '!C92)</f>
        <v>0</v>
      </c>
      <c r="D88" s="8">
        <f>IF(AND('Items sous domaines Maths '!K92&lt;=5, 'Items sous domaines Maths '!K92&gt;0),'Items sous domaines Maths '!D92,0)</f>
        <v>0</v>
      </c>
      <c r="E88" s="8">
        <f>IF(AND('Items sous domaines Maths '!K92&lt;=5, 'Items sous domaines Maths '!K92&gt;0),'Items sous domaines Maths '!E92,0)</f>
        <v>0</v>
      </c>
      <c r="F88" s="9">
        <f>IF(AND('Items sous domaines Maths '!K92&lt;=5, 'Items sous domaines Maths '!K92&gt;0),'Items sous domaines Maths '!F92,0)</f>
        <v>0</v>
      </c>
      <c r="G88" s="647"/>
      <c r="H88" s="705"/>
    </row>
    <row r="89" spans="1:9" customFormat="1" ht="17.7" hidden="1" customHeight="1" thickBot="1" x14ac:dyDescent="0.3">
      <c r="A89" s="718"/>
      <c r="B89" s="8">
        <f>IF(AND('Items sous domaines Maths '!K93&lt;=5, 'Items sous domaines Maths '!K93&gt;0),'Items sous domaines Maths '!B93,0)</f>
        <v>0</v>
      </c>
      <c r="C89" s="8" t="b">
        <f>IF(AND('Items sous domaines Maths '!K93&lt;=5, 'Items sous domaines Maths '!K93&gt;0),'Items sous domaines Maths '!C93)</f>
        <v>0</v>
      </c>
      <c r="D89" s="8">
        <f>IF(AND('Items sous domaines Maths '!K93&lt;=5, 'Items sous domaines Maths '!K93&gt;0),'Items sous domaines Maths '!D93,0)</f>
        <v>0</v>
      </c>
      <c r="E89" s="8">
        <f>IF(AND('Items sous domaines Maths '!K93&lt;=5, 'Items sous domaines Maths '!K93&gt;0),'Items sous domaines Maths '!E93,0)</f>
        <v>0</v>
      </c>
      <c r="F89" s="9">
        <f>IF(AND('Items sous domaines Maths '!K93&lt;=5, 'Items sous domaines Maths '!K93&gt;0),'Items sous domaines Maths '!F93,0)</f>
        <v>0</v>
      </c>
      <c r="G89" s="647"/>
      <c r="H89" s="705"/>
    </row>
    <row r="90" spans="1:9" customFormat="1" ht="17.7" hidden="1" customHeight="1" thickBot="1" x14ac:dyDescent="0.3">
      <c r="A90" s="718"/>
      <c r="B90" s="8">
        <f>IF(AND('Items sous domaines Maths '!K94&lt;=5, 'Items sous domaines Maths '!K94&gt;0),'Items sous domaines Maths '!B94,0)</f>
        <v>0</v>
      </c>
      <c r="C90" s="8" t="b">
        <f>IF(AND('Items sous domaines Maths '!K94&lt;=5, 'Items sous domaines Maths '!K94&gt;0),'Items sous domaines Maths '!C94)</f>
        <v>0</v>
      </c>
      <c r="D90" s="8">
        <f>IF(AND('Items sous domaines Maths '!K94&lt;=5, 'Items sous domaines Maths '!K94&gt;0),'Items sous domaines Maths '!D94,0)</f>
        <v>0</v>
      </c>
      <c r="E90" s="8">
        <f>IF(AND('Items sous domaines Maths '!K94&lt;=5, 'Items sous domaines Maths '!K94&gt;0),'Items sous domaines Maths '!E94,0)</f>
        <v>0</v>
      </c>
      <c r="F90" s="9">
        <f>IF(AND('Items sous domaines Maths '!K94&lt;=5, 'Items sous domaines Maths '!K94&gt;0),'Items sous domaines Maths '!F94,0)</f>
        <v>0</v>
      </c>
      <c r="G90" s="647"/>
      <c r="H90" s="705"/>
    </row>
    <row r="91" spans="1:9" ht="19.95" customHeight="1" thickTop="1" x14ac:dyDescent="0.3">
      <c r="A91" s="609"/>
      <c r="B91" s="265" t="str">
        <f>IF(AND('Items sous domaines Maths '!K95&lt;=5, 'Items sous domaines Maths '!K95&gt;0),'Items sous domaines Maths '!B95,0)</f>
        <v>Algèbre</v>
      </c>
      <c r="C91" s="266" t="str">
        <f>IF(AND('Items sous domaines Maths '!K95&lt;=5, 'Items sous domaines Maths '!K95&gt;0),'Items sous domaines Maths '!C95)</f>
        <v>Les Matrices</v>
      </c>
      <c r="D91" s="266" t="str">
        <f>IF(AND('Items sous domaines Maths '!K95&lt;=5, 'Items sous domaines Maths '!K95&gt;0),'Items sous domaines Maths '!D95,0)</f>
        <v>Determinant d'une matrice carrée</v>
      </c>
      <c r="E91" s="266" t="str">
        <f>IF(AND('Items sous domaines Maths '!K95&lt;=5, 'Items sous domaines Maths '!K95&gt;0),'Items sous domaines Maths '!E95,0)</f>
        <v>Définition, notation</v>
      </c>
      <c r="F91" s="267" t="str">
        <f>IF(AND('Items sous domaines Maths '!K95&lt;=5, 'Items sous domaines Maths '!K95&gt;0),'Items sous domaines Maths '!F95,0)</f>
        <v>Exemple de calcul du déterminant sur des matrices 2X2 et 3X3. Formule de calcul et Methodes de Sarrus.</v>
      </c>
      <c r="G91" s="724"/>
      <c r="H91" s="706"/>
      <c r="I91" s="245"/>
    </row>
    <row r="92" spans="1:9" ht="19.95" customHeight="1" thickBot="1" x14ac:dyDescent="0.35">
      <c r="A92" s="608"/>
      <c r="B92" s="250" t="str">
        <f>IF(AND('Items sous domaines Maths '!K96&lt;=5, 'Items sous domaines Maths '!K96&gt;0),'Items sous domaines Maths '!B96,0)</f>
        <v>Algèbre</v>
      </c>
      <c r="C92" s="251" t="str">
        <f>IF(AND('Items sous domaines Maths '!K96&lt;=5, 'Items sous domaines Maths '!K96&gt;0),'Items sous domaines Maths '!C96)</f>
        <v>Les Matrices</v>
      </c>
      <c r="D92" s="251">
        <f>IF(AND('Items sous domaines Maths '!K96&lt;=5, 'Items sous domaines Maths '!K96&gt;0),'Items sous domaines Maths '!D96,0)</f>
        <v>0</v>
      </c>
      <c r="E92" s="251" t="str">
        <f>IF(AND('Items sous domaines Maths '!K96&lt;=5, 'Items sous domaines Maths '!K96&gt;0),'Items sous domaines Maths '!E96,0)</f>
        <v>Propriétés</v>
      </c>
      <c r="F92" s="252" t="str">
        <f>IF(AND('Items sous domaines Maths '!K96&lt;=5, 'Items sous domaines Maths '!K96&gt;0),'Items sous domaines Maths '!F96,0)</f>
        <v>Effet de la combinaison linéaire de deux lignes ou deux colones sur le calcul du déterminant.</v>
      </c>
      <c r="G92" s="723"/>
      <c r="H92" s="707"/>
      <c r="I92" s="253"/>
    </row>
    <row r="93" spans="1:9" customFormat="1" ht="17.7" hidden="1" customHeight="1" thickTop="1" thickBot="1" x14ac:dyDescent="0.3">
      <c r="A93" s="718"/>
      <c r="B93">
        <f>IF(AND('Items sous domaines Maths '!K97&lt;=5, 'Items sous domaines Maths '!K97&gt;0),'Items sous domaines Maths '!B97,0)</f>
        <v>0</v>
      </c>
      <c r="C93" t="b">
        <f>IF(AND('Items sous domaines Maths '!K97&lt;=5, 'Items sous domaines Maths '!K97&gt;0),'Items sous domaines Maths '!C97)</f>
        <v>0</v>
      </c>
      <c r="D93">
        <f>IF(AND('Items sous domaines Maths '!K97&lt;=5, 'Items sous domaines Maths '!K97&gt;0),'Items sous domaines Maths '!D97,0)</f>
        <v>0</v>
      </c>
      <c r="E93">
        <f>IF(AND('Items sous domaines Maths '!K97&lt;=5, 'Items sous domaines Maths '!K97&gt;0),'Items sous domaines Maths '!E97,0)</f>
        <v>0</v>
      </c>
      <c r="F93" s="10">
        <f>IF(AND('Items sous domaines Maths '!K97&lt;=5, 'Items sous domaines Maths '!K97&gt;0),'Items sous domaines Maths '!F97,0)</f>
        <v>0</v>
      </c>
      <c r="G93" s="647"/>
      <c r="H93" s="705"/>
    </row>
    <row r="94" spans="1:9" ht="19.95" customHeight="1" thickTop="1" x14ac:dyDescent="0.3">
      <c r="A94" s="609"/>
      <c r="B94" s="265" t="str">
        <f>IF(AND('Items sous domaines Maths '!K98&lt;=5, 'Items sous domaines Maths '!K98&gt;0),'Items sous domaines Maths '!B98,0)</f>
        <v>Algèbre</v>
      </c>
      <c r="C94" s="266" t="str">
        <f>IF(AND('Items sous domaines Maths '!K98&lt;=5, 'Items sous domaines Maths '!K98&gt;0),'Items sous domaines Maths '!C98)</f>
        <v>Les Matrices</v>
      </c>
      <c r="D94" s="266" t="str">
        <f>IF(AND('Items sous domaines Maths '!K98&lt;=5, 'Items sous domaines Maths '!K98&gt;0),'Items sous domaines Maths '!D98,0)</f>
        <v>Matrices carrées inversibles</v>
      </c>
      <c r="E94" s="266" t="str">
        <f>IF(AND('Items sous domaines Maths '!K98&lt;=5, 'Items sous domaines Maths '!K98&gt;0),'Items sous domaines Maths '!E98,0)</f>
        <v>Définition, notation</v>
      </c>
      <c r="F94" s="267" t="str">
        <f>IF(AND('Items sous domaines Maths '!K98&lt;=5, 'Items sous domaines Maths '!K98&gt;0),'Items sous domaines Maths '!F98,0)</f>
        <v>Unicité de l'inverse quand elle existe.</v>
      </c>
      <c r="G94" s="724"/>
      <c r="H94" s="706"/>
      <c r="I94" s="245"/>
    </row>
    <row r="95" spans="1:9" ht="19.95" customHeight="1" x14ac:dyDescent="0.3">
      <c r="A95" s="607"/>
      <c r="B95" s="161" t="str">
        <f>IF(AND('Items sous domaines Maths '!K99&lt;=5, 'Items sous domaines Maths '!K99&gt;0),'Items sous domaines Maths '!B99,0)</f>
        <v>Algèbre</v>
      </c>
      <c r="C95" s="162" t="str">
        <f>IF(AND('Items sous domaines Maths '!K99&lt;=5, 'Items sous domaines Maths '!K99&gt;0),'Items sous domaines Maths '!C99)</f>
        <v>Les Matrices</v>
      </c>
      <c r="D95" s="162">
        <f>IF(AND('Items sous domaines Maths '!K99&lt;=5, 'Items sous domaines Maths '!K99&gt;0),'Items sous domaines Maths '!D99,0)</f>
        <v>0</v>
      </c>
      <c r="E95" s="162" t="str">
        <f>IF(AND('Items sous domaines Maths '!K99&lt;=5, 'Items sous domaines Maths '!K99&gt;0),'Items sous domaines Maths '!E99,0)</f>
        <v>Propriétés</v>
      </c>
      <c r="F95" s="163" t="str">
        <f>IF(AND('Items sous domaines Maths '!K99&lt;=5, 'Items sous domaines Maths '!K99&gt;0),'Items sous domaines Maths '!F99,0)</f>
        <v>Inverses du produit, d'une puissance et de la transposée de matrices inversibles.</v>
      </c>
      <c r="G95" s="722"/>
      <c r="H95" s="708"/>
      <c r="I95" s="249"/>
    </row>
    <row r="96" spans="1:9" ht="19.95" customHeight="1" x14ac:dyDescent="0.3">
      <c r="A96" s="607"/>
      <c r="B96" s="155" t="str">
        <f>IF(AND('Items sous domaines Maths '!K100&lt;=5, 'Items sous domaines Maths '!K100&gt;0),'Items sous domaines Maths '!B100,0)</f>
        <v>Algèbre</v>
      </c>
      <c r="C96" s="156" t="str">
        <f>IF(AND('Items sous domaines Maths '!K100&lt;=5, 'Items sous domaines Maths '!K100&gt;0),'Items sous domaines Maths '!C100)</f>
        <v>Les Matrices</v>
      </c>
      <c r="D96" s="156">
        <f>IF(AND('Items sous domaines Maths '!K100&lt;=5, 'Items sous domaines Maths '!K100&gt;0),'Items sous domaines Maths '!D100,0)</f>
        <v>0</v>
      </c>
      <c r="E96" s="156">
        <f>IF(AND('Items sous domaines Maths '!K100&lt;=5, 'Items sous domaines Maths '!K100&gt;0),'Items sous domaines Maths '!E100,0)</f>
        <v>0</v>
      </c>
      <c r="F96" s="157" t="str">
        <f>IF(AND('Items sous domaines Maths '!K100&lt;=5, 'Items sous domaines Maths '!K100&gt;0),'Items sous domaines Maths '!F100,0)</f>
        <v>Critère d'existence de l'inverse à l'aide du déterminant.</v>
      </c>
      <c r="G96" s="722"/>
      <c r="H96" s="708"/>
      <c r="I96" s="249"/>
    </row>
    <row r="97" spans="1:9" ht="19.95" customHeight="1" thickBot="1" x14ac:dyDescent="0.35">
      <c r="A97" s="608"/>
      <c r="B97" s="250" t="str">
        <f>IF(AND('Items sous domaines Maths '!K101&lt;=5, 'Items sous domaines Maths '!K101&gt;0),'Items sous domaines Maths '!B101,0)</f>
        <v>Algèbre</v>
      </c>
      <c r="C97" s="251" t="str">
        <f>IF(AND('Items sous domaines Maths '!K101&lt;=5, 'Items sous domaines Maths '!K101&gt;0),'Items sous domaines Maths '!C101)</f>
        <v>Les Matrices</v>
      </c>
      <c r="D97" s="251">
        <f>IF(AND('Items sous domaines Maths '!K101&lt;=5, 'Items sous domaines Maths '!K101&gt;0),'Items sous domaines Maths '!D101,0)</f>
        <v>0</v>
      </c>
      <c r="E97" s="251">
        <f>IF(AND('Items sous domaines Maths '!K101&lt;=5, 'Items sous domaines Maths '!K101&gt;0),'Items sous domaines Maths '!E101,0)</f>
        <v>0</v>
      </c>
      <c r="F97" s="252" t="str">
        <f>IF(AND('Items sous domaines Maths '!K101&lt;=5, 'Items sous domaines Maths '!K101&gt;0),'Items sous domaines Maths '!F101,0)</f>
        <v>Méthodes de calcul de l'inverse d'une matrice.</v>
      </c>
      <c r="G97" s="723"/>
      <c r="H97" s="707"/>
      <c r="I97" s="253"/>
    </row>
    <row r="98" spans="1:9" customFormat="1" ht="17.7" hidden="1" customHeight="1" thickTop="1" thickBot="1" x14ac:dyDescent="0.3">
      <c r="A98" s="718"/>
      <c r="B98">
        <f>IF(AND('Items sous domaines Maths '!K102&lt;=5, 'Items sous domaines Maths '!K102&gt;0),'Items sous domaines Maths '!B102,0)</f>
        <v>0</v>
      </c>
      <c r="C98" t="b">
        <f>IF(AND('Items sous domaines Maths '!K102&lt;=5, 'Items sous domaines Maths '!K102&gt;0),'Items sous domaines Maths '!C102)</f>
        <v>0</v>
      </c>
      <c r="D98">
        <f>IF(AND('Items sous domaines Maths '!K102&lt;=5, 'Items sous domaines Maths '!K102&gt;0),'Items sous domaines Maths '!D102,0)</f>
        <v>0</v>
      </c>
      <c r="E98">
        <f>IF(AND('Items sous domaines Maths '!K102&lt;=5, 'Items sous domaines Maths '!K102&gt;0),'Items sous domaines Maths '!E102,0)</f>
        <v>0</v>
      </c>
      <c r="F98" s="10">
        <f>IF(AND('Items sous domaines Maths '!K102&lt;=5, 'Items sous domaines Maths '!K102&gt;0),'Items sous domaines Maths '!F102,0)</f>
        <v>0</v>
      </c>
      <c r="G98" s="647"/>
      <c r="H98" s="705"/>
    </row>
    <row r="99" spans="1:9" ht="19.95" customHeight="1" thickTop="1" x14ac:dyDescent="0.3">
      <c r="A99" s="609"/>
      <c r="B99" s="254" t="str">
        <f>IF(AND('Items sous domaines Maths '!K103&lt;=5, 'Items sous domaines Maths '!K103&gt;0),'Items sous domaines Maths '!B103,0)</f>
        <v>Algèbre</v>
      </c>
      <c r="C99" s="255" t="str">
        <f>IF(AND('Items sous domaines Maths '!K103&lt;=5, 'Items sous domaines Maths '!K103&gt;0),'Items sous domaines Maths '!C103)</f>
        <v>Les Systèmes</v>
      </c>
      <c r="D99" s="255" t="str">
        <f>IF(AND('Items sous domaines Maths '!K103&lt;=5, 'Items sous domaines Maths '!K103&gt;0),'Items sous domaines Maths '!D103,0)</f>
        <v>Définitions</v>
      </c>
      <c r="E99" s="255" t="str">
        <f>IF(AND('Items sous domaines Maths '!K103&lt;=5, 'Items sous domaines Maths '!K103&gt;0),'Items sous domaines Maths '!E103,0)</f>
        <v>Définition d'une équation linéaire</v>
      </c>
      <c r="F99" s="256" t="str">
        <f>IF(AND('Items sous domaines Maths '!K103&lt;=5, 'Items sous domaines Maths '!K103&gt;0),'Items sous domaines Maths '!F103,0)</f>
        <v>Savoir ce qu'est une équation linéaire et une combinaison linéaire.</v>
      </c>
      <c r="G99" s="724"/>
      <c r="H99" s="706"/>
      <c r="I99" s="245"/>
    </row>
    <row r="100" spans="1:9" ht="19.95" customHeight="1" x14ac:dyDescent="0.3">
      <c r="A100" s="607"/>
      <c r="B100" s="155" t="str">
        <f>IF(AND('Items sous domaines Maths '!K104&lt;=5, 'Items sous domaines Maths '!K104&gt;0),'Items sous domaines Maths '!B104,0)</f>
        <v>Algèbre</v>
      </c>
      <c r="C100" s="156" t="str">
        <f>IF(AND('Items sous domaines Maths '!K104&lt;=5, 'Items sous domaines Maths '!K104&gt;0),'Items sous domaines Maths '!C104)</f>
        <v>Les Systèmes</v>
      </c>
      <c r="D100" s="156">
        <f>IF(AND('Items sous domaines Maths '!K104&lt;=5, 'Items sous domaines Maths '!K104&gt;0),'Items sous domaines Maths '!D104,0)</f>
        <v>0</v>
      </c>
      <c r="E100" s="156" t="str">
        <f>IF(AND('Items sous domaines Maths '!K104&lt;=5, 'Items sous domaines Maths '!K104&gt;0),'Items sous domaines Maths '!E104,0)</f>
        <v>Définition d'un système linéaire</v>
      </c>
      <c r="F100" s="157" t="str">
        <f>IF(AND('Items sous domaines Maths '!K104&lt;=5, 'Items sous domaines Maths '!K104&gt;0),'Items sous domaines Maths '!F104,0)</f>
        <v>Connaître l'interprétation géometrique : intersections de droites, de plans et les differents cas de figures possibles.</v>
      </c>
      <c r="G100" s="722"/>
      <c r="H100" s="708"/>
      <c r="I100" s="249"/>
    </row>
    <row r="101" spans="1:9" ht="19.95" customHeight="1" x14ac:dyDescent="0.3">
      <c r="A101" s="607"/>
      <c r="B101" s="155" t="str">
        <f>IF(AND('Items sous domaines Maths '!K105&lt;=5, 'Items sous domaines Maths '!K105&gt;0),'Items sous domaines Maths '!B105,0)</f>
        <v>Algèbre</v>
      </c>
      <c r="C101" s="156" t="str">
        <f>IF(AND('Items sous domaines Maths '!K105&lt;=5, 'Items sous domaines Maths '!K105&gt;0),'Items sous domaines Maths '!C105)</f>
        <v>Les Systèmes</v>
      </c>
      <c r="D101" s="156">
        <f>IF(AND('Items sous domaines Maths '!K105&lt;=5, 'Items sous domaines Maths '!K105&gt;0),'Items sous domaines Maths '!D105,0)</f>
        <v>0</v>
      </c>
      <c r="E101" s="156" t="str">
        <f>IF(AND('Items sous domaines Maths '!K105&lt;=5, 'Items sous domaines Maths '!K105&gt;0),'Items sous domaines Maths '!E105,0)</f>
        <v>Matrice associée à un système</v>
      </c>
      <c r="F101" s="157" t="str">
        <f>IF(AND('Items sous domaines Maths '!K105&lt;=5, 'Items sous domaines Maths '!K105&gt;0),'Items sous domaines Maths '!F105,0)</f>
        <v>Savoir transposer un système en écriture matricielle.</v>
      </c>
      <c r="G101" s="722"/>
      <c r="H101" s="708"/>
      <c r="I101" s="249"/>
    </row>
    <row r="102" spans="1:9" ht="19.95" customHeight="1" x14ac:dyDescent="0.3">
      <c r="A102" s="607"/>
      <c r="B102" s="155" t="str">
        <f>IF(AND('Items sous domaines Maths '!K106&lt;=5, 'Items sous domaines Maths '!K106&gt;0),'Items sous domaines Maths '!B106,0)</f>
        <v>Algèbre</v>
      </c>
      <c r="C102" s="156" t="str">
        <f>IF(AND('Items sous domaines Maths '!K106&lt;=5, 'Items sous domaines Maths '!K106&gt;0),'Items sous domaines Maths '!C106)</f>
        <v>Les Systèmes</v>
      </c>
      <c r="D102" s="156">
        <f>IF(AND('Items sous domaines Maths '!K106&lt;=5, 'Items sous domaines Maths '!K106&gt;0),'Items sous domaines Maths '!D106,0)</f>
        <v>0</v>
      </c>
      <c r="E102" s="156" t="str">
        <f>IF(AND('Items sous domaines Maths '!K106&lt;=5, 'Items sous domaines Maths '!K106&gt;0),'Items sous domaines Maths '!E106,0)</f>
        <v>Systèmes équivalents</v>
      </c>
      <c r="F102" s="157" t="str">
        <f>IF(AND('Items sous domaines Maths '!K106&lt;=5, 'Items sous domaines Maths '!K106&gt;0),'Items sous domaines Maths '!F106,0)</f>
        <v>Connaître les opérations élémentaires sur les lignes qui ne changent pas les solutions.</v>
      </c>
      <c r="G102" s="722"/>
      <c r="H102" s="708"/>
      <c r="I102" s="249"/>
    </row>
    <row r="103" spans="1:9" ht="19.95" customHeight="1" x14ac:dyDescent="0.3">
      <c r="A103" s="607"/>
      <c r="B103" s="161" t="str">
        <f>IF(AND('Items sous domaines Maths '!K107&lt;=5, 'Items sous domaines Maths '!K107&gt;0),'Items sous domaines Maths '!B107,0)</f>
        <v>Algèbre</v>
      </c>
      <c r="C103" s="162" t="str">
        <f>IF(AND('Items sous domaines Maths '!K107&lt;=5, 'Items sous domaines Maths '!K107&gt;0),'Items sous domaines Maths '!C107)</f>
        <v>Les Systèmes</v>
      </c>
      <c r="D103" s="162">
        <f>IF(AND('Items sous domaines Maths '!K107&lt;=5, 'Items sous domaines Maths '!K107&gt;0),'Items sous domaines Maths '!D107,0)</f>
        <v>0</v>
      </c>
      <c r="E103" s="162" t="str">
        <f>IF(AND('Items sous domaines Maths '!K107&lt;=5, 'Items sous domaines Maths '!K107&gt;0),'Items sous domaines Maths '!E107,0)</f>
        <v>Algorithme de Gauss</v>
      </c>
      <c r="F103" s="163" t="str">
        <f>IF(AND('Items sous domaines Maths '!K107&lt;=5, 'Items sous domaines Maths '!K107&gt;0),'Items sous domaines Maths '!F107,0)</f>
        <v>Savoir ce qu'est un pivot.</v>
      </c>
      <c r="G103" s="722"/>
      <c r="H103" s="708"/>
      <c r="I103" s="249"/>
    </row>
    <row r="104" spans="1:9" ht="19.95" customHeight="1" x14ac:dyDescent="0.3">
      <c r="A104" s="607"/>
      <c r="B104" s="155" t="str">
        <f>IF(AND('Items sous domaines Maths '!K108&lt;=5, 'Items sous domaines Maths '!K108&gt;0),'Items sous domaines Maths '!B108,0)</f>
        <v>Algèbre</v>
      </c>
      <c r="C104" s="156" t="str">
        <f>IF(AND('Items sous domaines Maths '!K108&lt;=5, 'Items sous domaines Maths '!K108&gt;0),'Items sous domaines Maths '!C108)</f>
        <v>Les Systèmes</v>
      </c>
      <c r="D104" s="156" t="str">
        <f>IF(AND('Items sous domaines Maths '!K108&lt;=5, 'Items sous domaines Maths '!K108&gt;0),'Items sous domaines Maths '!D108,0)</f>
        <v xml:space="preserve">Résolution d’un système linéaire </v>
      </c>
      <c r="E104" s="156" t="str">
        <f>IF(AND('Items sous domaines Maths '!K108&lt;=5, 'Items sous domaines Maths '!K108&gt;0),'Items sous domaines Maths '!E108,0)</f>
        <v>Résolution</v>
      </c>
      <c r="F104" s="157" t="str">
        <f>IF(AND('Items sous domaines Maths '!K108&lt;=5, 'Items sous domaines Maths '!K108&gt;0),'Items sous domaines Maths '!F108,0)</f>
        <v>Savoir appliquer l'algorithme de Gauss au système ainsi qu'en échelonnant la matrice.</v>
      </c>
      <c r="G104" s="722"/>
      <c r="H104" s="708"/>
      <c r="I104" s="249"/>
    </row>
    <row r="105" spans="1:9" ht="19.95" customHeight="1" x14ac:dyDescent="0.3">
      <c r="A105" s="607"/>
      <c r="B105" s="161" t="str">
        <f>IF(AND('Items sous domaines Maths '!K109&lt;=5, 'Items sous domaines Maths '!K109&gt;0),'Items sous domaines Maths '!B109,0)</f>
        <v>Algèbre</v>
      </c>
      <c r="C105" s="162" t="str">
        <f>IF(AND('Items sous domaines Maths '!K109&lt;=5, 'Items sous domaines Maths '!K109&gt;0),'Items sous domaines Maths '!C109)</f>
        <v>Les Systèmes</v>
      </c>
      <c r="D105" s="162">
        <f>IF(AND('Items sous domaines Maths '!K109&lt;=5, 'Items sous domaines Maths '!K109&gt;0),'Items sous domaines Maths '!D109,0)</f>
        <v>0</v>
      </c>
      <c r="E105" s="162" t="str">
        <f>IF(AND('Items sous domaines Maths '!K109&lt;=5, 'Items sous domaines Maths '!K109&gt;0),'Items sous domaines Maths '!E109,0)</f>
        <v>Résolution d'un système à l'aide des matrices</v>
      </c>
      <c r="F105" s="163" t="str">
        <f>IF(AND('Items sous domaines Maths '!K109&lt;=5, 'Items sous domaines Maths '!K109&gt;0),'Items sous domaines Maths '!F109,0)</f>
        <v>Condition d'unicité de la solution lorsque le determinant est non nul.</v>
      </c>
      <c r="G105" s="722"/>
      <c r="H105" s="708"/>
      <c r="I105" s="249"/>
    </row>
    <row r="106" spans="1:9" ht="19.95" customHeight="1" x14ac:dyDescent="0.3">
      <c r="A106" s="607"/>
      <c r="B106" s="155" t="str">
        <f>IF(AND('Items sous domaines Maths '!K110&lt;=5, 'Items sous domaines Maths '!K110&gt;0),'Items sous domaines Maths '!B110,0)</f>
        <v>Algèbre</v>
      </c>
      <c r="C106" s="156" t="str">
        <f>IF(AND('Items sous domaines Maths '!K110&lt;=5, 'Items sous domaines Maths '!K110&gt;0),'Items sous domaines Maths '!C110)</f>
        <v>Les Systèmes</v>
      </c>
      <c r="D106" s="156">
        <f>IF(AND('Items sous domaines Maths '!K110&lt;=5, 'Items sous domaines Maths '!K110&gt;0),'Items sous domaines Maths '!D110,0)</f>
        <v>0</v>
      </c>
      <c r="E106" s="156">
        <f>IF(AND('Items sous domaines Maths '!K110&lt;=5, 'Items sous domaines Maths '!K110&gt;0),'Items sous domaines Maths '!E110,0)</f>
        <v>0</v>
      </c>
      <c r="F106" s="157" t="str">
        <f>IF(AND('Items sous domaines Maths '!K110&lt;=5, 'Items sous domaines Maths '!K110&gt;0),'Items sous domaines Maths '!F110,0)</f>
        <v>Connaître la méthode de Cramer pour résoudre les systèmes.</v>
      </c>
      <c r="G106" s="722"/>
      <c r="H106" s="708"/>
      <c r="I106" s="249"/>
    </row>
    <row r="107" spans="1:9" ht="19.95" customHeight="1" thickBot="1" x14ac:dyDescent="0.35">
      <c r="A107" s="608"/>
      <c r="B107" s="250" t="str">
        <f>IF(AND('Items sous domaines Maths '!K111&lt;=5, 'Items sous domaines Maths '!K111&gt;0),'Items sous domaines Maths '!B111,0)</f>
        <v>Algèbre</v>
      </c>
      <c r="C107" s="251" t="str">
        <f>IF(AND('Items sous domaines Maths '!K111&lt;=5, 'Items sous domaines Maths '!K111&gt;0),'Items sous domaines Maths '!C111)</f>
        <v>Les Systèmes</v>
      </c>
      <c r="D107" s="251">
        <f>IF(AND('Items sous domaines Maths '!K111&lt;=5, 'Items sous domaines Maths '!K111&gt;0),'Items sous domaines Maths '!D111,0)</f>
        <v>0</v>
      </c>
      <c r="E107" s="251">
        <f>IF(AND('Items sous domaines Maths '!K111&lt;=5, 'Items sous domaines Maths '!K111&gt;0),'Items sous domaines Maths '!E111,0)</f>
        <v>0</v>
      </c>
      <c r="F107" s="252" t="str">
        <f>IF(AND('Items sous domaines Maths '!K111&lt;=5, 'Items sous domaines Maths '!K111&gt;0),'Items sous domaines Maths '!F111,0)</f>
        <v>Savoir résoudre un système à l'aide de la matrice inverse.</v>
      </c>
      <c r="G107" s="723"/>
      <c r="H107" s="707"/>
      <c r="I107" s="253"/>
    </row>
    <row r="108" spans="1:9" customFormat="1" ht="17.7" hidden="1" customHeight="1" thickTop="1" thickBot="1" x14ac:dyDescent="0.3">
      <c r="A108" s="718"/>
      <c r="B108">
        <f>IF(AND('Items sous domaines Maths '!K112&lt;=5, 'Items sous domaines Maths '!K112&gt;0),'Items sous domaines Maths '!B112,0)</f>
        <v>0</v>
      </c>
      <c r="C108" t="b">
        <f>IF(AND('Items sous domaines Maths '!K112&lt;=5, 'Items sous domaines Maths '!K112&gt;0),'Items sous domaines Maths '!C112)</f>
        <v>0</v>
      </c>
      <c r="D108">
        <f>IF(AND('Items sous domaines Maths '!K112&lt;=5, 'Items sous domaines Maths '!K112&gt;0),'Items sous domaines Maths '!D112,0)</f>
        <v>0</v>
      </c>
      <c r="E108">
        <f>IF(AND('Items sous domaines Maths '!K112&lt;=5, 'Items sous domaines Maths '!K112&gt;0),'Items sous domaines Maths '!E112,0)</f>
        <v>0</v>
      </c>
      <c r="F108" s="10">
        <f>IF(AND('Items sous domaines Maths '!K112&lt;=5, 'Items sous domaines Maths '!K112&gt;0),'Items sous domaines Maths '!F112,0)</f>
        <v>0</v>
      </c>
      <c r="G108" s="647"/>
      <c r="H108" s="9">
        <f>IF(AND('Items sous domaines Maths '!K112&lt;=5, 'Items sous domaines Maths '!K112&gt;0),'Items sous domaines Maths '!L112,0)</f>
        <v>0</v>
      </c>
    </row>
    <row r="109" spans="1:9" ht="19.95" customHeight="1" thickTop="1" x14ac:dyDescent="0.3">
      <c r="A109" s="609"/>
      <c r="B109" s="254" t="str">
        <f>IF(AND('Items sous domaines Maths '!K113&lt;=5, 'Items sous domaines Maths '!K113&gt;0),'Items sous domaines Maths '!B113,0)</f>
        <v>Algèbre</v>
      </c>
      <c r="C109" s="255" t="str">
        <f>IF(AND('Items sous domaines Maths '!K113&lt;=5, 'Items sous domaines Maths '!K113&gt;0),'Items sous domaines Maths '!C113)</f>
        <v>La Théorie des graphes</v>
      </c>
      <c r="D109" s="255" t="str">
        <f>IF(AND('Items sous domaines Maths '!K113&lt;=5, 'Items sous domaines Maths '!K113&gt;0),'Items sous domaines Maths '!D113,0)</f>
        <v>Terminologie et définitions</v>
      </c>
      <c r="E109" s="255" t="str">
        <f>IF(AND('Items sous domaines Maths '!K113&lt;=5, 'Items sous domaines Maths '!K113&gt;0),'Items sous domaines Maths '!E113,0)</f>
        <v>Sommet, ordre, arete, graphe orienté, aretes adjacentes, degré d'un sommet</v>
      </c>
      <c r="F109" s="256" t="str">
        <f>IF(AND('Items sous domaines Maths '!K113&lt;=5, 'Items sous domaines Maths '!K113&gt;0),'Items sous domaines Maths '!F113,0)</f>
        <v xml:space="preserve">Connaître le vocabulaire spécifique à la théorie des graphes. </v>
      </c>
      <c r="G109" s="724"/>
      <c r="H109" s="706" t="str">
        <f>IF(AND('Items sous domaines Maths '!K113&lt;=5, 'Items sous domaines Maths '!K113&gt;0),'Items sous domaines Maths '!L113,0)</f>
        <v>2. Les graphes | Lelivrescolaire.fr</v>
      </c>
      <c r="I109" s="245"/>
    </row>
    <row r="110" spans="1:9" ht="19.95" customHeight="1" x14ac:dyDescent="0.3">
      <c r="A110" s="607"/>
      <c r="B110" s="155" t="str">
        <f>IF(AND('Items sous domaines Maths '!K114&lt;=5, 'Items sous domaines Maths '!K114&gt;0),'Items sous domaines Maths '!B114,0)</f>
        <v>Algèbre</v>
      </c>
      <c r="C110" s="156" t="str">
        <f>IF(AND('Items sous domaines Maths '!K114&lt;=5, 'Items sous domaines Maths '!K114&gt;0),'Items sous domaines Maths '!C114)</f>
        <v>La Théorie des graphes</v>
      </c>
      <c r="D110" s="156">
        <f>IF(AND('Items sous domaines Maths '!K114&lt;=5, 'Items sous domaines Maths '!K114&gt;0),'Items sous domaines Maths '!D114,0)</f>
        <v>0</v>
      </c>
      <c r="E110" s="156" t="str">
        <f>IF(AND('Items sous domaines Maths '!K114&lt;=5, 'Items sous domaines Maths '!K114&gt;0),'Items sous domaines Maths '!E114,0)</f>
        <v xml:space="preserve">Graphe complet </v>
      </c>
      <c r="F110" s="157" t="str">
        <f>IF(AND('Items sous domaines Maths '!K114&lt;=5, 'Items sous domaines Maths '!K114&gt;0),'Items sous domaines Maths '!F114,0)</f>
        <v>Savoir que la somme des degrés de tous les sommets d’un graphe est égal au double du nombre total d’arêtes. Savoir qu'un graphe complet est un graphe simple dont tous les sommets sont adjacents les uns avec les autres.</v>
      </c>
      <c r="G110" s="722"/>
      <c r="H110" s="708"/>
      <c r="I110" s="249"/>
    </row>
    <row r="111" spans="1:9" ht="19.95" customHeight="1" x14ac:dyDescent="0.3">
      <c r="A111" s="607"/>
      <c r="B111" s="161" t="str">
        <f>IF(AND('Items sous domaines Maths '!K115&lt;=5, 'Items sous domaines Maths '!K115&gt;0),'Items sous domaines Maths '!B115,0)</f>
        <v>Algèbre</v>
      </c>
      <c r="C111" s="162" t="str">
        <f>IF(AND('Items sous domaines Maths '!K115&lt;=5, 'Items sous domaines Maths '!K115&gt;0),'Items sous domaines Maths '!C115)</f>
        <v>La Théorie des graphes</v>
      </c>
      <c r="D111" s="162">
        <f>IF(AND('Items sous domaines Maths '!K115&lt;=5, 'Items sous domaines Maths '!K115&gt;0),'Items sous domaines Maths '!D115,0)</f>
        <v>0</v>
      </c>
      <c r="E111" s="162" t="str">
        <f>IF(AND('Items sous domaines Maths '!K115&lt;=5, 'Items sous domaines Maths '!K115&gt;0),'Items sous domaines Maths '!E115,0)</f>
        <v>Graphe orienté</v>
      </c>
      <c r="F111" s="163">
        <f>IF(AND('Items sous domaines Maths '!K115&lt;=5, 'Items sous domaines Maths '!K115&gt;0),'Items sous domaines Maths '!F115,0)</f>
        <v>0</v>
      </c>
      <c r="G111" s="722"/>
      <c r="H111" s="708"/>
      <c r="I111" s="249"/>
    </row>
    <row r="112" spans="1:9" ht="19.95" customHeight="1" x14ac:dyDescent="0.3">
      <c r="A112" s="607"/>
      <c r="B112" s="155" t="str">
        <f>IF(AND('Items sous domaines Maths '!K116&lt;=5, 'Items sous domaines Maths '!K116&gt;0),'Items sous domaines Maths '!B116,0)</f>
        <v>Algèbre</v>
      </c>
      <c r="C112" s="156" t="str">
        <f>IF(AND('Items sous domaines Maths '!K116&lt;=5, 'Items sous domaines Maths '!K116&gt;0),'Items sous domaines Maths '!C116)</f>
        <v>La Théorie des graphes</v>
      </c>
      <c r="D112" s="156">
        <f>IF(AND('Items sous domaines Maths '!K116&lt;=5, 'Items sous domaines Maths '!K116&gt;0),'Items sous domaines Maths '!D116,0)</f>
        <v>0</v>
      </c>
      <c r="E112" s="156" t="str">
        <f>IF(AND('Items sous domaines Maths '!K116&lt;=5, 'Items sous domaines Maths '!K116&gt;0),'Items sous domaines Maths '!E116,0)</f>
        <v>Matrice d'adjacence d'un graphe</v>
      </c>
      <c r="F112" s="157" t="str">
        <f>IF(AND('Items sous domaines Maths '!K116&lt;=5, 'Items sous domaines Maths '!K116&gt;0),'Items sous domaines Maths '!F116,0)</f>
        <v>Savoir établir la matrice d'adjacence d'un graphe dans le cas d'un graphe orienté et non orienté.</v>
      </c>
      <c r="G112" s="722"/>
      <c r="H112" s="708"/>
      <c r="I112" s="249"/>
    </row>
    <row r="113" spans="1:9" ht="19.95" customHeight="1" thickBot="1" x14ac:dyDescent="0.35">
      <c r="A113" s="608"/>
      <c r="B113" s="250" t="str">
        <f>IF(AND('Items sous domaines Maths '!K117&lt;=5, 'Items sous domaines Maths '!K117&gt;0),'Items sous domaines Maths '!B117,0)</f>
        <v>Algèbre</v>
      </c>
      <c r="C113" s="251" t="str">
        <f>IF(AND('Items sous domaines Maths '!K117&lt;=5, 'Items sous domaines Maths '!K117&gt;0),'Items sous domaines Maths '!C117)</f>
        <v>La Théorie des graphes</v>
      </c>
      <c r="D113" s="251" t="str">
        <f>IF(AND('Items sous domaines Maths '!K117&lt;=5, 'Items sous domaines Maths '!K117&gt;0),'Items sous domaines Maths '!D117,0)</f>
        <v xml:space="preserve">Chaines et cycles </v>
      </c>
      <c r="E113" s="251" t="str">
        <f>IF(AND('Items sous domaines Maths '!K117&lt;=5, 'Items sous domaines Maths '!K117&gt;0),'Items sous domaines Maths '!E117,0)</f>
        <v>Terminologie</v>
      </c>
      <c r="F113" s="252" t="str">
        <f>IF(AND('Items sous domaines Maths '!K117&lt;=5, 'Items sous domaines Maths '!K117&gt;0),'Items sous domaines Maths '!F117,0)</f>
        <v>Connaître la caractérisation d'une chaîne, d'une chaîne orientée, ainsi que des cycles et graphes connexes.</v>
      </c>
      <c r="G113" s="723"/>
      <c r="H113" s="707"/>
      <c r="I113" s="253"/>
    </row>
    <row r="114" spans="1:9" customFormat="1" ht="17.7" hidden="1" customHeight="1" thickTop="1" thickBot="1" x14ac:dyDescent="0.3">
      <c r="A114" s="718"/>
      <c r="B114">
        <f>IF(AND('Items sous domaines Maths '!K118&lt;=5, 'Items sous domaines Maths '!K118&gt;0),'Items sous domaines Maths '!B118,0)</f>
        <v>0</v>
      </c>
      <c r="C114" t="b">
        <f>IF(AND('Items sous domaines Maths '!K118&lt;=5, 'Items sous domaines Maths '!K118&gt;0),'Items sous domaines Maths '!C118)</f>
        <v>0</v>
      </c>
      <c r="D114">
        <f>IF(AND('Items sous domaines Maths '!K118&lt;=5, 'Items sous domaines Maths '!K118&gt;0),'Items sous domaines Maths '!D118,0)</f>
        <v>0</v>
      </c>
      <c r="E114">
        <f>IF(AND('Items sous domaines Maths '!K118&lt;=5, 'Items sous domaines Maths '!K118&gt;0),'Items sous domaines Maths '!E118,0)</f>
        <v>0</v>
      </c>
      <c r="F114" s="10">
        <f>IF(AND('Items sous domaines Maths '!K118&lt;=5, 'Items sous domaines Maths '!K118&gt;0),'Items sous domaines Maths '!F118,0)</f>
        <v>0</v>
      </c>
      <c r="G114" s="647"/>
      <c r="H114" s="705"/>
    </row>
    <row r="115" spans="1:9" customFormat="1" ht="17.7" hidden="1" customHeight="1" thickBot="1" x14ac:dyDescent="0.3">
      <c r="A115" s="718"/>
      <c r="B115" s="8">
        <f>IF(AND('Items sous domaines Maths '!K119&lt;=5, 'Items sous domaines Maths '!K119&gt;0),'Items sous domaines Maths '!B119,0)</f>
        <v>0</v>
      </c>
      <c r="C115" s="8" t="b">
        <f>IF(AND('Items sous domaines Maths '!K119&lt;=5, 'Items sous domaines Maths '!K119&gt;0),'Items sous domaines Maths '!C119)</f>
        <v>0</v>
      </c>
      <c r="D115" s="8">
        <f>IF(AND('Items sous domaines Maths '!K119&lt;=5, 'Items sous domaines Maths '!K119&gt;0),'Items sous domaines Maths '!D119,0)</f>
        <v>0</v>
      </c>
      <c r="E115" s="8">
        <f>IF(AND('Items sous domaines Maths '!K119&lt;=5, 'Items sous domaines Maths '!K119&gt;0),'Items sous domaines Maths '!E119,0)</f>
        <v>0</v>
      </c>
      <c r="F115" s="9">
        <f>IF(AND('Items sous domaines Maths '!K119&lt;=5, 'Items sous domaines Maths '!K119&gt;0),'Items sous domaines Maths '!F119,0)</f>
        <v>0</v>
      </c>
      <c r="G115" s="647"/>
      <c r="H115" s="705"/>
    </row>
    <row r="116" spans="1:9" customFormat="1" ht="17.7" hidden="1" customHeight="1" thickBot="1" x14ac:dyDescent="0.3">
      <c r="A116" s="718"/>
      <c r="B116" s="8">
        <f>IF(AND('Items sous domaines Maths '!K120&lt;=5, 'Items sous domaines Maths '!K120&gt;0),'Items sous domaines Maths '!B120,0)</f>
        <v>0</v>
      </c>
      <c r="C116" s="8" t="b">
        <f>IF(AND('Items sous domaines Maths '!K120&lt;=5, 'Items sous domaines Maths '!K120&gt;0),'Items sous domaines Maths '!C120)</f>
        <v>0</v>
      </c>
      <c r="D116" s="8">
        <f>IF(AND('Items sous domaines Maths '!K120&lt;=5, 'Items sous domaines Maths '!K120&gt;0),'Items sous domaines Maths '!D120,0)</f>
        <v>0</v>
      </c>
      <c r="E116" s="8">
        <f>IF(AND('Items sous domaines Maths '!K120&lt;=5, 'Items sous domaines Maths '!K120&gt;0),'Items sous domaines Maths '!E120,0)</f>
        <v>0</v>
      </c>
      <c r="F116" s="9">
        <f>IF(AND('Items sous domaines Maths '!K120&lt;=5, 'Items sous domaines Maths '!K120&gt;0),'Items sous domaines Maths '!F120,0)</f>
        <v>0</v>
      </c>
      <c r="G116" s="647"/>
      <c r="H116" s="705"/>
    </row>
    <row r="117" spans="1:9" customFormat="1" ht="17.7" hidden="1" customHeight="1" thickBot="1" x14ac:dyDescent="0.3">
      <c r="A117" s="718"/>
      <c r="B117" s="8">
        <f>IF(AND('Items sous domaines Maths '!K121&lt;=5, 'Items sous domaines Maths '!K121&gt;0),'Items sous domaines Maths '!B121,0)</f>
        <v>0</v>
      </c>
      <c r="C117" s="8" t="b">
        <f>IF(AND('Items sous domaines Maths '!K121&lt;=5, 'Items sous domaines Maths '!K121&gt;0),'Items sous domaines Maths '!C121)</f>
        <v>0</v>
      </c>
      <c r="D117" s="8">
        <f>IF(AND('Items sous domaines Maths '!K121&lt;=5, 'Items sous domaines Maths '!K121&gt;0),'Items sous domaines Maths '!D121,0)</f>
        <v>0</v>
      </c>
      <c r="E117" s="8">
        <f>IF(AND('Items sous domaines Maths '!K121&lt;=5, 'Items sous domaines Maths '!K121&gt;0),'Items sous domaines Maths '!E121,0)</f>
        <v>0</v>
      </c>
      <c r="F117" s="9">
        <f>IF(AND('Items sous domaines Maths '!K121&lt;=5, 'Items sous domaines Maths '!K121&gt;0),'Items sous domaines Maths '!F121,0)</f>
        <v>0</v>
      </c>
      <c r="G117" s="647"/>
      <c r="H117" s="705"/>
    </row>
    <row r="118" spans="1:9" customFormat="1" ht="17.7" hidden="1" customHeight="1" thickBot="1" x14ac:dyDescent="0.3">
      <c r="A118" s="718"/>
      <c r="B118" s="8">
        <f>IF(AND('Items sous domaines Maths '!K122&lt;=5, 'Items sous domaines Maths '!K122&gt;0),'Items sous domaines Maths '!B122,0)</f>
        <v>0</v>
      </c>
      <c r="C118" s="8" t="b">
        <f>IF(AND('Items sous domaines Maths '!K122&lt;=5, 'Items sous domaines Maths '!K122&gt;0),'Items sous domaines Maths '!C122)</f>
        <v>0</v>
      </c>
      <c r="D118" s="8">
        <f>IF(AND('Items sous domaines Maths '!K122&lt;=5, 'Items sous domaines Maths '!K122&gt;0),'Items sous domaines Maths '!D122,0)</f>
        <v>0</v>
      </c>
      <c r="E118" s="8">
        <f>IF(AND('Items sous domaines Maths '!K122&lt;=5, 'Items sous domaines Maths '!K122&gt;0),'Items sous domaines Maths '!E122,0)</f>
        <v>0</v>
      </c>
      <c r="F118" s="9">
        <f>IF(AND('Items sous domaines Maths '!K122&lt;=5, 'Items sous domaines Maths '!K122&gt;0),'Items sous domaines Maths '!F122,0)</f>
        <v>0</v>
      </c>
      <c r="G118" s="647"/>
      <c r="H118" s="705"/>
    </row>
    <row r="119" spans="1:9" ht="19.95" customHeight="1" thickTop="1" x14ac:dyDescent="0.3">
      <c r="A119" s="609"/>
      <c r="B119" s="265" t="str">
        <f>IF(AND('Items sous domaines Maths '!K123&lt;=5, 'Items sous domaines Maths '!K123&gt;0),'Items sous domaines Maths '!B123,0)</f>
        <v>Algèbre</v>
      </c>
      <c r="C119" s="266" t="str">
        <f>IF(AND('Items sous domaines Maths '!K123&lt;=5, 'Items sous domaines Maths '!K123&gt;0),'Items sous domaines Maths '!C123)</f>
        <v>La Théorie des graphes</v>
      </c>
      <c r="D119" s="266">
        <f>IF(AND('Items sous domaines Maths '!K123&lt;=5, 'Items sous domaines Maths '!K123&gt;0),'Items sous domaines Maths '!D123,0)</f>
        <v>0</v>
      </c>
      <c r="E119" s="266" t="str">
        <f>IF(AND('Items sous domaines Maths '!K123&lt;=5, 'Items sous domaines Maths '!K123&gt;0),'Items sous domaines Maths '!E123,0)</f>
        <v>Graphes pondérés/valués</v>
      </c>
      <c r="F119" s="267" t="str">
        <f>IF(AND('Items sous domaines Maths '!K123&lt;=5, 'Items sous domaines Maths '!K123&gt;0),'Items sous domaines Maths '!F123,0)</f>
        <v>Savoir ce qu'est un graphe pondéré et être capable de modélier un énoncé avec cette représentation.</v>
      </c>
      <c r="G119" s="724"/>
      <c r="H119" s="706"/>
      <c r="I119" s="245"/>
    </row>
    <row r="120" spans="1:9" ht="19.95" customHeight="1" thickBot="1" x14ac:dyDescent="0.35">
      <c r="A120" s="608"/>
      <c r="B120" s="250" t="str">
        <f>IF(AND('Items sous domaines Maths '!K124&lt;=5, 'Items sous domaines Maths '!K124&gt;0),'Items sous domaines Maths '!B124,0)</f>
        <v>Algèbre</v>
      </c>
      <c r="C120" s="251" t="str">
        <f>IF(AND('Items sous domaines Maths '!K124&lt;=5, 'Items sous domaines Maths '!K124&gt;0),'Items sous domaines Maths '!C124)</f>
        <v>La Théorie des graphes</v>
      </c>
      <c r="D120" s="251">
        <f>IF(AND('Items sous domaines Maths '!K124&lt;=5, 'Items sous domaines Maths '!K124&gt;0),'Items sous domaines Maths '!D124,0)</f>
        <v>0</v>
      </c>
      <c r="E120" s="251">
        <f>IF(AND('Items sous domaines Maths '!K124&lt;=5, 'Items sous domaines Maths '!K124&gt;0),'Items sous domaines Maths '!E124,0)</f>
        <v>0</v>
      </c>
      <c r="F120" s="252" t="str">
        <f>IF(AND('Items sous domaines Maths '!K124&lt;=5, 'Items sous domaines Maths '!K124&gt;0),'Items sous domaines Maths '!F124,0)</f>
        <v>Savoir appliquer l'algorithme de Dijkstra, afin de déterminer le plus court chemin.</v>
      </c>
      <c r="G120" s="723"/>
      <c r="H120" s="707"/>
      <c r="I120" s="253"/>
    </row>
    <row r="121" spans="1:9" customFormat="1" ht="17.7" hidden="1" customHeight="1" thickTop="1" thickBot="1" x14ac:dyDescent="0.3">
      <c r="A121" s="718"/>
      <c r="B121">
        <f>IF(AND('Items sous domaines Maths '!K125&lt;=5, 'Items sous domaines Maths '!K125&gt;0),'Items sous domaines Maths '!B125,0)</f>
        <v>0</v>
      </c>
      <c r="C121" t="b">
        <f>IF(AND('Items sous domaines Maths '!K125&lt;=5, 'Items sous domaines Maths '!K125&gt;0),'Items sous domaines Maths '!C125)</f>
        <v>0</v>
      </c>
      <c r="D121">
        <f>IF(AND('Items sous domaines Maths '!K125&lt;=5, 'Items sous domaines Maths '!K125&gt;0),'Items sous domaines Maths '!D125,0)</f>
        <v>0</v>
      </c>
      <c r="E121">
        <f>IF(AND('Items sous domaines Maths '!K125&lt;=5, 'Items sous domaines Maths '!K125&gt;0),'Items sous domaines Maths '!E125,0)</f>
        <v>0</v>
      </c>
      <c r="F121" s="10">
        <f>IF(AND('Items sous domaines Maths '!K125&lt;=5, 'Items sous domaines Maths '!K125&gt;0),'Items sous domaines Maths '!F125,0)</f>
        <v>0</v>
      </c>
      <c r="G121" s="647"/>
      <c r="H121" s="9">
        <f>IF(AND('Items sous domaines Maths '!K125&lt;=5, 'Items sous domaines Maths '!K125&gt;0),'Items sous domaines Maths '!L125,0)</f>
        <v>0</v>
      </c>
    </row>
    <row r="122" spans="1:9" customFormat="1" ht="17.7" hidden="1" customHeight="1" thickBot="1" x14ac:dyDescent="0.3">
      <c r="A122" s="718"/>
      <c r="B122" s="8">
        <f>IF(AND('Items sous domaines Maths '!K126&lt;=5, 'Items sous domaines Maths '!K126&gt;0),'Items sous domaines Maths '!B126,0)</f>
        <v>0</v>
      </c>
      <c r="C122" s="8" t="b">
        <f>IF(AND('Items sous domaines Maths '!K126&lt;=5, 'Items sous domaines Maths '!K126&gt;0),'Items sous domaines Maths '!C126)</f>
        <v>0</v>
      </c>
      <c r="D122" s="8">
        <f>IF(AND('Items sous domaines Maths '!K126&lt;=5, 'Items sous domaines Maths '!K126&gt;0),'Items sous domaines Maths '!D126,0)</f>
        <v>0</v>
      </c>
      <c r="E122" s="8">
        <f>IF(AND('Items sous domaines Maths '!K126&lt;=5, 'Items sous domaines Maths '!K126&gt;0),'Items sous domaines Maths '!E126,0)</f>
        <v>0</v>
      </c>
      <c r="F122" s="9">
        <f>IF(AND('Items sous domaines Maths '!K126&lt;=5, 'Items sous domaines Maths '!K126&gt;0),'Items sous domaines Maths '!F126,0)</f>
        <v>0</v>
      </c>
      <c r="G122" s="647"/>
      <c r="H122" s="9">
        <f>IF(AND('Items sous domaines Maths '!K126&lt;=5, 'Items sous domaines Maths '!K126&gt;0),'Items sous domaines Maths '!L126,0)</f>
        <v>0</v>
      </c>
    </row>
    <row r="123" spans="1:9" customFormat="1" ht="17.7" hidden="1" customHeight="1" thickBot="1" x14ac:dyDescent="0.3">
      <c r="A123" s="718"/>
      <c r="B123" s="8">
        <f>IF(AND('Items sous domaines Maths '!K127&lt;=5, 'Items sous domaines Maths '!K127&gt;0),'Items sous domaines Maths '!B127,0)</f>
        <v>0</v>
      </c>
      <c r="C123" s="8" t="b">
        <f>IF(AND('Items sous domaines Maths '!K127&lt;=5, 'Items sous domaines Maths '!K127&gt;0),'Items sous domaines Maths '!C127)</f>
        <v>0</v>
      </c>
      <c r="D123" s="8">
        <f>IF(AND('Items sous domaines Maths '!K127&lt;=5, 'Items sous domaines Maths '!K127&gt;0),'Items sous domaines Maths '!D127,0)</f>
        <v>0</v>
      </c>
      <c r="E123" s="8">
        <f>IF(AND('Items sous domaines Maths '!K127&lt;=5, 'Items sous domaines Maths '!K127&gt;0),'Items sous domaines Maths '!E127,0)</f>
        <v>0</v>
      </c>
      <c r="F123" s="9">
        <f>IF(AND('Items sous domaines Maths '!K127&lt;=5, 'Items sous domaines Maths '!K127&gt;0),'Items sous domaines Maths '!F127,0)</f>
        <v>0</v>
      </c>
      <c r="G123" s="647"/>
      <c r="H123" s="9">
        <f>IF(AND('Items sous domaines Maths '!K127&lt;=5, 'Items sous domaines Maths '!K127&gt;0),'Items sous domaines Maths '!L127,0)</f>
        <v>0</v>
      </c>
    </row>
    <row r="124" spans="1:9" customFormat="1" ht="17.7" hidden="1" customHeight="1" thickBot="1" x14ac:dyDescent="0.3">
      <c r="A124" s="718"/>
      <c r="B124" s="8">
        <f>IF(AND('Items sous domaines Maths '!K128&lt;=5, 'Items sous domaines Maths '!K128&gt;0),'Items sous domaines Maths '!B128,0)</f>
        <v>0</v>
      </c>
      <c r="C124" s="8" t="b">
        <f>IF(AND('Items sous domaines Maths '!K128&lt;=5, 'Items sous domaines Maths '!K128&gt;0),'Items sous domaines Maths '!C128)</f>
        <v>0</v>
      </c>
      <c r="D124" s="8">
        <f>IF(AND('Items sous domaines Maths '!K128&lt;=5, 'Items sous domaines Maths '!K128&gt;0),'Items sous domaines Maths '!D128,0)</f>
        <v>0</v>
      </c>
      <c r="E124" s="8">
        <f>IF(AND('Items sous domaines Maths '!K128&lt;=5, 'Items sous domaines Maths '!K128&gt;0),'Items sous domaines Maths '!E128,0)</f>
        <v>0</v>
      </c>
      <c r="F124" s="9">
        <f>IF(AND('Items sous domaines Maths '!K128&lt;=5, 'Items sous domaines Maths '!K128&gt;0),'Items sous domaines Maths '!F128,0)</f>
        <v>0</v>
      </c>
      <c r="G124" s="647"/>
      <c r="H124" s="9">
        <f>IF(AND('Items sous domaines Maths '!K128&lt;=5, 'Items sous domaines Maths '!K128&gt;0),'Items sous domaines Maths '!L128,0)</f>
        <v>0</v>
      </c>
    </row>
    <row r="125" spans="1:9" customFormat="1" ht="17.7" hidden="1" customHeight="1" thickBot="1" x14ac:dyDescent="0.3">
      <c r="A125" s="718"/>
      <c r="B125" s="8">
        <f>IF(AND('Items sous domaines Maths '!K129&lt;=5, 'Items sous domaines Maths '!K129&gt;0),'Items sous domaines Maths '!B129,0)</f>
        <v>0</v>
      </c>
      <c r="C125" s="8" t="b">
        <f>IF(AND('Items sous domaines Maths '!K129&lt;=5, 'Items sous domaines Maths '!K129&gt;0),'Items sous domaines Maths '!C129)</f>
        <v>0</v>
      </c>
      <c r="D125" s="8">
        <f>IF(AND('Items sous domaines Maths '!K129&lt;=5, 'Items sous domaines Maths '!K129&gt;0),'Items sous domaines Maths '!D129,0)</f>
        <v>0</v>
      </c>
      <c r="E125" s="8">
        <f>IF(AND('Items sous domaines Maths '!K129&lt;=5, 'Items sous domaines Maths '!K129&gt;0),'Items sous domaines Maths '!E129,0)</f>
        <v>0</v>
      </c>
      <c r="F125" s="9">
        <f>IF(AND('Items sous domaines Maths '!K129&lt;=5, 'Items sous domaines Maths '!K129&gt;0),'Items sous domaines Maths '!F129,0)</f>
        <v>0</v>
      </c>
      <c r="G125" s="647"/>
      <c r="H125" s="9">
        <f>IF(AND('Items sous domaines Maths '!K129&lt;=5, 'Items sous domaines Maths '!K129&gt;0),'Items sous domaines Maths '!L129,0)</f>
        <v>0</v>
      </c>
    </row>
    <row r="126" spans="1:9" customFormat="1" ht="17.7" hidden="1" customHeight="1" thickBot="1" x14ac:dyDescent="0.3">
      <c r="A126" s="718"/>
      <c r="B126" s="8">
        <f>IF(AND('Items sous domaines Maths '!K130&lt;=5, 'Items sous domaines Maths '!K130&gt;0),'Items sous domaines Maths '!B130,0)</f>
        <v>0</v>
      </c>
      <c r="C126" s="8" t="b">
        <f>IF(AND('Items sous domaines Maths '!K130&lt;=5, 'Items sous domaines Maths '!K130&gt;0),'Items sous domaines Maths '!C130)</f>
        <v>0</v>
      </c>
      <c r="D126" s="8">
        <f>IF(AND('Items sous domaines Maths '!K130&lt;=5, 'Items sous domaines Maths '!K130&gt;0),'Items sous domaines Maths '!D130,0)</f>
        <v>0</v>
      </c>
      <c r="E126" s="8">
        <f>IF(AND('Items sous domaines Maths '!K130&lt;=5, 'Items sous domaines Maths '!K130&gt;0),'Items sous domaines Maths '!E130,0)</f>
        <v>0</v>
      </c>
      <c r="F126" s="9">
        <f>IF(AND('Items sous domaines Maths '!K130&lt;=5, 'Items sous domaines Maths '!K130&gt;0),'Items sous domaines Maths '!F130,0)</f>
        <v>0</v>
      </c>
      <c r="G126" s="647"/>
      <c r="H126" s="9">
        <f>IF(AND('Items sous domaines Maths '!K130&lt;=5, 'Items sous domaines Maths '!K130&gt;0),'Items sous domaines Maths '!L130,0)</f>
        <v>0</v>
      </c>
    </row>
    <row r="127" spans="1:9" customFormat="1" ht="17.7" hidden="1" customHeight="1" thickBot="1" x14ac:dyDescent="0.3">
      <c r="A127" s="718"/>
      <c r="B127" s="8">
        <f>IF(AND('Items sous domaines Maths '!K131&lt;=5, 'Items sous domaines Maths '!K131&gt;0),'Items sous domaines Maths '!B131,0)</f>
        <v>0</v>
      </c>
      <c r="C127" s="8" t="b">
        <f>IF(AND('Items sous domaines Maths '!K131&lt;=5, 'Items sous domaines Maths '!K131&gt;0),'Items sous domaines Maths '!C131)</f>
        <v>0</v>
      </c>
      <c r="D127" s="8">
        <f>IF(AND('Items sous domaines Maths '!K131&lt;=5, 'Items sous domaines Maths '!K131&gt;0),'Items sous domaines Maths '!D131,0)</f>
        <v>0</v>
      </c>
      <c r="E127" s="8">
        <f>IF(AND('Items sous domaines Maths '!K131&lt;=5, 'Items sous domaines Maths '!K131&gt;0),'Items sous domaines Maths '!E131,0)</f>
        <v>0</v>
      </c>
      <c r="F127" s="9">
        <f>IF(AND('Items sous domaines Maths '!K131&lt;=5, 'Items sous domaines Maths '!K131&gt;0),'Items sous domaines Maths '!F131,0)</f>
        <v>0</v>
      </c>
      <c r="G127" s="647"/>
      <c r="H127" s="9">
        <f>IF(AND('Items sous domaines Maths '!K131&lt;=5, 'Items sous domaines Maths '!K131&gt;0),'Items sous domaines Maths '!L131,0)</f>
        <v>0</v>
      </c>
    </row>
    <row r="128" spans="1:9" customFormat="1" ht="17.7" hidden="1" customHeight="1" thickBot="1" x14ac:dyDescent="0.3">
      <c r="A128" s="718"/>
      <c r="B128" s="8">
        <f>IF(AND('Items sous domaines Maths '!K132&lt;=5, 'Items sous domaines Maths '!K132&gt;0),'Items sous domaines Maths '!B132,0)</f>
        <v>0</v>
      </c>
      <c r="C128" s="8" t="b">
        <f>IF(AND('Items sous domaines Maths '!K132&lt;=5, 'Items sous domaines Maths '!K132&gt;0),'Items sous domaines Maths '!C132)</f>
        <v>0</v>
      </c>
      <c r="D128" s="8">
        <f>IF(AND('Items sous domaines Maths '!K132&lt;=5, 'Items sous domaines Maths '!K132&gt;0),'Items sous domaines Maths '!D132,0)</f>
        <v>0</v>
      </c>
      <c r="E128" s="8">
        <f>IF(AND('Items sous domaines Maths '!K132&lt;=5, 'Items sous domaines Maths '!K132&gt;0),'Items sous domaines Maths '!E132,0)</f>
        <v>0</v>
      </c>
      <c r="F128" s="9">
        <f>IF(AND('Items sous domaines Maths '!K132&lt;=5, 'Items sous domaines Maths '!K132&gt;0),'Items sous domaines Maths '!F132,0)</f>
        <v>0</v>
      </c>
      <c r="G128" s="647"/>
      <c r="H128" s="9">
        <f>IF(AND('Items sous domaines Maths '!K132&lt;=5, 'Items sous domaines Maths '!K132&gt;0),'Items sous domaines Maths '!L132,0)</f>
        <v>0</v>
      </c>
    </row>
    <row r="129" spans="1:8" customFormat="1" ht="17.7" hidden="1" customHeight="1" thickBot="1" x14ac:dyDescent="0.3">
      <c r="A129" s="718"/>
      <c r="B129" s="8">
        <f>IF(AND('Items sous domaines Maths '!K133&lt;=5, 'Items sous domaines Maths '!K133&gt;0),'Items sous domaines Maths '!B133,0)</f>
        <v>0</v>
      </c>
      <c r="C129" s="8" t="b">
        <f>IF(AND('Items sous domaines Maths '!K133&lt;=5, 'Items sous domaines Maths '!K133&gt;0),'Items sous domaines Maths '!C133)</f>
        <v>0</v>
      </c>
      <c r="D129" s="8">
        <f>IF(AND('Items sous domaines Maths '!K133&lt;=5, 'Items sous domaines Maths '!K133&gt;0),'Items sous domaines Maths '!D133,0)</f>
        <v>0</v>
      </c>
      <c r="E129" s="8">
        <f>IF(AND('Items sous domaines Maths '!K133&lt;=5, 'Items sous domaines Maths '!K133&gt;0),'Items sous domaines Maths '!E133,0)</f>
        <v>0</v>
      </c>
      <c r="F129" s="9">
        <f>IF(AND('Items sous domaines Maths '!K133&lt;=5, 'Items sous domaines Maths '!K133&gt;0),'Items sous domaines Maths '!F133,0)</f>
        <v>0</v>
      </c>
      <c r="G129" s="647"/>
      <c r="H129" s="9">
        <f>IF(AND('Items sous domaines Maths '!K133&lt;=5, 'Items sous domaines Maths '!K133&gt;0),'Items sous domaines Maths '!L133,0)</f>
        <v>0</v>
      </c>
    </row>
    <row r="130" spans="1:8" customFormat="1" ht="17.7" hidden="1" customHeight="1" thickBot="1" x14ac:dyDescent="0.3">
      <c r="A130" s="718"/>
      <c r="B130" s="8">
        <f>IF(AND('Items sous domaines Maths '!K134&lt;=5, 'Items sous domaines Maths '!K134&gt;0),'Items sous domaines Maths '!B134,0)</f>
        <v>0</v>
      </c>
      <c r="C130" s="8" t="b">
        <f>IF(AND('Items sous domaines Maths '!K134&lt;=5, 'Items sous domaines Maths '!K134&gt;0),'Items sous domaines Maths '!C134)</f>
        <v>0</v>
      </c>
      <c r="D130" s="8">
        <f>IF(AND('Items sous domaines Maths '!K134&lt;=5, 'Items sous domaines Maths '!K134&gt;0),'Items sous domaines Maths '!D134,0)</f>
        <v>0</v>
      </c>
      <c r="E130" s="8">
        <f>IF(AND('Items sous domaines Maths '!K134&lt;=5, 'Items sous domaines Maths '!K134&gt;0),'Items sous domaines Maths '!E134,0)</f>
        <v>0</v>
      </c>
      <c r="F130" s="9">
        <f>IF(AND('Items sous domaines Maths '!K134&lt;=5, 'Items sous domaines Maths '!K134&gt;0),'Items sous domaines Maths '!F134,0)</f>
        <v>0</v>
      </c>
      <c r="G130" s="647"/>
      <c r="H130" s="9">
        <f>IF(AND('Items sous domaines Maths '!K134&lt;=5, 'Items sous domaines Maths '!K134&gt;0),'Items sous domaines Maths '!L134,0)</f>
        <v>0</v>
      </c>
    </row>
    <row r="131" spans="1:8" customFormat="1" ht="17.7" hidden="1" customHeight="1" thickBot="1" x14ac:dyDescent="0.3">
      <c r="A131" s="718"/>
      <c r="B131" s="8">
        <f>IF(AND('Items sous domaines Maths '!K135&lt;=5, 'Items sous domaines Maths '!K135&gt;0),'Items sous domaines Maths '!B135,0)</f>
        <v>0</v>
      </c>
      <c r="C131" s="8" t="b">
        <f>IF(AND('Items sous domaines Maths '!K135&lt;=5, 'Items sous domaines Maths '!K135&gt;0),'Items sous domaines Maths '!C135)</f>
        <v>0</v>
      </c>
      <c r="D131" s="8">
        <f>IF(AND('Items sous domaines Maths '!K135&lt;=5, 'Items sous domaines Maths '!K135&gt;0),'Items sous domaines Maths '!D135,0)</f>
        <v>0</v>
      </c>
      <c r="E131" s="8">
        <f>IF(AND('Items sous domaines Maths '!K135&lt;=5, 'Items sous domaines Maths '!K135&gt;0),'Items sous domaines Maths '!E135,0)</f>
        <v>0</v>
      </c>
      <c r="F131" s="9">
        <f>IF(AND('Items sous domaines Maths '!K135&lt;=5, 'Items sous domaines Maths '!K135&gt;0),'Items sous domaines Maths '!F135,0)</f>
        <v>0</v>
      </c>
      <c r="G131" s="647"/>
      <c r="H131" s="9">
        <f>IF(AND('Items sous domaines Maths '!K135&lt;=5, 'Items sous domaines Maths '!K135&gt;0),'Items sous domaines Maths '!L135,0)</f>
        <v>0</v>
      </c>
    </row>
    <row r="132" spans="1:8" customFormat="1" ht="17.7" hidden="1" customHeight="1" thickBot="1" x14ac:dyDescent="0.3">
      <c r="A132" s="718"/>
      <c r="B132" s="8">
        <f>IF(AND('Items sous domaines Maths '!K136&lt;=5, 'Items sous domaines Maths '!K136&gt;0),'Items sous domaines Maths '!B136,0)</f>
        <v>0</v>
      </c>
      <c r="C132" s="8" t="b">
        <f>IF(AND('Items sous domaines Maths '!K136&lt;=5, 'Items sous domaines Maths '!K136&gt;0),'Items sous domaines Maths '!C136)</f>
        <v>0</v>
      </c>
      <c r="D132" s="8">
        <f>IF(AND('Items sous domaines Maths '!K136&lt;=5, 'Items sous domaines Maths '!K136&gt;0),'Items sous domaines Maths '!D136,0)</f>
        <v>0</v>
      </c>
      <c r="E132" s="8">
        <f>IF(AND('Items sous domaines Maths '!K136&lt;=5, 'Items sous domaines Maths '!K136&gt;0),'Items sous domaines Maths '!E136,0)</f>
        <v>0</v>
      </c>
      <c r="F132" s="9">
        <f>IF(AND('Items sous domaines Maths '!K136&lt;=5, 'Items sous domaines Maths '!K136&gt;0),'Items sous domaines Maths '!F136,0)</f>
        <v>0</v>
      </c>
      <c r="G132" s="647"/>
      <c r="H132" s="9">
        <f>IF(AND('Items sous domaines Maths '!K136&lt;=5, 'Items sous domaines Maths '!K136&gt;0),'Items sous domaines Maths '!L136,0)</f>
        <v>0</v>
      </c>
    </row>
    <row r="133" spans="1:8" customFormat="1" ht="17.7" hidden="1" customHeight="1" thickBot="1" x14ac:dyDescent="0.3">
      <c r="A133" s="718"/>
      <c r="B133" s="8">
        <f>IF(AND('Items sous domaines Maths '!K137&lt;=5, 'Items sous domaines Maths '!K137&gt;0),'Items sous domaines Maths '!B137,0)</f>
        <v>0</v>
      </c>
      <c r="C133" s="8" t="b">
        <f>IF(AND('Items sous domaines Maths '!K137&lt;=5, 'Items sous domaines Maths '!K137&gt;0),'Items sous domaines Maths '!C137)</f>
        <v>0</v>
      </c>
      <c r="D133" s="8">
        <f>IF(AND('Items sous domaines Maths '!K137&lt;=5, 'Items sous domaines Maths '!K137&gt;0),'Items sous domaines Maths '!D137,0)</f>
        <v>0</v>
      </c>
      <c r="E133" s="8">
        <f>IF(AND('Items sous domaines Maths '!K137&lt;=5, 'Items sous domaines Maths '!K137&gt;0),'Items sous domaines Maths '!E137,0)</f>
        <v>0</v>
      </c>
      <c r="F133" s="9">
        <f>IF(AND('Items sous domaines Maths '!K137&lt;=5, 'Items sous domaines Maths '!K137&gt;0),'Items sous domaines Maths '!F137,0)</f>
        <v>0</v>
      </c>
      <c r="G133" s="647"/>
      <c r="H133" s="9">
        <f>IF(AND('Items sous domaines Maths '!K137&lt;=5, 'Items sous domaines Maths '!K137&gt;0),'Items sous domaines Maths '!L137,0)</f>
        <v>0</v>
      </c>
    </row>
    <row r="134" spans="1:8" customFormat="1" ht="17.7" hidden="1" customHeight="1" thickBot="1" x14ac:dyDescent="0.3">
      <c r="A134" s="718"/>
      <c r="B134" s="8">
        <f>IF(AND('Items sous domaines Maths '!K138&lt;=5, 'Items sous domaines Maths '!K138&gt;0),'Items sous domaines Maths '!B138,0)</f>
        <v>0</v>
      </c>
      <c r="C134" s="8" t="b">
        <f>IF(AND('Items sous domaines Maths '!K138&lt;=5, 'Items sous domaines Maths '!K138&gt;0),'Items sous domaines Maths '!C138)</f>
        <v>0</v>
      </c>
      <c r="D134" s="8">
        <f>IF(AND('Items sous domaines Maths '!K138&lt;=5, 'Items sous domaines Maths '!K138&gt;0),'Items sous domaines Maths '!D138,0)</f>
        <v>0</v>
      </c>
      <c r="E134" s="8">
        <f>IF(AND('Items sous domaines Maths '!K138&lt;=5, 'Items sous domaines Maths '!K138&gt;0),'Items sous domaines Maths '!E138,0)</f>
        <v>0</v>
      </c>
      <c r="F134" s="9">
        <f>IF(AND('Items sous domaines Maths '!K138&lt;=5, 'Items sous domaines Maths '!K138&gt;0),'Items sous domaines Maths '!F138,0)</f>
        <v>0</v>
      </c>
      <c r="G134" s="647"/>
      <c r="H134" s="9">
        <f>IF(AND('Items sous domaines Maths '!K138&lt;=5, 'Items sous domaines Maths '!K138&gt;0),'Items sous domaines Maths '!L138,0)</f>
        <v>0</v>
      </c>
    </row>
    <row r="135" spans="1:8" customFormat="1" ht="17.7" hidden="1" customHeight="1" thickBot="1" x14ac:dyDescent="0.3">
      <c r="A135" s="718"/>
      <c r="B135" s="8">
        <f>IF(AND('Items sous domaines Maths '!K139&lt;=5, 'Items sous domaines Maths '!K139&gt;0),'Items sous domaines Maths '!B139,0)</f>
        <v>0</v>
      </c>
      <c r="C135" s="8" t="b">
        <f>IF(AND('Items sous domaines Maths '!K139&lt;=5, 'Items sous domaines Maths '!K139&gt;0),'Items sous domaines Maths '!C139)</f>
        <v>0</v>
      </c>
      <c r="D135" s="8">
        <f>IF(AND('Items sous domaines Maths '!K139&lt;=5, 'Items sous domaines Maths '!K139&gt;0),'Items sous domaines Maths '!D139,0)</f>
        <v>0</v>
      </c>
      <c r="E135" s="8">
        <f>IF(AND('Items sous domaines Maths '!K139&lt;=5, 'Items sous domaines Maths '!K139&gt;0),'Items sous domaines Maths '!E139,0)</f>
        <v>0</v>
      </c>
      <c r="F135" s="9">
        <f>IF(AND('Items sous domaines Maths '!K139&lt;=5, 'Items sous domaines Maths '!K139&gt;0),'Items sous domaines Maths '!F139,0)</f>
        <v>0</v>
      </c>
      <c r="G135" s="647"/>
      <c r="H135" s="9">
        <f>IF(AND('Items sous domaines Maths '!K139&lt;=5, 'Items sous domaines Maths '!K139&gt;0),'Items sous domaines Maths '!L139,0)</f>
        <v>0</v>
      </c>
    </row>
    <row r="136" spans="1:8" customFormat="1" ht="17.7" hidden="1" customHeight="1" thickBot="1" x14ac:dyDescent="0.3">
      <c r="A136" s="718"/>
      <c r="B136" s="8">
        <f>IF(AND('Items sous domaines Maths '!K140&lt;=5, 'Items sous domaines Maths '!K140&gt;0),'Items sous domaines Maths '!B140,0)</f>
        <v>0</v>
      </c>
      <c r="C136" s="8" t="b">
        <f>IF(AND('Items sous domaines Maths '!K140&lt;=5, 'Items sous domaines Maths '!K140&gt;0),'Items sous domaines Maths '!C140)</f>
        <v>0</v>
      </c>
      <c r="D136" s="8">
        <f>IF(AND('Items sous domaines Maths '!K140&lt;=5, 'Items sous domaines Maths '!K140&gt;0),'Items sous domaines Maths '!D140,0)</f>
        <v>0</v>
      </c>
      <c r="E136" s="8">
        <f>IF(AND('Items sous domaines Maths '!K140&lt;=5, 'Items sous domaines Maths '!K140&gt;0),'Items sous domaines Maths '!E140,0)</f>
        <v>0</v>
      </c>
      <c r="F136" s="9">
        <f>IF(AND('Items sous domaines Maths '!K140&lt;=5, 'Items sous domaines Maths '!K140&gt;0),'Items sous domaines Maths '!F140,0)</f>
        <v>0</v>
      </c>
      <c r="G136" s="647"/>
      <c r="H136" s="9">
        <f>IF(AND('Items sous domaines Maths '!K140&lt;=5, 'Items sous domaines Maths '!K140&gt;0),'Items sous domaines Maths '!L140,0)</f>
        <v>0</v>
      </c>
    </row>
    <row r="137" spans="1:8" customFormat="1" ht="17.7" hidden="1" customHeight="1" thickBot="1" x14ac:dyDescent="0.3">
      <c r="A137" s="718"/>
      <c r="B137" s="8">
        <f>IF(AND('Items sous domaines Maths '!K141&lt;=5, 'Items sous domaines Maths '!K141&gt;0),'Items sous domaines Maths '!B141,0)</f>
        <v>0</v>
      </c>
      <c r="C137" s="8" t="b">
        <f>IF(AND('Items sous domaines Maths '!K141&lt;=5, 'Items sous domaines Maths '!K141&gt;0),'Items sous domaines Maths '!C141)</f>
        <v>0</v>
      </c>
      <c r="D137" s="8">
        <f>IF(AND('Items sous domaines Maths '!K141&lt;=5, 'Items sous domaines Maths '!K141&gt;0),'Items sous domaines Maths '!D141,0)</f>
        <v>0</v>
      </c>
      <c r="E137" s="8">
        <f>IF(AND('Items sous domaines Maths '!K141&lt;=5, 'Items sous domaines Maths '!K141&gt;0),'Items sous domaines Maths '!E141,0)</f>
        <v>0</v>
      </c>
      <c r="F137" s="9">
        <f>IF(AND('Items sous domaines Maths '!K141&lt;=5, 'Items sous domaines Maths '!K141&gt;0),'Items sous domaines Maths '!F141,0)</f>
        <v>0</v>
      </c>
      <c r="G137" s="647"/>
      <c r="H137" s="9">
        <f>IF(AND('Items sous domaines Maths '!K141&lt;=5, 'Items sous domaines Maths '!K141&gt;0),'Items sous domaines Maths '!L141,0)</f>
        <v>0</v>
      </c>
    </row>
    <row r="138" spans="1:8" customFormat="1" ht="17.7" hidden="1" customHeight="1" thickBot="1" x14ac:dyDescent="0.3">
      <c r="A138" s="718"/>
      <c r="B138" s="8">
        <f>IF(AND('Items sous domaines Maths '!K142&lt;=5, 'Items sous domaines Maths '!K142&gt;0),'Items sous domaines Maths '!B142,0)</f>
        <v>0</v>
      </c>
      <c r="C138" s="8" t="b">
        <f>IF(AND('Items sous domaines Maths '!K142&lt;=5, 'Items sous domaines Maths '!K142&gt;0),'Items sous domaines Maths '!C142)</f>
        <v>0</v>
      </c>
      <c r="D138" s="8">
        <f>IF(AND('Items sous domaines Maths '!K142&lt;=5, 'Items sous domaines Maths '!K142&gt;0),'Items sous domaines Maths '!D142,0)</f>
        <v>0</v>
      </c>
      <c r="E138" s="8">
        <f>IF(AND('Items sous domaines Maths '!K142&lt;=5, 'Items sous domaines Maths '!K142&gt;0),'Items sous domaines Maths '!E142,0)</f>
        <v>0</v>
      </c>
      <c r="F138" s="9">
        <f>IF(AND('Items sous domaines Maths '!K142&lt;=5, 'Items sous domaines Maths '!K142&gt;0),'Items sous domaines Maths '!F142,0)</f>
        <v>0</v>
      </c>
      <c r="G138" s="647"/>
      <c r="H138" s="9">
        <f>IF(AND('Items sous domaines Maths '!K142&lt;=5, 'Items sous domaines Maths '!K142&gt;0),'Items sous domaines Maths '!L142,0)</f>
        <v>0</v>
      </c>
    </row>
    <row r="139" spans="1:8" customFormat="1" ht="17.7" hidden="1" customHeight="1" thickBot="1" x14ac:dyDescent="0.3">
      <c r="A139" s="718"/>
      <c r="B139" s="8">
        <f>IF(AND('Items sous domaines Maths '!K143&lt;=5, 'Items sous domaines Maths '!K143&gt;0),'Items sous domaines Maths '!B143,0)</f>
        <v>0</v>
      </c>
      <c r="C139" s="8" t="b">
        <f>IF(AND('Items sous domaines Maths '!K143&lt;=5, 'Items sous domaines Maths '!K143&gt;0),'Items sous domaines Maths '!C143)</f>
        <v>0</v>
      </c>
      <c r="D139" s="8">
        <f>IF(AND('Items sous domaines Maths '!K143&lt;=5, 'Items sous domaines Maths '!K143&gt;0),'Items sous domaines Maths '!D143,0)</f>
        <v>0</v>
      </c>
      <c r="E139" s="8">
        <f>IF(AND('Items sous domaines Maths '!K143&lt;=5, 'Items sous domaines Maths '!K143&gt;0),'Items sous domaines Maths '!E143,0)</f>
        <v>0</v>
      </c>
      <c r="F139" s="9">
        <f>IF(AND('Items sous domaines Maths '!K143&lt;=5, 'Items sous domaines Maths '!K143&gt;0),'Items sous domaines Maths '!F143,0)</f>
        <v>0</v>
      </c>
      <c r="G139" s="647"/>
      <c r="H139" s="9">
        <f>IF(AND('Items sous domaines Maths '!K143&lt;=5, 'Items sous domaines Maths '!K143&gt;0),'Items sous domaines Maths '!L143,0)</f>
        <v>0</v>
      </c>
    </row>
    <row r="140" spans="1:8" customFormat="1" ht="17.7" hidden="1" customHeight="1" thickBot="1" x14ac:dyDescent="0.3">
      <c r="A140" s="718"/>
      <c r="B140" s="8">
        <f>IF(AND('Items sous domaines Maths '!K144&lt;=5, 'Items sous domaines Maths '!K144&gt;0),'Items sous domaines Maths '!B144,0)</f>
        <v>0</v>
      </c>
      <c r="C140" s="8" t="b">
        <f>IF(AND('Items sous domaines Maths '!K144&lt;=5, 'Items sous domaines Maths '!K144&gt;0),'Items sous domaines Maths '!C144)</f>
        <v>0</v>
      </c>
      <c r="D140" s="8">
        <f>IF(AND('Items sous domaines Maths '!K144&lt;=5, 'Items sous domaines Maths '!K144&gt;0),'Items sous domaines Maths '!D144,0)</f>
        <v>0</v>
      </c>
      <c r="E140" s="8">
        <f>IF(AND('Items sous domaines Maths '!K144&lt;=5, 'Items sous domaines Maths '!K144&gt;0),'Items sous domaines Maths '!E144,0)</f>
        <v>0</v>
      </c>
      <c r="F140" s="9">
        <f>IF(AND('Items sous domaines Maths '!K144&lt;=5, 'Items sous domaines Maths '!K144&gt;0),'Items sous domaines Maths '!F144,0)</f>
        <v>0</v>
      </c>
      <c r="G140" s="647"/>
      <c r="H140" s="9">
        <f>IF(AND('Items sous domaines Maths '!K144&lt;=5, 'Items sous domaines Maths '!K144&gt;0),'Items sous domaines Maths '!L144,0)</f>
        <v>0</v>
      </c>
    </row>
    <row r="141" spans="1:8" customFormat="1" ht="17.7" hidden="1" customHeight="1" thickBot="1" x14ac:dyDescent="0.3">
      <c r="A141" s="718"/>
      <c r="B141" s="8">
        <f>IF(AND('Items sous domaines Maths '!K145&lt;=5, 'Items sous domaines Maths '!K145&gt;0),'Items sous domaines Maths '!B145,0)</f>
        <v>0</v>
      </c>
      <c r="C141" s="8" t="b">
        <f>IF(AND('Items sous domaines Maths '!K145&lt;=5, 'Items sous domaines Maths '!K145&gt;0),'Items sous domaines Maths '!C145)</f>
        <v>0</v>
      </c>
      <c r="D141" s="8">
        <f>IF(AND('Items sous domaines Maths '!K145&lt;=5, 'Items sous domaines Maths '!K145&gt;0),'Items sous domaines Maths '!D145,0)</f>
        <v>0</v>
      </c>
      <c r="E141" s="8">
        <f>IF(AND('Items sous domaines Maths '!K145&lt;=5, 'Items sous domaines Maths '!K145&gt;0),'Items sous domaines Maths '!E145,0)</f>
        <v>0</v>
      </c>
      <c r="F141" s="9">
        <f>IF(AND('Items sous domaines Maths '!K145&lt;=5, 'Items sous domaines Maths '!K145&gt;0),'Items sous domaines Maths '!F145,0)</f>
        <v>0</v>
      </c>
      <c r="G141" s="647"/>
      <c r="H141" s="9">
        <f>IF(AND('Items sous domaines Maths '!K145&lt;=5, 'Items sous domaines Maths '!K145&gt;0),'Items sous domaines Maths '!L145,0)</f>
        <v>0</v>
      </c>
    </row>
    <row r="142" spans="1:8" customFormat="1" ht="17.7" hidden="1" customHeight="1" thickBot="1" x14ac:dyDescent="0.3">
      <c r="A142" s="718"/>
      <c r="B142" s="8">
        <f>IF(AND('Items sous domaines Maths '!K146&lt;=5, 'Items sous domaines Maths '!K146&gt;0),'Items sous domaines Maths '!B146,0)</f>
        <v>0</v>
      </c>
      <c r="C142" s="8" t="b">
        <f>IF(AND('Items sous domaines Maths '!K146&lt;=5, 'Items sous domaines Maths '!K146&gt;0),'Items sous domaines Maths '!C146)</f>
        <v>0</v>
      </c>
      <c r="D142" s="8">
        <f>IF(AND('Items sous domaines Maths '!K146&lt;=5, 'Items sous domaines Maths '!K146&gt;0),'Items sous domaines Maths '!D146,0)</f>
        <v>0</v>
      </c>
      <c r="E142" s="8">
        <f>IF(AND('Items sous domaines Maths '!K146&lt;=5, 'Items sous domaines Maths '!K146&gt;0),'Items sous domaines Maths '!E146,0)</f>
        <v>0</v>
      </c>
      <c r="F142" s="9">
        <f>IF(AND('Items sous domaines Maths '!K146&lt;=5, 'Items sous domaines Maths '!K146&gt;0),'Items sous domaines Maths '!F146,0)</f>
        <v>0</v>
      </c>
      <c r="G142" s="647"/>
      <c r="H142" s="9">
        <f>IF(AND('Items sous domaines Maths '!K146&lt;=5, 'Items sous domaines Maths '!K146&gt;0),'Items sous domaines Maths '!L146,0)</f>
        <v>0</v>
      </c>
    </row>
    <row r="143" spans="1:8" customFormat="1" ht="17.7" hidden="1" customHeight="1" thickBot="1" x14ac:dyDescent="0.3">
      <c r="A143" s="718"/>
      <c r="B143" s="8">
        <f>IF(AND('Items sous domaines Maths '!K147&lt;=5, 'Items sous domaines Maths '!K147&gt;0),'Items sous domaines Maths '!B147,0)</f>
        <v>0</v>
      </c>
      <c r="C143" s="8" t="b">
        <f>IF(AND('Items sous domaines Maths '!K147&lt;=5, 'Items sous domaines Maths '!K147&gt;0),'Items sous domaines Maths '!C147)</f>
        <v>0</v>
      </c>
      <c r="D143" s="8">
        <f>IF(AND('Items sous domaines Maths '!K147&lt;=5, 'Items sous domaines Maths '!K147&gt;0),'Items sous domaines Maths '!D147,0)</f>
        <v>0</v>
      </c>
      <c r="E143" s="8">
        <f>IF(AND('Items sous domaines Maths '!K147&lt;=5, 'Items sous domaines Maths '!K147&gt;0),'Items sous domaines Maths '!E147,0)</f>
        <v>0</v>
      </c>
      <c r="F143" s="9">
        <f>IF(AND('Items sous domaines Maths '!K147&lt;=5, 'Items sous domaines Maths '!K147&gt;0),'Items sous domaines Maths '!F147,0)</f>
        <v>0</v>
      </c>
      <c r="G143" s="647"/>
      <c r="H143" s="9">
        <f>IF(AND('Items sous domaines Maths '!K147&lt;=5, 'Items sous domaines Maths '!K147&gt;0),'Items sous domaines Maths '!L147,0)</f>
        <v>0</v>
      </c>
    </row>
    <row r="144" spans="1:8" customFormat="1" ht="17.7" hidden="1" customHeight="1" thickBot="1" x14ac:dyDescent="0.3">
      <c r="A144" s="718"/>
      <c r="B144" s="8">
        <f>IF(AND('Items sous domaines Maths '!K148&lt;=5, 'Items sous domaines Maths '!K148&gt;0),'Items sous domaines Maths '!B148,0)</f>
        <v>0</v>
      </c>
      <c r="C144" s="8" t="b">
        <f>IF(AND('Items sous domaines Maths '!K148&lt;=5, 'Items sous domaines Maths '!K148&gt;0),'Items sous domaines Maths '!C148)</f>
        <v>0</v>
      </c>
      <c r="D144" s="8">
        <f>IF(AND('Items sous domaines Maths '!K148&lt;=5, 'Items sous domaines Maths '!K148&gt;0),'Items sous domaines Maths '!D148,0)</f>
        <v>0</v>
      </c>
      <c r="E144" s="8">
        <f>IF(AND('Items sous domaines Maths '!K148&lt;=5, 'Items sous domaines Maths '!K148&gt;0),'Items sous domaines Maths '!E148,0)</f>
        <v>0</v>
      </c>
      <c r="F144" s="9">
        <f>IF(AND('Items sous domaines Maths '!K148&lt;=5, 'Items sous domaines Maths '!K148&gt;0),'Items sous domaines Maths '!F148,0)</f>
        <v>0</v>
      </c>
      <c r="G144" s="647"/>
      <c r="H144" s="9">
        <f>IF(AND('Items sous domaines Maths '!K148&lt;=5, 'Items sous domaines Maths '!K148&gt;0),'Items sous domaines Maths '!L148,0)</f>
        <v>0</v>
      </c>
    </row>
    <row r="145" spans="1:9" customFormat="1" ht="17.7" hidden="1" customHeight="1" thickBot="1" x14ac:dyDescent="0.3">
      <c r="A145" s="718"/>
      <c r="B145" s="8">
        <f>IF(AND('Items sous domaines Maths '!K149&lt;=5, 'Items sous domaines Maths '!K149&gt;0),'Items sous domaines Maths '!B149,0)</f>
        <v>0</v>
      </c>
      <c r="C145" s="8" t="b">
        <f>IF(AND('Items sous domaines Maths '!K149&lt;=5, 'Items sous domaines Maths '!K149&gt;0),'Items sous domaines Maths '!C149)</f>
        <v>0</v>
      </c>
      <c r="D145" s="8">
        <f>IF(AND('Items sous domaines Maths '!K149&lt;=5, 'Items sous domaines Maths '!K149&gt;0),'Items sous domaines Maths '!D149,0)</f>
        <v>0</v>
      </c>
      <c r="E145" s="8">
        <f>IF(AND('Items sous domaines Maths '!K149&lt;=5, 'Items sous domaines Maths '!K149&gt;0),'Items sous domaines Maths '!E149,0)</f>
        <v>0</v>
      </c>
      <c r="F145" s="9">
        <f>IF(AND('Items sous domaines Maths '!K149&lt;=5, 'Items sous domaines Maths '!K149&gt;0),'Items sous domaines Maths '!F149,0)</f>
        <v>0</v>
      </c>
      <c r="G145" s="647"/>
      <c r="H145" s="9">
        <f>IF(AND('Items sous domaines Maths '!K149&lt;=5, 'Items sous domaines Maths '!K149&gt;0),'Items sous domaines Maths '!L149,0)</f>
        <v>0</v>
      </c>
    </row>
    <row r="146" spans="1:9" customFormat="1" ht="17.7" hidden="1" customHeight="1" thickBot="1" x14ac:dyDescent="0.3">
      <c r="A146" s="718"/>
      <c r="B146" s="8">
        <f>IF(AND('Items sous domaines Maths '!K150&lt;=5, 'Items sous domaines Maths '!K150&gt;0),'Items sous domaines Maths '!B150,0)</f>
        <v>0</v>
      </c>
      <c r="C146" s="8" t="b">
        <f>IF(AND('Items sous domaines Maths '!K150&lt;=5, 'Items sous domaines Maths '!K150&gt;0),'Items sous domaines Maths '!C150)</f>
        <v>0</v>
      </c>
      <c r="D146" s="8">
        <f>IF(AND('Items sous domaines Maths '!K150&lt;=5, 'Items sous domaines Maths '!K150&gt;0),'Items sous domaines Maths '!D150,0)</f>
        <v>0</v>
      </c>
      <c r="E146" s="8">
        <f>IF(AND('Items sous domaines Maths '!K150&lt;=5, 'Items sous domaines Maths '!K150&gt;0),'Items sous domaines Maths '!E150,0)</f>
        <v>0</v>
      </c>
      <c r="F146" s="9">
        <f>IF(AND('Items sous domaines Maths '!K150&lt;=5, 'Items sous domaines Maths '!K150&gt;0),'Items sous domaines Maths '!F150,0)</f>
        <v>0</v>
      </c>
      <c r="G146" s="647"/>
      <c r="H146" s="9">
        <f>IF(AND('Items sous domaines Maths '!K150&lt;=5, 'Items sous domaines Maths '!K150&gt;0),'Items sous domaines Maths '!L150,0)</f>
        <v>0</v>
      </c>
    </row>
    <row r="147" spans="1:9" customFormat="1" ht="17.7" hidden="1" customHeight="1" thickBot="1" x14ac:dyDescent="0.3">
      <c r="A147" s="718"/>
      <c r="B147" s="8">
        <f>IF(AND('Items sous domaines Maths '!K151&lt;=5, 'Items sous domaines Maths '!K151&gt;0),'Items sous domaines Maths '!B151,0)</f>
        <v>0</v>
      </c>
      <c r="C147" s="8" t="b">
        <f>IF(AND('Items sous domaines Maths '!K151&lt;=5, 'Items sous domaines Maths '!K151&gt;0),'Items sous domaines Maths '!C151)</f>
        <v>0</v>
      </c>
      <c r="D147" s="8">
        <f>IF(AND('Items sous domaines Maths '!K151&lt;=5, 'Items sous domaines Maths '!K151&gt;0),'Items sous domaines Maths '!D151,0)</f>
        <v>0</v>
      </c>
      <c r="E147" s="8">
        <f>IF(AND('Items sous domaines Maths '!K151&lt;=5, 'Items sous domaines Maths '!K151&gt;0),'Items sous domaines Maths '!E151,0)</f>
        <v>0</v>
      </c>
      <c r="F147" s="9">
        <f>IF(AND('Items sous domaines Maths '!K151&lt;=5, 'Items sous domaines Maths '!K151&gt;0),'Items sous domaines Maths '!F151,0)</f>
        <v>0</v>
      </c>
      <c r="G147" s="647"/>
      <c r="H147" s="9">
        <f>IF(AND('Items sous domaines Maths '!K151&lt;=5, 'Items sous domaines Maths '!K151&gt;0),'Items sous domaines Maths '!L151,0)</f>
        <v>0</v>
      </c>
    </row>
    <row r="148" spans="1:9" customFormat="1" ht="17.7" hidden="1" customHeight="1" thickBot="1" x14ac:dyDescent="0.3">
      <c r="A148" s="718"/>
      <c r="B148" s="8">
        <f>IF(AND('Items sous domaines Maths '!K152&lt;=5, 'Items sous domaines Maths '!K152&gt;0),'Items sous domaines Maths '!B152,0)</f>
        <v>0</v>
      </c>
      <c r="C148" s="8" t="b">
        <f>IF(AND('Items sous domaines Maths '!K152&lt;=5, 'Items sous domaines Maths '!K152&gt;0),'Items sous domaines Maths '!C152)</f>
        <v>0</v>
      </c>
      <c r="D148" s="8">
        <f>IF(AND('Items sous domaines Maths '!K152&lt;=5, 'Items sous domaines Maths '!K152&gt;0),'Items sous domaines Maths '!D152,0)</f>
        <v>0</v>
      </c>
      <c r="E148" s="8">
        <f>IF(AND('Items sous domaines Maths '!K152&lt;=5, 'Items sous domaines Maths '!K152&gt;0),'Items sous domaines Maths '!E152,0)</f>
        <v>0</v>
      </c>
      <c r="F148" s="9">
        <f>IF(AND('Items sous domaines Maths '!K152&lt;=5, 'Items sous domaines Maths '!K152&gt;0),'Items sous domaines Maths '!F152,0)</f>
        <v>0</v>
      </c>
      <c r="G148" s="647"/>
      <c r="H148" s="9">
        <f>IF(AND('Items sous domaines Maths '!K152&lt;=5, 'Items sous domaines Maths '!K152&gt;0),'Items sous domaines Maths '!L152,0)</f>
        <v>0</v>
      </c>
    </row>
    <row r="149" spans="1:9" customFormat="1" ht="17.7" hidden="1" customHeight="1" thickBot="1" x14ac:dyDescent="0.3">
      <c r="A149" s="718"/>
      <c r="B149" s="8">
        <f>IF(AND('Items sous domaines Maths '!K153&lt;=5, 'Items sous domaines Maths '!K153&gt;0),'Items sous domaines Maths '!B153,0)</f>
        <v>0</v>
      </c>
      <c r="C149" s="8" t="b">
        <f>IF(AND('Items sous domaines Maths '!K153&lt;=5, 'Items sous domaines Maths '!K153&gt;0),'Items sous domaines Maths '!C153)</f>
        <v>0</v>
      </c>
      <c r="D149" s="8">
        <f>IF(AND('Items sous domaines Maths '!K153&lt;=5, 'Items sous domaines Maths '!K153&gt;0),'Items sous domaines Maths '!D153,0)</f>
        <v>0</v>
      </c>
      <c r="E149" s="8">
        <f>IF(AND('Items sous domaines Maths '!K153&lt;=5, 'Items sous domaines Maths '!K153&gt;0),'Items sous domaines Maths '!E153,0)</f>
        <v>0</v>
      </c>
      <c r="F149" s="9">
        <f>IF(AND('Items sous domaines Maths '!K153&lt;=5, 'Items sous domaines Maths '!K153&gt;0),'Items sous domaines Maths '!F153,0)</f>
        <v>0</v>
      </c>
      <c r="G149" s="647"/>
      <c r="H149" s="9">
        <f>IF(AND('Items sous domaines Maths '!K153&lt;=5, 'Items sous domaines Maths '!K153&gt;0),'Items sous domaines Maths '!L153,0)</f>
        <v>0</v>
      </c>
    </row>
    <row r="150" spans="1:9" customFormat="1" ht="17.7" hidden="1" customHeight="1" thickBot="1" x14ac:dyDescent="0.3">
      <c r="A150" s="718"/>
      <c r="B150" s="8">
        <f>IF(AND('Items sous domaines Maths '!K154&lt;=5, 'Items sous domaines Maths '!K154&gt;0),'Items sous domaines Maths '!B154,0)</f>
        <v>0</v>
      </c>
      <c r="C150" s="8" t="b">
        <f>IF(AND('Items sous domaines Maths '!K154&lt;=5, 'Items sous domaines Maths '!K154&gt;0),'Items sous domaines Maths '!C154)</f>
        <v>0</v>
      </c>
      <c r="D150" s="8">
        <f>IF(AND('Items sous domaines Maths '!K154&lt;=5, 'Items sous domaines Maths '!K154&gt;0),'Items sous domaines Maths '!D154,0)</f>
        <v>0</v>
      </c>
      <c r="E150" s="8">
        <f>IF(AND('Items sous domaines Maths '!K154&lt;=5, 'Items sous domaines Maths '!K154&gt;0),'Items sous domaines Maths '!E154,0)</f>
        <v>0</v>
      </c>
      <c r="F150" s="9">
        <f>IF(AND('Items sous domaines Maths '!K154&lt;=5, 'Items sous domaines Maths '!K154&gt;0),'Items sous domaines Maths '!F154,0)</f>
        <v>0</v>
      </c>
      <c r="G150" s="647"/>
      <c r="H150" s="9">
        <f>IF(AND('Items sous domaines Maths '!K154&lt;=5, 'Items sous domaines Maths '!K154&gt;0),'Items sous domaines Maths '!L154,0)</f>
        <v>0</v>
      </c>
    </row>
    <row r="151" spans="1:9" customFormat="1" ht="17.7" hidden="1" customHeight="1" thickBot="1" x14ac:dyDescent="0.3">
      <c r="A151" s="718"/>
      <c r="B151" s="8">
        <f>IF(AND('Items sous domaines Maths '!K155&lt;=5, 'Items sous domaines Maths '!K155&gt;0),'Items sous domaines Maths '!B155,0)</f>
        <v>0</v>
      </c>
      <c r="C151" s="8" t="b">
        <f>IF(AND('Items sous domaines Maths '!K155&lt;=5, 'Items sous domaines Maths '!K155&gt;0),'Items sous domaines Maths '!C155)</f>
        <v>0</v>
      </c>
      <c r="D151" s="8">
        <f>IF(AND('Items sous domaines Maths '!K155&lt;=5, 'Items sous domaines Maths '!K155&gt;0),'Items sous domaines Maths '!D155,0)</f>
        <v>0</v>
      </c>
      <c r="E151" s="8">
        <f>IF(AND('Items sous domaines Maths '!K155&lt;=5, 'Items sous domaines Maths '!K155&gt;0),'Items sous domaines Maths '!E155,0)</f>
        <v>0</v>
      </c>
      <c r="F151" s="9">
        <f>IF(AND('Items sous domaines Maths '!K155&lt;=5, 'Items sous domaines Maths '!K155&gt;0),'Items sous domaines Maths '!F155,0)</f>
        <v>0</v>
      </c>
      <c r="G151" s="647"/>
      <c r="H151" s="9">
        <f>IF(AND('Items sous domaines Maths '!K155&lt;=5, 'Items sous domaines Maths '!K155&gt;0),'Items sous domaines Maths '!L155,0)</f>
        <v>0</v>
      </c>
    </row>
    <row r="152" spans="1:9" customFormat="1" ht="17.7" hidden="1" customHeight="1" thickBot="1" x14ac:dyDescent="0.3">
      <c r="A152" s="718"/>
      <c r="B152" s="8">
        <f>IF(AND('Items sous domaines Maths '!K156&lt;=5, 'Items sous domaines Maths '!K156&gt;0),'Items sous domaines Maths '!B156,0)</f>
        <v>0</v>
      </c>
      <c r="C152" s="8" t="b">
        <f>IF(AND('Items sous domaines Maths '!K156&lt;=5, 'Items sous domaines Maths '!K156&gt;0),'Items sous domaines Maths '!C156)</f>
        <v>0</v>
      </c>
      <c r="D152" s="8">
        <f>IF(AND('Items sous domaines Maths '!K156&lt;=5, 'Items sous domaines Maths '!K156&gt;0),'Items sous domaines Maths '!D156,0)</f>
        <v>0</v>
      </c>
      <c r="E152" s="8">
        <f>IF(AND('Items sous domaines Maths '!K156&lt;=5, 'Items sous domaines Maths '!K156&gt;0),'Items sous domaines Maths '!E156,0)</f>
        <v>0</v>
      </c>
      <c r="F152" s="9">
        <f>IF(AND('Items sous domaines Maths '!K156&lt;=5, 'Items sous domaines Maths '!K156&gt;0),'Items sous domaines Maths '!F156,0)</f>
        <v>0</v>
      </c>
      <c r="G152" s="647"/>
      <c r="H152" s="9">
        <f>IF(AND('Items sous domaines Maths '!K156&lt;=5, 'Items sous domaines Maths '!K156&gt;0),'Items sous domaines Maths '!L156,0)</f>
        <v>0</v>
      </c>
    </row>
    <row r="153" spans="1:9" customFormat="1" ht="17.7" hidden="1" customHeight="1" thickBot="1" x14ac:dyDescent="0.3">
      <c r="A153" s="718"/>
      <c r="B153" s="8">
        <f>IF(AND('Items sous domaines Maths '!K157&lt;=5, 'Items sous domaines Maths '!K157&gt;0),'Items sous domaines Maths '!B157,0)</f>
        <v>0</v>
      </c>
      <c r="C153" s="8" t="b">
        <f>IF(AND('Items sous domaines Maths '!K157&lt;=5, 'Items sous domaines Maths '!K157&gt;0),'Items sous domaines Maths '!C157)</f>
        <v>0</v>
      </c>
      <c r="D153" s="8">
        <f>IF(AND('Items sous domaines Maths '!K157&lt;=5, 'Items sous domaines Maths '!K157&gt;0),'Items sous domaines Maths '!D157,0)</f>
        <v>0</v>
      </c>
      <c r="E153" s="8">
        <f>IF(AND('Items sous domaines Maths '!K157&lt;=5, 'Items sous domaines Maths '!K157&gt;0),'Items sous domaines Maths '!E157,0)</f>
        <v>0</v>
      </c>
      <c r="F153" s="9">
        <f>IF(AND('Items sous domaines Maths '!K157&lt;=5, 'Items sous domaines Maths '!K157&gt;0),'Items sous domaines Maths '!F157,0)</f>
        <v>0</v>
      </c>
      <c r="G153" s="647"/>
      <c r="H153" s="9">
        <f>IF(AND('Items sous domaines Maths '!K157&lt;=5, 'Items sous domaines Maths '!K157&gt;0),'Items sous domaines Maths '!L157,0)</f>
        <v>0</v>
      </c>
    </row>
    <row r="154" spans="1:9" ht="19.95" customHeight="1" thickTop="1" thickBot="1" x14ac:dyDescent="0.35">
      <c r="A154" s="609"/>
      <c r="B154" s="254" t="str">
        <f>IF(AND('Items sous domaines Maths '!K158&lt;=5, 'Items sous domaines Maths '!K158&gt;0),'Items sous domaines Maths '!B158,0)</f>
        <v>Géométrie</v>
      </c>
      <c r="C154" s="255" t="str">
        <f>IF(AND('Items sous domaines Maths '!K158&lt;=5, 'Items sous domaines Maths '!K158&gt;0),'Items sous domaines Maths '!C158)</f>
        <v>Géometrie</v>
      </c>
      <c r="D154" s="255" t="str">
        <f>IF(AND('Items sous domaines Maths '!K158&lt;=5, 'Items sous domaines Maths '!K158&gt;0),'Items sous domaines Maths '!D158,0)</f>
        <v>Géometrie du plan</v>
      </c>
      <c r="E154" s="255" t="str">
        <f>IF(AND('Items sous domaines Maths '!K158&lt;=5, 'Items sous domaines Maths '!K158&gt;0),'Items sous domaines Maths '!E158,0)</f>
        <v xml:space="preserve">Repérage du plan  </v>
      </c>
      <c r="F154" s="256" t="str">
        <f>IF(AND('Items sous domaines Maths '!K158&lt;=5, 'Items sous domaines Maths '!K158&gt;0),'Items sous domaines Maths '!F158,0)</f>
        <v>Repère cartésien.</v>
      </c>
      <c r="G154" s="724"/>
      <c r="H154" s="268" t="str">
        <f>IF(AND('Items sous domaines Maths '!K158&lt;=5, 'Items sous domaines Maths '!K158&gt;0),'Items sous domaines Maths '!L158,0)</f>
        <v>1. Vecteurs de l'espace | Lelivrescolaire.fr</v>
      </c>
      <c r="I154" s="245"/>
    </row>
    <row r="155" spans="1:9" ht="19.95" customHeight="1" thickBot="1" x14ac:dyDescent="0.35">
      <c r="A155" s="607"/>
      <c r="B155" s="155" t="str">
        <f>IF(AND('Items sous domaines Maths '!K159&lt;=5, 'Items sous domaines Maths '!K159&gt;0),'Items sous domaines Maths '!B159,0)</f>
        <v>Géométrie</v>
      </c>
      <c r="C155" s="156" t="str">
        <f>IF(AND('Items sous domaines Maths '!K159&lt;=5, 'Items sous domaines Maths '!K159&gt;0),'Items sous domaines Maths '!C159)</f>
        <v>Géometrie</v>
      </c>
      <c r="D155" s="156">
        <f>IF(AND('Items sous domaines Maths '!K159&lt;=5, 'Items sous domaines Maths '!K159&gt;0),'Items sous domaines Maths '!D159,0)</f>
        <v>0</v>
      </c>
      <c r="E155" s="156">
        <f>IF(AND('Items sous domaines Maths '!K159&lt;=5, 'Items sous domaines Maths '!K159&gt;0),'Items sous domaines Maths '!E159,0)</f>
        <v>0</v>
      </c>
      <c r="F155" s="157" t="str">
        <f>IF(AND('Items sous domaines Maths '!K159&lt;=5, 'Items sous domaines Maths '!K159&gt;0),'Items sous domaines Maths '!F159,0)</f>
        <v>Repère polaire.</v>
      </c>
      <c r="G155" s="722"/>
      <c r="H155" s="168">
        <f>IF(AND('Items sous domaines Maths '!K159&lt;=5, 'Items sous domaines Maths '!K159&gt;0),'Items sous domaines Maths '!L159,0)</f>
        <v>0</v>
      </c>
      <c r="I155" s="249"/>
    </row>
    <row r="156" spans="1:9" ht="19.95" customHeight="1" thickBot="1" x14ac:dyDescent="0.35">
      <c r="A156" s="719"/>
      <c r="B156" s="158" t="str">
        <f>IF(AND('Items sous domaines Maths '!K160&lt;=5, 'Items sous domaines Maths '!K160&gt;0),'Items sous domaines Maths '!B160,0)</f>
        <v>Géométrie</v>
      </c>
      <c r="C156" s="159" t="str">
        <f>IF(AND('Items sous domaines Maths '!K160&lt;=5, 'Items sous domaines Maths '!K160&gt;0),'Items sous domaines Maths '!C160)</f>
        <v>Géometrie</v>
      </c>
      <c r="D156" s="159">
        <f>IF(AND('Items sous domaines Maths '!K160&lt;=5, 'Items sous domaines Maths '!K160&gt;0),'Items sous domaines Maths '!D160,0)</f>
        <v>0</v>
      </c>
      <c r="E156" s="159" t="str">
        <f>IF(AND('Items sous domaines Maths '!K160&lt;=5, 'Items sous domaines Maths '!K160&gt;0),'Items sous domaines Maths '!E160,0)</f>
        <v xml:space="preserve">Produit scalaire </v>
      </c>
      <c r="F156" s="160" t="str">
        <f>IF(AND('Items sous domaines Maths '!K160&lt;=5, 'Items sous domaines Maths '!K160&gt;0),'Items sous domaines Maths '!F160,0)</f>
        <v>Définition et propriétés.</v>
      </c>
      <c r="G156" s="722"/>
      <c r="H156" s="168" t="str">
        <f>IF(AND('Items sous domaines Maths '!K160&lt;=5, 'Items sous domaines Maths '!K160&gt;0),'Items sous domaines Maths '!L160,0)</f>
        <v>Produit scalaire [Vecteurs] (unisciel.fr)</v>
      </c>
      <c r="I156" s="249"/>
    </row>
    <row r="157" spans="1:9" ht="19.95" customHeight="1" x14ac:dyDescent="0.3">
      <c r="A157" s="730" t="s">
        <v>476</v>
      </c>
      <c r="B157" s="152" t="str">
        <f>IF(AND('Items sous domaines Maths '!K161&lt;=5, 'Items sous domaines Maths '!K161&gt;0),'Items sous domaines Maths '!B161,0)</f>
        <v>Géométrie</v>
      </c>
      <c r="C157" s="153" t="str">
        <f>IF(AND('Items sous domaines Maths '!K161&lt;=5, 'Items sous domaines Maths '!K161&gt;0),'Items sous domaines Maths '!C161)</f>
        <v>Géometrie</v>
      </c>
      <c r="D157" s="153">
        <f>IF(AND('Items sous domaines Maths '!K161&lt;=5, 'Items sous domaines Maths '!K161&gt;0),'Items sous domaines Maths '!D161,0)</f>
        <v>0</v>
      </c>
      <c r="E157" s="153">
        <f>IF(AND('Items sous domaines Maths '!K161&lt;=5, 'Items sous domaines Maths '!K161&gt;0),'Items sous domaines Maths '!E161,0)</f>
        <v>0</v>
      </c>
      <c r="F157" s="154" t="str">
        <f>IF(AND('Items sous domaines Maths '!K161&lt;=5, 'Items sous domaines Maths '!K161&gt;0),'Items sous domaines Maths '!F161,0)</f>
        <v>Calculs du produit scalaire.</v>
      </c>
      <c r="G157" s="722"/>
      <c r="H157" s="715" t="str">
        <f>IF(AND('Items sous domaines Maths '!K161&lt;=5, 'Items sous domaines Maths '!K161&gt;0),'Items sous domaines Maths '!L161,0)</f>
        <v>1. Vecteurs de l'espace | Lelivrescolaire.fr</v>
      </c>
      <c r="I157" s="249"/>
    </row>
    <row r="158" spans="1:9" ht="19.95" customHeight="1" thickBot="1" x14ac:dyDescent="0.35">
      <c r="A158" s="731"/>
      <c r="B158" s="164" t="str">
        <f>IF(AND('Items sous domaines Maths '!K162&lt;=5, 'Items sous domaines Maths '!K162&gt;0),'Items sous domaines Maths '!B162,0)</f>
        <v>Géométrie</v>
      </c>
      <c r="C158" s="165" t="str">
        <f>IF(AND('Items sous domaines Maths '!K162&lt;=5, 'Items sous domaines Maths '!K162&gt;0),'Items sous domaines Maths '!C162)</f>
        <v>Géometrie</v>
      </c>
      <c r="D158" s="165">
        <f>IF(AND('Items sous domaines Maths '!K162&lt;=5, 'Items sous domaines Maths '!K162&gt;0),'Items sous domaines Maths '!D162,0)</f>
        <v>0</v>
      </c>
      <c r="E158" s="165" t="str">
        <f>IF(AND('Items sous domaines Maths '!K162&lt;=5, 'Items sous domaines Maths '!K162&gt;0),'Items sous domaines Maths '!E162,0)</f>
        <v xml:space="preserve">Déterminant  </v>
      </c>
      <c r="F158" s="166" t="str">
        <f>IF(AND('Items sous domaines Maths '!K162&lt;=5, 'Items sous domaines Maths '!K162&gt;0),'Items sous domaines Maths '!F162,0)</f>
        <v>Définition et propriétés = condition de colinéarité.</v>
      </c>
      <c r="G158" s="722"/>
      <c r="H158" s="708"/>
      <c r="I158" s="249"/>
    </row>
    <row r="159" spans="1:9" ht="19.95" customHeight="1" x14ac:dyDescent="0.3">
      <c r="A159" s="731"/>
      <c r="B159" s="152" t="str">
        <f>IF(AND('Items sous domaines Maths '!K163&lt;=5, 'Items sous domaines Maths '!K163&gt;0),'Items sous domaines Maths '!B163,0)</f>
        <v>Géométrie</v>
      </c>
      <c r="C159" s="153" t="str">
        <f>IF(AND('Items sous domaines Maths '!K163&lt;=5, 'Items sous domaines Maths '!K163&gt;0),'Items sous domaines Maths '!C163)</f>
        <v>Géometrie</v>
      </c>
      <c r="D159" s="153">
        <f>IF(AND('Items sous domaines Maths '!K163&lt;=5, 'Items sous domaines Maths '!K163&gt;0),'Items sous domaines Maths '!D163,0)</f>
        <v>0</v>
      </c>
      <c r="E159" s="153">
        <f>IF(AND('Items sous domaines Maths '!K163&lt;=5, 'Items sous domaines Maths '!K163&gt;0),'Items sous domaines Maths '!E163,0)</f>
        <v>0</v>
      </c>
      <c r="F159" s="154" t="str">
        <f>IF(AND('Items sous domaines Maths '!K163&lt;=5, 'Items sous domaines Maths '!K163&gt;0),'Items sous domaines Maths '!F163,0)</f>
        <v>Calculs du déterminant.</v>
      </c>
      <c r="G159" s="722"/>
      <c r="H159" s="708"/>
      <c r="I159" s="249"/>
    </row>
    <row r="160" spans="1:9" ht="19.95" customHeight="1" x14ac:dyDescent="0.3">
      <c r="A160" s="731"/>
      <c r="B160" s="155" t="str">
        <f>IF(AND('Items sous domaines Maths '!K164&lt;=5, 'Items sous domaines Maths '!K164&gt;0),'Items sous domaines Maths '!B164,0)</f>
        <v>Géométrie</v>
      </c>
      <c r="C160" s="156" t="str">
        <f>IF(AND('Items sous domaines Maths '!K164&lt;=5, 'Items sous domaines Maths '!K164&gt;0),'Items sous domaines Maths '!C164)</f>
        <v>Géometrie</v>
      </c>
      <c r="D160" s="156">
        <f>IF(AND('Items sous domaines Maths '!K164&lt;=5, 'Items sous domaines Maths '!K164&gt;0),'Items sous domaines Maths '!D164,0)</f>
        <v>0</v>
      </c>
      <c r="E160" s="156" t="str">
        <f>IF(AND('Items sous domaines Maths '!K164&lt;=5, 'Items sous domaines Maths '!K164&gt;0),'Items sous domaines Maths '!E164,0)</f>
        <v>Droites du plan</v>
      </c>
      <c r="F160" s="157" t="str">
        <f>IF(AND('Items sous domaines Maths '!K164&lt;=5, 'Items sous domaines Maths '!K164&gt;0),'Items sous domaines Maths '!F164,0)</f>
        <v>Définitions.</v>
      </c>
      <c r="G160" s="722"/>
      <c r="H160" s="708"/>
      <c r="I160" s="249"/>
    </row>
    <row r="161" spans="1:9" ht="19.95" customHeight="1" x14ac:dyDescent="0.3">
      <c r="A161" s="731"/>
      <c r="B161" s="161" t="str">
        <f>IF(AND('Items sous domaines Maths '!K165&lt;=5, 'Items sous domaines Maths '!K165&gt;0),'Items sous domaines Maths '!B165,0)</f>
        <v>Géométrie</v>
      </c>
      <c r="C161" s="162" t="str">
        <f>IF(AND('Items sous domaines Maths '!K165&lt;=5, 'Items sous domaines Maths '!K165&gt;0),'Items sous domaines Maths '!C165)</f>
        <v>Géometrie</v>
      </c>
      <c r="D161" s="162">
        <f>IF(AND('Items sous domaines Maths '!K165&lt;=5, 'Items sous domaines Maths '!K165&gt;0),'Items sous domaines Maths '!D165,0)</f>
        <v>0</v>
      </c>
      <c r="E161" s="162">
        <f>IF(AND('Items sous domaines Maths '!K165&lt;=5, 'Items sous domaines Maths '!K165&gt;0),'Items sous domaines Maths '!E165,0)</f>
        <v>0</v>
      </c>
      <c r="F161" s="163" t="str">
        <f>IF(AND('Items sous domaines Maths '!K165&lt;=5, 'Items sous domaines Maths '!K165&gt;0),'Items sous domaines Maths '!F165,0)</f>
        <v>Équations.</v>
      </c>
      <c r="G161" s="722"/>
      <c r="H161" s="708"/>
      <c r="I161" s="249"/>
    </row>
    <row r="162" spans="1:9" ht="19.95" customHeight="1" x14ac:dyDescent="0.3">
      <c r="A162" s="731"/>
      <c r="B162" s="155" t="str">
        <f>IF(AND('Items sous domaines Maths '!K166&lt;=5, 'Items sous domaines Maths '!K166&gt;0),'Items sous domaines Maths '!B166,0)</f>
        <v>Géométrie</v>
      </c>
      <c r="C162" s="156" t="str">
        <f>IF(AND('Items sous domaines Maths '!K166&lt;=5, 'Items sous domaines Maths '!K166&gt;0),'Items sous domaines Maths '!C166)</f>
        <v>Géometrie</v>
      </c>
      <c r="D162" s="156">
        <f>IF(AND('Items sous domaines Maths '!K166&lt;=5, 'Items sous domaines Maths '!K166&gt;0),'Items sous domaines Maths '!D166,0)</f>
        <v>0</v>
      </c>
      <c r="E162" s="156">
        <f>IF(AND('Items sous domaines Maths '!K166&lt;=5, 'Items sous domaines Maths '!K166&gt;0),'Items sous domaines Maths '!E166,0)</f>
        <v>0</v>
      </c>
      <c r="F162" s="157" t="str">
        <f>IF(AND('Items sous domaines Maths '!K166&lt;=5, 'Items sous domaines Maths '!K166&gt;0),'Items sous domaines Maths '!F166,0)</f>
        <v>Intersections et distances d'un point à une droite.</v>
      </c>
      <c r="G162" s="722"/>
      <c r="H162" s="708"/>
      <c r="I162" s="249"/>
    </row>
    <row r="163" spans="1:9" ht="19.95" customHeight="1" thickBot="1" x14ac:dyDescent="0.35">
      <c r="A163" s="731"/>
      <c r="B163" s="250" t="str">
        <f>IF(AND('Items sous domaines Maths '!K167&lt;=5, 'Items sous domaines Maths '!K167&gt;0),'Items sous domaines Maths '!B167,0)</f>
        <v>Géométrie</v>
      </c>
      <c r="C163" s="251" t="str">
        <f>IF(AND('Items sous domaines Maths '!K167&lt;=5, 'Items sous domaines Maths '!K167&gt;0),'Items sous domaines Maths '!C167)</f>
        <v>Géometrie</v>
      </c>
      <c r="D163" s="251">
        <f>IF(AND('Items sous domaines Maths '!K167&lt;=5, 'Items sous domaines Maths '!K167&gt;0),'Items sous domaines Maths '!D167,0)</f>
        <v>0</v>
      </c>
      <c r="E163" s="251" t="str">
        <f>IF(AND('Items sous domaines Maths '!K167&lt;=5, 'Items sous domaines Maths '!K167&gt;0),'Items sous domaines Maths '!E167,0)</f>
        <v xml:space="preserve">Cercles du plan </v>
      </c>
      <c r="F163" s="252" t="str">
        <f>IF(AND('Items sous domaines Maths '!K167&lt;=5, 'Items sous domaines Maths '!K167&gt;0),'Items sous domaines Maths '!F167,0)</f>
        <v>Définition.</v>
      </c>
      <c r="G163" s="723"/>
      <c r="H163" s="707"/>
      <c r="I163" s="253"/>
    </row>
    <row r="164" spans="1:9" customFormat="1" ht="17.7" hidden="1" customHeight="1" thickTop="1" thickBot="1" x14ac:dyDescent="0.3">
      <c r="A164" s="731"/>
      <c r="B164">
        <f>IF(AND('Items sous domaines Maths '!K168&lt;=5, 'Items sous domaines Maths '!K168&gt;0),'Items sous domaines Maths '!B168,0)</f>
        <v>0</v>
      </c>
      <c r="C164" t="b">
        <f>IF(AND('Items sous domaines Maths '!K168&lt;=5, 'Items sous domaines Maths '!K168&gt;0),'Items sous domaines Maths '!C168)</f>
        <v>0</v>
      </c>
      <c r="D164">
        <f>IF(AND('Items sous domaines Maths '!K168&lt;=5, 'Items sous domaines Maths '!K168&gt;0),'Items sous domaines Maths '!D168,0)</f>
        <v>0</v>
      </c>
      <c r="E164">
        <f>IF(AND('Items sous domaines Maths '!K168&lt;=5, 'Items sous domaines Maths '!K168&gt;0),'Items sous domaines Maths '!E168,0)</f>
        <v>0</v>
      </c>
      <c r="F164" s="10">
        <f>IF(AND('Items sous domaines Maths '!K168&lt;=5, 'Items sous domaines Maths '!K168&gt;0),'Items sous domaines Maths '!F168,0)</f>
        <v>0</v>
      </c>
      <c r="G164" s="647"/>
      <c r="H164" s="705"/>
    </row>
    <row r="165" spans="1:9" customFormat="1" ht="17.7" hidden="1" customHeight="1" thickBot="1" x14ac:dyDescent="0.3">
      <c r="A165" s="731"/>
      <c r="B165" s="8">
        <f>IF(AND('Items sous domaines Maths '!K169&lt;=5, 'Items sous domaines Maths '!K169&gt;0),'Items sous domaines Maths '!B169,0)</f>
        <v>0</v>
      </c>
      <c r="C165" s="8" t="b">
        <f>IF(AND('Items sous domaines Maths '!K169&lt;=5, 'Items sous domaines Maths '!K169&gt;0),'Items sous domaines Maths '!C169)</f>
        <v>0</v>
      </c>
      <c r="D165" s="8">
        <f>IF(AND('Items sous domaines Maths '!K169&lt;=5, 'Items sous domaines Maths '!K169&gt;0),'Items sous domaines Maths '!D169,0)</f>
        <v>0</v>
      </c>
      <c r="E165" s="8">
        <f>IF(AND('Items sous domaines Maths '!K169&lt;=5, 'Items sous domaines Maths '!K169&gt;0),'Items sous domaines Maths '!E169,0)</f>
        <v>0</v>
      </c>
      <c r="F165" s="9">
        <f>IF(AND('Items sous domaines Maths '!K169&lt;=5, 'Items sous domaines Maths '!K169&gt;0),'Items sous domaines Maths '!F169,0)</f>
        <v>0</v>
      </c>
      <c r="G165" s="647"/>
      <c r="H165" s="705"/>
    </row>
    <row r="166" spans="1:9" ht="19.95" customHeight="1" thickTop="1" x14ac:dyDescent="0.3">
      <c r="A166" s="731"/>
      <c r="B166" s="265" t="str">
        <f>IF(AND('Items sous domaines Maths '!K170&lt;=5, 'Items sous domaines Maths '!K170&gt;0),'Items sous domaines Maths '!B170,0)</f>
        <v>Géométrie</v>
      </c>
      <c r="C166" s="266" t="str">
        <f>IF(AND('Items sous domaines Maths '!K170&lt;=5, 'Items sous domaines Maths '!K170&gt;0),'Items sous domaines Maths '!C170)</f>
        <v>Géometrie</v>
      </c>
      <c r="D166" s="266" t="str">
        <f>IF(AND('Items sous domaines Maths '!K170&lt;=5, 'Items sous domaines Maths '!K170&gt;0),'Items sous domaines Maths '!D170,0)</f>
        <v xml:space="preserve">Géométrie dans l’espace </v>
      </c>
      <c r="E166" s="266" t="str">
        <f>IF(AND('Items sous domaines Maths '!K170&lt;=5, 'Items sous domaines Maths '!K170&gt;0),'Items sous domaines Maths '!E170,0)</f>
        <v>Repérage de l’espace</v>
      </c>
      <c r="F166" s="267" t="str">
        <f>IF(AND('Items sous domaines Maths '!K170&lt;=5, 'Items sous domaines Maths '!K170&gt;0),'Items sous domaines Maths '!F170,0)</f>
        <v>Repère cartésien.</v>
      </c>
      <c r="G166" s="724"/>
      <c r="H166" s="706"/>
      <c r="I166" s="245"/>
    </row>
    <row r="167" spans="1:9" ht="19.95" customHeight="1" thickBot="1" x14ac:dyDescent="0.35">
      <c r="A167" s="731"/>
      <c r="B167" s="158" t="str">
        <f>IF(AND('Items sous domaines Maths '!K171&lt;=5, 'Items sous domaines Maths '!K171&gt;0),'Items sous domaines Maths '!B171,0)</f>
        <v>Géométrie</v>
      </c>
      <c r="C167" s="159" t="str">
        <f>IF(AND('Items sous domaines Maths '!K171&lt;=5, 'Items sous domaines Maths '!K171&gt;0),'Items sous domaines Maths '!C171)</f>
        <v>Géometrie</v>
      </c>
      <c r="D167" s="159">
        <f>IF(AND('Items sous domaines Maths '!K171&lt;=5, 'Items sous domaines Maths '!K171&gt;0),'Items sous domaines Maths '!D171,0)</f>
        <v>0</v>
      </c>
      <c r="E167" s="159">
        <f>IF(AND('Items sous domaines Maths '!K171&lt;=5, 'Items sous domaines Maths '!K171&gt;0),'Items sous domaines Maths '!E171,0)</f>
        <v>0</v>
      </c>
      <c r="F167" s="160" t="str">
        <f>IF(AND('Items sous domaines Maths '!K171&lt;=5, 'Items sous domaines Maths '!K171&gt;0),'Items sous domaines Maths '!F171,0)</f>
        <v>Repères cylindrique et sphérique.</v>
      </c>
      <c r="G167" s="722"/>
      <c r="H167" s="716"/>
      <c r="I167" s="249"/>
    </row>
    <row r="168" spans="1:9" ht="19.95" customHeight="1" x14ac:dyDescent="0.3">
      <c r="A168" s="731"/>
      <c r="B168" s="152" t="str">
        <f>IF(AND('Items sous domaines Maths '!K172&lt;=5, 'Items sous domaines Maths '!K172&gt;0),'Items sous domaines Maths '!B172,0)</f>
        <v>Géométrie</v>
      </c>
      <c r="C168" s="153" t="str">
        <f>IF(AND('Items sous domaines Maths '!K172&lt;=5, 'Items sous domaines Maths '!K172&gt;0),'Items sous domaines Maths '!C172)</f>
        <v>Géometrie</v>
      </c>
      <c r="D168" s="153">
        <f>IF(AND('Items sous domaines Maths '!K172&lt;=5, 'Items sous domaines Maths '!K172&gt;0),'Items sous domaines Maths '!D172,0)</f>
        <v>0</v>
      </c>
      <c r="E168" s="153" t="str">
        <f>IF(AND('Items sous domaines Maths '!K172&lt;=5, 'Items sous domaines Maths '!K172&gt;0),'Items sous domaines Maths '!E172,0)</f>
        <v xml:space="preserve">Produit scalaire  </v>
      </c>
      <c r="F168" s="154" t="str">
        <f>IF(AND('Items sous domaines Maths '!K172&lt;=5, 'Items sous domaines Maths '!K172&gt;0),'Items sous domaines Maths '!F172,0)</f>
        <v>Définition et propriétés.</v>
      </c>
      <c r="G168" s="722"/>
      <c r="H168" s="710" t="str">
        <f>IF(AND('Items sous domaines Maths '!K172&lt;=5, 'Items sous domaines Maths '!K172&gt;0),'Items sous domaines Maths '!L172,0)</f>
        <v>Produit scalaire [Vecteurs] (unisciel.fr)</v>
      </c>
      <c r="I168" s="249"/>
    </row>
    <row r="169" spans="1:9" ht="19.95" customHeight="1" x14ac:dyDescent="0.3">
      <c r="A169" s="731"/>
      <c r="B169" s="155" t="str">
        <f>IF(AND('Items sous domaines Maths '!K173&lt;=5, 'Items sous domaines Maths '!K173&gt;0),'Items sous domaines Maths '!B173,0)</f>
        <v>Géométrie</v>
      </c>
      <c r="C169" s="156" t="str">
        <f>IF(AND('Items sous domaines Maths '!K173&lt;=5, 'Items sous domaines Maths '!K173&gt;0),'Items sous domaines Maths '!C173)</f>
        <v>Géometrie</v>
      </c>
      <c r="D169" s="156">
        <f>IF(AND('Items sous domaines Maths '!K173&lt;=5, 'Items sous domaines Maths '!K173&gt;0),'Items sous domaines Maths '!D173,0)</f>
        <v>0</v>
      </c>
      <c r="E169" s="156">
        <f>IF(AND('Items sous domaines Maths '!K173&lt;=5, 'Items sous domaines Maths '!K173&gt;0),'Items sous domaines Maths '!E173,0)</f>
        <v>0</v>
      </c>
      <c r="F169" s="157" t="str">
        <f>IF(AND('Items sous domaines Maths '!K173&lt;=5, 'Items sous domaines Maths '!K173&gt;0),'Items sous domaines Maths '!F173,0)</f>
        <v>Calculs du produit scalaire - Interprétation géométrique.</v>
      </c>
      <c r="G169" s="722"/>
      <c r="H169" s="711"/>
      <c r="I169" s="249"/>
    </row>
    <row r="170" spans="1:9" ht="19.95" customHeight="1" x14ac:dyDescent="0.3">
      <c r="A170" s="731"/>
      <c r="B170" s="161" t="str">
        <f>IF(AND('Items sous domaines Maths '!K174&lt;=5, 'Items sous domaines Maths '!K174&gt;0),'Items sous domaines Maths '!B174,0)</f>
        <v>Géométrie</v>
      </c>
      <c r="C170" s="162" t="str">
        <f>IF(AND('Items sous domaines Maths '!K174&lt;=5, 'Items sous domaines Maths '!K174&gt;0),'Items sous domaines Maths '!C174)</f>
        <v>Géometrie</v>
      </c>
      <c r="D170" s="162">
        <f>IF(AND('Items sous domaines Maths '!K174&lt;=5, 'Items sous domaines Maths '!K174&gt;0),'Items sous domaines Maths '!D174,0)</f>
        <v>0</v>
      </c>
      <c r="E170" s="162" t="str">
        <f>IF(AND('Items sous domaines Maths '!K174&lt;=5, 'Items sous domaines Maths '!K174&gt;0),'Items sous domaines Maths '!E174,0)</f>
        <v xml:space="preserve">Produit vectoriel </v>
      </c>
      <c r="F170" s="163" t="str">
        <f>IF(AND('Items sous domaines Maths '!K174&lt;=5, 'Items sous domaines Maths '!K174&gt;0),'Items sous domaines Maths '!F174,0)</f>
        <v>Définition et propriétés.</v>
      </c>
      <c r="G170" s="722"/>
      <c r="H170" s="711"/>
      <c r="I170" s="249"/>
    </row>
    <row r="171" spans="1:9" ht="19.95" customHeight="1" thickBot="1" x14ac:dyDescent="0.35">
      <c r="A171" s="732"/>
      <c r="B171" s="258" t="str">
        <f>IF(AND('Items sous domaines Maths '!K175&lt;=5, 'Items sous domaines Maths '!K175&gt;0),'Items sous domaines Maths '!B175,0)</f>
        <v>Géométrie</v>
      </c>
      <c r="C171" s="259" t="str">
        <f>IF(AND('Items sous domaines Maths '!K175&lt;=5, 'Items sous domaines Maths '!K175&gt;0),'Items sous domaines Maths '!C175)</f>
        <v>Géometrie</v>
      </c>
      <c r="D171" s="259">
        <f>IF(AND('Items sous domaines Maths '!K175&lt;=5, 'Items sous domaines Maths '!K175&gt;0),'Items sous domaines Maths '!D175,0)</f>
        <v>0</v>
      </c>
      <c r="E171" s="259">
        <f>IF(AND('Items sous domaines Maths '!K175&lt;=5, 'Items sous domaines Maths '!K175&gt;0),'Items sous domaines Maths '!E175,0)</f>
        <v>0</v>
      </c>
      <c r="F171" s="260" t="str">
        <f>IF(AND('Items sous domaines Maths '!K175&lt;=5, 'Items sous domaines Maths '!K175&gt;0),'Items sous domaines Maths '!F175,0)</f>
        <v>Calculs du produit vectoriel - Interprétation géométrique.</v>
      </c>
      <c r="G171" s="723"/>
      <c r="H171" s="712"/>
      <c r="I171" s="253"/>
    </row>
    <row r="172" spans="1:9" customFormat="1" ht="17.7" hidden="1" customHeight="1" thickTop="1" thickBot="1" x14ac:dyDescent="0.3">
      <c r="A172" s="23"/>
      <c r="B172">
        <f>IF(AND('Items sous domaines Maths '!K176&lt;=5, 'Items sous domaines Maths '!K176&gt;0),'Items sous domaines Maths '!B176,0)</f>
        <v>0</v>
      </c>
      <c r="C172" t="b">
        <f>IF(AND('Items sous domaines Maths '!K176&lt;=5, 'Items sous domaines Maths '!K176&gt;0),'Items sous domaines Maths '!C176)</f>
        <v>0</v>
      </c>
      <c r="D172">
        <f>IF(AND('Items sous domaines Maths '!K176&lt;=5, 'Items sous domaines Maths '!K176&gt;0),'Items sous domaines Maths '!D176,0)</f>
        <v>0</v>
      </c>
      <c r="E172">
        <f>IF(AND('Items sous domaines Maths '!K176&lt;=5, 'Items sous domaines Maths '!K176&gt;0),'Items sous domaines Maths '!E176,0)</f>
        <v>0</v>
      </c>
      <c r="F172" s="10">
        <f>IF(AND('Items sous domaines Maths '!K176&lt;=5, 'Items sous domaines Maths '!K176&gt;0),'Items sous domaines Maths '!F176,0)</f>
        <v>0</v>
      </c>
      <c r="G172" s="647"/>
      <c r="H172" s="9">
        <f>IF(AND('Items sous domaines Maths '!K176&lt;=5, 'Items sous domaines Maths '!K176&gt;0),'Items sous domaines Maths '!L176,0)</f>
        <v>0</v>
      </c>
    </row>
    <row r="173" spans="1:9" customFormat="1" ht="17.7" hidden="1" customHeight="1" thickBot="1" x14ac:dyDescent="0.3">
      <c r="A173" s="23"/>
      <c r="B173" s="8">
        <f>IF(AND('Items sous domaines Maths '!K177&lt;=5, 'Items sous domaines Maths '!K177&gt;0),'Items sous domaines Maths '!B177,0)</f>
        <v>0</v>
      </c>
      <c r="C173" s="8" t="b">
        <f>IF(AND('Items sous domaines Maths '!K177&lt;=5, 'Items sous domaines Maths '!K177&gt;0),'Items sous domaines Maths '!C177)</f>
        <v>0</v>
      </c>
      <c r="D173" s="8">
        <f>IF(AND('Items sous domaines Maths '!K177&lt;=5, 'Items sous domaines Maths '!K177&gt;0),'Items sous domaines Maths '!D177,0)</f>
        <v>0</v>
      </c>
      <c r="E173" s="8">
        <f>IF(AND('Items sous domaines Maths '!K177&lt;=5, 'Items sous domaines Maths '!K177&gt;0),'Items sous domaines Maths '!E177,0)</f>
        <v>0</v>
      </c>
      <c r="F173" s="9">
        <f>IF(AND('Items sous domaines Maths '!K177&lt;=5, 'Items sous domaines Maths '!K177&gt;0),'Items sous domaines Maths '!F177,0)</f>
        <v>0</v>
      </c>
      <c r="G173" s="647"/>
      <c r="H173" s="9">
        <f>IF(AND('Items sous domaines Maths '!K177&lt;=5, 'Items sous domaines Maths '!K177&gt;0),'Items sous domaines Maths '!L177,0)</f>
        <v>0</v>
      </c>
    </row>
    <row r="174" spans="1:9" customFormat="1" ht="17.7" hidden="1" customHeight="1" thickBot="1" x14ac:dyDescent="0.3">
      <c r="A174" s="23"/>
      <c r="B174" s="8">
        <f>IF(AND('Items sous domaines Maths '!K178&lt;=5, 'Items sous domaines Maths '!K178&gt;0),'Items sous domaines Maths '!B178,0)</f>
        <v>0</v>
      </c>
      <c r="C174" s="8" t="b">
        <f>IF(AND('Items sous domaines Maths '!K178&lt;=5, 'Items sous domaines Maths '!K178&gt;0),'Items sous domaines Maths '!C178)</f>
        <v>0</v>
      </c>
      <c r="D174" s="8">
        <f>IF(AND('Items sous domaines Maths '!K178&lt;=5, 'Items sous domaines Maths '!K178&gt;0),'Items sous domaines Maths '!D178,0)</f>
        <v>0</v>
      </c>
      <c r="E174" s="8">
        <f>IF(AND('Items sous domaines Maths '!K178&lt;=5, 'Items sous domaines Maths '!K178&gt;0),'Items sous domaines Maths '!E178,0)</f>
        <v>0</v>
      </c>
      <c r="F174" s="9">
        <f>IF(AND('Items sous domaines Maths '!K178&lt;=5, 'Items sous domaines Maths '!K178&gt;0),'Items sous domaines Maths '!F178,0)</f>
        <v>0</v>
      </c>
      <c r="G174" s="647"/>
      <c r="H174" s="9">
        <f>IF(AND('Items sous domaines Maths '!K178&lt;=5, 'Items sous domaines Maths '!K178&gt;0),'Items sous domaines Maths '!L178,0)</f>
        <v>0</v>
      </c>
    </row>
    <row r="175" spans="1:9" customFormat="1" ht="17.7" hidden="1" customHeight="1" thickBot="1" x14ac:dyDescent="0.3">
      <c r="A175" s="23"/>
      <c r="B175" s="8">
        <f>IF(AND('Items sous domaines Maths '!K179&lt;=5, 'Items sous domaines Maths '!K179&gt;0),'Items sous domaines Maths '!B179,0)</f>
        <v>0</v>
      </c>
      <c r="C175" s="8" t="b">
        <f>IF(AND('Items sous domaines Maths '!K179&lt;=5, 'Items sous domaines Maths '!K179&gt;0),'Items sous domaines Maths '!C179)</f>
        <v>0</v>
      </c>
      <c r="D175" s="8">
        <f>IF(AND('Items sous domaines Maths '!K179&lt;=5, 'Items sous domaines Maths '!K179&gt;0),'Items sous domaines Maths '!D179,0)</f>
        <v>0</v>
      </c>
      <c r="E175" s="8">
        <f>IF(AND('Items sous domaines Maths '!K179&lt;=5, 'Items sous domaines Maths '!K179&gt;0),'Items sous domaines Maths '!E179,0)</f>
        <v>0</v>
      </c>
      <c r="F175" s="9">
        <f>IF(AND('Items sous domaines Maths '!K179&lt;=5, 'Items sous domaines Maths '!K179&gt;0),'Items sous domaines Maths '!F179,0)</f>
        <v>0</v>
      </c>
      <c r="G175" s="647"/>
      <c r="H175" s="9">
        <f>IF(AND('Items sous domaines Maths '!K179&lt;=5, 'Items sous domaines Maths '!K179&gt;0),'Items sous domaines Maths '!L179,0)</f>
        <v>0</v>
      </c>
    </row>
    <row r="176" spans="1:9" ht="19.95" customHeight="1" thickTop="1" thickBot="1" x14ac:dyDescent="0.35">
      <c r="A176" s="619" t="s">
        <v>476</v>
      </c>
      <c r="B176" s="254" t="str">
        <f>IF(AND('Items sous domaines Maths '!K180&lt;=5, 'Items sous domaines Maths '!K180&gt;0),'Items sous domaines Maths '!B180,0)</f>
        <v>Géométrie</v>
      </c>
      <c r="C176" s="255" t="str">
        <f>IF(AND('Items sous domaines Maths '!K180&lt;=5, 'Items sous domaines Maths '!K180&gt;0),'Items sous domaines Maths '!C180)</f>
        <v>Géometrie</v>
      </c>
      <c r="D176" s="255">
        <f>IF(AND('Items sous domaines Maths '!K180&lt;=5, 'Items sous domaines Maths '!K180&gt;0),'Items sous domaines Maths '!D180,0)</f>
        <v>0</v>
      </c>
      <c r="E176" s="255">
        <f>IF(AND('Items sous domaines Maths '!K180&lt;=5, 'Items sous domaines Maths '!K180&gt;0),'Items sous domaines Maths '!E180,0)</f>
        <v>0</v>
      </c>
      <c r="F176" s="256" t="str">
        <f>IF(AND('Items sous domaines Maths '!K180&lt;=5, 'Items sous domaines Maths '!K180&gt;0),'Items sous domaines Maths '!F180,0)</f>
        <v>Distance d'un point à un plan.</v>
      </c>
      <c r="G176" s="724"/>
      <c r="H176" s="268">
        <f>IF(AND('Items sous domaines Maths '!K180&lt;=5, 'Items sous domaines Maths '!K180&gt;0),'Items sous domaines Maths '!L180,0)</f>
        <v>0</v>
      </c>
      <c r="I176" s="245"/>
    </row>
    <row r="177" spans="1:9" ht="19.95" customHeight="1" thickBot="1" x14ac:dyDescent="0.35">
      <c r="A177" s="620"/>
      <c r="B177" s="155" t="str">
        <f>IF(AND('Items sous domaines Maths '!K181&lt;=5, 'Items sous domaines Maths '!K181&gt;0),'Items sous domaines Maths '!B181,0)</f>
        <v>Géométrie</v>
      </c>
      <c r="C177" s="156" t="str">
        <f>IF(AND('Items sous domaines Maths '!K181&lt;=5, 'Items sous domaines Maths '!K181&gt;0),'Items sous domaines Maths '!C181)</f>
        <v>Géometrie</v>
      </c>
      <c r="D177" s="156">
        <f>IF(AND('Items sous domaines Maths '!K181&lt;=5, 'Items sous domaines Maths '!K181&gt;0),'Items sous domaines Maths '!D181,0)</f>
        <v>0</v>
      </c>
      <c r="E177" s="156" t="str">
        <f>IF(AND('Items sous domaines Maths '!K181&lt;=5, 'Items sous domaines Maths '!K181&gt;0),'Items sous domaines Maths '!E181,0)</f>
        <v>Droites de l'espace</v>
      </c>
      <c r="F177" s="157" t="str">
        <f>IF(AND('Items sous domaines Maths '!K181&lt;=5, 'Items sous domaines Maths '!K181&gt;0),'Items sous domaines Maths '!F181,0)</f>
        <v>Définition et équation.</v>
      </c>
      <c r="G177" s="722"/>
      <c r="H177" s="168">
        <f>IF(AND('Items sous domaines Maths '!K181&lt;=5, 'Items sous domaines Maths '!K181&gt;0),'Items sous domaines Maths '!L181,0)</f>
        <v>0</v>
      </c>
      <c r="I177" s="249"/>
    </row>
    <row r="178" spans="1:9" ht="19.95" customHeight="1" thickBot="1" x14ac:dyDescent="0.35">
      <c r="A178" s="623"/>
      <c r="B178" s="250" t="str">
        <f>IF(AND('Items sous domaines Maths '!K182&lt;=5, 'Items sous domaines Maths '!K182&gt;0),'Items sous domaines Maths '!B182,0)</f>
        <v>Géométrie</v>
      </c>
      <c r="C178" s="251" t="str">
        <f>IF(AND('Items sous domaines Maths '!K182&lt;=5, 'Items sous domaines Maths '!K182&gt;0),'Items sous domaines Maths '!C182)</f>
        <v>Géometrie</v>
      </c>
      <c r="D178" s="251">
        <f>IF(AND('Items sous domaines Maths '!K182&lt;=5, 'Items sous domaines Maths '!K182&gt;0),'Items sous domaines Maths '!D182,0)</f>
        <v>0</v>
      </c>
      <c r="E178" s="251">
        <f>IF(AND('Items sous domaines Maths '!K182&lt;=5, 'Items sous domaines Maths '!K182&gt;0),'Items sous domaines Maths '!E182,0)</f>
        <v>0</v>
      </c>
      <c r="F178" s="252" t="str">
        <f>IF(AND('Items sous domaines Maths '!K182&lt;=5, 'Items sous domaines Maths '!K182&gt;0),'Items sous domaines Maths '!F182,0)</f>
        <v>Intersection de droites et intersections de droites et de plans.</v>
      </c>
      <c r="G178" s="723"/>
      <c r="H178" s="269">
        <f>IF(AND('Items sous domaines Maths '!K182&lt;=5, 'Items sous domaines Maths '!K182&gt;0),'Items sous domaines Maths '!L182,0)</f>
        <v>0</v>
      </c>
      <c r="I178" s="253"/>
    </row>
    <row r="179" spans="1:9" customFormat="1" ht="17.7" hidden="1" customHeight="1" thickTop="1" thickBot="1" x14ac:dyDescent="0.3">
      <c r="A179" s="718"/>
      <c r="B179">
        <f>IF(AND('Items sous domaines Maths '!K183&lt;=5, 'Items sous domaines Maths '!K183&gt;0),'Items sous domaines Maths '!B183,0)</f>
        <v>0</v>
      </c>
      <c r="C179" t="b">
        <f>IF(AND('Items sous domaines Maths '!K183&lt;=5, 'Items sous domaines Maths '!K183&gt;0),'Items sous domaines Maths '!C183)</f>
        <v>0</v>
      </c>
      <c r="D179">
        <f>IF(AND('Items sous domaines Maths '!K183&lt;=5, 'Items sous domaines Maths '!K183&gt;0),'Items sous domaines Maths '!D183,0)</f>
        <v>0</v>
      </c>
      <c r="E179">
        <f>IF(AND('Items sous domaines Maths '!K183&lt;=5, 'Items sous domaines Maths '!K183&gt;0),'Items sous domaines Maths '!E183,0)</f>
        <v>0</v>
      </c>
      <c r="F179" s="10">
        <f>IF(AND('Items sous domaines Maths '!K183&lt;=5, 'Items sous domaines Maths '!K183&gt;0),'Items sous domaines Maths '!F183,0)</f>
        <v>0</v>
      </c>
      <c r="G179" s="647"/>
      <c r="H179" s="9">
        <f>IF(AND('Items sous domaines Maths '!K183&lt;=5, 'Items sous domaines Maths '!K183&gt;0),'Items sous domaines Maths '!L183,0)</f>
        <v>0</v>
      </c>
    </row>
    <row r="180" spans="1:9" customFormat="1" ht="17.7" hidden="1" customHeight="1" thickBot="1" x14ac:dyDescent="0.3">
      <c r="A180" s="718"/>
      <c r="B180" s="8">
        <f>IF(AND('Items sous domaines Maths '!K184&lt;=5, 'Items sous domaines Maths '!K184&gt;0),'Items sous domaines Maths '!B184,0)</f>
        <v>0</v>
      </c>
      <c r="C180" s="8" t="b">
        <f>IF(AND('Items sous domaines Maths '!K184&lt;=5, 'Items sous domaines Maths '!K184&gt;0),'Items sous domaines Maths '!C184)</f>
        <v>0</v>
      </c>
      <c r="D180" s="8">
        <f>IF(AND('Items sous domaines Maths '!K184&lt;=5, 'Items sous domaines Maths '!K184&gt;0),'Items sous domaines Maths '!D184,0)</f>
        <v>0</v>
      </c>
      <c r="E180" s="8">
        <f>IF(AND('Items sous domaines Maths '!K184&lt;=5, 'Items sous domaines Maths '!K184&gt;0),'Items sous domaines Maths '!E184,0)</f>
        <v>0</v>
      </c>
      <c r="F180" s="9">
        <f>IF(AND('Items sous domaines Maths '!K184&lt;=5, 'Items sous domaines Maths '!K184&gt;0),'Items sous domaines Maths '!F184,0)</f>
        <v>0</v>
      </c>
      <c r="G180" s="647"/>
      <c r="H180" s="9">
        <f>IF(AND('Items sous domaines Maths '!K184&lt;=5, 'Items sous domaines Maths '!K184&gt;0),'Items sous domaines Maths '!L184,0)</f>
        <v>0</v>
      </c>
    </row>
    <row r="181" spans="1:9" ht="19.95" customHeight="1" thickTop="1" thickBot="1" x14ac:dyDescent="0.35">
      <c r="A181" s="619"/>
      <c r="B181" s="265" t="str">
        <f>IF(AND('Items sous domaines Maths '!K185&lt;=5, 'Items sous domaines Maths '!K185&gt;0),'Items sous domaines Maths '!B185,0)</f>
        <v>Géométrie</v>
      </c>
      <c r="C181" s="266" t="str">
        <f>IF(AND('Items sous domaines Maths '!K185&lt;=5, 'Items sous domaines Maths '!K185&gt;0),'Items sous domaines Maths '!C185)</f>
        <v>Géometrie</v>
      </c>
      <c r="D181" s="266" t="str">
        <f>IF(AND('Items sous domaines Maths '!K185&lt;=5, 'Items sous domaines Maths '!K185&gt;0),'Items sous domaines Maths '!D185,0)</f>
        <v>Barycentres</v>
      </c>
      <c r="E181" s="266" t="str">
        <f>IF(AND('Items sous domaines Maths '!K185&lt;=5, 'Items sous domaines Maths '!K185&gt;0),'Items sous domaines Maths '!E185,0)</f>
        <v>Fonction vectorielle de Leibniz</v>
      </c>
      <c r="F181" s="267" t="str">
        <f>IF(AND('Items sous domaines Maths '!K185&lt;=5, 'Items sous domaines Maths '!K185&gt;0),'Items sous domaines Maths '!F185,0)</f>
        <v>Définition et propriété.</v>
      </c>
      <c r="G181" s="724"/>
      <c r="H181" s="268">
        <f>IF(AND('Items sous domaines Maths '!K185&lt;=5, 'Items sous domaines Maths '!K185&gt;0),'Items sous domaines Maths '!L185,0)</f>
        <v>0</v>
      </c>
      <c r="I181" s="245"/>
    </row>
    <row r="182" spans="1:9" ht="19.95" customHeight="1" thickBot="1" x14ac:dyDescent="0.35">
      <c r="A182" s="620"/>
      <c r="B182" s="161" t="str">
        <f>IF(AND('Items sous domaines Maths '!K186&lt;=5, 'Items sous domaines Maths '!K186&gt;0),'Items sous domaines Maths '!B186,0)</f>
        <v>Géométrie</v>
      </c>
      <c r="C182" s="162" t="str">
        <f>IF(AND('Items sous domaines Maths '!K186&lt;=5, 'Items sous domaines Maths '!K186&gt;0),'Items sous domaines Maths '!C186)</f>
        <v>Géometrie</v>
      </c>
      <c r="D182" s="162">
        <f>IF(AND('Items sous domaines Maths '!K186&lt;=5, 'Items sous domaines Maths '!K186&gt;0),'Items sous domaines Maths '!D186,0)</f>
        <v>0</v>
      </c>
      <c r="E182" s="162" t="str">
        <f>IF(AND('Items sous domaines Maths '!K186&lt;=5, 'Items sous domaines Maths '!K186&gt;0),'Items sous domaines Maths '!E186,0)</f>
        <v xml:space="preserve">Barycentre </v>
      </c>
      <c r="F182" s="163" t="str">
        <f>IF(AND('Items sous domaines Maths '!K186&lt;=5, 'Items sous domaines Maths '!K186&gt;0),'Items sous domaines Maths '!F186,0)</f>
        <v>Définition et existence.</v>
      </c>
      <c r="G182" s="722"/>
      <c r="H182" s="168">
        <f>IF(AND('Items sous domaines Maths '!K186&lt;=5, 'Items sous domaines Maths '!K186&gt;0),'Items sous domaines Maths '!L186,0)</f>
        <v>0</v>
      </c>
      <c r="I182" s="249"/>
    </row>
    <row r="183" spans="1:9" ht="19.95" customHeight="1" thickBot="1" x14ac:dyDescent="0.35">
      <c r="A183" s="620"/>
      <c r="B183" s="155" t="str">
        <f>IF(AND('Items sous domaines Maths '!K187&lt;=5, 'Items sous domaines Maths '!K187&gt;0),'Items sous domaines Maths '!B187,0)</f>
        <v>Géométrie</v>
      </c>
      <c r="C183" s="156" t="str">
        <f>IF(AND('Items sous domaines Maths '!K187&lt;=5, 'Items sous domaines Maths '!K187&gt;0),'Items sous domaines Maths '!C187)</f>
        <v>Géometrie</v>
      </c>
      <c r="D183" s="156">
        <f>IF(AND('Items sous domaines Maths '!K187&lt;=5, 'Items sous domaines Maths '!K187&gt;0),'Items sous domaines Maths '!D187,0)</f>
        <v>0</v>
      </c>
      <c r="E183" s="156">
        <f>IF(AND('Items sous domaines Maths '!K187&lt;=5, 'Items sous domaines Maths '!K187&gt;0),'Items sous domaines Maths '!E187,0)</f>
        <v>0</v>
      </c>
      <c r="F183" s="157" t="str">
        <f>IF(AND('Items sous domaines Maths '!K187&lt;=5, 'Items sous domaines Maths '!K187&gt;0),'Items sous domaines Maths '!F187,0)</f>
        <v>Construction géométrique.</v>
      </c>
      <c r="G183" s="722"/>
      <c r="H183" s="168">
        <f>IF(AND('Items sous domaines Maths '!K187&lt;=5, 'Items sous domaines Maths '!K187&gt;0),'Items sous domaines Maths '!L187,0)</f>
        <v>0</v>
      </c>
      <c r="I183" s="249"/>
    </row>
    <row r="184" spans="1:9" ht="19.95" customHeight="1" thickBot="1" x14ac:dyDescent="0.35">
      <c r="A184" s="620"/>
      <c r="B184" s="161" t="str">
        <f>IF(AND('Items sous domaines Maths '!K188&lt;=5, 'Items sous domaines Maths '!K188&gt;0),'Items sous domaines Maths '!B188,0)</f>
        <v>Géométrie</v>
      </c>
      <c r="C184" s="162" t="str">
        <f>IF(AND('Items sous domaines Maths '!K188&lt;=5, 'Items sous domaines Maths '!K188&gt;0),'Items sous domaines Maths '!C188)</f>
        <v>Géometrie</v>
      </c>
      <c r="D184" s="162">
        <f>IF(AND('Items sous domaines Maths '!K188&lt;=5, 'Items sous domaines Maths '!K188&gt;0),'Items sous domaines Maths '!D188,0)</f>
        <v>0</v>
      </c>
      <c r="E184" s="162">
        <f>IF(AND('Items sous domaines Maths '!K188&lt;=5, 'Items sous domaines Maths '!K188&gt;0),'Items sous domaines Maths '!E188,0)</f>
        <v>0</v>
      </c>
      <c r="F184" s="163" t="str">
        <f>IF(AND('Items sous domaines Maths '!K188&lt;=5, 'Items sous domaines Maths '!K188&gt;0),'Items sous domaines Maths '!F188,0)</f>
        <v>Utilisation pour le recherche d'ensembles de points.</v>
      </c>
      <c r="G184" s="722"/>
      <c r="H184" s="168">
        <f>IF(AND('Items sous domaines Maths '!K188&lt;=5, 'Items sous domaines Maths '!K188&gt;0),'Items sous domaines Maths '!L188,0)</f>
        <v>0</v>
      </c>
      <c r="I184" s="249"/>
    </row>
    <row r="185" spans="1:9" ht="19.95" customHeight="1" thickBot="1" x14ac:dyDescent="0.35">
      <c r="A185" s="623"/>
      <c r="B185" s="258" t="str">
        <f>IF(AND('Items sous domaines Maths '!K189&lt;=5, 'Items sous domaines Maths '!K189&gt;0),'Items sous domaines Maths '!B189,0)</f>
        <v>Géométrie</v>
      </c>
      <c r="C185" s="259" t="str">
        <f>IF(AND('Items sous domaines Maths '!K189&lt;=5, 'Items sous domaines Maths '!K189&gt;0),'Items sous domaines Maths '!C189)</f>
        <v>Géometrie</v>
      </c>
      <c r="D185" s="259">
        <f>IF(AND('Items sous domaines Maths '!K189&lt;=5, 'Items sous domaines Maths '!K189&gt;0),'Items sous domaines Maths '!D189,0)</f>
        <v>0</v>
      </c>
      <c r="E185" s="259">
        <f>IF(AND('Items sous domaines Maths '!K189&lt;=5, 'Items sous domaines Maths '!K189&gt;0),'Items sous domaines Maths '!E189,0)</f>
        <v>0</v>
      </c>
      <c r="F185" s="260" t="str">
        <f>IF(AND('Items sous domaines Maths '!K189&lt;=5, 'Items sous domaines Maths '!K189&gt;0),'Items sous domaines Maths '!F189,0)</f>
        <v>Systèmes pondérés, moyenne pondérée.</v>
      </c>
      <c r="G185" s="723"/>
      <c r="H185" s="269">
        <f>IF(AND('Items sous domaines Maths '!K189&lt;=5, 'Items sous domaines Maths '!K189&gt;0),'Items sous domaines Maths '!L189,0)</f>
        <v>0</v>
      </c>
      <c r="I185" s="253"/>
    </row>
    <row r="186" spans="1:9" customFormat="1" ht="17.399999999999999" hidden="1" customHeight="1" thickTop="1" thickBot="1" x14ac:dyDescent="0.3">
      <c r="B186">
        <f>IF(AND('Items sous domaines Maths '!K190&lt;=5, 'Items sous domaines Maths '!K190&gt;0),'Items sous domaines Maths '!B190,0)</f>
        <v>0</v>
      </c>
      <c r="C186" t="b">
        <f>IF(AND('Items sous domaines Maths '!K190&lt;=5, 'Items sous domaines Maths '!K190&gt;0),'Items sous domaines Maths '!C190)</f>
        <v>0</v>
      </c>
      <c r="D186">
        <f>IF(AND('Items sous domaines Maths '!K190&lt;=5, 'Items sous domaines Maths '!K190&gt;0),'Items sous domaines Maths '!D190,0)</f>
        <v>0</v>
      </c>
      <c r="E186">
        <f>IF(AND('Items sous domaines Maths '!K190&lt;=5, 'Items sous domaines Maths '!K190&gt;0),'Items sous domaines Maths '!E190,0)</f>
        <v>0</v>
      </c>
      <c r="F186" s="10">
        <f>IF(AND('Items sous domaines Maths '!K190&lt;=5, 'Items sous domaines Maths '!K190&gt;0),'Items sous domaines Maths '!F190,0)</f>
        <v>0</v>
      </c>
      <c r="G186" s="647"/>
      <c r="H186" s="9">
        <f>IF(AND('Items sous domaines Maths '!K190&lt;=5, 'Items sous domaines Maths '!K190&gt;0),'Items sous domaines Maths '!L190,0)</f>
        <v>0</v>
      </c>
    </row>
    <row r="187" spans="1:9" ht="19.95" customHeight="1" thickTop="1" x14ac:dyDescent="0.3">
      <c r="A187" s="629" t="s">
        <v>476</v>
      </c>
      <c r="B187" s="254" t="str">
        <f>IF(AND('Items sous domaines Maths '!K191&lt;=5, 'Items sous domaines Maths '!K191&gt;0),'Items sous domaines Maths '!B191,0)</f>
        <v>Analyse</v>
      </c>
      <c r="C187" s="255" t="str">
        <f>IF(AND('Items sous domaines Maths '!K191&lt;=5, 'Items sous domaines Maths '!K191&gt;0),'Items sous domaines Maths '!C191)</f>
        <v>Fonctions d'une variable</v>
      </c>
      <c r="D187" s="255" t="str">
        <f>IF(AND('Items sous domaines Maths '!K191&lt;=5, 'Items sous domaines Maths '!K191&gt;0),'Items sous domaines Maths '!D191,0)</f>
        <v>Géneralités sur les fonctions</v>
      </c>
      <c r="E187" s="255" t="str">
        <f>IF(AND('Items sous domaines Maths '!K191&lt;=5, 'Items sous domaines Maths '!K191&gt;0),'Items sous domaines Maths '!E191,0)</f>
        <v>Définition</v>
      </c>
      <c r="F187" s="256" t="str">
        <f>IF(AND('Items sous domaines Maths '!K191&lt;=5, 'Items sous domaines Maths '!K191&gt;0),'Items sous domaines Maths '!F191,0)</f>
        <v>Savoir les définitions d'antécédent, d'image.</v>
      </c>
      <c r="G187" s="724"/>
      <c r="H187" s="713" t="str">
        <f>IF(AND('Items sous domaines Maths '!K191&lt;=5, 'Items sous domaines Maths '!K191&gt;0),'Items sous domaines Maths '!L191,0)</f>
        <v>Généralités sur les fonctions (unisciel.fr)</v>
      </c>
      <c r="I187" s="245"/>
    </row>
    <row r="188" spans="1:9" ht="19.95" customHeight="1" x14ac:dyDescent="0.3">
      <c r="A188" s="630"/>
      <c r="B188" s="155" t="str">
        <f>IF(AND('Items sous domaines Maths '!K192&lt;=5, 'Items sous domaines Maths '!K192&gt;0),'Items sous domaines Maths '!B192,0)</f>
        <v>Analyse</v>
      </c>
      <c r="C188" s="156" t="str">
        <f>IF(AND('Items sous domaines Maths '!K192&lt;=5, 'Items sous domaines Maths '!K192&gt;0),'Items sous domaines Maths '!C192)</f>
        <v>Fonctions d'une variable</v>
      </c>
      <c r="D188" s="156">
        <f>IF(AND('Items sous domaines Maths '!K192&lt;=5, 'Items sous domaines Maths '!K192&gt;0),'Items sous domaines Maths '!D192,0)</f>
        <v>0</v>
      </c>
      <c r="E188" s="156" t="str">
        <f>IF(AND('Items sous domaines Maths '!K192&lt;=5, 'Items sous domaines Maths '!K192&gt;0),'Items sous domaines Maths '!E192,0)</f>
        <v>Propriétés</v>
      </c>
      <c r="F188" s="157" t="str">
        <f>IF(AND('Items sous domaines Maths '!K192&lt;=5, 'Items sous domaines Maths '!K192&gt;0),'Items sous domaines Maths '!F192,0)</f>
        <v>Etudier la parité, la périodicité, réduction d'intervalles d'étude et étudier une fonction.</v>
      </c>
      <c r="G188" s="722"/>
      <c r="H188" s="711"/>
      <c r="I188" s="249"/>
    </row>
    <row r="189" spans="1:9" ht="19.95" customHeight="1" x14ac:dyDescent="0.3">
      <c r="A189" s="630"/>
      <c r="B189" s="161" t="str">
        <f>IF(AND('Items sous domaines Maths '!K193&lt;=5, 'Items sous domaines Maths '!K193&gt;0),'Items sous domaines Maths '!B193,0)</f>
        <v>Analyse</v>
      </c>
      <c r="C189" s="162" t="str">
        <f>IF(AND('Items sous domaines Maths '!K193&lt;=5, 'Items sous domaines Maths '!K193&gt;0),'Items sous domaines Maths '!C193)</f>
        <v>Fonctions d'une variable</v>
      </c>
      <c r="D189" s="162" t="str">
        <f>IF(AND('Items sous domaines Maths '!K193&lt;=5, 'Items sous domaines Maths '!K193&gt;0),'Items sous domaines Maths '!D193,0)</f>
        <v xml:space="preserve">Limites </v>
      </c>
      <c r="E189" s="162" t="str">
        <f>IF(AND('Items sous domaines Maths '!K193&lt;=5, 'Items sous domaines Maths '!K193&gt;0),'Items sous domaines Maths '!E193,0)</f>
        <v>Limites finies et infinies en un réel fini et en l'infini</v>
      </c>
      <c r="F189" s="163">
        <f>IF(AND('Items sous domaines Maths '!K193&lt;=5, 'Items sous domaines Maths '!K193&gt;0),'Items sous domaines Maths '!F193,0)</f>
        <v>0</v>
      </c>
      <c r="G189" s="722"/>
      <c r="H189" s="711"/>
      <c r="I189" s="249"/>
    </row>
    <row r="190" spans="1:9" ht="19.95" customHeight="1" x14ac:dyDescent="0.3">
      <c r="A190" s="630"/>
      <c r="B190" s="155" t="str">
        <f>IF(AND('Items sous domaines Maths '!K194&lt;=5, 'Items sous domaines Maths '!K194&gt;0),'Items sous domaines Maths '!B194,0)</f>
        <v>Analyse</v>
      </c>
      <c r="C190" s="156" t="str">
        <f>IF(AND('Items sous domaines Maths '!K194&lt;=5, 'Items sous domaines Maths '!K194&gt;0),'Items sous domaines Maths '!C194)</f>
        <v>Fonctions d'une variable</v>
      </c>
      <c r="D190" s="156">
        <f>IF(AND('Items sous domaines Maths '!K194&lt;=5, 'Items sous domaines Maths '!K194&gt;0),'Items sous domaines Maths '!D194,0)</f>
        <v>0</v>
      </c>
      <c r="E190" s="156" t="str">
        <f>IF(AND('Items sous domaines Maths '!K194&lt;=5, 'Items sous domaines Maths '!K194&gt;0),'Items sous domaines Maths '!E194,0)</f>
        <v>Limites des fonctions usuelles</v>
      </c>
      <c r="F190" s="157">
        <f>IF(AND('Items sous domaines Maths '!K194&lt;=5, 'Items sous domaines Maths '!K194&gt;0),'Items sous domaines Maths '!F194,0)</f>
        <v>0</v>
      </c>
      <c r="G190" s="722"/>
      <c r="H190" s="711"/>
      <c r="I190" s="249"/>
    </row>
    <row r="191" spans="1:9" ht="19.95" customHeight="1" x14ac:dyDescent="0.3">
      <c r="A191" s="630"/>
      <c r="B191" s="161" t="str">
        <f>IF(AND('Items sous domaines Maths '!K195&lt;=5, 'Items sous domaines Maths '!K195&gt;0),'Items sous domaines Maths '!B195,0)</f>
        <v>Analyse</v>
      </c>
      <c r="C191" s="162" t="str">
        <f>IF(AND('Items sous domaines Maths '!K195&lt;=5, 'Items sous domaines Maths '!K195&gt;0),'Items sous domaines Maths '!C195)</f>
        <v>Fonctions d'une variable</v>
      </c>
      <c r="D191" s="162">
        <f>IF(AND('Items sous domaines Maths '!K195&lt;=5, 'Items sous domaines Maths '!K195&gt;0),'Items sous domaines Maths '!D195,0)</f>
        <v>0</v>
      </c>
      <c r="E191" s="162" t="str">
        <f>IF(AND('Items sous domaines Maths '!K195&lt;=5, 'Items sous domaines Maths '!K195&gt;0),'Items sous domaines Maths '!E195,0)</f>
        <v>Opérations sur les limites et formes indéterminées</v>
      </c>
      <c r="F191" s="163">
        <f>IF(AND('Items sous domaines Maths '!K195&lt;=5, 'Items sous domaines Maths '!K195&gt;0),'Items sous domaines Maths '!F195,0)</f>
        <v>0</v>
      </c>
      <c r="G191" s="722"/>
      <c r="H191" s="711"/>
      <c r="I191" s="249"/>
    </row>
    <row r="192" spans="1:9" ht="19.95" customHeight="1" x14ac:dyDescent="0.3">
      <c r="A192" s="630"/>
      <c r="B192" s="155" t="str">
        <f>IF(AND('Items sous domaines Maths '!K196&lt;=5, 'Items sous domaines Maths '!K196&gt;0),'Items sous domaines Maths '!B196,0)</f>
        <v>Analyse</v>
      </c>
      <c r="C192" s="156" t="str">
        <f>IF(AND('Items sous domaines Maths '!K196&lt;=5, 'Items sous domaines Maths '!K196&gt;0),'Items sous domaines Maths '!C196)</f>
        <v>Fonctions d'une variable</v>
      </c>
      <c r="D192" s="156">
        <f>IF(AND('Items sous domaines Maths '!K196&lt;=5, 'Items sous domaines Maths '!K196&gt;0),'Items sous domaines Maths '!D196,0)</f>
        <v>0</v>
      </c>
      <c r="E192" s="156" t="str">
        <f>IF(AND('Items sous domaines Maths '!K196&lt;=5, 'Items sous domaines Maths '!K196&gt;0),'Items sous domaines Maths '!E196,0)</f>
        <v xml:space="preserve">Techniques de calculs de limites </v>
      </c>
      <c r="F192" s="157" t="str">
        <f>IF(AND('Items sous domaines Maths '!K196&lt;=5, 'Items sous domaines Maths '!K196&gt;0),'Items sous domaines Maths '!F196,0)</f>
        <v>Levées d'indeterminations.</v>
      </c>
      <c r="G192" s="722"/>
      <c r="H192" s="711"/>
      <c r="I192" s="249"/>
    </row>
    <row r="193" spans="1:9" ht="19.95" customHeight="1" x14ac:dyDescent="0.3">
      <c r="A193" s="630"/>
      <c r="B193" s="161" t="str">
        <f>IF(AND('Items sous domaines Maths '!K197&lt;=5, 'Items sous domaines Maths '!K197&gt;0),'Items sous domaines Maths '!B197,0)</f>
        <v>Analyse</v>
      </c>
      <c r="C193" s="162" t="str">
        <f>IF(AND('Items sous domaines Maths '!K197&lt;=5, 'Items sous domaines Maths '!K197&gt;0),'Items sous domaines Maths '!C197)</f>
        <v>Fonctions d'une variable</v>
      </c>
      <c r="D193" s="162">
        <f>IF(AND('Items sous domaines Maths '!K197&lt;=5, 'Items sous domaines Maths '!K197&gt;0),'Items sous domaines Maths '!D197,0)</f>
        <v>0</v>
      </c>
      <c r="E193" s="162" t="str">
        <f>IF(AND('Items sous domaines Maths '!K197&lt;=5, 'Items sous domaines Maths '!K197&gt;0),'Items sous domaines Maths '!E197,0)</f>
        <v>Interprétation graphique et asymptotes</v>
      </c>
      <c r="F193" s="163">
        <f>IF(AND('Items sous domaines Maths '!K197&lt;=5, 'Items sous domaines Maths '!K197&gt;0),'Items sous domaines Maths '!F197,0)</f>
        <v>0</v>
      </c>
      <c r="G193" s="722"/>
      <c r="H193" s="711"/>
      <c r="I193" s="249"/>
    </row>
    <row r="194" spans="1:9" ht="19.95" customHeight="1" x14ac:dyDescent="0.3">
      <c r="A194" s="630"/>
      <c r="B194" s="155" t="str">
        <f>IF(AND('Items sous domaines Maths '!K198&lt;=5, 'Items sous domaines Maths '!K198&gt;0),'Items sous domaines Maths '!B198,0)</f>
        <v>Analyse</v>
      </c>
      <c r="C194" s="156" t="str">
        <f>IF(AND('Items sous domaines Maths '!K198&lt;=5, 'Items sous domaines Maths '!K198&gt;0),'Items sous domaines Maths '!C198)</f>
        <v>Fonctions d'une variable</v>
      </c>
      <c r="D194" s="156" t="str">
        <f>IF(AND('Items sous domaines Maths '!K198&lt;=5, 'Items sous domaines Maths '!K198&gt;0),'Items sous domaines Maths '!D198,0)</f>
        <v>Continuité</v>
      </c>
      <c r="E194" s="156" t="str">
        <f>IF(AND('Items sous domaines Maths '!K198&lt;=5, 'Items sous domaines Maths '!K198&gt;0),'Items sous domaines Maths '!E198,0)</f>
        <v>Continuité en un point</v>
      </c>
      <c r="F194" s="157">
        <f>IF(AND('Items sous domaines Maths '!K198&lt;=5, 'Items sous domaines Maths '!K198&gt;0),'Items sous domaines Maths '!F198,0)</f>
        <v>0</v>
      </c>
      <c r="G194" s="722"/>
      <c r="H194" s="711"/>
      <c r="I194" s="249"/>
    </row>
    <row r="195" spans="1:9" ht="19.95" customHeight="1" thickBot="1" x14ac:dyDescent="0.35">
      <c r="A195" s="630"/>
      <c r="B195" s="161" t="str">
        <f>IF(AND('Items sous domaines Maths '!K199&lt;=5, 'Items sous domaines Maths '!K199&gt;0),'Items sous domaines Maths '!B199,0)</f>
        <v>Analyse</v>
      </c>
      <c r="C195" s="162" t="str">
        <f>IF(AND('Items sous domaines Maths '!K199&lt;=5, 'Items sous domaines Maths '!K199&gt;0),'Items sous domaines Maths '!C199)</f>
        <v>Fonctions d'une variable</v>
      </c>
      <c r="D195" s="162">
        <f>IF(AND('Items sous domaines Maths '!K199&lt;=5, 'Items sous domaines Maths '!K199&gt;0),'Items sous domaines Maths '!D199,0)</f>
        <v>0</v>
      </c>
      <c r="E195" s="162" t="str">
        <f>IF(AND('Items sous domaines Maths '!K199&lt;=5, 'Items sous domaines Maths '!K199&gt;0),'Items sous domaines Maths '!E199,0)</f>
        <v>Continuité sur un intervalle</v>
      </c>
      <c r="F195" s="163">
        <f>IF(AND('Items sous domaines Maths '!K199&lt;=5, 'Items sous domaines Maths '!K199&gt;0),'Items sous domaines Maths '!F199,0)</f>
        <v>0</v>
      </c>
      <c r="G195" s="722"/>
      <c r="H195" s="714"/>
      <c r="I195" s="249"/>
    </row>
    <row r="196" spans="1:9" ht="19.95" customHeight="1" x14ac:dyDescent="0.3">
      <c r="A196" s="630"/>
      <c r="B196" s="155" t="str">
        <f>IF(AND('Items sous domaines Maths '!K200&lt;=5, 'Items sous domaines Maths '!K200&gt;0),'Items sous domaines Maths '!B200,0)</f>
        <v>Analyse</v>
      </c>
      <c r="C196" s="156" t="str">
        <f>IF(AND('Items sous domaines Maths '!K200&lt;=5, 'Items sous domaines Maths '!K200&gt;0),'Items sous domaines Maths '!C200)</f>
        <v>Fonctions d'une variable</v>
      </c>
      <c r="D196" s="156" t="str">
        <f>IF(AND('Items sous domaines Maths '!K200&lt;=5, 'Items sous domaines Maths '!K200&gt;0),'Items sous domaines Maths '!D200,0)</f>
        <v>Derivation</v>
      </c>
      <c r="E196" s="156" t="str">
        <f>IF(AND('Items sous domaines Maths '!K200&lt;=5, 'Items sous domaines Maths '!K200&gt;0),'Items sous domaines Maths '!E200,0)</f>
        <v>Dérivabilité en un point</v>
      </c>
      <c r="F196" s="157" t="str">
        <f>IF(AND('Items sous domaines Maths '!K200&lt;=5, 'Items sous domaines Maths '!K200&gt;0),'Items sous domaines Maths '!F200,0)</f>
        <v>Notion de nombre dérivé et interprétation géométrique. Taux de variation.</v>
      </c>
      <c r="G196" s="722"/>
      <c r="H196" s="710" t="str">
        <f>IF(AND('Items sous domaines Maths '!K200&lt;=5, 'Items sous domaines Maths '!K200&gt;0),'Items sous domaines Maths '!L200,0)</f>
        <v>Etude locale des fonctions d'une variable réelle (unisciel.fr)</v>
      </c>
      <c r="I196" s="249"/>
    </row>
    <row r="197" spans="1:9" ht="19.95" customHeight="1" x14ac:dyDescent="0.3">
      <c r="A197" s="630"/>
      <c r="B197" s="161" t="str">
        <f>IF(AND('Items sous domaines Maths '!K201&lt;=5, 'Items sous domaines Maths '!K201&gt;0),'Items sous domaines Maths '!B201,0)</f>
        <v>Analyse</v>
      </c>
      <c r="C197" s="162" t="str">
        <f>IF(AND('Items sous domaines Maths '!K201&lt;=5, 'Items sous domaines Maths '!K201&gt;0),'Items sous domaines Maths '!C201)</f>
        <v>Fonctions d'une variable</v>
      </c>
      <c r="D197" s="162">
        <f>IF(AND('Items sous domaines Maths '!K201&lt;=5, 'Items sous domaines Maths '!K201&gt;0),'Items sous domaines Maths '!D201,0)</f>
        <v>0</v>
      </c>
      <c r="E197" s="162">
        <f>IF(AND('Items sous domaines Maths '!K201&lt;=5, 'Items sous domaines Maths '!K201&gt;0),'Items sous domaines Maths '!E201,0)</f>
        <v>0</v>
      </c>
      <c r="F197" s="163" t="str">
        <f>IF(AND('Items sous domaines Maths '!K201&lt;=5, 'Items sous domaines Maths '!K201&gt;0),'Items sous domaines Maths '!F201,0)</f>
        <v>Existence et équation de la tangente en un point.</v>
      </c>
      <c r="G197" s="722"/>
      <c r="H197" s="711"/>
      <c r="I197" s="249"/>
    </row>
    <row r="198" spans="1:9" ht="19.95" customHeight="1" x14ac:dyDescent="0.3">
      <c r="A198" s="630"/>
      <c r="B198" s="155" t="str">
        <f>IF(AND('Items sous domaines Maths '!K202&lt;=5, 'Items sous domaines Maths '!K202&gt;0),'Items sous domaines Maths '!B202,0)</f>
        <v>Analyse</v>
      </c>
      <c r="C198" s="156" t="str">
        <f>IF(AND('Items sous domaines Maths '!K202&lt;=5, 'Items sous domaines Maths '!K202&gt;0),'Items sous domaines Maths '!C202)</f>
        <v>Fonctions d'une variable</v>
      </c>
      <c r="D198" s="156">
        <f>IF(AND('Items sous domaines Maths '!K202&lt;=5, 'Items sous domaines Maths '!K202&gt;0),'Items sous domaines Maths '!D202,0)</f>
        <v>0</v>
      </c>
      <c r="E198" s="156" t="str">
        <f>IF(AND('Items sous domaines Maths '!K202&lt;=5, 'Items sous domaines Maths '!K202&gt;0),'Items sous domaines Maths '!E202,0)</f>
        <v>Dérivabilité sur un intervalle</v>
      </c>
      <c r="F198" s="157" t="str">
        <f>IF(AND('Items sous domaines Maths '!K202&lt;=5, 'Items sous domaines Maths '!K202&gt;0),'Items sous domaines Maths '!F202,0)</f>
        <v>Formules des dérivées usuelles et domaines d'existence.</v>
      </c>
      <c r="G198" s="722"/>
      <c r="H198" s="711"/>
      <c r="I198" s="249"/>
    </row>
    <row r="199" spans="1:9" ht="19.95" customHeight="1" x14ac:dyDescent="0.3">
      <c r="A199" s="630"/>
      <c r="B199" s="161" t="str">
        <f>IF(AND('Items sous domaines Maths '!K203&lt;=5, 'Items sous domaines Maths '!K203&gt;0),'Items sous domaines Maths '!B203,0)</f>
        <v>Analyse</v>
      </c>
      <c r="C199" s="162" t="str">
        <f>IF(AND('Items sous domaines Maths '!K203&lt;=5, 'Items sous domaines Maths '!K203&gt;0),'Items sous domaines Maths '!C203)</f>
        <v>Fonctions d'une variable</v>
      </c>
      <c r="D199" s="162">
        <f>IF(AND('Items sous domaines Maths '!K203&lt;=5, 'Items sous domaines Maths '!K203&gt;0),'Items sous domaines Maths '!D203,0)</f>
        <v>0</v>
      </c>
      <c r="E199" s="162" t="str">
        <f>IF(AND('Items sous domaines Maths '!K203&lt;=5, 'Items sous domaines Maths '!K203&gt;0),'Items sous domaines Maths '!E203,0)</f>
        <v>Application de la dérivée</v>
      </c>
      <c r="F199" s="163" t="str">
        <f>IF(AND('Items sous domaines Maths '!K203&lt;=5, 'Items sous domaines Maths '!K203&gt;0),'Items sous domaines Maths '!F203,0)</f>
        <v>Signe de la dérivée d'ordre un et variation.</v>
      </c>
      <c r="G199" s="722"/>
      <c r="H199" s="711"/>
      <c r="I199" s="249"/>
    </row>
    <row r="200" spans="1:9" ht="19.95" customHeight="1" x14ac:dyDescent="0.3">
      <c r="A200" s="630"/>
      <c r="B200" s="155" t="str">
        <f>IF(AND('Items sous domaines Maths '!K204&lt;=5, 'Items sous domaines Maths '!K204&gt;0),'Items sous domaines Maths '!B204,0)</f>
        <v>Analyse</v>
      </c>
      <c r="C200" s="156" t="str">
        <f>IF(AND('Items sous domaines Maths '!K204&lt;=5, 'Items sous domaines Maths '!K204&gt;0),'Items sous domaines Maths '!C204)</f>
        <v>Fonctions d'une variable</v>
      </c>
      <c r="D200" s="156">
        <f>IF(AND('Items sous domaines Maths '!K204&lt;=5, 'Items sous domaines Maths '!K204&gt;0),'Items sous domaines Maths '!D204,0)</f>
        <v>0</v>
      </c>
      <c r="E200" s="156">
        <f>IF(AND('Items sous domaines Maths '!K204&lt;=5, 'Items sous domaines Maths '!K204&gt;0),'Items sous domaines Maths '!E204,0)</f>
        <v>0</v>
      </c>
      <c r="F200" s="157" t="str">
        <f>IF(AND('Items sous domaines Maths '!K204&lt;=5, 'Items sous domaines Maths '!K204&gt;0),'Items sous domaines Maths '!F204,0)</f>
        <v>Extremum local et global.</v>
      </c>
      <c r="G200" s="722"/>
      <c r="H200" s="711"/>
      <c r="I200" s="249"/>
    </row>
    <row r="201" spans="1:9" ht="19.95" customHeight="1" x14ac:dyDescent="0.3">
      <c r="A201" s="630"/>
      <c r="B201" s="161" t="str">
        <f>IF(AND('Items sous domaines Maths '!K205&lt;=5, 'Items sous domaines Maths '!K205&gt;0),'Items sous domaines Maths '!B205,0)</f>
        <v>Analyse</v>
      </c>
      <c r="C201" s="162" t="str">
        <f>IF(AND('Items sous domaines Maths '!K205&lt;=5, 'Items sous domaines Maths '!K205&gt;0),'Items sous domaines Maths '!C205)</f>
        <v>Fonctions d'une variable</v>
      </c>
      <c r="D201" s="162">
        <f>IF(AND('Items sous domaines Maths '!K205&lt;=5, 'Items sous domaines Maths '!K205&gt;0),'Items sous domaines Maths '!D205,0)</f>
        <v>0</v>
      </c>
      <c r="E201" s="162">
        <f>IF(AND('Items sous domaines Maths '!K205&lt;=5, 'Items sous domaines Maths '!K205&gt;0),'Items sous domaines Maths '!E205,0)</f>
        <v>0</v>
      </c>
      <c r="F201" s="163" t="str">
        <f>IF(AND('Items sous domaines Maths '!K205&lt;=5, 'Items sous domaines Maths '!K205&gt;0),'Items sous domaines Maths '!F205,0)</f>
        <v>Signe de la dérivée d'ordre deux et convexité.</v>
      </c>
      <c r="G201" s="722"/>
      <c r="H201" s="711"/>
      <c r="I201" s="249"/>
    </row>
    <row r="202" spans="1:9" ht="19.95" customHeight="1" x14ac:dyDescent="0.3">
      <c r="A202" s="630"/>
      <c r="B202" s="155" t="str">
        <f>IF(AND('Items sous domaines Maths '!K206&lt;=5, 'Items sous domaines Maths '!K206&gt;0),'Items sous domaines Maths '!B206,0)</f>
        <v>Analyse</v>
      </c>
      <c r="C202" s="156" t="str">
        <f>IF(AND('Items sous domaines Maths '!K206&lt;=5, 'Items sous domaines Maths '!K206&gt;0),'Items sous domaines Maths '!C206)</f>
        <v>Fonctions d'une variable</v>
      </c>
      <c r="D202" s="156">
        <f>IF(AND('Items sous domaines Maths '!K206&lt;=5, 'Items sous domaines Maths '!K206&gt;0),'Items sous domaines Maths '!D206,0)</f>
        <v>0</v>
      </c>
      <c r="E202" s="156">
        <f>IF(AND('Items sous domaines Maths '!K206&lt;=5, 'Items sous domaines Maths '!K206&gt;0),'Items sous domaines Maths '!E206,0)</f>
        <v>0</v>
      </c>
      <c r="F202" s="157" t="str">
        <f>IF(AND('Items sous domaines Maths '!K206&lt;=5, 'Items sous domaines Maths '!K206&gt;0),'Items sous domaines Maths '!F206,0)</f>
        <v>Dérivées d'ordre supérieur, formule de la dérivée n-ième d'un produit de fonctions dérivables.</v>
      </c>
      <c r="G202" s="722"/>
      <c r="H202" s="711"/>
      <c r="I202" s="249"/>
    </row>
    <row r="203" spans="1:9" ht="19.95" customHeight="1" x14ac:dyDescent="0.3">
      <c r="A203" s="630"/>
      <c r="B203" s="161" t="str">
        <f>IF(AND('Items sous domaines Maths '!K207&lt;=5, 'Items sous domaines Maths '!K207&gt;0),'Items sous domaines Maths '!B207,0)</f>
        <v>Analyse</v>
      </c>
      <c r="C203" s="162" t="str">
        <f>IF(AND('Items sous domaines Maths '!K207&lt;=5, 'Items sous domaines Maths '!K207&gt;0),'Items sous domaines Maths '!C207)</f>
        <v>Fonctions d'une variable</v>
      </c>
      <c r="D203" s="162">
        <f>IF(AND('Items sous domaines Maths '!K207&lt;=5, 'Items sous domaines Maths '!K207&gt;0),'Items sous domaines Maths '!D207,0)</f>
        <v>0</v>
      </c>
      <c r="E203" s="162">
        <f>IF(AND('Items sous domaines Maths '!K207&lt;=5, 'Items sous domaines Maths '!K207&gt;0),'Items sous domaines Maths '!E207,0)</f>
        <v>0</v>
      </c>
      <c r="F203" s="163" t="str">
        <f>IF(AND('Items sous domaines Maths '!K207&lt;=5, 'Items sous domaines Maths '!K207&gt;0),'Items sous domaines Maths '!F207,0)</f>
        <v>Fonctions de classe Cn.</v>
      </c>
      <c r="G203" s="722"/>
      <c r="H203" s="711"/>
      <c r="I203" s="249"/>
    </row>
    <row r="204" spans="1:9" ht="19.95" customHeight="1" x14ac:dyDescent="0.3">
      <c r="A204" s="630"/>
      <c r="B204" s="155" t="str">
        <f>IF(AND('Items sous domaines Maths '!K208&lt;=5, 'Items sous domaines Maths '!K208&gt;0),'Items sous domaines Maths '!B208,0)</f>
        <v>Analyse</v>
      </c>
      <c r="C204" s="156" t="str">
        <f>IF(AND('Items sous domaines Maths '!K208&lt;=5, 'Items sous domaines Maths '!K208&gt;0),'Items sous domaines Maths '!C208)</f>
        <v>Fonctions d'une variable</v>
      </c>
      <c r="D204" s="156">
        <f>IF(AND('Items sous domaines Maths '!K208&lt;=5, 'Items sous domaines Maths '!K208&gt;0),'Items sous domaines Maths '!D208,0)</f>
        <v>0</v>
      </c>
      <c r="E204" s="156" t="str">
        <f>IF(AND('Items sous domaines Maths '!K208&lt;=5, 'Items sous domaines Maths '!K208&gt;0),'Items sous domaines Maths '!E208,0)</f>
        <v>Théorèmes</v>
      </c>
      <c r="F204" s="157" t="str">
        <f>IF(AND('Items sous domaines Maths '!K208&lt;=5, 'Items sous domaines Maths '!K208&gt;0),'Items sous domaines Maths '!F208,0)</f>
        <v>Théorème de Rolle.</v>
      </c>
      <c r="G204" s="722"/>
      <c r="H204" s="711"/>
      <c r="I204" s="249"/>
    </row>
    <row r="205" spans="1:9" ht="19.95" customHeight="1" x14ac:dyDescent="0.3">
      <c r="A205" s="630"/>
      <c r="B205" s="161" t="str">
        <f>IF(AND('Items sous domaines Maths '!K209&lt;=5, 'Items sous domaines Maths '!K209&gt;0),'Items sous domaines Maths '!B209,0)</f>
        <v>Analyse</v>
      </c>
      <c r="C205" s="162" t="str">
        <f>IF(AND('Items sous domaines Maths '!K209&lt;=5, 'Items sous domaines Maths '!K209&gt;0),'Items sous domaines Maths '!C209)</f>
        <v>Fonctions d'une variable</v>
      </c>
      <c r="D205" s="162">
        <f>IF(AND('Items sous domaines Maths '!K209&lt;=5, 'Items sous domaines Maths '!K209&gt;0),'Items sous domaines Maths '!D209,0)</f>
        <v>0</v>
      </c>
      <c r="E205" s="162">
        <f>IF(AND('Items sous domaines Maths '!K209&lt;=5, 'Items sous domaines Maths '!K209&gt;0),'Items sous domaines Maths '!E209,0)</f>
        <v>0</v>
      </c>
      <c r="F205" s="163" t="str">
        <f>IF(AND('Items sous domaines Maths '!K209&lt;=5, 'Items sous domaines Maths '!K209&gt;0),'Items sous domaines Maths '!F209,0)</f>
        <v>Inégalité et théorème des accroissements finis.</v>
      </c>
      <c r="G205" s="722"/>
      <c r="H205" s="711"/>
      <c r="I205" s="249"/>
    </row>
    <row r="206" spans="1:9" ht="19.95" customHeight="1" thickBot="1" x14ac:dyDescent="0.35">
      <c r="A206" s="631"/>
      <c r="B206" s="258" t="str">
        <f>IF(AND('Items sous domaines Maths '!K210&lt;=5, 'Items sous domaines Maths '!K210&gt;0),'Items sous domaines Maths '!B210,0)</f>
        <v>Analyse</v>
      </c>
      <c r="C206" s="259" t="str">
        <f>IF(AND('Items sous domaines Maths '!K210&lt;=5, 'Items sous domaines Maths '!K210&gt;0),'Items sous domaines Maths '!C210)</f>
        <v>Fonctions d'une variable</v>
      </c>
      <c r="D206" s="259">
        <f>IF(AND('Items sous domaines Maths '!K210&lt;=5, 'Items sous domaines Maths '!K210&gt;0),'Items sous domaines Maths '!D210,0)</f>
        <v>0</v>
      </c>
      <c r="E206" s="259">
        <f>IF(AND('Items sous domaines Maths '!K210&lt;=5, 'Items sous domaines Maths '!K210&gt;0),'Items sous domaines Maths '!E210,0)</f>
        <v>0</v>
      </c>
      <c r="F206" s="260" t="str">
        <f>IF(AND('Items sous domaines Maths '!K210&lt;=5, 'Items sous domaines Maths '!K210&gt;0),'Items sous domaines Maths '!F210,0)</f>
        <v>Théorème des valeurs intermédiaires, théorème de la bijection.</v>
      </c>
      <c r="G206" s="723"/>
      <c r="H206" s="712"/>
      <c r="I206" s="253"/>
    </row>
    <row r="207" spans="1:9" customFormat="1" ht="17.399999999999999" hidden="1" customHeight="1" thickTop="1" thickBot="1" x14ac:dyDescent="0.3">
      <c r="B207">
        <f>IF(AND('Items sous domaines Maths '!K211&lt;=5, 'Items sous domaines Maths '!K211&gt;0),'Items sous domaines Maths '!B211,0)</f>
        <v>0</v>
      </c>
      <c r="C207" t="b">
        <f>IF(AND('Items sous domaines Maths '!K211&lt;=5, 'Items sous domaines Maths '!K211&gt;0),'Items sous domaines Maths '!C211)</f>
        <v>0</v>
      </c>
      <c r="D207">
        <f>IF(AND('Items sous domaines Maths '!K211&lt;=5, 'Items sous domaines Maths '!K211&gt;0),'Items sous domaines Maths '!D211,0)</f>
        <v>0</v>
      </c>
      <c r="E207">
        <f>IF(AND('Items sous domaines Maths '!K211&lt;=5, 'Items sous domaines Maths '!K211&gt;0),'Items sous domaines Maths '!E211,0)</f>
        <v>0</v>
      </c>
      <c r="F207" s="10">
        <f>IF(AND('Items sous domaines Maths '!K211&lt;=5, 'Items sous domaines Maths '!K211&gt;0),'Items sous domaines Maths '!F211,0)</f>
        <v>0</v>
      </c>
      <c r="G207" s="647"/>
      <c r="H207" s="9">
        <f>IF(AND('Items sous domaines Maths '!K211&lt;=5, 'Items sous domaines Maths '!K211&gt;0),'Items sous domaines Maths '!L211,0)</f>
        <v>0</v>
      </c>
    </row>
    <row r="208" spans="1:9" ht="19.95" customHeight="1" thickTop="1" thickBot="1" x14ac:dyDescent="0.35">
      <c r="A208" s="728" t="s">
        <v>530</v>
      </c>
      <c r="B208" s="261" t="str">
        <f>IF(AND('Items sous domaines Maths '!K212&lt;=5, 'Items sous domaines Maths '!K212&gt;0),'Items sous domaines Maths '!B212,0)</f>
        <v>Analyse</v>
      </c>
      <c r="C208" s="262" t="str">
        <f>IF(AND('Items sous domaines Maths '!K212&lt;=5, 'Items sous domaines Maths '!K212&gt;0),'Items sous domaines Maths '!C212)</f>
        <v>Fonctions de plusieurs variables</v>
      </c>
      <c r="D208" s="262" t="str">
        <f>IF(AND('Items sous domaines Maths '!K212&lt;=5, 'Items sous domaines Maths '!K212&gt;0),'Items sous domaines Maths '!D212,0)</f>
        <v>Limites et continuité</v>
      </c>
      <c r="E208" s="262" t="str">
        <f>IF(AND('Items sous domaines Maths '!K212&lt;=5, 'Items sous domaines Maths '!K212&gt;0),'Items sous domaines Maths '!E212,0)</f>
        <v xml:space="preserve">Définition </v>
      </c>
      <c r="F208" s="263" t="str">
        <f>IF(AND('Items sous domaines Maths '!K212&lt;=5, 'Items sous domaines Maths '!K212&gt;0),'Items sous domaines Maths '!F212,0)</f>
        <v>Fonction de plusieurs variables et surfaces.</v>
      </c>
      <c r="G208" s="725"/>
      <c r="H208" s="709" t="s">
        <v>471</v>
      </c>
      <c r="I208" s="264"/>
    </row>
    <row r="209" spans="1:9" customFormat="1" ht="17.399999999999999" hidden="1" customHeight="1" thickTop="1" thickBot="1" x14ac:dyDescent="0.3">
      <c r="A209" s="729"/>
      <c r="B209">
        <f>IF(AND('Items sous domaines Maths '!K213&lt;=5, 'Items sous domaines Maths '!K213&gt;0),'Items sous domaines Maths '!B213,0)</f>
        <v>0</v>
      </c>
      <c r="C209" t="b">
        <f>IF(AND('Items sous domaines Maths '!K213&lt;=5, 'Items sous domaines Maths '!K213&gt;0),'Items sous domaines Maths '!C213)</f>
        <v>0</v>
      </c>
      <c r="D209">
        <f>IF(AND('Items sous domaines Maths '!K213&lt;=5, 'Items sous domaines Maths '!K213&gt;0),'Items sous domaines Maths '!D213,0)</f>
        <v>0</v>
      </c>
      <c r="E209">
        <f>IF(AND('Items sous domaines Maths '!K213&lt;=5, 'Items sous domaines Maths '!K213&gt;0),'Items sous domaines Maths '!E213,0)</f>
        <v>0</v>
      </c>
      <c r="F209" s="10">
        <f>IF(AND('Items sous domaines Maths '!K213&lt;=5, 'Items sous domaines Maths '!K213&gt;0),'Items sous domaines Maths '!F213,0)</f>
        <v>0</v>
      </c>
      <c r="G209" s="647"/>
      <c r="H209" s="705"/>
    </row>
    <row r="210" spans="1:9" customFormat="1" ht="17.399999999999999" hidden="1" customHeight="1" thickBot="1" x14ac:dyDescent="0.3">
      <c r="A210" s="729"/>
      <c r="B210" s="8">
        <f>IF(AND('Items sous domaines Maths '!K214&lt;=5, 'Items sous domaines Maths '!K214&gt;0),'Items sous domaines Maths '!B214,0)</f>
        <v>0</v>
      </c>
      <c r="C210" s="8" t="b">
        <f>IF(AND('Items sous domaines Maths '!K214&lt;=5, 'Items sous domaines Maths '!K214&gt;0),'Items sous domaines Maths '!C214)</f>
        <v>0</v>
      </c>
      <c r="D210" s="8">
        <f>IF(AND('Items sous domaines Maths '!K214&lt;=5, 'Items sous domaines Maths '!K214&gt;0),'Items sous domaines Maths '!D214,0)</f>
        <v>0</v>
      </c>
      <c r="E210" s="8">
        <f>IF(AND('Items sous domaines Maths '!K214&lt;=5, 'Items sous domaines Maths '!K214&gt;0),'Items sous domaines Maths '!E214,0)</f>
        <v>0</v>
      </c>
      <c r="F210" s="9">
        <f>IF(AND('Items sous domaines Maths '!K214&lt;=5, 'Items sous domaines Maths '!K214&gt;0),'Items sous domaines Maths '!F214,0)</f>
        <v>0</v>
      </c>
      <c r="G210" s="647"/>
      <c r="H210" s="705"/>
    </row>
    <row r="211" spans="1:9" ht="19.95" hidden="1" customHeight="1" thickTop="1" x14ac:dyDescent="0.3">
      <c r="A211" s="629"/>
      <c r="B211" s="265">
        <f>IF(AND('Items sous domaines Maths '!K215&lt;=5, 'Items sous domaines Maths '!K215&gt;0),'Items sous domaines Maths '!B215,0)</f>
        <v>0</v>
      </c>
      <c r="C211" s="266" t="b">
        <f>IF(AND('Items sous domaines Maths '!K215&lt;=5, 'Items sous domaines Maths '!K215&gt;0),'Items sous domaines Maths '!C215)</f>
        <v>0</v>
      </c>
      <c r="D211" s="266">
        <f>IF(AND('Items sous domaines Maths '!K215&lt;=5, 'Items sous domaines Maths '!K215&gt;0),'Items sous domaines Maths '!D215,0)</f>
        <v>0</v>
      </c>
      <c r="E211" s="266">
        <f>IF(AND('Items sous domaines Maths '!K215&lt;=5, 'Items sous domaines Maths '!K215&gt;0),'Items sous domaines Maths '!E215,0)</f>
        <v>0</v>
      </c>
      <c r="F211" s="267">
        <f>IF(AND('Items sous domaines Maths '!K215&lt;=5, 'Items sous domaines Maths '!K215&gt;0),'Items sous domaines Maths '!F215,0)</f>
        <v>0</v>
      </c>
      <c r="G211" s="724"/>
      <c r="H211" s="706"/>
      <c r="I211" s="245"/>
    </row>
    <row r="212" spans="1:9" ht="19.95" hidden="1" customHeight="1" x14ac:dyDescent="0.3">
      <c r="A212" s="630"/>
      <c r="B212" s="161">
        <f>IF(AND('Items sous domaines Maths '!K216&lt;=5, 'Items sous domaines Maths '!K216&gt;0),'Items sous domaines Maths '!B216,0)</f>
        <v>0</v>
      </c>
      <c r="C212" s="162" t="b">
        <f>IF(AND('Items sous domaines Maths '!K216&lt;=5, 'Items sous domaines Maths '!K216&gt;0),'Items sous domaines Maths '!C216)</f>
        <v>0</v>
      </c>
      <c r="D212" s="162">
        <f>IF(AND('Items sous domaines Maths '!K216&lt;=5, 'Items sous domaines Maths '!K216&gt;0),'Items sous domaines Maths '!D216,0)</f>
        <v>0</v>
      </c>
      <c r="E212" s="162">
        <f>IF(AND('Items sous domaines Maths '!K216&lt;=5, 'Items sous domaines Maths '!K216&gt;0),'Items sous domaines Maths '!E216,0)</f>
        <v>0</v>
      </c>
      <c r="F212" s="163">
        <f>IF(AND('Items sous domaines Maths '!K216&lt;=5, 'Items sous domaines Maths '!K216&gt;0),'Items sous domaines Maths '!F216,0)</f>
        <v>0</v>
      </c>
      <c r="G212" s="722"/>
      <c r="H212" s="708"/>
      <c r="I212" s="249"/>
    </row>
    <row r="213" spans="1:9" ht="19.95" hidden="1" customHeight="1" x14ac:dyDescent="0.3">
      <c r="A213" s="630"/>
      <c r="B213" s="155">
        <f>IF(AND('Items sous domaines Maths '!K217&lt;=5, 'Items sous domaines Maths '!K217&gt;0),'Items sous domaines Maths '!B217,0)</f>
        <v>0</v>
      </c>
      <c r="C213" s="156" t="b">
        <f>IF(AND('Items sous domaines Maths '!K217&lt;=5, 'Items sous domaines Maths '!K217&gt;0),'Items sous domaines Maths '!C217)</f>
        <v>0</v>
      </c>
      <c r="D213" s="156">
        <f>IF(AND('Items sous domaines Maths '!K217&lt;=5, 'Items sous domaines Maths '!K217&gt;0),'Items sous domaines Maths '!D217,0)</f>
        <v>0</v>
      </c>
      <c r="E213" s="156">
        <f>IF(AND('Items sous domaines Maths '!K217&lt;=5, 'Items sous domaines Maths '!K217&gt;0),'Items sous domaines Maths '!E217,0)</f>
        <v>0</v>
      </c>
      <c r="F213" s="157">
        <f>IF(AND('Items sous domaines Maths '!K217&lt;=5, 'Items sous domaines Maths '!K217&gt;0),'Items sous domaines Maths '!F217,0)</f>
        <v>0</v>
      </c>
      <c r="G213" s="722"/>
      <c r="H213" s="708"/>
      <c r="I213" s="249"/>
    </row>
    <row r="214" spans="1:9" ht="19.95" hidden="1" customHeight="1" x14ac:dyDescent="0.3">
      <c r="A214" s="630"/>
      <c r="B214" s="161">
        <f>IF(AND('Items sous domaines Maths '!K218&lt;=5, 'Items sous domaines Maths '!K218&gt;0),'Items sous domaines Maths '!B218,0)</f>
        <v>0</v>
      </c>
      <c r="C214" s="162" t="b">
        <f>IF(AND('Items sous domaines Maths '!K218&lt;=5, 'Items sous domaines Maths '!K218&gt;0),'Items sous domaines Maths '!C218)</f>
        <v>0</v>
      </c>
      <c r="D214" s="162">
        <f>IF(AND('Items sous domaines Maths '!K218&lt;=5, 'Items sous domaines Maths '!K218&gt;0),'Items sous domaines Maths '!D218,0)</f>
        <v>0</v>
      </c>
      <c r="E214" s="162">
        <f>IF(AND('Items sous domaines Maths '!K218&lt;=5, 'Items sous domaines Maths '!K218&gt;0),'Items sous domaines Maths '!E218,0)</f>
        <v>0</v>
      </c>
      <c r="F214" s="163">
        <f>IF(AND('Items sous domaines Maths '!K218&lt;=5, 'Items sous domaines Maths '!K218&gt;0),'Items sous domaines Maths '!F218,0)</f>
        <v>0</v>
      </c>
      <c r="G214" s="722"/>
      <c r="H214" s="708"/>
      <c r="I214" s="249"/>
    </row>
    <row r="215" spans="1:9" ht="19.95" hidden="1" customHeight="1" x14ac:dyDescent="0.3">
      <c r="A215" s="630"/>
      <c r="B215" s="155">
        <f>IF(AND('Items sous domaines Maths '!K219&lt;=5, 'Items sous domaines Maths '!K219&gt;0),'Items sous domaines Maths '!B219,0)</f>
        <v>0</v>
      </c>
      <c r="C215" s="156" t="b">
        <f>IF(AND('Items sous domaines Maths '!K219&lt;=5, 'Items sous domaines Maths '!K219&gt;0),'Items sous domaines Maths '!C219)</f>
        <v>0</v>
      </c>
      <c r="D215" s="156">
        <f>IF(AND('Items sous domaines Maths '!K219&lt;=5, 'Items sous domaines Maths '!K219&gt;0),'Items sous domaines Maths '!D219,0)</f>
        <v>0</v>
      </c>
      <c r="E215" s="156">
        <f>IF(AND('Items sous domaines Maths '!K219&lt;=5, 'Items sous domaines Maths '!K219&gt;0),'Items sous domaines Maths '!E219,0)</f>
        <v>0</v>
      </c>
      <c r="F215" s="157">
        <f>IF(AND('Items sous domaines Maths '!K219&lt;=5, 'Items sous domaines Maths '!K219&gt;0),'Items sous domaines Maths '!F219,0)</f>
        <v>0</v>
      </c>
      <c r="G215" s="722"/>
      <c r="H215" s="708"/>
      <c r="I215" s="249"/>
    </row>
    <row r="216" spans="1:9" ht="19.95" hidden="1" customHeight="1" x14ac:dyDescent="0.3">
      <c r="A216" s="630"/>
      <c r="B216" s="161">
        <f>IF(AND('Items sous domaines Maths '!K220&lt;=5, 'Items sous domaines Maths '!K220&gt;0),'Items sous domaines Maths '!B220,0)</f>
        <v>0</v>
      </c>
      <c r="C216" s="162" t="b">
        <f>IF(AND('Items sous domaines Maths '!K220&lt;=5, 'Items sous domaines Maths '!K220&gt;0),'Items sous domaines Maths '!C220)</f>
        <v>0</v>
      </c>
      <c r="D216" s="162">
        <f>IF(AND('Items sous domaines Maths '!K220&lt;=5, 'Items sous domaines Maths '!K220&gt;0),'Items sous domaines Maths '!D220,0)</f>
        <v>0</v>
      </c>
      <c r="E216" s="162">
        <f>IF(AND('Items sous domaines Maths '!K220&lt;=5, 'Items sous domaines Maths '!K220&gt;0),'Items sous domaines Maths '!E220,0)</f>
        <v>0</v>
      </c>
      <c r="F216" s="163">
        <f>IF(AND('Items sous domaines Maths '!K220&lt;=5, 'Items sous domaines Maths '!K220&gt;0),'Items sous domaines Maths '!F220,0)</f>
        <v>0</v>
      </c>
      <c r="G216" s="722"/>
      <c r="H216" s="708"/>
      <c r="I216" s="249"/>
    </row>
    <row r="217" spans="1:9" ht="19.95" hidden="1" customHeight="1" x14ac:dyDescent="0.3">
      <c r="A217" s="630"/>
      <c r="B217" s="155">
        <f>IF(AND('Items sous domaines Maths '!K221&lt;=5, 'Items sous domaines Maths '!K221&gt;0),'Items sous domaines Maths '!B221,0)</f>
        <v>0</v>
      </c>
      <c r="C217" s="156" t="b">
        <f>IF(AND('Items sous domaines Maths '!K221&lt;=5, 'Items sous domaines Maths '!K221&gt;0),'Items sous domaines Maths '!C221)</f>
        <v>0</v>
      </c>
      <c r="D217" s="156">
        <f>IF(AND('Items sous domaines Maths '!K221&lt;=5, 'Items sous domaines Maths '!K221&gt;0),'Items sous domaines Maths '!D221,0)</f>
        <v>0</v>
      </c>
      <c r="E217" s="156">
        <f>IF(AND('Items sous domaines Maths '!K221&lt;=5, 'Items sous domaines Maths '!K221&gt;0),'Items sous domaines Maths '!E221,0)</f>
        <v>0</v>
      </c>
      <c r="F217" s="157">
        <f>IF(AND('Items sous domaines Maths '!K221&lt;=5, 'Items sous domaines Maths '!K221&gt;0),'Items sous domaines Maths '!F221,0)</f>
        <v>0</v>
      </c>
      <c r="G217" s="722"/>
      <c r="H217" s="708"/>
      <c r="I217" s="249"/>
    </row>
    <row r="218" spans="1:9" ht="19.95" hidden="1" customHeight="1" thickBot="1" x14ac:dyDescent="0.35">
      <c r="A218" s="631"/>
      <c r="B218" s="250">
        <f>IF(AND('Items sous domaines Maths '!K222&lt;=5, 'Items sous domaines Maths '!K222&gt;0),'Items sous domaines Maths '!B222,0)</f>
        <v>0</v>
      </c>
      <c r="C218" s="251" t="b">
        <f>IF(AND('Items sous domaines Maths '!K222&lt;=5, 'Items sous domaines Maths '!K222&gt;0),'Items sous domaines Maths '!C222)</f>
        <v>0</v>
      </c>
      <c r="D218" s="251">
        <f>IF(AND('Items sous domaines Maths '!K222&lt;=5, 'Items sous domaines Maths '!K222&gt;0),'Items sous domaines Maths '!D222,0)</f>
        <v>0</v>
      </c>
      <c r="E218" s="251">
        <f>IF(AND('Items sous domaines Maths '!K222&lt;=5, 'Items sous domaines Maths '!K222&gt;0),'Items sous domaines Maths '!E222,0)</f>
        <v>0</v>
      </c>
      <c r="F218" s="252">
        <f>IF(AND('Items sous domaines Maths '!K222&lt;=5, 'Items sous domaines Maths '!K222&gt;0),'Items sous domaines Maths '!F222,0)</f>
        <v>0</v>
      </c>
      <c r="G218" s="723"/>
      <c r="H218" s="707"/>
      <c r="I218" s="253"/>
    </row>
    <row r="219" spans="1:9" customFormat="1" ht="17.399999999999999" hidden="1" customHeight="1" thickTop="1" thickBot="1" x14ac:dyDescent="0.3">
      <c r="A219" s="729"/>
      <c r="B219">
        <f>IF(AND('Items sous domaines Maths '!K223&lt;=5, 'Items sous domaines Maths '!K223&gt;0),'Items sous domaines Maths '!B223,0)</f>
        <v>0</v>
      </c>
      <c r="C219" t="b">
        <f>IF(AND('Items sous domaines Maths '!K223&lt;=5, 'Items sous domaines Maths '!K223&gt;0),'Items sous domaines Maths '!C223)</f>
        <v>0</v>
      </c>
      <c r="D219">
        <f>IF(AND('Items sous domaines Maths '!K223&lt;=5, 'Items sous domaines Maths '!K223&gt;0),'Items sous domaines Maths '!D223,0)</f>
        <v>0</v>
      </c>
      <c r="E219">
        <f>IF(AND('Items sous domaines Maths '!K223&lt;=5, 'Items sous domaines Maths '!K223&gt;0),'Items sous domaines Maths '!E223,0)</f>
        <v>0</v>
      </c>
      <c r="F219" s="10">
        <f>IF(AND('Items sous domaines Maths '!K223&lt;=5, 'Items sous domaines Maths '!K223&gt;0),'Items sous domaines Maths '!F223,0)</f>
        <v>0</v>
      </c>
      <c r="G219" s="647"/>
      <c r="H219" s="705"/>
    </row>
    <row r="220" spans="1:9" ht="19.95" hidden="1" customHeight="1" thickTop="1" x14ac:dyDescent="0.3">
      <c r="A220" s="629"/>
      <c r="B220" s="265">
        <f>IF(AND('Items sous domaines Maths '!K224&lt;=5, 'Items sous domaines Maths '!K224&gt;0),'Items sous domaines Maths '!B224,0)</f>
        <v>0</v>
      </c>
      <c r="C220" s="266" t="b">
        <f>IF(AND('Items sous domaines Maths '!K224&lt;=5, 'Items sous domaines Maths '!K224&gt;0),'Items sous domaines Maths '!C224)</f>
        <v>0</v>
      </c>
      <c r="D220" s="266">
        <f>IF(AND('Items sous domaines Maths '!K224&lt;=5, 'Items sous domaines Maths '!K224&gt;0),'Items sous domaines Maths '!D224,0)</f>
        <v>0</v>
      </c>
      <c r="E220" s="266">
        <f>IF(AND('Items sous domaines Maths '!K224&lt;=5, 'Items sous domaines Maths '!K224&gt;0),'Items sous domaines Maths '!E224,0)</f>
        <v>0</v>
      </c>
      <c r="F220" s="267">
        <f>IF(AND('Items sous domaines Maths '!K224&lt;=5, 'Items sous domaines Maths '!K224&gt;0),'Items sous domaines Maths '!F224,0)</f>
        <v>0</v>
      </c>
      <c r="G220" s="724"/>
      <c r="H220" s="706"/>
      <c r="I220" s="245"/>
    </row>
    <row r="221" spans="1:9" ht="19.95" hidden="1" customHeight="1" thickBot="1" x14ac:dyDescent="0.35">
      <c r="A221" s="631"/>
      <c r="B221" s="250">
        <f>IF(AND('Items sous domaines Maths '!K225&lt;=5, 'Items sous domaines Maths '!K225&gt;0),'Items sous domaines Maths '!B225,0)</f>
        <v>0</v>
      </c>
      <c r="C221" s="251" t="b">
        <f>IF(AND('Items sous domaines Maths '!K225&lt;=5, 'Items sous domaines Maths '!K225&gt;0),'Items sous domaines Maths '!C225)</f>
        <v>0</v>
      </c>
      <c r="D221" s="251">
        <f>IF(AND('Items sous domaines Maths '!K225&lt;=5, 'Items sous domaines Maths '!K225&gt;0),'Items sous domaines Maths '!D225,0)</f>
        <v>0</v>
      </c>
      <c r="E221" s="251">
        <f>IF(AND('Items sous domaines Maths '!K225&lt;=5, 'Items sous domaines Maths '!K225&gt;0),'Items sous domaines Maths '!E225,0)</f>
        <v>0</v>
      </c>
      <c r="F221" s="252">
        <f>IF(AND('Items sous domaines Maths '!K225&lt;=5, 'Items sous domaines Maths '!K225&gt;0),'Items sous domaines Maths '!F225,0)</f>
        <v>0</v>
      </c>
      <c r="G221" s="723"/>
      <c r="H221" s="707"/>
      <c r="I221" s="253"/>
    </row>
    <row r="222" spans="1:9" customFormat="1" ht="17.399999999999999" hidden="1" customHeight="1" thickTop="1" thickBot="1" x14ac:dyDescent="0.3">
      <c r="A222" s="729"/>
      <c r="B222">
        <f>IF(AND('Items sous domaines Maths '!K226&lt;=5, 'Items sous domaines Maths '!K226&gt;0),'Items sous domaines Maths '!B226,0)</f>
        <v>0</v>
      </c>
      <c r="C222" t="b">
        <f>IF(AND('Items sous domaines Maths '!K226&lt;=5, 'Items sous domaines Maths '!K226&gt;0),'Items sous domaines Maths '!C226)</f>
        <v>0</v>
      </c>
      <c r="D222">
        <f>IF(AND('Items sous domaines Maths '!K226&lt;=5, 'Items sous domaines Maths '!K226&gt;0),'Items sous domaines Maths '!D226,0)</f>
        <v>0</v>
      </c>
      <c r="E222">
        <f>IF(AND('Items sous domaines Maths '!K226&lt;=5, 'Items sous domaines Maths '!K226&gt;0),'Items sous domaines Maths '!E226,0)</f>
        <v>0</v>
      </c>
      <c r="F222" s="10">
        <f>IF(AND('Items sous domaines Maths '!K226&lt;=5, 'Items sous domaines Maths '!K226&gt;0),'Items sous domaines Maths '!F226,0)</f>
        <v>0</v>
      </c>
      <c r="G222" s="647"/>
      <c r="H222" s="705"/>
    </row>
    <row r="223" spans="1:9" customFormat="1" ht="17.399999999999999" hidden="1" customHeight="1" thickBot="1" x14ac:dyDescent="0.3">
      <c r="A223" s="729"/>
      <c r="B223" s="8">
        <f>IF(AND('Items sous domaines Maths '!K227&lt;=5, 'Items sous domaines Maths '!K227&gt;0),'Items sous domaines Maths '!B227,0)</f>
        <v>0</v>
      </c>
      <c r="C223" s="8" t="b">
        <f>IF(AND('Items sous domaines Maths '!K227&lt;=5, 'Items sous domaines Maths '!K227&gt;0),'Items sous domaines Maths '!C227)</f>
        <v>0</v>
      </c>
      <c r="D223" s="8">
        <f>IF(AND('Items sous domaines Maths '!K227&lt;=5, 'Items sous domaines Maths '!K227&gt;0),'Items sous domaines Maths '!D227,0)</f>
        <v>0</v>
      </c>
      <c r="E223" s="8">
        <f>IF(AND('Items sous domaines Maths '!K227&lt;=5, 'Items sous domaines Maths '!K227&gt;0),'Items sous domaines Maths '!E227,0)</f>
        <v>0</v>
      </c>
      <c r="F223" s="9">
        <f>IF(AND('Items sous domaines Maths '!K227&lt;=5, 'Items sous domaines Maths '!K227&gt;0),'Items sous domaines Maths '!F227,0)</f>
        <v>0</v>
      </c>
      <c r="G223" s="647"/>
      <c r="H223" s="705"/>
    </row>
    <row r="224" spans="1:9" ht="19.95" hidden="1" customHeight="1" thickTop="1" x14ac:dyDescent="0.3">
      <c r="A224" s="629"/>
      <c r="B224" s="265">
        <f>IF(AND('Items sous domaines Maths '!K228&lt;=5, 'Items sous domaines Maths '!K228&gt;0),'Items sous domaines Maths '!B228,0)</f>
        <v>0</v>
      </c>
      <c r="C224" s="266" t="b">
        <f>IF(AND('Items sous domaines Maths '!K228&lt;=5, 'Items sous domaines Maths '!K228&gt;0),'Items sous domaines Maths '!C228)</f>
        <v>0</v>
      </c>
      <c r="D224" s="266">
        <f>IF(AND('Items sous domaines Maths '!K228&lt;=5, 'Items sous domaines Maths '!K228&gt;0),'Items sous domaines Maths '!D228,0)</f>
        <v>0</v>
      </c>
      <c r="E224" s="266">
        <f>IF(AND('Items sous domaines Maths '!K228&lt;=5, 'Items sous domaines Maths '!K228&gt;0),'Items sous domaines Maths '!E228,0)</f>
        <v>0</v>
      </c>
      <c r="F224" s="267">
        <f>IF(AND('Items sous domaines Maths '!K228&lt;=5, 'Items sous domaines Maths '!K228&gt;0),'Items sous domaines Maths '!F228,0)</f>
        <v>0</v>
      </c>
      <c r="G224" s="724"/>
      <c r="H224" s="706"/>
      <c r="I224" s="245"/>
    </row>
    <row r="225" spans="1:9" ht="19.95" hidden="1" customHeight="1" x14ac:dyDescent="0.3">
      <c r="A225" s="630"/>
      <c r="B225" s="161">
        <f>IF(AND('Items sous domaines Maths '!K229&lt;=5, 'Items sous domaines Maths '!K229&gt;0),'Items sous domaines Maths '!B229,0)</f>
        <v>0</v>
      </c>
      <c r="C225" s="162" t="b">
        <f>IF(AND('Items sous domaines Maths '!K229&lt;=5, 'Items sous domaines Maths '!K229&gt;0),'Items sous domaines Maths '!C229)</f>
        <v>0</v>
      </c>
      <c r="D225" s="162">
        <f>IF(AND('Items sous domaines Maths '!K229&lt;=5, 'Items sous domaines Maths '!K229&gt;0),'Items sous domaines Maths '!D229,0)</f>
        <v>0</v>
      </c>
      <c r="E225" s="162">
        <f>IF(AND('Items sous domaines Maths '!K229&lt;=5, 'Items sous domaines Maths '!K229&gt;0),'Items sous domaines Maths '!E229,0)</f>
        <v>0</v>
      </c>
      <c r="F225" s="163">
        <f>IF(AND('Items sous domaines Maths '!K229&lt;=5, 'Items sous domaines Maths '!K229&gt;0),'Items sous domaines Maths '!F229,0)</f>
        <v>0</v>
      </c>
      <c r="G225" s="722"/>
      <c r="H225" s="708"/>
      <c r="I225" s="249"/>
    </row>
    <row r="226" spans="1:9" ht="19.95" hidden="1" customHeight="1" x14ac:dyDescent="0.3">
      <c r="A226" s="630"/>
      <c r="B226" s="155">
        <f>IF(AND('Items sous domaines Maths '!K230&lt;=5, 'Items sous domaines Maths '!K230&gt;0),'Items sous domaines Maths '!B230,0)</f>
        <v>0</v>
      </c>
      <c r="C226" s="156" t="b">
        <f>IF(AND('Items sous domaines Maths '!K230&lt;=5, 'Items sous domaines Maths '!K230&gt;0),'Items sous domaines Maths '!C230)</f>
        <v>0</v>
      </c>
      <c r="D226" s="156">
        <f>IF(AND('Items sous domaines Maths '!K230&lt;=5, 'Items sous domaines Maths '!K230&gt;0),'Items sous domaines Maths '!D230,0)</f>
        <v>0</v>
      </c>
      <c r="E226" s="156">
        <f>IF(AND('Items sous domaines Maths '!K230&lt;=5, 'Items sous domaines Maths '!K230&gt;0),'Items sous domaines Maths '!E230,0)</f>
        <v>0</v>
      </c>
      <c r="F226" s="157">
        <f>IF(AND('Items sous domaines Maths '!K230&lt;=5, 'Items sous domaines Maths '!K230&gt;0),'Items sous domaines Maths '!F230,0)</f>
        <v>0</v>
      </c>
      <c r="G226" s="722"/>
      <c r="H226" s="708"/>
      <c r="I226" s="249"/>
    </row>
    <row r="227" spans="1:9" ht="19.95" hidden="1" customHeight="1" x14ac:dyDescent="0.3">
      <c r="A227" s="630"/>
      <c r="B227" s="161">
        <f>IF(AND('Items sous domaines Maths '!K231&lt;=5, 'Items sous domaines Maths '!K231&gt;0),'Items sous domaines Maths '!B231,0)</f>
        <v>0</v>
      </c>
      <c r="C227" s="162" t="b">
        <f>IF(AND('Items sous domaines Maths '!K231&lt;=5, 'Items sous domaines Maths '!K231&gt;0),'Items sous domaines Maths '!C231)</f>
        <v>0</v>
      </c>
      <c r="D227" s="162">
        <f>IF(AND('Items sous domaines Maths '!K231&lt;=5, 'Items sous domaines Maths '!K231&gt;0),'Items sous domaines Maths '!D231,0)</f>
        <v>0</v>
      </c>
      <c r="E227" s="162">
        <f>IF(AND('Items sous domaines Maths '!K231&lt;=5, 'Items sous domaines Maths '!K231&gt;0),'Items sous domaines Maths '!E231,0)</f>
        <v>0</v>
      </c>
      <c r="F227" s="163">
        <f>IF(AND('Items sous domaines Maths '!K231&lt;=5, 'Items sous domaines Maths '!K231&gt;0),'Items sous domaines Maths '!F231,0)</f>
        <v>0</v>
      </c>
      <c r="G227" s="722"/>
      <c r="H227" s="708"/>
      <c r="I227" s="249"/>
    </row>
    <row r="228" spans="1:9" ht="19.95" hidden="1" customHeight="1" thickBot="1" x14ac:dyDescent="0.35">
      <c r="A228" s="631"/>
      <c r="B228" s="258">
        <f>IF(AND('Items sous domaines Maths '!K232&lt;=5, 'Items sous domaines Maths '!K232&gt;0),'Items sous domaines Maths '!B232,0)</f>
        <v>0</v>
      </c>
      <c r="C228" s="259" t="b">
        <f>IF(AND('Items sous domaines Maths '!K232&lt;=5, 'Items sous domaines Maths '!K232&gt;0),'Items sous domaines Maths '!C232)</f>
        <v>0</v>
      </c>
      <c r="D228" s="259">
        <f>IF(AND('Items sous domaines Maths '!K232&lt;=5, 'Items sous domaines Maths '!K232&gt;0),'Items sous domaines Maths '!D232,0)</f>
        <v>0</v>
      </c>
      <c r="E228" s="259">
        <f>IF(AND('Items sous domaines Maths '!K232&lt;=5, 'Items sous domaines Maths '!K232&gt;0),'Items sous domaines Maths '!E232,0)</f>
        <v>0</v>
      </c>
      <c r="F228" s="260">
        <f>IF(AND('Items sous domaines Maths '!K232&lt;=5, 'Items sous domaines Maths '!K232&gt;0),'Items sous domaines Maths '!F232,0)</f>
        <v>0</v>
      </c>
      <c r="G228" s="723"/>
      <c r="H228" s="707"/>
      <c r="I228" s="253"/>
    </row>
    <row r="229" spans="1:9" customFormat="1" ht="17.399999999999999" hidden="1" customHeight="1" thickTop="1" thickBot="1" x14ac:dyDescent="0.3">
      <c r="B229">
        <f>IF(AND('Items sous domaines Maths '!K233&lt;=5, 'Items sous domaines Maths '!K233&gt;0),'Items sous domaines Maths '!B233,0)</f>
        <v>0</v>
      </c>
      <c r="C229" t="b">
        <f>IF(AND('Items sous domaines Maths '!K233&lt;=5, 'Items sous domaines Maths '!K233&gt;0),'Items sous domaines Maths '!C233)</f>
        <v>0</v>
      </c>
      <c r="D229">
        <f>IF(AND('Items sous domaines Maths '!K233&lt;=5, 'Items sous domaines Maths '!K233&gt;0),'Items sous domaines Maths '!D233,0)</f>
        <v>0</v>
      </c>
      <c r="E229">
        <f>IF(AND('Items sous domaines Maths '!K233&lt;=5, 'Items sous domaines Maths '!K233&gt;0),'Items sous domaines Maths '!E233,0)</f>
        <v>0</v>
      </c>
      <c r="F229" s="10">
        <f>IF(AND('Items sous domaines Maths '!K233&lt;=5, 'Items sous domaines Maths '!K233&gt;0),'Items sous domaines Maths '!F233,0)</f>
        <v>0</v>
      </c>
      <c r="G229" s="647"/>
      <c r="H229" s="9">
        <f>IF(AND('Items sous domaines Maths '!K233&lt;=5, 'Items sous domaines Maths '!K233&gt;0),'Items sous domaines Maths '!L233,0)</f>
        <v>0</v>
      </c>
    </row>
    <row r="230" spans="1:9" ht="19.95" customHeight="1" thickTop="1" x14ac:dyDescent="0.3">
      <c r="A230" s="629" t="s">
        <v>476</v>
      </c>
      <c r="B230" s="254" t="str">
        <f>IF(AND('Items sous domaines Maths '!K234&lt;=5, 'Items sous domaines Maths '!K234&gt;0),'Items sous domaines Maths '!B234,0)</f>
        <v>Analyse</v>
      </c>
      <c r="C230" s="255" t="str">
        <f>IF(AND('Items sous domaines Maths '!K234&lt;=5, 'Items sous domaines Maths '!K234&gt;0),'Items sous domaines Maths '!C234)</f>
        <v>Développements limités</v>
      </c>
      <c r="D230" s="255" t="str">
        <f>IF(AND('Items sous domaines Maths '!K234&lt;=5, 'Items sous domaines Maths '!K234&gt;0),'Items sous domaines Maths '!D234,0)</f>
        <v xml:space="preserve">Développements limités </v>
      </c>
      <c r="E230" s="255" t="str">
        <f>IF(AND('Items sous domaines Maths '!K234&lt;=5, 'Items sous domaines Maths '!K234&gt;0),'Items sous domaines Maths '!E234,0)</f>
        <v xml:space="preserve">Définitions </v>
      </c>
      <c r="F230" s="256" t="str">
        <f>IF(AND('Items sous domaines Maths '!K234&lt;=5, 'Items sous domaines Maths '!K234&gt;0),'Items sous domaines Maths '!F234,0)</f>
        <v>Connaissance du principe, unicité, partie régulière du DL, ordre du DL. Lien entre DL d'ordre 1 et tangente en un point.</v>
      </c>
      <c r="G230" s="724"/>
      <c r="H230" s="720" t="s">
        <v>480</v>
      </c>
      <c r="I230" s="245"/>
    </row>
    <row r="231" spans="1:9" ht="19.95" customHeight="1" x14ac:dyDescent="0.3">
      <c r="A231" s="630"/>
      <c r="B231" s="155" t="str">
        <f>IF(AND('Items sous domaines Maths '!K235&lt;=5, 'Items sous domaines Maths '!K235&gt;0),'Items sous domaines Maths '!B235,0)</f>
        <v>Analyse</v>
      </c>
      <c r="C231" s="156" t="str">
        <f>IF(AND('Items sous domaines Maths '!K235&lt;=5, 'Items sous domaines Maths '!K235&gt;0),'Items sous domaines Maths '!C235)</f>
        <v>Développements limités</v>
      </c>
      <c r="D231" s="156">
        <f>IF(AND('Items sous domaines Maths '!K235&lt;=5, 'Items sous domaines Maths '!K235&gt;0),'Items sous domaines Maths '!D235,0)</f>
        <v>0</v>
      </c>
      <c r="E231" s="156" t="str">
        <f>IF(AND('Items sous domaines Maths '!K235&lt;=5, 'Items sous domaines Maths '!K235&gt;0),'Items sous domaines Maths '!E235,0)</f>
        <v xml:space="preserve">Propriétés </v>
      </c>
      <c r="F231" s="157" t="str">
        <f>IF(AND('Items sous domaines Maths '!K235&lt;=5, 'Items sous domaines Maths '!K235&gt;0),'Items sous domaines Maths '!F235,0)</f>
        <v>Opérations, troncature et parité.</v>
      </c>
      <c r="G231" s="722"/>
      <c r="H231" s="708"/>
      <c r="I231" s="249"/>
    </row>
    <row r="232" spans="1:9" ht="19.95" customHeight="1" x14ac:dyDescent="0.3">
      <c r="A232" s="630"/>
      <c r="B232" s="161" t="str">
        <f>IF(AND('Items sous domaines Maths '!K236&lt;=5, 'Items sous domaines Maths '!K236&gt;0),'Items sous domaines Maths '!B236,0)</f>
        <v>Analyse</v>
      </c>
      <c r="C232" s="162" t="str">
        <f>IF(AND('Items sous domaines Maths '!K236&lt;=5, 'Items sous domaines Maths '!K236&gt;0),'Items sous domaines Maths '!C236)</f>
        <v>Développements limités</v>
      </c>
      <c r="D232" s="162">
        <f>IF(AND('Items sous domaines Maths '!K236&lt;=5, 'Items sous domaines Maths '!K236&gt;0),'Items sous domaines Maths '!D236,0)</f>
        <v>0</v>
      </c>
      <c r="E232" s="162" t="str">
        <f>IF(AND('Items sous domaines Maths '!K236&lt;=5, 'Items sous domaines Maths '!K236&gt;0),'Items sous domaines Maths '!E236,0)</f>
        <v>Formules de Taylor Young</v>
      </c>
      <c r="F232" s="163" t="str">
        <f>IF(AND('Items sous domaines Maths '!K236&lt;=5, 'Items sous domaines Maths '!K236&gt;0),'Items sous domaines Maths '!F236,0)</f>
        <v>Exemples.</v>
      </c>
      <c r="G232" s="722"/>
      <c r="H232" s="708"/>
      <c r="I232" s="249"/>
    </row>
    <row r="233" spans="1:9" ht="19.95" customHeight="1" x14ac:dyDescent="0.3">
      <c r="A233" s="630"/>
      <c r="B233" s="155" t="str">
        <f>IF(AND('Items sous domaines Maths '!K237&lt;=5, 'Items sous domaines Maths '!K237&gt;0),'Items sous domaines Maths '!B237,0)</f>
        <v>Analyse</v>
      </c>
      <c r="C233" s="156" t="str">
        <f>IF(AND('Items sous domaines Maths '!K237&lt;=5, 'Items sous domaines Maths '!K237&gt;0),'Items sous domaines Maths '!C237)</f>
        <v>Développements limités</v>
      </c>
      <c r="D233" s="156" t="str">
        <f>IF(AND('Items sous domaines Maths '!K237&lt;=5, 'Items sous domaines Maths '!K237&gt;0),'Items sous domaines Maths '!D237,0)</f>
        <v xml:space="preserve">Développements limités usuels </v>
      </c>
      <c r="E233" s="156" t="str">
        <f>IF(AND('Items sous domaines Maths '!K237&lt;=5, 'Items sous domaines Maths '!K237&gt;0),'Items sous domaines Maths '!E237,0)</f>
        <v>1-x, 1+x, ,exp(x), cos(x), sin(x), (1+x)¨α</v>
      </c>
      <c r="F233" s="157">
        <f>IF(AND('Items sous domaines Maths '!K237&lt;=5, 'Items sous domaines Maths '!K237&gt;0),'Items sous domaines Maths '!F237,0)</f>
        <v>0</v>
      </c>
      <c r="G233" s="722"/>
      <c r="H233" s="708"/>
      <c r="I233" s="249"/>
    </row>
    <row r="234" spans="1:9" ht="19.95" customHeight="1" x14ac:dyDescent="0.3">
      <c r="A234" s="630"/>
      <c r="B234" s="161" t="str">
        <f>IF(AND('Items sous domaines Maths '!K238&lt;=5, 'Items sous domaines Maths '!K238&gt;0),'Items sous domaines Maths '!B238,0)</f>
        <v>Analyse</v>
      </c>
      <c r="C234" s="162" t="str">
        <f>IF(AND('Items sous domaines Maths '!K238&lt;=5, 'Items sous domaines Maths '!K238&gt;0),'Items sous domaines Maths '!C238)</f>
        <v>Développements limités</v>
      </c>
      <c r="D234" s="162" t="str">
        <f>IF(AND('Items sous domaines Maths '!K238&lt;=5, 'Items sous domaines Maths '!K238&gt;0),'Items sous domaines Maths '!D238,0)</f>
        <v xml:space="preserve"> Opérations sur les DL</v>
      </c>
      <c r="E234" s="162" t="str">
        <f>IF(AND('Items sous domaines Maths '!K238&lt;=5, 'Items sous domaines Maths '!K238&gt;0),'Items sous domaines Maths '!E238,0)</f>
        <v xml:space="preserve">Somme et produit </v>
      </c>
      <c r="F234" s="163">
        <f>IF(AND('Items sous domaines Maths '!K238&lt;=5, 'Items sous domaines Maths '!K238&gt;0),'Items sous domaines Maths '!F238,0)</f>
        <v>0</v>
      </c>
      <c r="G234" s="722"/>
      <c r="H234" s="708"/>
      <c r="I234" s="249"/>
    </row>
    <row r="235" spans="1:9" ht="19.95" customHeight="1" x14ac:dyDescent="0.3">
      <c r="A235" s="630"/>
      <c r="B235" s="155" t="str">
        <f>IF(AND('Items sous domaines Maths '!K239&lt;=5, 'Items sous domaines Maths '!K239&gt;0),'Items sous domaines Maths '!B239,0)</f>
        <v>Analyse</v>
      </c>
      <c r="C235" s="156" t="str">
        <f>IF(AND('Items sous domaines Maths '!K239&lt;=5, 'Items sous domaines Maths '!K239&gt;0),'Items sous domaines Maths '!C239)</f>
        <v>Développements limités</v>
      </c>
      <c r="D235" s="156">
        <f>IF(AND('Items sous domaines Maths '!K239&lt;=5, 'Items sous domaines Maths '!K239&gt;0),'Items sous domaines Maths '!D239,0)</f>
        <v>0</v>
      </c>
      <c r="E235" s="156" t="str">
        <f>IF(AND('Items sous domaines Maths '!K239&lt;=5, 'Items sous domaines Maths '!K239&gt;0),'Items sous domaines Maths '!E239,0)</f>
        <v>Composée</v>
      </c>
      <c r="F235" s="157" t="str">
        <f>IF(AND('Items sous domaines Maths '!K239&lt;=5, 'Items sous domaines Maths '!K239&gt;0),'Items sous domaines Maths '!F239,0)</f>
        <v>Utilisation des ces formules pour obtenir les DL d'autres fonctions usuelles type.</v>
      </c>
      <c r="G235" s="722"/>
      <c r="H235" s="708"/>
      <c r="I235" s="249"/>
    </row>
    <row r="236" spans="1:9" ht="19.95" customHeight="1" x14ac:dyDescent="0.3">
      <c r="A236" s="630"/>
      <c r="B236" s="161" t="str">
        <f>IF(AND('Items sous domaines Maths '!K240&lt;=5, 'Items sous domaines Maths '!K240&gt;0),'Items sous domaines Maths '!B240,0)</f>
        <v>Analyse</v>
      </c>
      <c r="C236" s="162" t="str">
        <f>IF(AND('Items sous domaines Maths '!K240&lt;=5, 'Items sous domaines Maths '!K240&gt;0),'Items sous domaines Maths '!C240)</f>
        <v>Développements limités</v>
      </c>
      <c r="D236" s="162">
        <f>IF(AND('Items sous domaines Maths '!K240&lt;=5, 'Items sous domaines Maths '!K240&gt;0),'Items sous domaines Maths '!D240,0)</f>
        <v>0</v>
      </c>
      <c r="E236" s="162" t="str">
        <f>IF(AND('Items sous domaines Maths '!K240&lt;=5, 'Items sous domaines Maths '!K240&gt;0),'Items sous domaines Maths '!E240,0)</f>
        <v xml:space="preserve">Quotient </v>
      </c>
      <c r="F236" s="163" t="str">
        <f>IF(AND('Items sous domaines Maths '!K240&lt;=5, 'Items sous domaines Maths '!K240&gt;0),'Items sous domaines Maths '!F240,0)</f>
        <v>Utilisation des ces formules pour obtenir les DL d'autres fonctions usuelles type 1/1+x, 1/1+x² et tanx.</v>
      </c>
      <c r="G236" s="722"/>
      <c r="H236" s="708"/>
      <c r="I236" s="249"/>
    </row>
    <row r="237" spans="1:9" ht="19.95" customHeight="1" x14ac:dyDescent="0.3">
      <c r="A237" s="630"/>
      <c r="B237" s="155" t="str">
        <f>IF(AND('Items sous domaines Maths '!K241&lt;=5, 'Items sous domaines Maths '!K241&gt;0),'Items sous domaines Maths '!B241,0)</f>
        <v>Analyse</v>
      </c>
      <c r="C237" s="156" t="str">
        <f>IF(AND('Items sous domaines Maths '!K241&lt;=5, 'Items sous domaines Maths '!K241&gt;0),'Items sous domaines Maths '!C241)</f>
        <v>Développements limités</v>
      </c>
      <c r="D237" s="156">
        <f>IF(AND('Items sous domaines Maths '!K241&lt;=5, 'Items sous domaines Maths '!K241&gt;0),'Items sous domaines Maths '!D241,0)</f>
        <v>0</v>
      </c>
      <c r="E237" s="156" t="str">
        <f>IF(AND('Items sous domaines Maths '!K241&lt;=5, 'Items sous domaines Maths '!K241&gt;0),'Items sous domaines Maths '!E241,0)</f>
        <v xml:space="preserve">Primitive </v>
      </c>
      <c r="F237" s="157" t="str">
        <f>IF(AND('Items sous domaines Maths '!K241&lt;=5, 'Items sous domaines Maths '!K241&gt;0),'Items sous domaines Maths '!F241,0)</f>
        <v>Utilisation des ces formules pour obtenir les DL d'autres fonctions usuelles type ln(1+x), etc…</v>
      </c>
      <c r="G237" s="722"/>
      <c r="H237" s="708"/>
      <c r="I237" s="249"/>
    </row>
    <row r="238" spans="1:9" ht="19.95" customHeight="1" thickBot="1" x14ac:dyDescent="0.35">
      <c r="A238" s="631"/>
      <c r="B238" s="250" t="str">
        <f>IF(AND('Items sous domaines Maths '!K242&lt;=5, 'Items sous domaines Maths '!K242&gt;0),'Items sous domaines Maths '!B242,0)</f>
        <v>Analyse</v>
      </c>
      <c r="C238" s="251" t="str">
        <f>IF(AND('Items sous domaines Maths '!K242&lt;=5, 'Items sous domaines Maths '!K242&gt;0),'Items sous domaines Maths '!C242)</f>
        <v>Développements limités</v>
      </c>
      <c r="D238" s="251">
        <f>IF(AND('Items sous domaines Maths '!K242&lt;=5, 'Items sous domaines Maths '!K242&gt;0),'Items sous domaines Maths '!D242,0)</f>
        <v>0</v>
      </c>
      <c r="E238" s="251" t="str">
        <f>IF(AND('Items sous domaines Maths '!K242&lt;=5, 'Items sous domaines Maths '!K242&gt;0),'Items sous domaines Maths '!E242,0)</f>
        <v>Dérivée</v>
      </c>
      <c r="F238" s="252" t="str">
        <f>IF(AND('Items sous domaines Maths '!K242&lt;=5, 'Items sous domaines Maths '!K242&gt;0),'Items sous domaines Maths '!F242,0)</f>
        <v>Utilisation des ces formules pour obtenir les DL d'autres fonctions usuelles type 1/(1+x)², etc…</v>
      </c>
      <c r="G238" s="723"/>
      <c r="H238" s="707"/>
      <c r="I238" s="253"/>
    </row>
    <row r="239" spans="1:9" customFormat="1" ht="17.399999999999999" customHeight="1" thickTop="1" thickBot="1" x14ac:dyDescent="0.3">
      <c r="A239" s="627"/>
      <c r="B239" t="str">
        <f>IF(AND('Items sous domaines Maths '!K243&lt;=5, 'Items sous domaines Maths '!K243&gt;0),'Items sous domaines Maths '!B243,0)</f>
        <v>Analyse</v>
      </c>
      <c r="C239" t="str">
        <f>IF(AND('Items sous domaines Maths '!K243&lt;=5, 'Items sous domaines Maths '!K243&gt;0),'Items sous domaines Maths '!C243)</f>
        <v>Développements limités</v>
      </c>
      <c r="D239" t="str">
        <f>IF(AND('Items sous domaines Maths '!K243&lt;=5, 'Items sous domaines Maths '!K243&gt;0),'Items sous domaines Maths '!D243,0)</f>
        <v>Développements limités ailleurs qu’en 0</v>
      </c>
      <c r="E239" t="str">
        <f>IF(AND('Items sous domaines Maths '!K243&lt;=5, 'Items sous domaines Maths '!K243&gt;0),'Items sous domaines Maths '!E243,0)</f>
        <v xml:space="preserve">DL en a </v>
      </c>
      <c r="F239" s="10" t="str">
        <f>IF(AND('Items sous domaines Maths '!K243&lt;=5, 'Items sous domaines Maths '!K243&gt;0),'Items sous domaines Maths '!F243,0)</f>
        <v>Savoir faire un changement de variable x = h + a.</v>
      </c>
      <c r="G239" s="647"/>
      <c r="H239" s="705"/>
    </row>
    <row r="240" spans="1:9" customFormat="1" ht="13.5" customHeight="1" thickBot="1" x14ac:dyDescent="0.3">
      <c r="A240" s="627"/>
      <c r="B240" s="8" t="str">
        <f>IF(AND('Items sous domaines Maths '!K244&lt;=5, 'Items sous domaines Maths '!K244&gt;0),'Items sous domaines Maths '!B244,0)</f>
        <v>Analyse</v>
      </c>
      <c r="C240" s="8" t="str">
        <f>IF(AND('Items sous domaines Maths '!K244&lt;=5, 'Items sous domaines Maths '!K244&gt;0),'Items sous domaines Maths '!C244)</f>
        <v>Développements limités</v>
      </c>
      <c r="D240" s="8">
        <f>IF(AND('Items sous domaines Maths '!K244&lt;=5, 'Items sous domaines Maths '!K244&gt;0),'Items sous domaines Maths '!D244,0)</f>
        <v>0</v>
      </c>
      <c r="E240" s="8" t="str">
        <f>IF(AND('Items sous domaines Maths '!K244&lt;=5, 'Items sous domaines Maths '!K244&gt;0),'Items sous domaines Maths '!E244,0)</f>
        <v>DL en ±∞</v>
      </c>
      <c r="F240" s="9" t="str">
        <f>IF(AND('Items sous domaines Maths '!K244&lt;=5, 'Items sous domaines Maths '!K244&gt;0),'Items sous domaines Maths '!F244,0)</f>
        <v>Savoir faire un changement de variable x = 1/h.</v>
      </c>
      <c r="G240" s="647"/>
      <c r="H240" s="705"/>
    </row>
    <row r="241" spans="1:9" ht="19.95" customHeight="1" thickTop="1" x14ac:dyDescent="0.3">
      <c r="A241" s="629"/>
      <c r="B241" s="265" t="str">
        <f>IF(AND('Items sous domaines Maths '!K245&lt;=5, 'Items sous domaines Maths '!K245&gt;0),'Items sous domaines Maths '!B245,0)</f>
        <v>Analyse</v>
      </c>
      <c r="C241" s="266" t="str">
        <f>IF(AND('Items sous domaines Maths '!K245&lt;=5, 'Items sous domaines Maths '!K245&gt;0),'Items sous domaines Maths '!C245)</f>
        <v>Développements limités</v>
      </c>
      <c r="D241" s="266" t="str">
        <f>IF(AND('Items sous domaines Maths '!K245&lt;=5, 'Items sous domaines Maths '!K245&gt;0),'Items sous domaines Maths '!D245,0)</f>
        <v xml:space="preserve">Applications </v>
      </c>
      <c r="E241" s="266" t="str">
        <f>IF(AND('Items sous domaines Maths '!K245&lt;=5, 'Items sous domaines Maths '!K245&gt;0),'Items sous domaines Maths '!E245,0)</f>
        <v>Étude locale</v>
      </c>
      <c r="F241" s="267" t="str">
        <f>IF(AND('Items sous domaines Maths '!K245&lt;=5, 'Items sous domaines Maths '!K245&gt;0),'Items sous domaines Maths '!F245,0)</f>
        <v>Savoir que le développement limité d’une fonction f en un point x0 nous permet de comprendre le comportement de f en x0.</v>
      </c>
      <c r="G241" s="724"/>
      <c r="H241" s="706"/>
      <c r="I241" s="245"/>
    </row>
    <row r="242" spans="1:9" ht="19.95" customHeight="1" thickBot="1" x14ac:dyDescent="0.35">
      <c r="A242" s="631"/>
      <c r="B242" s="250" t="str">
        <f>IF(AND('Items sous domaines Maths '!K246&lt;=5, 'Items sous domaines Maths '!K246&gt;0),'Items sous domaines Maths '!B246,0)</f>
        <v>Analyse</v>
      </c>
      <c r="C242" s="251" t="str">
        <f>IF(AND('Items sous domaines Maths '!K246&lt;=5, 'Items sous domaines Maths '!K246&gt;0),'Items sous domaines Maths '!C246)</f>
        <v>Développements limités</v>
      </c>
      <c r="D242" s="251">
        <f>IF(AND('Items sous domaines Maths '!K246&lt;=5, 'Items sous domaines Maths '!K246&gt;0),'Items sous domaines Maths '!D246,0)</f>
        <v>0</v>
      </c>
      <c r="E242" s="251">
        <f>IF(AND('Items sous domaines Maths '!K246&lt;=5, 'Items sous domaines Maths '!K246&gt;0),'Items sous domaines Maths '!E246,0)</f>
        <v>0</v>
      </c>
      <c r="F242" s="252" t="str">
        <f>IF(AND('Items sous domaines Maths '!K246&lt;=5, 'Items sous domaines Maths '!K246&gt;0),'Items sous domaines Maths '!F246,0)</f>
        <v>Tangente application au calcul de limites et levées de formes indéterminées / équivalents.</v>
      </c>
      <c r="G242" s="723"/>
      <c r="H242" s="707"/>
      <c r="I242" s="253"/>
    </row>
    <row r="243" spans="1:9" customFormat="1" ht="13.5" customHeight="1" thickTop="1" thickBot="1" x14ac:dyDescent="0.3">
      <c r="A243" s="611"/>
      <c r="B243" t="str">
        <f>IF(AND('Items sous domaines Maths '!K247&lt;=5, 'Items sous domaines Maths '!K247&gt;0),'Items sous domaines Maths '!B247,0)</f>
        <v>Analyse</v>
      </c>
      <c r="C243" t="str">
        <f>IF(AND('Items sous domaines Maths '!K247&lt;=5, 'Items sous domaines Maths '!K247&gt;0),'Items sous domaines Maths '!C247)</f>
        <v>Développements limités</v>
      </c>
      <c r="D243">
        <f>IF(AND('Items sous domaines Maths '!K247&lt;=5, 'Items sous domaines Maths '!K247&gt;0),'Items sous domaines Maths '!D247,0)</f>
        <v>0</v>
      </c>
      <c r="E243">
        <f>IF(AND('Items sous domaines Maths '!K247&lt;=5, 'Items sous domaines Maths '!K247&gt;0),'Items sous domaines Maths '!E247,0)</f>
        <v>0</v>
      </c>
      <c r="F243" s="10" t="str">
        <f>IF(AND('Items sous domaines Maths '!K247&lt;=5, 'Items sous domaines Maths '!K247&gt;0),'Items sous domaines Maths '!F247,0)</f>
        <v>Application à la détermination de la position par rapport à la tangente.</v>
      </c>
      <c r="G243" s="647"/>
      <c r="H243" s="9">
        <f>IF(AND('Items sous domaines Maths '!K247&lt;=5, 'Items sous domaines Maths '!K247&gt;0),'Items sous domaines Maths '!L247,0)</f>
        <v>0</v>
      </c>
    </row>
    <row r="244" spans="1:9" customFormat="1" ht="13.5" hidden="1" customHeight="1" thickBot="1" x14ac:dyDescent="0.3">
      <c r="B244" s="8">
        <f>IF(AND('Items sous domaines Maths '!K248&lt;=5, 'Items sous domaines Maths '!K248&gt;0),'Items sous domaines Maths '!B248,0)</f>
        <v>0</v>
      </c>
      <c r="C244" s="8" t="b">
        <f>IF(AND('Items sous domaines Maths '!K248&lt;=5, 'Items sous domaines Maths '!K248&gt;0),'Items sous domaines Maths '!C248)</f>
        <v>0</v>
      </c>
      <c r="D244" s="8">
        <f>IF(AND('Items sous domaines Maths '!K248&lt;=5, 'Items sous domaines Maths '!K248&gt;0),'Items sous domaines Maths '!D248,0)</f>
        <v>0</v>
      </c>
      <c r="E244" s="8">
        <f>IF(AND('Items sous domaines Maths '!K248&lt;=5, 'Items sous domaines Maths '!K248&gt;0),'Items sous domaines Maths '!E248,0)</f>
        <v>0</v>
      </c>
      <c r="F244" s="9">
        <f>IF(AND('Items sous domaines Maths '!K248&lt;=5, 'Items sous domaines Maths '!K248&gt;0),'Items sous domaines Maths '!F248,0)</f>
        <v>0</v>
      </c>
      <c r="G244" s="647"/>
      <c r="H244" s="9">
        <f>IF(AND('Items sous domaines Maths '!K248&lt;=5, 'Items sous domaines Maths '!K248&gt;0),'Items sous domaines Maths '!L248,0)</f>
        <v>0</v>
      </c>
    </row>
    <row r="245" spans="1:9" ht="19.95" customHeight="1" thickTop="1" x14ac:dyDescent="0.3">
      <c r="A245" s="736" t="s">
        <v>476</v>
      </c>
      <c r="B245" s="254" t="str">
        <f>IF(AND('Items sous domaines Maths '!K249&lt;=5, 'Items sous domaines Maths '!K249&gt;0),'Items sous domaines Maths '!B249,0)</f>
        <v>Analyse</v>
      </c>
      <c r="C245" s="255" t="str">
        <f>IF(AND('Items sous domaines Maths '!K249&lt;=5, 'Items sous domaines Maths '!K249&gt;0),'Items sous domaines Maths '!C249)</f>
        <v>Integrales simples</v>
      </c>
      <c r="D245" s="255" t="str">
        <f>IF(AND('Items sous domaines Maths '!K249&lt;=5, 'Items sous domaines Maths '!K249&gt;0),'Items sous domaines Maths '!D249,0)</f>
        <v>Primitive</v>
      </c>
      <c r="E245" s="255" t="str">
        <f>IF(AND('Items sous domaines Maths '!K249&lt;=5, 'Items sous domaines Maths '!K249&gt;0),'Items sous domaines Maths '!E249,0)</f>
        <v>Définition et existence</v>
      </c>
      <c r="F245" s="256" t="str">
        <f>IF(AND('Items sous domaines Maths '!K249&lt;=5, 'Items sous domaines Maths '!K249&gt;0),'Items sous domaines Maths '!F249,0)</f>
        <v>Connaître la relation entre les primitives d'une même fonction. Unicité de la primitive avec la donnée d'une condition initiale.</v>
      </c>
      <c r="G245" s="724"/>
      <c r="H245" s="720" t="s">
        <v>461</v>
      </c>
      <c r="I245" s="245"/>
    </row>
    <row r="246" spans="1:9" ht="19.95" customHeight="1" x14ac:dyDescent="0.3">
      <c r="A246" s="737"/>
      <c r="B246" s="155" t="str">
        <f>IF(AND('Items sous domaines Maths '!K250&lt;=5, 'Items sous domaines Maths '!K250&gt;0),'Items sous domaines Maths '!B250,0)</f>
        <v>Analyse</v>
      </c>
      <c r="C246" s="156" t="str">
        <f>IF(AND('Items sous domaines Maths '!K250&lt;=5, 'Items sous domaines Maths '!K250&gt;0),'Items sous domaines Maths '!C250)</f>
        <v>Integrales simples</v>
      </c>
      <c r="D246" s="156">
        <f>IF(AND('Items sous domaines Maths '!K250&lt;=5, 'Items sous domaines Maths '!K250&gt;0),'Items sous domaines Maths '!D250,0)</f>
        <v>0</v>
      </c>
      <c r="E246" s="156" t="str">
        <f>IF(AND('Items sous domaines Maths '!K250&lt;=5, 'Items sous domaines Maths '!K250&gt;0),'Items sous domaines Maths '!E250,0)</f>
        <v>Primitives des fonctions usuelles</v>
      </c>
      <c r="F246" s="157" t="str">
        <f>IF(AND('Items sous domaines Maths '!K250&lt;=5, 'Items sous domaines Maths '!K250&gt;0),'Items sous domaines Maths '!F250,0)</f>
        <v>Connaître les formules et être capable de les appliquer.</v>
      </c>
      <c r="G246" s="722"/>
      <c r="H246" s="708"/>
      <c r="I246" s="249"/>
    </row>
    <row r="247" spans="1:9" ht="19.95" customHeight="1" x14ac:dyDescent="0.3">
      <c r="A247" s="737"/>
      <c r="B247" s="161" t="str">
        <f>IF(AND('Items sous domaines Maths '!K251&lt;=5, 'Items sous domaines Maths '!K251&gt;0),'Items sous domaines Maths '!B251,0)</f>
        <v>Analyse</v>
      </c>
      <c r="C247" s="162" t="str">
        <f>IF(AND('Items sous domaines Maths '!K251&lt;=5, 'Items sous domaines Maths '!K251&gt;0),'Items sous domaines Maths '!C251)</f>
        <v>Integrales simples</v>
      </c>
      <c r="D247" s="162">
        <f>IF(AND('Items sous domaines Maths '!K251&lt;=5, 'Items sous domaines Maths '!K251&gt;0),'Items sous domaines Maths '!D251,0)</f>
        <v>0</v>
      </c>
      <c r="E247" s="162" t="str">
        <f>IF(AND('Items sous domaines Maths '!K251&lt;=5, 'Items sous domaines Maths '!K251&gt;0),'Items sous domaines Maths '!E251,0)</f>
        <v>Primitives des fonctions composées</v>
      </c>
      <c r="F247" s="163" t="str">
        <f>IF(AND('Items sous domaines Maths '!K251&lt;=5, 'Items sous domaines Maths '!K251&gt;0),'Items sous domaines Maths '!F251,0)</f>
        <v>Connaître les formules et être capable de les appliquer.</v>
      </c>
      <c r="G247" s="722"/>
      <c r="H247" s="708"/>
      <c r="I247" s="249"/>
    </row>
    <row r="248" spans="1:9" ht="19.95" customHeight="1" x14ac:dyDescent="0.3">
      <c r="A248" s="737"/>
      <c r="B248" s="155" t="str">
        <f>IF(AND('Items sous domaines Maths '!K252&lt;=5, 'Items sous domaines Maths '!K252&gt;0),'Items sous domaines Maths '!B252,0)</f>
        <v>Analyse</v>
      </c>
      <c r="C248" s="156" t="str">
        <f>IF(AND('Items sous domaines Maths '!K252&lt;=5, 'Items sous domaines Maths '!K252&gt;0),'Items sous domaines Maths '!C252)</f>
        <v>Integrales simples</v>
      </c>
      <c r="D248" s="156" t="str">
        <f>IF(AND('Items sous domaines Maths '!K252&lt;=5, 'Items sous domaines Maths '!K252&gt;0),'Items sous domaines Maths '!D252,0)</f>
        <v xml:space="preserve">Intégrale d’une fonction continue </v>
      </c>
      <c r="E248" s="156" t="str">
        <f>IF(AND('Items sous domaines Maths '!K252&lt;=5, 'Items sous domaines Maths '!K252&gt;0),'Items sous domaines Maths '!E252,0)</f>
        <v>Définition et existence</v>
      </c>
      <c r="F248" s="157">
        <f>IF(AND('Items sous domaines Maths '!K252&lt;=5, 'Items sous domaines Maths '!K252&gt;0),'Items sous domaines Maths '!F252,0)</f>
        <v>0</v>
      </c>
      <c r="G248" s="722"/>
      <c r="H248" s="708"/>
      <c r="I248" s="249"/>
    </row>
    <row r="249" spans="1:9" ht="19.95" customHeight="1" x14ac:dyDescent="0.3">
      <c r="A249" s="737"/>
      <c r="B249" s="161" t="str">
        <f>IF(AND('Items sous domaines Maths '!K253&lt;=5, 'Items sous domaines Maths '!K253&gt;0),'Items sous domaines Maths '!B253,0)</f>
        <v>Analyse</v>
      </c>
      <c r="C249" s="162" t="str">
        <f>IF(AND('Items sous domaines Maths '!K253&lt;=5, 'Items sous domaines Maths '!K253&gt;0),'Items sous domaines Maths '!C253)</f>
        <v>Integrales simples</v>
      </c>
      <c r="D249" s="162">
        <f>IF(AND('Items sous domaines Maths '!K253&lt;=5, 'Items sous domaines Maths '!K253&gt;0),'Items sous domaines Maths '!D253,0)</f>
        <v>0</v>
      </c>
      <c r="E249" s="162" t="str">
        <f>IF(AND('Items sous domaines Maths '!K253&lt;=5, 'Items sous domaines Maths '!K253&gt;0),'Items sous domaines Maths '!E253,0)</f>
        <v>Propriété de l'intégrale</v>
      </c>
      <c r="F249" s="163" t="str">
        <f>IF(AND('Items sous domaines Maths '!K253&lt;=5, 'Items sous domaines Maths '!K253&gt;0),'Items sous domaines Maths '!F253,0)</f>
        <v>Linéarité, positivité, relation de Chasles, Valeur moyenne d'une fonction.</v>
      </c>
      <c r="G249" s="722"/>
      <c r="H249" s="708"/>
      <c r="I249" s="249"/>
    </row>
    <row r="250" spans="1:9" ht="19.95" customHeight="1" x14ac:dyDescent="0.3">
      <c r="A250" s="737"/>
      <c r="B250" s="155" t="str">
        <f>IF(AND('Items sous domaines Maths '!K254&lt;=5, 'Items sous domaines Maths '!K254&gt;0),'Items sous domaines Maths '!B254,0)</f>
        <v>Analyse</v>
      </c>
      <c r="C250" s="156" t="str">
        <f>IF(AND('Items sous domaines Maths '!K254&lt;=5, 'Items sous domaines Maths '!K254&gt;0),'Items sous domaines Maths '!C254)</f>
        <v>Integrales simples</v>
      </c>
      <c r="D250" s="156">
        <f>IF(AND('Items sous domaines Maths '!K254&lt;=5, 'Items sous domaines Maths '!K254&gt;0),'Items sous domaines Maths '!D254,0)</f>
        <v>0</v>
      </c>
      <c r="E250" s="156">
        <f>IF(AND('Items sous domaines Maths '!K254&lt;=5, 'Items sous domaines Maths '!K254&gt;0),'Items sous domaines Maths '!E254,0)</f>
        <v>0</v>
      </c>
      <c r="F250" s="157" t="str">
        <f>IF(AND('Items sous domaines Maths '!K254&lt;=5, 'Items sous domaines Maths '!K254&gt;0),'Items sous domaines Maths '!F254,0)</f>
        <v>Intégrales dont une borne dépend d'un paramètre : comprendre la notation, savoir la dérivée et l'étudier.</v>
      </c>
      <c r="G250" s="722"/>
      <c r="H250" s="708"/>
      <c r="I250" s="249"/>
    </row>
    <row r="251" spans="1:9" ht="19.95" customHeight="1" x14ac:dyDescent="0.3">
      <c r="A251" s="737"/>
      <c r="B251" s="161" t="str">
        <f>IF(AND('Items sous domaines Maths '!K255&lt;=5, 'Items sous domaines Maths '!K255&gt;0),'Items sous domaines Maths '!B255,0)</f>
        <v>Analyse</v>
      </c>
      <c r="C251" s="162" t="str">
        <f>IF(AND('Items sous domaines Maths '!K255&lt;=5, 'Items sous domaines Maths '!K255&gt;0),'Items sous domaines Maths '!C255)</f>
        <v>Integrales simples</v>
      </c>
      <c r="D251" s="162">
        <f>IF(AND('Items sous domaines Maths '!K255&lt;=5, 'Items sous domaines Maths '!K255&gt;0),'Items sous domaines Maths '!D255,0)</f>
        <v>0</v>
      </c>
      <c r="E251" s="162">
        <f>IF(AND('Items sous domaines Maths '!K255&lt;=5, 'Items sous domaines Maths '!K255&gt;0),'Items sous domaines Maths '!E255,0)</f>
        <v>0</v>
      </c>
      <c r="F251" s="163" t="str">
        <f>IF(AND('Items sous domaines Maths '!K255&lt;=5, 'Items sous domaines Maths '!K255&gt;0),'Items sous domaines Maths '!F255,0)</f>
        <v>Connaître l'écriture d'une primitive sous forme intégrale (notation sans borme).</v>
      </c>
      <c r="G251" s="722"/>
      <c r="H251" s="708"/>
      <c r="I251" s="249"/>
    </row>
    <row r="252" spans="1:9" ht="19.95" customHeight="1" x14ac:dyDescent="0.3">
      <c r="A252" s="737"/>
      <c r="B252" s="155" t="str">
        <f>IF(AND('Items sous domaines Maths '!K256&lt;=5, 'Items sous domaines Maths '!K256&gt;0),'Items sous domaines Maths '!B256,0)</f>
        <v>Analyse</v>
      </c>
      <c r="C252" s="156" t="str">
        <f>IF(AND('Items sous domaines Maths '!K256&lt;=5, 'Items sous domaines Maths '!K256&gt;0),'Items sous domaines Maths '!C256)</f>
        <v>Integrales simples</v>
      </c>
      <c r="D252" s="156" t="str">
        <f>IF(AND('Items sous domaines Maths '!K256&lt;=5, 'Items sous domaines Maths '!K256&gt;0),'Items sous domaines Maths '!D256,0)</f>
        <v>Intégrales généralisées</v>
      </c>
      <c r="E252" s="156">
        <f>IF(AND('Items sous domaines Maths '!K256&lt;=5, 'Items sous domaines Maths '!K256&gt;0),'Items sous domaines Maths '!E256,0)</f>
        <v>0</v>
      </c>
      <c r="F252" s="157" t="str">
        <f>IF(AND('Items sous domaines Maths '!K256&lt;=5, 'Items sous domaines Maths '!K256&gt;0),'Items sous domaines Maths '!F256,0)</f>
        <v>lien avec les suites/séries/Probabilités</v>
      </c>
      <c r="G252" s="722"/>
      <c r="H252" s="708"/>
      <c r="I252" s="249"/>
    </row>
    <row r="253" spans="1:9" ht="19.95" customHeight="1" x14ac:dyDescent="0.3">
      <c r="A253" s="737"/>
      <c r="B253" s="161" t="str">
        <f>IF(AND('Items sous domaines Maths '!K257&lt;=5, 'Items sous domaines Maths '!K257&gt;0),'Items sous domaines Maths '!B257,0)</f>
        <v>Analyse</v>
      </c>
      <c r="C253" s="162" t="str">
        <f>IF(AND('Items sous domaines Maths '!K257&lt;=5, 'Items sous domaines Maths '!K257&gt;0),'Items sous domaines Maths '!C257)</f>
        <v>Integrales simples</v>
      </c>
      <c r="D253" s="162" t="str">
        <f>IF(AND('Items sous domaines Maths '!K257&lt;=5, 'Items sous domaines Maths '!K257&gt;0),'Items sous domaines Maths '!D257,0)</f>
        <v>Intégrales curvilignes</v>
      </c>
      <c r="E253" s="162" t="str">
        <f>IF(AND('Items sous domaines Maths '!K257&lt;=5, 'Items sous domaines Maths '!K257&gt;0),'Items sous domaines Maths '!E257,0)</f>
        <v>Application physique</v>
      </c>
      <c r="F253" s="163">
        <f>IF(AND('Items sous domaines Maths '!K257&lt;=5, 'Items sous domaines Maths '!K257&gt;0),'Items sous domaines Maths '!F257,0)</f>
        <v>0</v>
      </c>
      <c r="G253" s="722"/>
      <c r="H253" s="708"/>
      <c r="I253" s="249"/>
    </row>
    <row r="254" spans="1:9" ht="19.95" customHeight="1" x14ac:dyDescent="0.3">
      <c r="A254" s="737"/>
      <c r="B254" s="155" t="str">
        <f>IF(AND('Items sous domaines Maths '!K258&lt;=5, 'Items sous domaines Maths '!K258&gt;0),'Items sous domaines Maths '!B258,0)</f>
        <v>Analyse</v>
      </c>
      <c r="C254" s="156" t="str">
        <f>IF(AND('Items sous domaines Maths '!K258&lt;=5, 'Items sous domaines Maths '!K258&gt;0),'Items sous domaines Maths '!C258)</f>
        <v>Integrales simples</v>
      </c>
      <c r="D254" s="156" t="str">
        <f>IF(AND('Items sous domaines Maths '!K258&lt;=5, 'Items sous domaines Maths '!K258&gt;0),'Items sous domaines Maths '!D258,0)</f>
        <v>Interprétation géométrique de l'intégrale</v>
      </c>
      <c r="E254" s="156" t="str">
        <f>IF(AND('Items sous domaines Maths '!K258&lt;=5, 'Items sous domaines Maths '!K258&gt;0),'Items sous domaines Maths '!E258,0)</f>
        <v>Calculs de l'aire sous la courbe à l'aide de l'intégrale</v>
      </c>
      <c r="F254" s="157">
        <f>IF(AND('Items sous domaines Maths '!K258&lt;=5, 'Items sous domaines Maths '!K258&gt;0),'Items sous domaines Maths '!F258,0)</f>
        <v>0</v>
      </c>
      <c r="G254" s="722"/>
      <c r="H254" s="708"/>
      <c r="I254" s="249"/>
    </row>
    <row r="255" spans="1:9" ht="19.95" customHeight="1" x14ac:dyDescent="0.3">
      <c r="A255" s="737"/>
      <c r="B255" s="161" t="str">
        <f>IF(AND('Items sous domaines Maths '!K259&lt;=5, 'Items sous domaines Maths '!K259&gt;0),'Items sous domaines Maths '!B259,0)</f>
        <v>Analyse</v>
      </c>
      <c r="C255" s="162" t="str">
        <f>IF(AND('Items sous domaines Maths '!K259&lt;=5, 'Items sous domaines Maths '!K259&gt;0),'Items sous domaines Maths '!C259)</f>
        <v>Integrales simples</v>
      </c>
      <c r="D255" s="162">
        <f>IF(AND('Items sous domaines Maths '!K259&lt;=5, 'Items sous domaines Maths '!K259&gt;0),'Items sous domaines Maths '!D259,0)</f>
        <v>0</v>
      </c>
      <c r="E255" s="162" t="str">
        <f>IF(AND('Items sous domaines Maths '!K259&lt;=5, 'Items sous domaines Maths '!K259&gt;0),'Items sous domaines Maths '!E259,0)</f>
        <v>Calculs de l'aire entre deux courbes à l'aide de l'intégrale</v>
      </c>
      <c r="F255" s="163">
        <f>IF(AND('Items sous domaines Maths '!K259&lt;=5, 'Items sous domaines Maths '!K259&gt;0),'Items sous domaines Maths '!F259,0)</f>
        <v>0</v>
      </c>
      <c r="G255" s="722"/>
      <c r="H255" s="708"/>
      <c r="I255" s="249"/>
    </row>
    <row r="256" spans="1:9" ht="19.95" customHeight="1" thickBot="1" x14ac:dyDescent="0.35">
      <c r="A256" s="737"/>
      <c r="B256" s="258" t="str">
        <f>IF(AND('Items sous domaines Maths '!K260&lt;=5, 'Items sous domaines Maths '!K260&gt;0),'Items sous domaines Maths '!B260,0)</f>
        <v>Analyse</v>
      </c>
      <c r="C256" s="259" t="str">
        <f>IF(AND('Items sous domaines Maths '!K260&lt;=5, 'Items sous domaines Maths '!K260&gt;0),'Items sous domaines Maths '!C260)</f>
        <v>Integrales simples</v>
      </c>
      <c r="D256" s="259" t="str">
        <f>IF(AND('Items sous domaines Maths '!K260&lt;=5, 'Items sous domaines Maths '!K260&gt;0),'Items sous domaines Maths '!D260,0)</f>
        <v>Méthodes exactes de calculs d'intégrales</v>
      </c>
      <c r="E256" s="259" t="str">
        <f>IF(AND('Items sous domaines Maths '!K260&lt;=5, 'Items sous domaines Maths '!K260&gt;0),'Items sous domaines Maths '!E260,0)</f>
        <v>Intégration directe</v>
      </c>
      <c r="F256" s="260">
        <f>IF(AND('Items sous domaines Maths '!K260&lt;=5, 'Items sous domaines Maths '!K260&gt;0),'Items sous domaines Maths '!F260,0)</f>
        <v>0</v>
      </c>
      <c r="G256" s="723"/>
      <c r="H256" s="707"/>
      <c r="I256" s="253"/>
    </row>
    <row r="257" spans="1:9" customFormat="1" ht="13.5" customHeight="1" thickTop="1" thickBot="1" x14ac:dyDescent="0.3">
      <c r="A257" s="737"/>
      <c r="B257" t="str">
        <f>IF(AND('Items sous domaines Maths '!K261&lt;=5, 'Items sous domaines Maths '!K261&gt;0),'Items sous domaines Maths '!B261,0)</f>
        <v>Analyse</v>
      </c>
      <c r="C257" t="str">
        <f>IF(AND('Items sous domaines Maths '!K261&lt;=5, 'Items sous domaines Maths '!K261&gt;0),'Items sous domaines Maths '!C261)</f>
        <v>Integrales simples</v>
      </c>
      <c r="D257">
        <f>IF(AND('Items sous domaines Maths '!K261&lt;=5, 'Items sous domaines Maths '!K261&gt;0),'Items sous domaines Maths '!D261,0)</f>
        <v>0</v>
      </c>
      <c r="E257" t="str">
        <f>IF(AND('Items sous domaines Maths '!K261&lt;=5, 'Items sous domaines Maths '!K261&gt;0),'Items sous domaines Maths '!E261,0)</f>
        <v xml:space="preserve">Intégration par partie </v>
      </c>
      <c r="F257" s="10">
        <f>IF(AND('Items sous domaines Maths '!K261&lt;=5, 'Items sous domaines Maths '!K261&gt;0),'Items sous domaines Maths '!F261,0)</f>
        <v>0</v>
      </c>
      <c r="G257" s="647"/>
      <c r="H257" s="705"/>
    </row>
    <row r="258" spans="1:9" customFormat="1" ht="13.5" customHeight="1" thickBot="1" x14ac:dyDescent="0.3">
      <c r="A258" s="737"/>
      <c r="B258" s="8" t="str">
        <f>IF(AND('Items sous domaines Maths '!K262&lt;=5, 'Items sous domaines Maths '!K262&gt;0),'Items sous domaines Maths '!B262,0)</f>
        <v>Analyse</v>
      </c>
      <c r="C258" s="8" t="str">
        <f>IF(AND('Items sous domaines Maths '!K262&lt;=5, 'Items sous domaines Maths '!K262&gt;0),'Items sous domaines Maths '!C262)</f>
        <v>Integrales simples</v>
      </c>
      <c r="D258" s="8">
        <f>IF(AND('Items sous domaines Maths '!K262&lt;=5, 'Items sous domaines Maths '!K262&gt;0),'Items sous domaines Maths '!D262,0)</f>
        <v>0</v>
      </c>
      <c r="E258" s="8" t="str">
        <f>IF(AND('Items sous domaines Maths '!K262&lt;=5, 'Items sous domaines Maths '!K262&gt;0),'Items sous domaines Maths '!E262,0)</f>
        <v>Changement de variable</v>
      </c>
      <c r="F258" s="9">
        <f>IF(AND('Items sous domaines Maths '!K262&lt;=5, 'Items sous domaines Maths '!K262&gt;0),'Items sous domaines Maths '!F262,0)</f>
        <v>0</v>
      </c>
      <c r="G258" s="647"/>
      <c r="H258" s="705"/>
    </row>
    <row r="259" spans="1:9" customFormat="1" ht="13.5" customHeight="1" thickBot="1" x14ac:dyDescent="0.3">
      <c r="A259" s="737"/>
      <c r="B259" s="8" t="str">
        <f>IF(AND('Items sous domaines Maths '!K263&lt;=5, 'Items sous domaines Maths '!K263&gt;0),'Items sous domaines Maths '!B263,0)</f>
        <v>Analyse</v>
      </c>
      <c r="C259" s="8" t="str">
        <f>IF(AND('Items sous domaines Maths '!K263&lt;=5, 'Items sous domaines Maths '!K263&gt;0),'Items sous domaines Maths '!C263)</f>
        <v>Integrales simples</v>
      </c>
      <c r="D259" s="8">
        <f>IF(AND('Items sous domaines Maths '!K263&lt;=5, 'Items sous domaines Maths '!K263&gt;0),'Items sous domaines Maths '!D263,0)</f>
        <v>0</v>
      </c>
      <c r="E259" s="8" t="str">
        <f>IF(AND('Items sous domaines Maths '!K263&lt;=5, 'Items sous domaines Maths '!K263&gt;0),'Items sous domaines Maths '!E263,0)</f>
        <v>Décomposition en éléments simples (fractions rationnelles)</v>
      </c>
      <c r="F259" s="9">
        <f>IF(AND('Items sous domaines Maths '!K263&lt;=5, 'Items sous domaines Maths '!K263&gt;0),'Items sous domaines Maths '!F263,0)</f>
        <v>0</v>
      </c>
      <c r="G259" s="647"/>
      <c r="H259" s="705"/>
    </row>
    <row r="260" spans="1:9" customFormat="1" ht="13.5" customHeight="1" thickBot="1" x14ac:dyDescent="0.3">
      <c r="A260" s="737"/>
      <c r="B260" s="8" t="str">
        <f>IF(AND('Items sous domaines Maths '!K264&lt;=5, 'Items sous domaines Maths '!K264&gt;0),'Items sous domaines Maths '!B264,0)</f>
        <v>Analyse</v>
      </c>
      <c r="C260" s="8" t="str">
        <f>IF(AND('Items sous domaines Maths '!K264&lt;=5, 'Items sous domaines Maths '!K264&gt;0),'Items sous domaines Maths '!C264)</f>
        <v>Integrales simples</v>
      </c>
      <c r="D260" s="8" t="str">
        <f>IF(AND('Items sous domaines Maths '!K264&lt;=5, 'Items sous domaines Maths '!K264&gt;0),'Items sous domaines Maths '!D264,0)</f>
        <v>Méthodes approchées de calculs d'intégrales</v>
      </c>
      <c r="E260" s="8" t="str">
        <f>IF(AND('Items sous domaines Maths '!K264&lt;=5, 'Items sous domaines Maths '!K264&gt;0),'Items sous domaines Maths '!E264,0)</f>
        <v>Méthode des rectangles (Sommes de Riemann)</v>
      </c>
      <c r="F260" s="9">
        <f>IF(AND('Items sous domaines Maths '!K264&lt;=5, 'Items sous domaines Maths '!K264&gt;0),'Items sous domaines Maths '!F264,0)</f>
        <v>0</v>
      </c>
      <c r="G260" s="647"/>
      <c r="H260" s="705"/>
    </row>
    <row r="261" spans="1:9" customFormat="1" ht="13.5" customHeight="1" thickBot="1" x14ac:dyDescent="0.3">
      <c r="A261" s="737"/>
      <c r="B261" s="8" t="str">
        <f>IF(AND('Items sous domaines Maths '!K265&lt;=5, 'Items sous domaines Maths '!K265&gt;0),'Items sous domaines Maths '!B265,0)</f>
        <v>Analyse</v>
      </c>
      <c r="C261" s="8" t="str">
        <f>IF(AND('Items sous domaines Maths '!K265&lt;=5, 'Items sous domaines Maths '!K265&gt;0),'Items sous domaines Maths '!C265)</f>
        <v>Integrales simples</v>
      </c>
      <c r="D261" s="8">
        <f>IF(AND('Items sous domaines Maths '!K265&lt;=5, 'Items sous domaines Maths '!K265&gt;0),'Items sous domaines Maths '!D265,0)</f>
        <v>0</v>
      </c>
      <c r="E261" s="8" t="str">
        <f>IF(AND('Items sous domaines Maths '!K265&lt;=5, 'Items sous domaines Maths '!K265&gt;0),'Items sous domaines Maths '!E265,0)</f>
        <v>Méthode des trapèzes</v>
      </c>
      <c r="F261" s="9">
        <f>IF(AND('Items sous domaines Maths '!K265&lt;=5, 'Items sous domaines Maths '!K265&gt;0),'Items sous domaines Maths '!F265,0)</f>
        <v>0</v>
      </c>
      <c r="G261" s="647"/>
      <c r="H261" s="705"/>
    </row>
    <row r="262" spans="1:9" customFormat="1" ht="13.5" customHeight="1" thickBot="1" x14ac:dyDescent="0.3">
      <c r="A262" s="737"/>
      <c r="B262" s="8" t="str">
        <f>IF(AND('Items sous domaines Maths '!K266&lt;=5, 'Items sous domaines Maths '!K266&gt;0),'Items sous domaines Maths '!B266,0)</f>
        <v>Analyse</v>
      </c>
      <c r="C262" s="8" t="str">
        <f>IF(AND('Items sous domaines Maths '!K266&lt;=5, 'Items sous domaines Maths '!K266&gt;0),'Items sous domaines Maths '!C266)</f>
        <v>Integrales simples</v>
      </c>
      <c r="D262" s="8">
        <f>IF(AND('Items sous domaines Maths '!K266&lt;=5, 'Items sous domaines Maths '!K266&gt;0),'Items sous domaines Maths '!D266,0)</f>
        <v>0</v>
      </c>
      <c r="E262" s="8" t="str">
        <f>IF(AND('Items sous domaines Maths '!K266&lt;=5, 'Items sous domaines Maths '!K266&gt;0),'Items sous domaines Maths '!E266,0)</f>
        <v>Méthode de Simpson</v>
      </c>
      <c r="F262" s="9">
        <f>IF(AND('Items sous domaines Maths '!K266&lt;=5, 'Items sous domaines Maths '!K266&gt;0),'Items sous domaines Maths '!F266,0)</f>
        <v>0</v>
      </c>
      <c r="G262" s="647"/>
      <c r="H262" s="705"/>
    </row>
    <row r="263" spans="1:9" customFormat="1" ht="13.5" hidden="1" customHeight="1" thickBot="1" x14ac:dyDescent="0.3">
      <c r="A263" s="22"/>
      <c r="B263" s="8">
        <f>IF(AND('Items sous domaines Maths '!K267&lt;=5, 'Items sous domaines Maths '!K267&gt;0),'Items sous domaines Maths '!B267,0)</f>
        <v>0</v>
      </c>
      <c r="C263" s="8" t="b">
        <f>IF(AND('Items sous domaines Maths '!K267&lt;=5, 'Items sous domaines Maths '!K267&gt;0),'Items sous domaines Maths '!C267)</f>
        <v>0</v>
      </c>
      <c r="D263" s="8">
        <f>IF(AND('Items sous domaines Maths '!K267&lt;=5, 'Items sous domaines Maths '!K267&gt;0),'Items sous domaines Maths '!D267,0)</f>
        <v>0</v>
      </c>
      <c r="E263" s="8">
        <f>IF(AND('Items sous domaines Maths '!K267&lt;=5, 'Items sous domaines Maths '!K267&gt;0),'Items sous domaines Maths '!E267,0)</f>
        <v>0</v>
      </c>
      <c r="F263" s="9">
        <f>IF(AND('Items sous domaines Maths '!K267&lt;=5, 'Items sous domaines Maths '!K267&gt;0),'Items sous domaines Maths '!F267,0)</f>
        <v>0</v>
      </c>
      <c r="G263" s="647"/>
      <c r="H263" s="705"/>
    </row>
    <row r="264" spans="1:9" ht="19.95" customHeight="1" thickTop="1" x14ac:dyDescent="0.3">
      <c r="A264" s="736" t="s">
        <v>530</v>
      </c>
      <c r="B264" s="254" t="str">
        <f>IF(AND('Items sous domaines Maths '!K268&lt;=5, 'Items sous domaines Maths '!K268&gt;0),'Items sous domaines Maths '!B268,0)</f>
        <v>Analyse</v>
      </c>
      <c r="C264" s="255" t="str">
        <f>IF(AND('Items sous domaines Maths '!K268&lt;=5, 'Items sous domaines Maths '!K268&gt;0),'Items sous domaines Maths '!C268)</f>
        <v>Intégrales multiples</v>
      </c>
      <c r="D264" s="255" t="str">
        <f>IF(AND('Items sous domaines Maths '!K268&lt;=5, 'Items sous domaines Maths '!K268&gt;0),'Items sous domaines Maths '!D268,0)</f>
        <v>Intégrales doubles</v>
      </c>
      <c r="E264" s="255" t="str">
        <f>IF(AND('Items sous domaines Maths '!K268&lt;=5, 'Items sous domaines Maths '!K268&gt;0),'Items sous domaines Maths '!E268,0)</f>
        <v>Définition et propriétés</v>
      </c>
      <c r="F264" s="256">
        <f>IF(AND('Items sous domaines Maths '!K268&lt;=5, 'Items sous domaines Maths '!K268&gt;0),'Items sous domaines Maths '!F268,0)</f>
        <v>0</v>
      </c>
      <c r="G264" s="724"/>
      <c r="H264" s="706"/>
      <c r="I264" s="245"/>
    </row>
    <row r="265" spans="1:9" ht="19.95" customHeight="1" x14ac:dyDescent="0.3">
      <c r="A265" s="737"/>
      <c r="B265" s="155" t="str">
        <f>IF(AND('Items sous domaines Maths '!K269&lt;=5, 'Items sous domaines Maths '!K269&gt;0),'Items sous domaines Maths '!B269,0)</f>
        <v>Analyse</v>
      </c>
      <c r="C265" s="156" t="str">
        <f>IF(AND('Items sous domaines Maths '!K269&lt;=5, 'Items sous domaines Maths '!K269&gt;0),'Items sous domaines Maths '!C269)</f>
        <v>Intégrales multiples</v>
      </c>
      <c r="D265" s="156">
        <f>IF(AND('Items sous domaines Maths '!K269&lt;=5, 'Items sous domaines Maths '!K269&gt;0),'Items sous domaines Maths '!D269,0)</f>
        <v>0</v>
      </c>
      <c r="E265" s="156" t="str">
        <f>IF(AND('Items sous domaines Maths '!K269&lt;=5, 'Items sous domaines Maths '!K269&gt;0),'Items sous domaines Maths '!E269,0)</f>
        <v>Séparation de variables / Fubini</v>
      </c>
      <c r="F265" s="157">
        <f>IF(AND('Items sous domaines Maths '!K269&lt;=5, 'Items sous domaines Maths '!K269&gt;0),'Items sous domaines Maths '!F269,0)</f>
        <v>0</v>
      </c>
      <c r="G265" s="722"/>
      <c r="H265" s="708"/>
      <c r="I265" s="249"/>
    </row>
    <row r="266" spans="1:9" ht="19.95" customHeight="1" thickBot="1" x14ac:dyDescent="0.35">
      <c r="A266" s="737"/>
      <c r="B266" s="250" t="str">
        <f>IF(AND('Items sous domaines Maths '!K270&lt;=5, 'Items sous domaines Maths '!K270&gt;0),'Items sous domaines Maths '!B270,0)</f>
        <v>Analyse</v>
      </c>
      <c r="C266" s="251" t="str">
        <f>IF(AND('Items sous domaines Maths '!K270&lt;=5, 'Items sous domaines Maths '!K270&gt;0),'Items sous domaines Maths '!C270)</f>
        <v>Intégrales multiples</v>
      </c>
      <c r="D266" s="251">
        <f>IF(AND('Items sous domaines Maths '!K270&lt;=5, 'Items sous domaines Maths '!K270&gt;0),'Items sous domaines Maths '!D270,0)</f>
        <v>0</v>
      </c>
      <c r="E266" s="251" t="str">
        <f>IF(AND('Items sous domaines Maths '!K270&lt;=5, 'Items sous domaines Maths '!K270&gt;0),'Items sous domaines Maths '!E270,0)</f>
        <v xml:space="preserve">Intégration par piles et par tranches </v>
      </c>
      <c r="F266" s="252">
        <f>IF(AND('Items sous domaines Maths '!K270&lt;=5, 'Items sous domaines Maths '!K270&gt;0),'Items sous domaines Maths '!F270,0)</f>
        <v>0</v>
      </c>
      <c r="G266" s="723"/>
      <c r="H266" s="707"/>
      <c r="I266" s="253"/>
    </row>
    <row r="267" spans="1:9" customFormat="1" ht="13.5" hidden="1" customHeight="1" thickTop="1" thickBot="1" x14ac:dyDescent="0.3">
      <c r="A267" s="737"/>
      <c r="B267">
        <f>IF(AND('Items sous domaines Maths '!K271&lt;=5, 'Items sous domaines Maths '!K271&gt;0),'Items sous domaines Maths '!B271,0)</f>
        <v>0</v>
      </c>
      <c r="C267" t="b">
        <f>IF(AND('Items sous domaines Maths '!K271&lt;=5, 'Items sous domaines Maths '!K271&gt;0),'Items sous domaines Maths '!C271)</f>
        <v>0</v>
      </c>
      <c r="D267">
        <f>IF(AND('Items sous domaines Maths '!K271&lt;=5, 'Items sous domaines Maths '!K271&gt;0),'Items sous domaines Maths '!D271,0)</f>
        <v>0</v>
      </c>
      <c r="E267">
        <f>IF(AND('Items sous domaines Maths '!K271&lt;=5, 'Items sous domaines Maths '!K271&gt;0),'Items sous domaines Maths '!E271,0)</f>
        <v>0</v>
      </c>
      <c r="F267" s="10">
        <f>IF(AND('Items sous domaines Maths '!K271&lt;=5, 'Items sous domaines Maths '!K271&gt;0),'Items sous domaines Maths '!F271,0)</f>
        <v>0</v>
      </c>
      <c r="G267" s="647"/>
      <c r="H267" s="705"/>
    </row>
    <row r="268" spans="1:9" customFormat="1" ht="13.5" hidden="1" customHeight="1" thickBot="1" x14ac:dyDescent="0.3">
      <c r="A268" s="737"/>
      <c r="B268" s="8">
        <f>IF(AND('Items sous domaines Maths '!K272&lt;=5, 'Items sous domaines Maths '!K272&gt;0),'Items sous domaines Maths '!B272,0)</f>
        <v>0</v>
      </c>
      <c r="C268" s="8" t="b">
        <f>IF(AND('Items sous domaines Maths '!K272&lt;=5, 'Items sous domaines Maths '!K272&gt;0),'Items sous domaines Maths '!C272)</f>
        <v>0</v>
      </c>
      <c r="D268" s="8">
        <f>IF(AND('Items sous domaines Maths '!K272&lt;=5, 'Items sous domaines Maths '!K272&gt;0),'Items sous domaines Maths '!D272,0)</f>
        <v>0</v>
      </c>
      <c r="E268" s="8">
        <f>IF(AND('Items sous domaines Maths '!K272&lt;=5, 'Items sous domaines Maths '!K272&gt;0),'Items sous domaines Maths '!E272,0)</f>
        <v>0</v>
      </c>
      <c r="F268" s="9">
        <f>IF(AND('Items sous domaines Maths '!K272&lt;=5, 'Items sous domaines Maths '!K272&gt;0),'Items sous domaines Maths '!F272,0)</f>
        <v>0</v>
      </c>
      <c r="G268" s="647"/>
      <c r="H268" s="705"/>
    </row>
    <row r="269" spans="1:9" ht="19.95" customHeight="1" thickTop="1" x14ac:dyDescent="0.3">
      <c r="A269" s="737"/>
      <c r="B269" s="265" t="str">
        <f>IF(AND('Items sous domaines Maths '!K273&lt;=5, 'Items sous domaines Maths '!K273&gt;0),'Items sous domaines Maths '!B273,0)</f>
        <v>Analyse</v>
      </c>
      <c r="C269" s="266" t="str">
        <f>IF(AND('Items sous domaines Maths '!K273&lt;=5, 'Items sous domaines Maths '!K273&gt;0),'Items sous domaines Maths '!C273)</f>
        <v>Intégrales multiples</v>
      </c>
      <c r="D269" s="266">
        <f>IF(AND('Items sous domaines Maths '!K273&lt;=5, 'Items sous domaines Maths '!K273&gt;0),'Items sous domaines Maths '!D273,0)</f>
        <v>0</v>
      </c>
      <c r="E269" s="266" t="str">
        <f>IF(AND('Items sous domaines Maths '!K273&lt;=5, 'Items sous domaines Maths '!K273&gt;0),'Items sous domaines Maths '!E273,0)</f>
        <v>Formule de Green-Riemann</v>
      </c>
      <c r="F269" s="267">
        <f>IF(AND('Items sous domaines Maths '!K273&lt;=5, 'Items sous domaines Maths '!K273&gt;0),'Items sous domaines Maths '!F273,0)</f>
        <v>0</v>
      </c>
      <c r="G269" s="724"/>
      <c r="H269" s="706"/>
      <c r="I269" s="245"/>
    </row>
    <row r="270" spans="1:9" ht="19.95" customHeight="1" thickBot="1" x14ac:dyDescent="0.35">
      <c r="A270" s="737"/>
      <c r="B270" s="250" t="str">
        <f>IF(AND('Items sous domaines Maths '!K274&lt;=5, 'Items sous domaines Maths '!K274&gt;0),'Items sous domaines Maths '!B274,0)</f>
        <v>Analyse</v>
      </c>
      <c r="C270" s="251" t="str">
        <f>IF(AND('Items sous domaines Maths '!K274&lt;=5, 'Items sous domaines Maths '!K274&gt;0),'Items sous domaines Maths '!C274)</f>
        <v>Intégrales multiples</v>
      </c>
      <c r="D270" s="251" t="str">
        <f>IF(AND('Items sous domaines Maths '!K274&lt;=5, 'Items sous domaines Maths '!K274&gt;0),'Items sous domaines Maths '!D274,0)</f>
        <v xml:space="preserve">Intégrales triples </v>
      </c>
      <c r="E270" s="251" t="str">
        <f>IF(AND('Items sous domaines Maths '!K274&lt;=5, 'Items sous domaines Maths '!K274&gt;0),'Items sous domaines Maths '!E274,0)</f>
        <v>Définitions et propriétés</v>
      </c>
      <c r="F270" s="252">
        <f>IF(AND('Items sous domaines Maths '!K274&lt;=5, 'Items sous domaines Maths '!K274&gt;0),'Items sous domaines Maths '!F274,0)</f>
        <v>0</v>
      </c>
      <c r="G270" s="723"/>
      <c r="H270" s="707"/>
      <c r="I270" s="253"/>
    </row>
    <row r="271" spans="1:9" customFormat="1" ht="13.5" hidden="1" customHeight="1" thickTop="1" thickBot="1" x14ac:dyDescent="0.3">
      <c r="A271" s="737"/>
      <c r="B271">
        <f>IF(AND('Items sous domaines Maths '!K275&lt;=5, 'Items sous domaines Maths '!K275&gt;0),'Items sous domaines Maths '!B275,0)</f>
        <v>0</v>
      </c>
      <c r="C271" t="b">
        <f>IF(AND('Items sous domaines Maths '!K275&lt;=5, 'Items sous domaines Maths '!K275&gt;0),'Items sous domaines Maths '!C275)</f>
        <v>0</v>
      </c>
      <c r="D271">
        <f>IF(AND('Items sous domaines Maths '!K275&lt;=5, 'Items sous domaines Maths '!K275&gt;0),'Items sous domaines Maths '!D275,0)</f>
        <v>0</v>
      </c>
      <c r="E271">
        <f>IF(AND('Items sous domaines Maths '!K275&lt;=5, 'Items sous domaines Maths '!K275&gt;0),'Items sous domaines Maths '!E275,0)</f>
        <v>0</v>
      </c>
      <c r="F271" s="10">
        <f>IF(AND('Items sous domaines Maths '!K275&lt;=5, 'Items sous domaines Maths '!K275&gt;0),'Items sous domaines Maths '!F275,0)</f>
        <v>0</v>
      </c>
      <c r="G271" s="647"/>
      <c r="H271" s="705"/>
    </row>
    <row r="272" spans="1:9" customFormat="1" ht="13.5" hidden="1" customHeight="1" thickBot="1" x14ac:dyDescent="0.3">
      <c r="A272" s="737"/>
      <c r="B272" s="8">
        <f>IF(AND('Items sous domaines Maths '!K276&lt;=5, 'Items sous domaines Maths '!K276&gt;0),'Items sous domaines Maths '!B276,0)</f>
        <v>0</v>
      </c>
      <c r="C272" s="8" t="b">
        <f>IF(AND('Items sous domaines Maths '!K276&lt;=5, 'Items sous domaines Maths '!K276&gt;0),'Items sous domaines Maths '!C276)</f>
        <v>0</v>
      </c>
      <c r="D272" s="8">
        <f>IF(AND('Items sous domaines Maths '!K276&lt;=5, 'Items sous domaines Maths '!K276&gt;0),'Items sous domaines Maths '!D276,0)</f>
        <v>0</v>
      </c>
      <c r="E272" s="8">
        <f>IF(AND('Items sous domaines Maths '!K276&lt;=5, 'Items sous domaines Maths '!K276&gt;0),'Items sous domaines Maths '!E276,0)</f>
        <v>0</v>
      </c>
      <c r="F272" s="9">
        <f>IF(AND('Items sous domaines Maths '!K276&lt;=5, 'Items sous domaines Maths '!K276&gt;0),'Items sous domaines Maths '!F276,0)</f>
        <v>0</v>
      </c>
      <c r="G272" s="647"/>
      <c r="H272" s="705"/>
    </row>
    <row r="273" spans="1:9" customFormat="1" ht="13.5" hidden="1" customHeight="1" thickBot="1" x14ac:dyDescent="0.3">
      <c r="A273" s="737"/>
      <c r="B273" s="8">
        <f>IF(AND('Items sous domaines Maths '!K277&lt;=5, 'Items sous domaines Maths '!K277&gt;0),'Items sous domaines Maths '!B277,0)</f>
        <v>0</v>
      </c>
      <c r="C273" s="8" t="b">
        <f>IF(AND('Items sous domaines Maths '!K277&lt;=5, 'Items sous domaines Maths '!K277&gt;0),'Items sous domaines Maths '!C277)</f>
        <v>0</v>
      </c>
      <c r="D273" s="8">
        <f>IF(AND('Items sous domaines Maths '!K277&lt;=5, 'Items sous domaines Maths '!K277&gt;0),'Items sous domaines Maths '!D277,0)</f>
        <v>0</v>
      </c>
      <c r="E273" s="8">
        <f>IF(AND('Items sous domaines Maths '!K277&lt;=5, 'Items sous domaines Maths '!K277&gt;0),'Items sous domaines Maths '!E277,0)</f>
        <v>0</v>
      </c>
      <c r="F273" s="9">
        <f>IF(AND('Items sous domaines Maths '!K277&lt;=5, 'Items sous domaines Maths '!K277&gt;0),'Items sous domaines Maths '!F277,0)</f>
        <v>0</v>
      </c>
      <c r="G273" s="647"/>
      <c r="H273" s="705"/>
    </row>
    <row r="274" spans="1:9" customFormat="1" ht="13.5" hidden="1" customHeight="1" thickBot="1" x14ac:dyDescent="0.3">
      <c r="A274" s="737"/>
      <c r="B274" s="8">
        <f>IF(AND('Items sous domaines Maths '!K278&lt;=5, 'Items sous domaines Maths '!K278&gt;0),'Items sous domaines Maths '!B278,0)</f>
        <v>0</v>
      </c>
      <c r="C274" s="8" t="b">
        <f>IF(AND('Items sous domaines Maths '!K278&lt;=5, 'Items sous domaines Maths '!K278&gt;0),'Items sous domaines Maths '!C278)</f>
        <v>0</v>
      </c>
      <c r="D274" s="8">
        <f>IF(AND('Items sous domaines Maths '!K278&lt;=5, 'Items sous domaines Maths '!K278&gt;0),'Items sous domaines Maths '!D278,0)</f>
        <v>0</v>
      </c>
      <c r="E274" s="8">
        <f>IF(AND('Items sous domaines Maths '!K278&lt;=5, 'Items sous domaines Maths '!K278&gt;0),'Items sous domaines Maths '!E278,0)</f>
        <v>0</v>
      </c>
      <c r="F274" s="9">
        <f>IF(AND('Items sous domaines Maths '!K278&lt;=5, 'Items sous domaines Maths '!K278&gt;0),'Items sous domaines Maths '!F278,0)</f>
        <v>0</v>
      </c>
      <c r="G274" s="647"/>
      <c r="H274" s="705"/>
    </row>
    <row r="275" spans="1:9" ht="19.95" customHeight="1" thickTop="1" x14ac:dyDescent="0.3">
      <c r="A275" s="737"/>
      <c r="B275" s="265" t="str">
        <f>IF(AND('Items sous domaines Maths '!K279&lt;=5, 'Items sous domaines Maths '!K279&gt;0),'Items sous domaines Maths '!B279,0)</f>
        <v>Analyse</v>
      </c>
      <c r="C275" s="266" t="str">
        <f>IF(AND('Items sous domaines Maths '!K279&lt;=5, 'Items sous domaines Maths '!K279&gt;0),'Items sous domaines Maths '!C279)</f>
        <v>Intégrales multiples</v>
      </c>
      <c r="D275" s="266" t="str">
        <f>IF(AND('Items sous domaines Maths '!K279&lt;=5, 'Items sous domaines Maths '!K279&gt;0),'Items sous domaines Maths '!D279,0)</f>
        <v>Applications</v>
      </c>
      <c r="E275" s="266" t="str">
        <f>IF(AND('Items sous domaines Maths '!K279&lt;=5, 'Items sous domaines Maths '!K279&gt;0),'Items sous domaines Maths '!E279,0)</f>
        <v xml:space="preserve">Calculs d’aires </v>
      </c>
      <c r="F275" s="267">
        <f>IF(AND('Items sous domaines Maths '!K279&lt;=5, 'Items sous domaines Maths '!K279&gt;0),'Items sous domaines Maths '!F279,0)</f>
        <v>0</v>
      </c>
      <c r="G275" s="724"/>
      <c r="H275" s="706"/>
      <c r="I275" s="245"/>
    </row>
    <row r="276" spans="1:9" ht="19.95" customHeight="1" thickBot="1" x14ac:dyDescent="0.35">
      <c r="A276" s="738"/>
      <c r="B276" s="250" t="str">
        <f>IF(AND('Items sous domaines Maths '!K280&lt;=5, 'Items sous domaines Maths '!K280&gt;0),'Items sous domaines Maths '!B280,0)</f>
        <v>Analyse</v>
      </c>
      <c r="C276" s="251" t="str">
        <f>IF(AND('Items sous domaines Maths '!K280&lt;=5, 'Items sous domaines Maths '!K280&gt;0),'Items sous domaines Maths '!C280)</f>
        <v>Intégrales multiples</v>
      </c>
      <c r="D276" s="251">
        <f>IF(AND('Items sous domaines Maths '!K280&lt;=5, 'Items sous domaines Maths '!K280&gt;0),'Items sous domaines Maths '!D280,0)</f>
        <v>0</v>
      </c>
      <c r="E276" s="251" t="str">
        <f>IF(AND('Items sous domaines Maths '!K280&lt;=5, 'Items sous domaines Maths '!K280&gt;0),'Items sous domaines Maths '!E280,0)</f>
        <v>Calculs de volumes</v>
      </c>
      <c r="F276" s="252">
        <f>IF(AND('Items sous domaines Maths '!K280&lt;=5, 'Items sous domaines Maths '!K280&gt;0),'Items sous domaines Maths '!F280,0)</f>
        <v>0</v>
      </c>
      <c r="G276" s="723"/>
      <c r="H276" s="707"/>
      <c r="I276" s="253"/>
    </row>
    <row r="277" spans="1:9" customFormat="1" ht="13.5" hidden="1" customHeight="1" thickTop="1" thickBot="1" x14ac:dyDescent="0.3">
      <c r="A277" s="22"/>
      <c r="B277">
        <f>IF(AND('Items sous domaines Maths '!K281&lt;=5, 'Items sous domaines Maths '!K281&gt;0),'Items sous domaines Maths '!B281,0)</f>
        <v>0</v>
      </c>
      <c r="C277" t="b">
        <f>IF(AND('Items sous domaines Maths '!K281&lt;=5, 'Items sous domaines Maths '!K281&gt;0),'Items sous domaines Maths '!C281)</f>
        <v>0</v>
      </c>
      <c r="D277">
        <f>IF(AND('Items sous domaines Maths '!K281&lt;=5, 'Items sous domaines Maths '!K281&gt;0),'Items sous domaines Maths '!D281,0)</f>
        <v>0</v>
      </c>
      <c r="E277">
        <f>IF(AND('Items sous domaines Maths '!K281&lt;=5, 'Items sous domaines Maths '!K281&gt;0),'Items sous domaines Maths '!E281,0)</f>
        <v>0</v>
      </c>
      <c r="F277" s="10">
        <f>IF(AND('Items sous domaines Maths '!K281&lt;=5, 'Items sous domaines Maths '!K281&gt;0),'Items sous domaines Maths '!F281,0)</f>
        <v>0</v>
      </c>
      <c r="G277" s="647"/>
      <c r="H277" s="9">
        <f>IF(AND('Items sous domaines Maths '!K281&lt;=5, 'Items sous domaines Maths '!K281&gt;0),'Items sous domaines Maths '!L281,0)</f>
        <v>0</v>
      </c>
    </row>
    <row r="278" spans="1:9" customFormat="1" ht="13.5" hidden="1" customHeight="1" thickBot="1" x14ac:dyDescent="0.3">
      <c r="B278" s="8">
        <f>IF(AND('Items sous domaines Maths '!K282&lt;=5, 'Items sous domaines Maths '!K282&gt;0),'Items sous domaines Maths '!B282,0)</f>
        <v>0</v>
      </c>
      <c r="C278" s="8" t="b">
        <f>IF(AND('Items sous domaines Maths '!K282&lt;=5, 'Items sous domaines Maths '!K282&gt;0),'Items sous domaines Maths '!C282)</f>
        <v>0</v>
      </c>
      <c r="D278" s="8">
        <f>IF(AND('Items sous domaines Maths '!K282&lt;=5, 'Items sous domaines Maths '!K282&gt;0),'Items sous domaines Maths '!D282,0)</f>
        <v>0</v>
      </c>
      <c r="E278" s="8">
        <f>IF(AND('Items sous domaines Maths '!K282&lt;=5, 'Items sous domaines Maths '!K282&gt;0),'Items sous domaines Maths '!E282,0)</f>
        <v>0</v>
      </c>
      <c r="F278" s="9">
        <f>IF(AND('Items sous domaines Maths '!K282&lt;=5, 'Items sous domaines Maths '!K282&gt;0),'Items sous domaines Maths '!F282,0)</f>
        <v>0</v>
      </c>
      <c r="G278" s="647"/>
      <c r="H278" s="9">
        <f>IF(AND('Items sous domaines Maths '!K282&lt;=5, 'Items sous domaines Maths '!K282&gt;0),'Items sous domaines Maths '!L282,0)</f>
        <v>0</v>
      </c>
    </row>
    <row r="279" spans="1:9" ht="19.95" customHeight="1" thickTop="1" x14ac:dyDescent="0.3">
      <c r="A279" s="629" t="s">
        <v>512</v>
      </c>
      <c r="B279" s="254" t="str">
        <f>IF(AND('Items sous domaines Maths '!K283&lt;=5, 'Items sous domaines Maths '!K283&gt;0),'Items sous domaines Maths '!B283,0)</f>
        <v>Analyse</v>
      </c>
      <c r="C279" s="255" t="str">
        <f>IF(AND('Items sous domaines Maths '!K283&lt;=5, 'Items sous domaines Maths '!K283&gt;0),'Items sous domaines Maths '!C283)</f>
        <v>Les équations différentielles</v>
      </c>
      <c r="D279" s="255" t="str">
        <f>IF(AND('Items sous domaines Maths '!K283&lt;=5, 'Items sous domaines Maths '!K283&gt;0),'Items sous domaines Maths '!D283,0)</f>
        <v>Équations différentielles linéaires du premier orde</v>
      </c>
      <c r="E279" s="255" t="str">
        <f>IF(AND('Items sous domaines Maths '!K283&lt;=5, 'Items sous domaines Maths '!K283&gt;0),'Items sous domaines Maths '!E283,0)</f>
        <v>Généralités</v>
      </c>
      <c r="F279" s="256">
        <f>IF(AND('Items sous domaines Maths '!K283&lt;=5, 'Items sous domaines Maths '!K283&gt;0),'Items sous domaines Maths '!F283,0)</f>
        <v>0</v>
      </c>
      <c r="G279" s="724"/>
      <c r="H279" s="720" t="s">
        <v>481</v>
      </c>
      <c r="I279" s="245"/>
    </row>
    <row r="280" spans="1:9" ht="19.95" customHeight="1" x14ac:dyDescent="0.3">
      <c r="A280" s="630"/>
      <c r="B280" s="155" t="str">
        <f>IF(AND('Items sous domaines Maths '!K284&lt;=5, 'Items sous domaines Maths '!K284&gt;0),'Items sous domaines Maths '!B284,0)</f>
        <v>Analyse</v>
      </c>
      <c r="C280" s="156" t="str">
        <f>IF(AND('Items sous domaines Maths '!K284&lt;=5, 'Items sous domaines Maths '!K284&gt;0),'Items sous domaines Maths '!C284)</f>
        <v>Les équations différentielles</v>
      </c>
      <c r="D280" s="156">
        <f>IF(AND('Items sous domaines Maths '!K284&lt;=5, 'Items sous domaines Maths '!K284&gt;0),'Items sous domaines Maths '!D284,0)</f>
        <v>0</v>
      </c>
      <c r="E280" s="156" t="str">
        <f>IF(AND('Items sous domaines Maths '!K284&lt;=5, 'Items sous domaines Maths '!K284&gt;0),'Items sous domaines Maths '!E284,0)</f>
        <v>Solutions de l’équation homogène</v>
      </c>
      <c r="F280" s="157">
        <f>IF(AND('Items sous domaines Maths '!K284&lt;=5, 'Items sous domaines Maths '!K284&gt;0),'Items sous domaines Maths '!F284,0)</f>
        <v>0</v>
      </c>
      <c r="G280" s="722"/>
      <c r="H280" s="708"/>
      <c r="I280" s="249"/>
    </row>
    <row r="281" spans="1:9" ht="19.95" customHeight="1" x14ac:dyDescent="0.3">
      <c r="A281" s="630"/>
      <c r="B281" s="161" t="str">
        <f>IF(AND('Items sous domaines Maths '!K285&lt;=5, 'Items sous domaines Maths '!K285&gt;0),'Items sous domaines Maths '!B285,0)</f>
        <v>Analyse</v>
      </c>
      <c r="C281" s="162" t="str">
        <f>IF(AND('Items sous domaines Maths '!K285&lt;=5, 'Items sous domaines Maths '!K285&gt;0),'Items sous domaines Maths '!C285)</f>
        <v>Les équations différentielles</v>
      </c>
      <c r="D281" s="162">
        <f>IF(AND('Items sous domaines Maths '!K285&lt;=5, 'Items sous domaines Maths '!K285&gt;0),'Items sous domaines Maths '!D285,0)</f>
        <v>0</v>
      </c>
      <c r="E281" s="162" t="str">
        <f>IF(AND('Items sous domaines Maths '!K285&lt;=5, 'Items sous domaines Maths '!K285&gt;0),'Items sous domaines Maths '!E285,0)</f>
        <v xml:space="preserve">Solutions générales de l’équation avec second membre </v>
      </c>
      <c r="F281" s="163" t="str">
        <f>IF(AND('Items sous domaines Maths '!K285&lt;=5, 'Items sous domaines Maths '!K285&gt;0),'Items sous domaines Maths '!F285,0)</f>
        <v>Solutions particulières de l’équation avec second membre.</v>
      </c>
      <c r="G281" s="722"/>
      <c r="H281" s="708"/>
      <c r="I281" s="249"/>
    </row>
    <row r="282" spans="1:9" ht="19.95" customHeight="1" x14ac:dyDescent="0.3">
      <c r="A282" s="630"/>
      <c r="B282" s="155" t="str">
        <f>IF(AND('Items sous domaines Maths '!K286&lt;=5, 'Items sous domaines Maths '!K286&gt;0),'Items sous domaines Maths '!B286,0)</f>
        <v>Analyse</v>
      </c>
      <c r="C282" s="156" t="str">
        <f>IF(AND('Items sous domaines Maths '!K286&lt;=5, 'Items sous domaines Maths '!K286&gt;0),'Items sous domaines Maths '!C286)</f>
        <v>Les équations différentielles</v>
      </c>
      <c r="D282" s="156">
        <f>IF(AND('Items sous domaines Maths '!K286&lt;=5, 'Items sous domaines Maths '!K286&gt;0),'Items sous domaines Maths '!D286,0)</f>
        <v>0</v>
      </c>
      <c r="E282" s="156">
        <f>IF(AND('Items sous domaines Maths '!K286&lt;=5, 'Items sous domaines Maths '!K286&gt;0),'Items sous domaines Maths '!E286,0)</f>
        <v>0</v>
      </c>
      <c r="F282" s="157" t="str">
        <f>IF(AND('Items sous domaines Maths '!K286&lt;=5, 'Items sous domaines Maths '!K286&gt;0),'Items sous domaines Maths '!F286,0)</f>
        <v>Principe de superposition.</v>
      </c>
      <c r="G282" s="722"/>
      <c r="H282" s="708"/>
      <c r="I282" s="249"/>
    </row>
    <row r="283" spans="1:9" ht="19.95" customHeight="1" x14ac:dyDescent="0.3">
      <c r="A283" s="630"/>
      <c r="B283" s="161" t="str">
        <f>IF(AND('Items sous domaines Maths '!K287&lt;=5, 'Items sous domaines Maths '!K287&gt;0),'Items sous domaines Maths '!B287,0)</f>
        <v>Analyse</v>
      </c>
      <c r="C283" s="162" t="str">
        <f>IF(AND('Items sous domaines Maths '!K287&lt;=5, 'Items sous domaines Maths '!K287&gt;0),'Items sous domaines Maths '!C287)</f>
        <v>Les équations différentielles</v>
      </c>
      <c r="D283" s="162">
        <f>IF(AND('Items sous domaines Maths '!K287&lt;=5, 'Items sous domaines Maths '!K287&gt;0),'Items sous domaines Maths '!D287,0)</f>
        <v>0</v>
      </c>
      <c r="E283" s="162">
        <f>IF(AND('Items sous domaines Maths '!K287&lt;=5, 'Items sous domaines Maths '!K287&gt;0),'Items sous domaines Maths '!E287,0)</f>
        <v>0</v>
      </c>
      <c r="F283" s="163" t="str">
        <f>IF(AND('Items sous domaines Maths '!K287&lt;=5, 'Items sous domaines Maths '!K287&gt;0),'Items sous domaines Maths '!F287,0)</f>
        <v>Équations de la forme y′ +a(x)y = p(x)</v>
      </c>
      <c r="G283" s="722"/>
      <c r="H283" s="708"/>
      <c r="I283" s="249"/>
    </row>
    <row r="284" spans="1:9" ht="19.95" customHeight="1" x14ac:dyDescent="0.3">
      <c r="A284" s="630"/>
      <c r="B284" s="155" t="str">
        <f>IF(AND('Items sous domaines Maths '!K288&lt;=5, 'Items sous domaines Maths '!K288&gt;0),'Items sous domaines Maths '!B288,0)</f>
        <v>Analyse</v>
      </c>
      <c r="C284" s="156" t="str">
        <f>IF(AND('Items sous domaines Maths '!K288&lt;=5, 'Items sous domaines Maths '!K288&gt;0),'Items sous domaines Maths '!C288)</f>
        <v>Les équations différentielles</v>
      </c>
      <c r="D284" s="156">
        <f>IF(AND('Items sous domaines Maths '!K288&lt;=5, 'Items sous domaines Maths '!K288&gt;0),'Items sous domaines Maths '!D288,0)</f>
        <v>0</v>
      </c>
      <c r="E284" s="156">
        <f>IF(AND('Items sous domaines Maths '!K288&lt;=5, 'Items sous domaines Maths '!K288&gt;0),'Items sous domaines Maths '!E288,0)</f>
        <v>0</v>
      </c>
      <c r="F284" s="157" t="str">
        <f>IF(AND('Items sous domaines Maths '!K288&lt;=5, 'Items sous domaines Maths '!K288&gt;0),'Items sous domaines Maths '!F288,0)</f>
        <v>Équations de la forme y′ +ay = p(x)exp(αx)</v>
      </c>
      <c r="G284" s="722"/>
      <c r="H284" s="708"/>
      <c r="I284" s="249"/>
    </row>
    <row r="285" spans="1:9" ht="19.95" customHeight="1" x14ac:dyDescent="0.3">
      <c r="A285" s="630"/>
      <c r="B285" s="161" t="str">
        <f>IF(AND('Items sous domaines Maths '!K289&lt;=5, 'Items sous domaines Maths '!K289&gt;0),'Items sous domaines Maths '!B289,0)</f>
        <v>Analyse</v>
      </c>
      <c r="C285" s="162" t="str">
        <f>IF(AND('Items sous domaines Maths '!K289&lt;=5, 'Items sous domaines Maths '!K289&gt;0),'Items sous domaines Maths '!C289)</f>
        <v>Les équations différentielles</v>
      </c>
      <c r="D285" s="162">
        <f>IF(AND('Items sous domaines Maths '!K289&lt;=5, 'Items sous domaines Maths '!K289&gt;0),'Items sous domaines Maths '!D289,0)</f>
        <v>0</v>
      </c>
      <c r="E285" s="162">
        <f>IF(AND('Items sous domaines Maths '!K289&lt;=5, 'Items sous domaines Maths '!K289&gt;0),'Items sous domaines Maths '!E289,0)</f>
        <v>0</v>
      </c>
      <c r="F285" s="163" t="str">
        <f>IF(AND('Items sous domaines Maths '!K289&lt;=5, 'Items sous domaines Maths '!K289&gt;0),'Items sous domaines Maths '!F289,0)</f>
        <v>Équations de la forme y′ +ay = bcos(ωx) +csin(ωx)</v>
      </c>
      <c r="G285" s="722"/>
      <c r="H285" s="708"/>
      <c r="I285" s="249"/>
    </row>
    <row r="286" spans="1:9" ht="19.95" customHeight="1" thickBot="1" x14ac:dyDescent="0.35">
      <c r="A286" s="631"/>
      <c r="B286" s="258" t="str">
        <f>IF(AND('Items sous domaines Maths '!K290&lt;=5, 'Items sous domaines Maths '!K290&gt;0),'Items sous domaines Maths '!B290,0)</f>
        <v>Analyse</v>
      </c>
      <c r="C286" s="259" t="str">
        <f>IF(AND('Items sous domaines Maths '!K290&lt;=5, 'Items sous domaines Maths '!K290&gt;0),'Items sous domaines Maths '!C290)</f>
        <v>Les équations différentielles</v>
      </c>
      <c r="D286" s="259">
        <f>IF(AND('Items sous domaines Maths '!K290&lt;=5, 'Items sous domaines Maths '!K290&gt;0),'Items sous domaines Maths '!D290,0)</f>
        <v>0</v>
      </c>
      <c r="E286" s="259">
        <f>IF(AND('Items sous domaines Maths '!K290&lt;=5, 'Items sous domaines Maths '!K290&gt;0),'Items sous domaines Maths '!E290,0)</f>
        <v>0</v>
      </c>
      <c r="F286" s="260" t="str">
        <f>IF(AND('Items sous domaines Maths '!K290&lt;=5, 'Items sous domaines Maths '!K290&gt;0),'Items sous domaines Maths '!F290,0)</f>
        <v>Équations de la forme y′ +ay = p(x)(bcos(ω1x) +csin(ω2x))</v>
      </c>
      <c r="G286" s="723"/>
      <c r="H286" s="707"/>
      <c r="I286" s="253"/>
    </row>
    <row r="287" spans="1:9" customFormat="1" ht="17.399999999999999" hidden="1" customHeight="1" thickTop="1" thickBot="1" x14ac:dyDescent="0.3">
      <c r="A287" s="726"/>
      <c r="B287">
        <f>IF(AND('Items sous domaines Maths '!K291&lt;=5, 'Items sous domaines Maths '!K291&gt;0),'Items sous domaines Maths '!B291,0)</f>
        <v>0</v>
      </c>
      <c r="C287" t="b">
        <f>IF(AND('Items sous domaines Maths '!K291&lt;=5, 'Items sous domaines Maths '!K291&gt;0),'Items sous domaines Maths '!C291)</f>
        <v>0</v>
      </c>
      <c r="D287">
        <f>IF(AND('Items sous domaines Maths '!K291&lt;=5, 'Items sous domaines Maths '!K291&gt;0),'Items sous domaines Maths '!D291,0)</f>
        <v>0</v>
      </c>
      <c r="E287">
        <f>IF(AND('Items sous domaines Maths '!K291&lt;=5, 'Items sous domaines Maths '!K291&gt;0),'Items sous domaines Maths '!E291,0)</f>
        <v>0</v>
      </c>
      <c r="F287" s="10">
        <f>IF(AND('Items sous domaines Maths '!K291&lt;=5, 'Items sous domaines Maths '!K291&gt;0),'Items sous domaines Maths '!F291,0)</f>
        <v>0</v>
      </c>
      <c r="G287" s="647"/>
      <c r="H287" s="705"/>
    </row>
    <row r="288" spans="1:9" ht="19.95" customHeight="1" thickTop="1" x14ac:dyDescent="0.3">
      <c r="A288" s="629"/>
      <c r="B288" s="254" t="str">
        <f>IF(AND('Items sous domaines Maths '!K292&lt;=5, 'Items sous domaines Maths '!K292&gt;0),'Items sous domaines Maths '!B292,0)</f>
        <v>Analyse</v>
      </c>
      <c r="C288" s="255" t="str">
        <f>IF(AND('Items sous domaines Maths '!K292&lt;=5, 'Items sous domaines Maths '!K292&gt;0),'Items sous domaines Maths '!C292)</f>
        <v>Les équations différentielles</v>
      </c>
      <c r="D288" s="255" t="str">
        <f>IF(AND('Items sous domaines Maths '!K292&lt;=5, 'Items sous domaines Maths '!K292&gt;0),'Items sous domaines Maths '!D292,0)</f>
        <v>Équations différentielles linéaires du second ordre à coefficients constants</v>
      </c>
      <c r="E288" s="255" t="str">
        <f>IF(AND('Items sous domaines Maths '!K292&lt;=5, 'Items sous domaines Maths '!K292&gt;0),'Items sous domaines Maths '!E292,0)</f>
        <v>Généralités</v>
      </c>
      <c r="F288" s="256">
        <f>IF(AND('Items sous domaines Maths '!K292&lt;=5, 'Items sous domaines Maths '!K292&gt;0),'Items sous domaines Maths '!F292,0)</f>
        <v>0</v>
      </c>
      <c r="G288" s="724"/>
      <c r="H288" s="706"/>
      <c r="I288" s="245"/>
    </row>
    <row r="289" spans="1:9" ht="19.95" customHeight="1" x14ac:dyDescent="0.3">
      <c r="A289" s="630"/>
      <c r="B289" s="155" t="str">
        <f>IF(AND('Items sous domaines Maths '!K293&lt;=5, 'Items sous domaines Maths '!K293&gt;0),'Items sous domaines Maths '!B293,0)</f>
        <v>Analyse</v>
      </c>
      <c r="C289" s="156" t="str">
        <f>IF(AND('Items sous domaines Maths '!K293&lt;=5, 'Items sous domaines Maths '!K293&gt;0),'Items sous domaines Maths '!C293)</f>
        <v>Les équations différentielles</v>
      </c>
      <c r="D289" s="156">
        <f>IF(AND('Items sous domaines Maths '!K293&lt;=5, 'Items sous domaines Maths '!K293&gt;0),'Items sous domaines Maths '!D293,0)</f>
        <v>0</v>
      </c>
      <c r="E289" s="156" t="str">
        <f>IF(AND('Items sous domaines Maths '!K293&lt;=5, 'Items sous domaines Maths '!K293&gt;0),'Items sous domaines Maths '!E293,0)</f>
        <v xml:space="preserve">Solutions de l’équation homogène </v>
      </c>
      <c r="F289" s="157">
        <f>IF(AND('Items sous domaines Maths '!K293&lt;=5, 'Items sous domaines Maths '!K293&gt;0),'Items sous domaines Maths '!F293,0)</f>
        <v>0</v>
      </c>
      <c r="G289" s="722"/>
      <c r="H289" s="708"/>
      <c r="I289" s="249"/>
    </row>
    <row r="290" spans="1:9" ht="19.95" customHeight="1" x14ac:dyDescent="0.3">
      <c r="A290" s="630"/>
      <c r="B290" s="161" t="str">
        <f>IF(AND('Items sous domaines Maths '!K294&lt;=5, 'Items sous domaines Maths '!K294&gt;0),'Items sous domaines Maths '!B294,0)</f>
        <v>Analyse</v>
      </c>
      <c r="C290" s="162" t="str">
        <f>IF(AND('Items sous domaines Maths '!K294&lt;=5, 'Items sous domaines Maths '!K294&gt;0),'Items sous domaines Maths '!C294)</f>
        <v>Les équations différentielles</v>
      </c>
      <c r="D290" s="162">
        <f>IF(AND('Items sous domaines Maths '!K294&lt;=5, 'Items sous domaines Maths '!K294&gt;0),'Items sous domaines Maths '!D294,0)</f>
        <v>0</v>
      </c>
      <c r="E290" s="162" t="str">
        <f>IF(AND('Items sous domaines Maths '!K294&lt;=5, 'Items sous domaines Maths '!K294&gt;0),'Items sous domaines Maths '!E294,0)</f>
        <v>Solutions générales de l’équation avec second membre</v>
      </c>
      <c r="F290" s="163" t="str">
        <f>IF(AND('Items sous domaines Maths '!K294&lt;=5, 'Items sous domaines Maths '!K294&gt;0),'Items sous domaines Maths '!F294,0)</f>
        <v>Principe de superposition.</v>
      </c>
      <c r="G290" s="722"/>
      <c r="H290" s="708"/>
      <c r="I290" s="249"/>
    </row>
    <row r="291" spans="1:9" ht="19.95" customHeight="1" x14ac:dyDescent="0.3">
      <c r="A291" s="630"/>
      <c r="B291" s="155" t="str">
        <f>IF(AND('Items sous domaines Maths '!K295&lt;=5, 'Items sous domaines Maths '!K295&gt;0),'Items sous domaines Maths '!B295,0)</f>
        <v>Analyse</v>
      </c>
      <c r="C291" s="156" t="str">
        <f>IF(AND('Items sous domaines Maths '!K295&lt;=5, 'Items sous domaines Maths '!K295&gt;0),'Items sous domaines Maths '!C295)</f>
        <v>Les équations différentielles</v>
      </c>
      <c r="D291" s="156">
        <f>IF(AND('Items sous domaines Maths '!K295&lt;=5, 'Items sous domaines Maths '!K295&gt;0),'Items sous domaines Maths '!D295,0)</f>
        <v>0</v>
      </c>
      <c r="E291" s="156">
        <f>IF(AND('Items sous domaines Maths '!K295&lt;=5, 'Items sous domaines Maths '!K295&gt;0),'Items sous domaines Maths '!E295,0)</f>
        <v>0</v>
      </c>
      <c r="F291" s="157" t="str">
        <f>IF(AND('Items sous domaines Maths '!K295&lt;=5, 'Items sous domaines Maths '!K295&gt;0),'Items sous domaines Maths '!F295,0)</f>
        <v>Cas où d(x) est un polynôme.</v>
      </c>
      <c r="G291" s="722"/>
      <c r="H291" s="708"/>
      <c r="I291" s="249"/>
    </row>
    <row r="292" spans="1:9" ht="19.95" customHeight="1" x14ac:dyDescent="0.3">
      <c r="A292" s="630"/>
      <c r="B292" s="161" t="str">
        <f>IF(AND('Items sous domaines Maths '!K296&lt;=5, 'Items sous domaines Maths '!K296&gt;0),'Items sous domaines Maths '!B296,0)</f>
        <v>Analyse</v>
      </c>
      <c r="C292" s="162" t="str">
        <f>IF(AND('Items sous domaines Maths '!K296&lt;=5, 'Items sous domaines Maths '!K296&gt;0),'Items sous domaines Maths '!C296)</f>
        <v>Les équations différentielles</v>
      </c>
      <c r="D292" s="162">
        <f>IF(AND('Items sous domaines Maths '!K296&lt;=5, 'Items sous domaines Maths '!K296&gt;0),'Items sous domaines Maths '!D296,0)</f>
        <v>0</v>
      </c>
      <c r="E292" s="162">
        <f>IF(AND('Items sous domaines Maths '!K296&lt;=5, 'Items sous domaines Maths '!K296&gt;0),'Items sous domaines Maths '!E296,0)</f>
        <v>0</v>
      </c>
      <c r="F292" s="163" t="str">
        <f>IF(AND('Items sous domaines Maths '!K296&lt;=5, 'Items sous domaines Maths '!K296&gt;0),'Items sous domaines Maths '!F296,0)</f>
        <v>Cas où d(x) est le produit d’un polynôme et d’une exponentielle.</v>
      </c>
      <c r="G292" s="722"/>
      <c r="H292" s="708"/>
      <c r="I292" s="249"/>
    </row>
    <row r="293" spans="1:9" ht="19.95" customHeight="1" x14ac:dyDescent="0.3">
      <c r="A293" s="630"/>
      <c r="B293" s="155" t="str">
        <f>IF(AND('Items sous domaines Maths '!K297&lt;=5, 'Items sous domaines Maths '!K297&gt;0),'Items sous domaines Maths '!B297,0)</f>
        <v>Analyse</v>
      </c>
      <c r="C293" s="156" t="str">
        <f>IF(AND('Items sous domaines Maths '!K297&lt;=5, 'Items sous domaines Maths '!K297&gt;0),'Items sous domaines Maths '!C297)</f>
        <v>Les équations différentielles</v>
      </c>
      <c r="D293" s="156">
        <f>IF(AND('Items sous domaines Maths '!K297&lt;=5, 'Items sous domaines Maths '!K297&gt;0),'Items sous domaines Maths '!D297,0)</f>
        <v>0</v>
      </c>
      <c r="E293" s="156">
        <f>IF(AND('Items sous domaines Maths '!K297&lt;=5, 'Items sous domaines Maths '!K297&gt;0),'Items sous domaines Maths '!E297,0)</f>
        <v>0</v>
      </c>
      <c r="F293" s="157" t="str">
        <f>IF(AND('Items sous domaines Maths '!K297&lt;=5, 'Items sous domaines Maths '!K297&gt;0),'Items sous domaines Maths '!F297,0)</f>
        <v>Cas où d(x) est une combinaison linéaire de fonctions trigonométriques.</v>
      </c>
      <c r="G293" s="722"/>
      <c r="H293" s="708"/>
      <c r="I293" s="249"/>
    </row>
    <row r="294" spans="1:9" ht="19.95" customHeight="1" thickBot="1" x14ac:dyDescent="0.35">
      <c r="A294" s="631"/>
      <c r="B294" s="250" t="str">
        <f>IF(AND('Items sous domaines Maths '!K298&lt;=5, 'Items sous domaines Maths '!K298&gt;0),'Items sous domaines Maths '!B298,0)</f>
        <v>Analyse</v>
      </c>
      <c r="C294" s="251" t="str">
        <f>IF(AND('Items sous domaines Maths '!K298&lt;=5, 'Items sous domaines Maths '!K298&gt;0),'Items sous domaines Maths '!C298)</f>
        <v>Les équations différentielles</v>
      </c>
      <c r="D294" s="251">
        <f>IF(AND('Items sous domaines Maths '!K298&lt;=5, 'Items sous domaines Maths '!K298&gt;0),'Items sous domaines Maths '!D298,0)</f>
        <v>0</v>
      </c>
      <c r="E294" s="251">
        <f>IF(AND('Items sous domaines Maths '!K298&lt;=5, 'Items sous domaines Maths '!K298&gt;0),'Items sous domaines Maths '!E298,0)</f>
        <v>0</v>
      </c>
      <c r="F294" s="252" t="str">
        <f>IF(AND('Items sous domaines Maths '!K298&lt;=5, 'Items sous domaines Maths '!K298&gt;0),'Items sous domaines Maths '!F298,0)</f>
        <v>Cas où d(x) est le produit d’une fonction trigonométrique et d’une exponentielle.</v>
      </c>
      <c r="G294" s="723"/>
      <c r="H294" s="707"/>
      <c r="I294" s="253"/>
    </row>
    <row r="295" spans="1:9" customFormat="1" ht="17.399999999999999" hidden="1" customHeight="1" thickTop="1" thickBot="1" x14ac:dyDescent="0.3">
      <c r="A295" s="727"/>
      <c r="B295" s="11">
        <f>IF(AND('Items sous domaines Maths '!K299&lt;=5, 'Items sous domaines Maths '!K299&gt;0),'Items sous domaines Maths '!B299,0)</f>
        <v>0</v>
      </c>
      <c r="C295" s="11" t="b">
        <f>IF(AND('Items sous domaines Maths '!K299&lt;=5, 'Items sous domaines Maths '!K299&gt;0),'Items sous domaines Maths '!C299)</f>
        <v>0</v>
      </c>
      <c r="D295" s="11">
        <f>IF(AND('Items sous domaines Maths '!K299&lt;=5, 'Items sous domaines Maths '!K299&gt;0),'Items sous domaines Maths '!D299,0)</f>
        <v>0</v>
      </c>
      <c r="E295" s="11">
        <f>IF(AND('Items sous domaines Maths '!K299&lt;=5, 'Items sous domaines Maths '!K299&gt;0),'Items sous domaines Maths '!E299,0)</f>
        <v>0</v>
      </c>
      <c r="F295" s="12">
        <f>IF(AND('Items sous domaines Maths '!K299&lt;=5, 'Items sous domaines Maths '!K299&gt;0),'Items sous domaines Maths '!F299,0)</f>
        <v>0</v>
      </c>
      <c r="G295" s="647"/>
      <c r="H295" s="9">
        <f>IF(AND('Items sous domaines Maths '!K299&lt;=5, 'Items sous domaines Maths '!K299&gt;0),'Items sous domaines Maths '!L299,0)</f>
        <v>0</v>
      </c>
    </row>
    <row r="296" spans="1:9" customFormat="1" ht="17.399999999999999" hidden="1" customHeight="1" thickBot="1" x14ac:dyDescent="0.3">
      <c r="B296">
        <f>IF(AND('Items sous domaines Maths '!K300&lt;=5, 'Items sous domaines Maths '!K300&gt;0),'Items sous domaines Maths '!B300,0)</f>
        <v>0</v>
      </c>
      <c r="C296" t="b">
        <f>IF(AND('Items sous domaines Maths '!K300&lt;=5, 'Items sous domaines Maths '!K300&gt;0),'Items sous domaines Maths '!C300)</f>
        <v>0</v>
      </c>
      <c r="D296">
        <f>IF(AND('Items sous domaines Maths '!K300&lt;=5, 'Items sous domaines Maths '!K300&gt;0),'Items sous domaines Maths '!D300,0)</f>
        <v>0</v>
      </c>
      <c r="E296">
        <f>IF(AND('Items sous domaines Maths '!K300&lt;=5, 'Items sous domaines Maths '!K300&gt;0),'Items sous domaines Maths '!E300,0)</f>
        <v>0</v>
      </c>
      <c r="F296" s="10">
        <f>IF(AND('Items sous domaines Maths '!K300&lt;=5, 'Items sous domaines Maths '!K300&gt;0),'Items sous domaines Maths '!F300,0)</f>
        <v>0</v>
      </c>
      <c r="G296" s="647"/>
      <c r="H296" s="9">
        <f>IF(AND('Items sous domaines Maths '!K300&lt;=5, 'Items sous domaines Maths '!K300&gt;0),'Items sous domaines Maths '!L300,0)</f>
        <v>0</v>
      </c>
    </row>
    <row r="297" spans="1:9" customFormat="1" ht="17.399999999999999" hidden="1" customHeight="1" thickBot="1" x14ac:dyDescent="0.3">
      <c r="B297" s="8">
        <f>IF(AND('Items sous domaines Maths '!K301&lt;=5, 'Items sous domaines Maths '!K301&gt;0),'Items sous domaines Maths '!B301,0)</f>
        <v>0</v>
      </c>
      <c r="C297" s="8" t="b">
        <f>IF(AND('Items sous domaines Maths '!K301&lt;=5, 'Items sous domaines Maths '!K301&gt;0),'Items sous domaines Maths '!C301)</f>
        <v>0</v>
      </c>
      <c r="D297" s="8">
        <f>IF(AND('Items sous domaines Maths '!K301&lt;=5, 'Items sous domaines Maths '!K301&gt;0),'Items sous domaines Maths '!D301,0)</f>
        <v>0</v>
      </c>
      <c r="E297" s="8">
        <f>IF(AND('Items sous domaines Maths '!K301&lt;=5, 'Items sous domaines Maths '!K301&gt;0),'Items sous domaines Maths '!E301,0)</f>
        <v>0</v>
      </c>
      <c r="F297" s="9">
        <f>IF(AND('Items sous domaines Maths '!K301&lt;=5, 'Items sous domaines Maths '!K301&gt;0),'Items sous domaines Maths '!F301,0)</f>
        <v>0</v>
      </c>
      <c r="G297" s="647"/>
      <c r="H297" s="9">
        <f>IF(AND('Items sous domaines Maths '!K301&lt;=5, 'Items sous domaines Maths '!K301&gt;0),'Items sous domaines Maths '!L301,0)</f>
        <v>0</v>
      </c>
    </row>
    <row r="298" spans="1:9" customFormat="1" ht="17.399999999999999" hidden="1" customHeight="1" thickBot="1" x14ac:dyDescent="0.3">
      <c r="B298" s="8">
        <f>IF(AND('Items sous domaines Maths '!K302&lt;=5, 'Items sous domaines Maths '!K302&gt;0),'Items sous domaines Maths '!B302,0)</f>
        <v>0</v>
      </c>
      <c r="C298" s="8" t="b">
        <f>IF(AND('Items sous domaines Maths '!K302&lt;=5, 'Items sous domaines Maths '!K302&gt;0),'Items sous domaines Maths '!C302)</f>
        <v>0</v>
      </c>
      <c r="D298" s="8">
        <f>IF(AND('Items sous domaines Maths '!K302&lt;=5, 'Items sous domaines Maths '!K302&gt;0),'Items sous domaines Maths '!D302,0)</f>
        <v>0</v>
      </c>
      <c r="E298" s="8">
        <f>IF(AND('Items sous domaines Maths '!K302&lt;=5, 'Items sous domaines Maths '!K302&gt;0),'Items sous domaines Maths '!E302,0)</f>
        <v>0</v>
      </c>
      <c r="F298" s="9">
        <f>IF(AND('Items sous domaines Maths '!K302&lt;=5, 'Items sous domaines Maths '!K302&gt;0),'Items sous domaines Maths '!F302,0)</f>
        <v>0</v>
      </c>
      <c r="G298" s="647"/>
      <c r="H298" s="9">
        <f>IF(AND('Items sous domaines Maths '!K302&lt;=5, 'Items sous domaines Maths '!K302&gt;0),'Items sous domaines Maths '!L302,0)</f>
        <v>0</v>
      </c>
    </row>
    <row r="299" spans="1:9" customFormat="1" ht="17.399999999999999" hidden="1" customHeight="1" thickBot="1" x14ac:dyDescent="0.3">
      <c r="B299" s="8">
        <f>IF(AND('Items sous domaines Maths '!K303&lt;=5, 'Items sous domaines Maths '!K303&gt;0),'Items sous domaines Maths '!B303,0)</f>
        <v>0</v>
      </c>
      <c r="C299" s="8" t="b">
        <f>IF(AND('Items sous domaines Maths '!K303&lt;=5, 'Items sous domaines Maths '!K303&gt;0),'Items sous domaines Maths '!C303)</f>
        <v>0</v>
      </c>
      <c r="D299" s="8">
        <f>IF(AND('Items sous domaines Maths '!K303&lt;=5, 'Items sous domaines Maths '!K303&gt;0),'Items sous domaines Maths '!D303,0)</f>
        <v>0</v>
      </c>
      <c r="E299" s="8">
        <f>IF(AND('Items sous domaines Maths '!K303&lt;=5, 'Items sous domaines Maths '!K303&gt;0),'Items sous domaines Maths '!E303,0)</f>
        <v>0</v>
      </c>
      <c r="F299" s="9">
        <f>IF(AND('Items sous domaines Maths '!K303&lt;=5, 'Items sous domaines Maths '!K303&gt;0),'Items sous domaines Maths '!F303,0)</f>
        <v>0</v>
      </c>
      <c r="G299" s="647"/>
      <c r="H299" s="9">
        <f>IF(AND('Items sous domaines Maths '!K303&lt;=5, 'Items sous domaines Maths '!K303&gt;0),'Items sous domaines Maths '!L303,0)</f>
        <v>0</v>
      </c>
    </row>
    <row r="300" spans="1:9" customFormat="1" ht="17.399999999999999" hidden="1" customHeight="1" thickBot="1" x14ac:dyDescent="0.3">
      <c r="B300" s="8">
        <f>IF(AND('Items sous domaines Maths '!K304&lt;=5, 'Items sous domaines Maths '!K304&gt;0),'Items sous domaines Maths '!B304,0)</f>
        <v>0</v>
      </c>
      <c r="C300" s="8" t="b">
        <f>IF(AND('Items sous domaines Maths '!K304&lt;=5, 'Items sous domaines Maths '!K304&gt;0),'Items sous domaines Maths '!C304)</f>
        <v>0</v>
      </c>
      <c r="D300" s="8">
        <f>IF(AND('Items sous domaines Maths '!K304&lt;=5, 'Items sous domaines Maths '!K304&gt;0),'Items sous domaines Maths '!D304,0)</f>
        <v>0</v>
      </c>
      <c r="E300" s="8">
        <f>IF(AND('Items sous domaines Maths '!K304&lt;=5, 'Items sous domaines Maths '!K304&gt;0),'Items sous domaines Maths '!E304,0)</f>
        <v>0</v>
      </c>
      <c r="F300" s="9">
        <f>IF(AND('Items sous domaines Maths '!K304&lt;=5, 'Items sous domaines Maths '!K304&gt;0),'Items sous domaines Maths '!F304,0)</f>
        <v>0</v>
      </c>
      <c r="G300" s="647"/>
      <c r="H300" s="9">
        <f>IF(AND('Items sous domaines Maths '!K304&lt;=5, 'Items sous domaines Maths '!K304&gt;0),'Items sous domaines Maths '!L304,0)</f>
        <v>0</v>
      </c>
    </row>
    <row r="301" spans="1:9" customFormat="1" ht="17.399999999999999" hidden="1" customHeight="1" thickBot="1" x14ac:dyDescent="0.3">
      <c r="B301" s="8">
        <f>IF(AND('Items sous domaines Maths '!K305&lt;=5, 'Items sous domaines Maths '!K305&gt;0),'Items sous domaines Maths '!B305,0)</f>
        <v>0</v>
      </c>
      <c r="C301" s="8" t="b">
        <f>IF(AND('Items sous domaines Maths '!K305&lt;=5, 'Items sous domaines Maths '!K305&gt;0),'Items sous domaines Maths '!C305)</f>
        <v>0</v>
      </c>
      <c r="D301" s="8">
        <f>IF(AND('Items sous domaines Maths '!K305&lt;=5, 'Items sous domaines Maths '!K305&gt;0),'Items sous domaines Maths '!D305,0)</f>
        <v>0</v>
      </c>
      <c r="E301" s="8">
        <f>IF(AND('Items sous domaines Maths '!K305&lt;=5, 'Items sous domaines Maths '!K305&gt;0),'Items sous domaines Maths '!E305,0)</f>
        <v>0</v>
      </c>
      <c r="F301" s="9">
        <f>IF(AND('Items sous domaines Maths '!K305&lt;=5, 'Items sous domaines Maths '!K305&gt;0),'Items sous domaines Maths '!F305,0)</f>
        <v>0</v>
      </c>
      <c r="G301" s="647"/>
      <c r="H301" s="9">
        <f>IF(AND('Items sous domaines Maths '!K305&lt;=5, 'Items sous domaines Maths '!K305&gt;0),'Items sous domaines Maths '!L305,0)</f>
        <v>0</v>
      </c>
    </row>
    <row r="302" spans="1:9" customFormat="1" ht="17.399999999999999" hidden="1" customHeight="1" thickBot="1" x14ac:dyDescent="0.3">
      <c r="B302" s="8">
        <f>IF(AND('Items sous domaines Maths '!K306&lt;=5, 'Items sous domaines Maths '!K306&gt;0),'Items sous domaines Maths '!B306,0)</f>
        <v>0</v>
      </c>
      <c r="C302" s="8" t="b">
        <f>IF(AND('Items sous domaines Maths '!K306&lt;=5, 'Items sous domaines Maths '!K306&gt;0),'Items sous domaines Maths '!C306)</f>
        <v>0</v>
      </c>
      <c r="D302" s="8">
        <f>IF(AND('Items sous domaines Maths '!K306&lt;=5, 'Items sous domaines Maths '!K306&gt;0),'Items sous domaines Maths '!D306,0)</f>
        <v>0</v>
      </c>
      <c r="E302" s="8">
        <f>IF(AND('Items sous domaines Maths '!K306&lt;=5, 'Items sous domaines Maths '!K306&gt;0),'Items sous domaines Maths '!E306,0)</f>
        <v>0</v>
      </c>
      <c r="F302" s="9">
        <f>IF(AND('Items sous domaines Maths '!K306&lt;=5, 'Items sous domaines Maths '!K306&gt;0),'Items sous domaines Maths '!F306,0)</f>
        <v>0</v>
      </c>
      <c r="G302" s="647"/>
      <c r="H302" s="9">
        <f>IF(AND('Items sous domaines Maths '!K306&lt;=5, 'Items sous domaines Maths '!K306&gt;0),'Items sous domaines Maths '!L306,0)</f>
        <v>0</v>
      </c>
    </row>
    <row r="303" spans="1:9" customFormat="1" ht="17.399999999999999" hidden="1" customHeight="1" thickBot="1" x14ac:dyDescent="0.3">
      <c r="B303" s="8">
        <f>IF(AND('Items sous domaines Maths '!K307&lt;=5, 'Items sous domaines Maths '!K307&gt;0),'Items sous domaines Maths '!B307,0)</f>
        <v>0</v>
      </c>
      <c r="C303" s="8" t="b">
        <f>IF(AND('Items sous domaines Maths '!K307&lt;=5, 'Items sous domaines Maths '!K307&gt;0),'Items sous domaines Maths '!C307)</f>
        <v>0</v>
      </c>
      <c r="D303" s="8">
        <f>IF(AND('Items sous domaines Maths '!K307&lt;=5, 'Items sous domaines Maths '!K307&gt;0),'Items sous domaines Maths '!D307,0)</f>
        <v>0</v>
      </c>
      <c r="E303" s="8">
        <f>IF(AND('Items sous domaines Maths '!K307&lt;=5, 'Items sous domaines Maths '!K307&gt;0),'Items sous domaines Maths '!E307,0)</f>
        <v>0</v>
      </c>
      <c r="F303" s="9">
        <f>IF(AND('Items sous domaines Maths '!K307&lt;=5, 'Items sous domaines Maths '!K307&gt;0),'Items sous domaines Maths '!F307,0)</f>
        <v>0</v>
      </c>
      <c r="G303" s="647"/>
      <c r="H303" s="9">
        <f>IF(AND('Items sous domaines Maths '!K307&lt;=5, 'Items sous domaines Maths '!K307&gt;0),'Items sous domaines Maths '!L307,0)</f>
        <v>0</v>
      </c>
    </row>
    <row r="304" spans="1:9" customFormat="1" ht="13.5" hidden="1" customHeight="1" thickBot="1" x14ac:dyDescent="0.3">
      <c r="B304" s="8">
        <f>IF(AND('Items sous domaines Maths '!K308&lt;=5, 'Items sous domaines Maths '!K308&gt;0),'Items sous domaines Maths '!B308,0)</f>
        <v>0</v>
      </c>
      <c r="C304" s="8" t="b">
        <f>IF(AND('Items sous domaines Maths '!K308&lt;=5, 'Items sous domaines Maths '!K308&gt;0),'Items sous domaines Maths '!C308)</f>
        <v>0</v>
      </c>
      <c r="D304" s="8">
        <f>IF(AND('Items sous domaines Maths '!K308&lt;=5, 'Items sous domaines Maths '!K308&gt;0),'Items sous domaines Maths '!D308,0)</f>
        <v>0</v>
      </c>
      <c r="E304" s="8">
        <f>IF(AND('Items sous domaines Maths '!K308&lt;=5, 'Items sous domaines Maths '!K308&gt;0),'Items sous domaines Maths '!E308,0)</f>
        <v>0</v>
      </c>
      <c r="F304" s="9">
        <f>IF(AND('Items sous domaines Maths '!K308&lt;=5, 'Items sous domaines Maths '!K308&gt;0),'Items sous domaines Maths '!F308,0)</f>
        <v>0</v>
      </c>
      <c r="G304" s="647"/>
      <c r="H304" s="9">
        <f>IF(AND('Items sous domaines Maths '!K308&lt;=5, 'Items sous domaines Maths '!K308&gt;0),'Items sous domaines Maths '!L308,0)</f>
        <v>0</v>
      </c>
    </row>
    <row r="305" spans="1:9" customFormat="1" ht="13.5" hidden="1" customHeight="1" thickBot="1" x14ac:dyDescent="0.3">
      <c r="B305" s="8">
        <f>IF(AND('Items sous domaines Maths '!K312&lt;=5, 'Items sous domaines Maths '!K312&gt;0),'Items sous domaines Maths '!B312,0)</f>
        <v>0</v>
      </c>
      <c r="C305" s="8" t="b">
        <f>IF(AND('Items sous domaines Maths '!K312&lt;=5, 'Items sous domaines Maths '!K312&gt;0),'Items sous domaines Maths '!C312)</f>
        <v>0</v>
      </c>
      <c r="D305" s="8">
        <f>IF(AND('Items sous domaines Maths '!K312&lt;=5, 'Items sous domaines Maths '!K312&gt;0),'Items sous domaines Maths '!D312,0)</f>
        <v>0</v>
      </c>
      <c r="E305" s="8">
        <f>IF(AND('Items sous domaines Maths '!K312&lt;=5, 'Items sous domaines Maths '!K312&gt;0),'Items sous domaines Maths '!E312,0)</f>
        <v>0</v>
      </c>
      <c r="F305" s="9">
        <f>IF(AND('Items sous domaines Maths '!K312&lt;=5, 'Items sous domaines Maths '!K312&gt;0),'Items sous domaines Maths '!F312,0)</f>
        <v>0</v>
      </c>
      <c r="G305" s="647"/>
      <c r="H305" s="9">
        <f>IF(AND('Items sous domaines Maths '!K309&lt;=5, 'Items sous domaines Maths '!K309&gt;0),'Items sous domaines Maths '!L309,0)</f>
        <v>0</v>
      </c>
    </row>
    <row r="306" spans="1:9" customFormat="1" ht="13.5" hidden="1" customHeight="1" thickBot="1" x14ac:dyDescent="0.3">
      <c r="B306" s="8">
        <f>IF(AND('Items sous domaines Maths '!K313&lt;=5, 'Items sous domaines Maths '!K313&gt;0),'Items sous domaines Maths '!B313,0)</f>
        <v>0</v>
      </c>
      <c r="C306" s="8" t="b">
        <f>IF(AND('Items sous domaines Maths '!K313&lt;=5, 'Items sous domaines Maths '!K313&gt;0),'Items sous domaines Maths '!C313)</f>
        <v>0</v>
      </c>
      <c r="D306" s="8">
        <f>IF(AND('Items sous domaines Maths '!K313&lt;=5, 'Items sous domaines Maths '!K313&gt;0),'Items sous domaines Maths '!D313,0)</f>
        <v>0</v>
      </c>
      <c r="E306" s="8">
        <f>IF(AND('Items sous domaines Maths '!K313&lt;=5, 'Items sous domaines Maths '!K313&gt;0),'Items sous domaines Maths '!E313,0)</f>
        <v>0</v>
      </c>
      <c r="F306" s="9">
        <f>IF(AND('Items sous domaines Maths '!K313&lt;=5, 'Items sous domaines Maths '!K313&gt;0),'Items sous domaines Maths '!F313,0)</f>
        <v>0</v>
      </c>
      <c r="G306" s="647"/>
      <c r="H306" s="9">
        <f>IF(AND('Items sous domaines Maths '!K310&lt;=5, 'Items sous domaines Maths '!K310&gt;0),'Items sous domaines Maths '!L310,0)</f>
        <v>0</v>
      </c>
    </row>
    <row r="307" spans="1:9" ht="19.95" customHeight="1" thickTop="1" x14ac:dyDescent="0.3">
      <c r="A307" s="629" t="s">
        <v>476</v>
      </c>
      <c r="B307" s="254" t="str">
        <f>IF(AND('Items sous domaines Maths '!K314&lt;=5, 'Items sous domaines Maths '!K314&gt;0),'Items sous domaines Maths '!B314,0)</f>
        <v>Analyse</v>
      </c>
      <c r="C307" s="255" t="str">
        <f>IF(AND('Items sous domaines Maths '!K314&lt;=5, 'Items sous domaines Maths '!K314&gt;0),'Items sous domaines Maths '!C314)</f>
        <v>Suites</v>
      </c>
      <c r="D307" s="255" t="str">
        <f>IF(AND('Items sous domaines Maths '!K314&lt;=5, 'Items sous domaines Maths '!K314&gt;0),'Items sous domaines Maths '!D314,0)</f>
        <v>Géneralités</v>
      </c>
      <c r="E307" s="255" t="str">
        <f>IF(AND('Items sous domaines Maths '!K314&lt;=5, 'Items sous domaines Maths '!K314&gt;0),'Items sous domaines Maths '!E314,0)</f>
        <v>Mode de génération d'une suite : explicite ou récurrente</v>
      </c>
      <c r="F307" s="256">
        <f>IF(AND('Items sous domaines Maths '!K314&lt;=5, 'Items sous domaines Maths '!K314&gt;0),'Items sous domaines Maths '!F314,0)</f>
        <v>0</v>
      </c>
      <c r="G307" s="724"/>
      <c r="H307" s="639" t="s">
        <v>312</v>
      </c>
      <c r="I307" s="245"/>
    </row>
    <row r="308" spans="1:9" ht="19.95" customHeight="1" x14ac:dyDescent="0.3">
      <c r="A308" s="630"/>
      <c r="B308" s="155" t="str">
        <f>IF(AND('Items sous domaines Maths '!K315&lt;=5, 'Items sous domaines Maths '!K315&gt;0),'Items sous domaines Maths '!B315,0)</f>
        <v>Analyse</v>
      </c>
      <c r="C308" s="156" t="str">
        <f>IF(AND('Items sous domaines Maths '!K315&lt;=5, 'Items sous domaines Maths '!K315&gt;0),'Items sous domaines Maths '!C315)</f>
        <v>Suites</v>
      </c>
      <c r="D308" s="156">
        <f>IF(AND('Items sous domaines Maths '!K315&lt;=5, 'Items sous domaines Maths '!K315&gt;0),'Items sous domaines Maths '!D315,0)</f>
        <v>0</v>
      </c>
      <c r="E308" s="156" t="str">
        <f>IF(AND('Items sous domaines Maths '!K315&lt;=5, 'Items sous domaines Maths '!K315&gt;0),'Items sous domaines Maths '!E315,0)</f>
        <v>Variations d'une suite</v>
      </c>
      <c r="F308" s="157" t="str">
        <f>IF(AND('Items sous domaines Maths '!K315&lt;=5, 'Items sous domaines Maths '!K315&gt;0),'Items sous domaines Maths '!F315,0)</f>
        <v>Méthode un+1-Un, Un+1/Un, Un+1=f(Un)</v>
      </c>
      <c r="G308" s="722"/>
      <c r="H308" s="470"/>
      <c r="I308" s="249"/>
    </row>
    <row r="309" spans="1:9" ht="19.95" customHeight="1" x14ac:dyDescent="0.3">
      <c r="A309" s="630"/>
      <c r="B309" s="161" t="str">
        <f>IF(AND('Items sous domaines Maths '!K316&lt;=5, 'Items sous domaines Maths '!K316&gt;0),'Items sous domaines Maths '!B316,0)</f>
        <v>Analyse</v>
      </c>
      <c r="C309" s="162" t="str">
        <f>IF(AND('Items sous domaines Maths '!K316&lt;=5, 'Items sous domaines Maths '!K316&gt;0),'Items sous domaines Maths '!C316)</f>
        <v>Suites</v>
      </c>
      <c r="D309" s="162">
        <f>IF(AND('Items sous domaines Maths '!K316&lt;=5, 'Items sous domaines Maths '!K316&gt;0),'Items sous domaines Maths '!D316,0)</f>
        <v>0</v>
      </c>
      <c r="E309" s="162" t="str">
        <f>IF(AND('Items sous domaines Maths '!K316&lt;=5, 'Items sous domaines Maths '!K316&gt;0),'Items sous domaines Maths '!E316,0)</f>
        <v xml:space="preserve">Suites majorées, minorées, bormées </v>
      </c>
      <c r="F309" s="163">
        <f>IF(AND('Items sous domaines Maths '!K316&lt;=5, 'Items sous domaines Maths '!K316&gt;0),'Items sous domaines Maths '!F316,0)</f>
        <v>0</v>
      </c>
      <c r="G309" s="722"/>
      <c r="H309" s="470"/>
      <c r="I309" s="249"/>
    </row>
    <row r="310" spans="1:9" ht="19.95" customHeight="1" x14ac:dyDescent="0.3">
      <c r="A310" s="630"/>
      <c r="B310" s="155" t="str">
        <f>IF(AND('Items sous domaines Maths '!K317&lt;=5, 'Items sous domaines Maths '!K317&gt;0),'Items sous domaines Maths '!B317,0)</f>
        <v>Analyse</v>
      </c>
      <c r="C310" s="156" t="str">
        <f>IF(AND('Items sous domaines Maths '!K317&lt;=5, 'Items sous domaines Maths '!K317&gt;0),'Items sous domaines Maths '!C317)</f>
        <v>Suites</v>
      </c>
      <c r="D310" s="156">
        <f>IF(AND('Items sous domaines Maths '!K317&lt;=5, 'Items sous domaines Maths '!K317&gt;0),'Items sous domaines Maths '!D317,0)</f>
        <v>0</v>
      </c>
      <c r="E310" s="156" t="str">
        <f>IF(AND('Items sous domaines Maths '!K317&lt;=5, 'Items sous domaines Maths '!K317&gt;0),'Items sous domaines Maths '!E317,0)</f>
        <v>Convergence d'une suite</v>
      </c>
      <c r="F310" s="157" t="str">
        <f>IF(AND('Items sous domaines Maths '!K317&lt;=5, 'Items sous domaines Maths '!K317&gt;0),'Items sous domaines Maths '!F317,0)</f>
        <v>Convergence des suites majorées, calculs de limites, point fixe</v>
      </c>
      <c r="G310" s="722"/>
      <c r="H310" s="470"/>
      <c r="I310" s="249"/>
    </row>
    <row r="311" spans="1:9" ht="19.95" customHeight="1" x14ac:dyDescent="0.3">
      <c r="A311" s="630"/>
      <c r="B311" s="161" t="str">
        <f>IF(AND('Items sous domaines Maths '!K318&lt;=5, 'Items sous domaines Maths '!K318&gt;0),'Items sous domaines Maths '!B318,0)</f>
        <v>Analyse</v>
      </c>
      <c r="C311" s="162" t="str">
        <f>IF(AND('Items sous domaines Maths '!K318&lt;=5, 'Items sous domaines Maths '!K318&gt;0),'Items sous domaines Maths '!C318)</f>
        <v>Suites</v>
      </c>
      <c r="D311" s="162">
        <f>IF(AND('Items sous domaines Maths '!K318&lt;=5, 'Items sous domaines Maths '!K318&gt;0),'Items sous domaines Maths '!D318,0)</f>
        <v>0</v>
      </c>
      <c r="E311" s="162" t="str">
        <f>IF(AND('Items sous domaines Maths '!K318&lt;=5, 'Items sous domaines Maths '!K318&gt;0),'Items sous domaines Maths '!E318,0)</f>
        <v>Représentation graphique des suites</v>
      </c>
      <c r="F311" s="163" t="str">
        <f>IF(AND('Items sous domaines Maths '!K318&lt;=5, 'Items sous domaines Maths '!K318&gt;0),'Items sous domaines Maths '!F318,0)</f>
        <v>Point fixe</v>
      </c>
      <c r="G311" s="722"/>
      <c r="H311" s="470"/>
      <c r="I311" s="249"/>
    </row>
    <row r="312" spans="1:9" ht="19.95" customHeight="1" x14ac:dyDescent="0.3">
      <c r="A312" s="630"/>
      <c r="B312" s="155" t="str">
        <f>IF(AND('Items sous domaines Maths '!K319&lt;=5, 'Items sous domaines Maths '!K319&gt;0),'Items sous domaines Maths '!B319,0)</f>
        <v>Analyse</v>
      </c>
      <c r="C312" s="156" t="str">
        <f>IF(AND('Items sous domaines Maths '!K319&lt;=5, 'Items sous domaines Maths '!K319&gt;0),'Items sous domaines Maths '!C319)</f>
        <v>Suites</v>
      </c>
      <c r="D312" s="156" t="str">
        <f>IF(AND('Items sous domaines Maths '!K319&lt;=5, 'Items sous domaines Maths '!K319&gt;0),'Items sous domaines Maths '!D319,0)</f>
        <v>Sutes de référence</v>
      </c>
      <c r="E312" s="156" t="str">
        <f>IF(AND('Items sous domaines Maths '!K319&lt;=5, 'Items sous domaines Maths '!K319&gt;0),'Items sous domaines Maths '!E319,0)</f>
        <v>Suites Arithmétiques</v>
      </c>
      <c r="F312" s="157" t="str">
        <f>IF(AND('Items sous domaines Maths '!K319&lt;=5, 'Items sous domaines Maths '!K319&gt;0),'Items sous domaines Maths '!F319,0)</f>
        <v>Définition, terme géberal, somme des termes consécutifs</v>
      </c>
      <c r="G312" s="722"/>
      <c r="H312" s="470"/>
      <c r="I312" s="249"/>
    </row>
    <row r="313" spans="1:9" ht="19.95" customHeight="1" x14ac:dyDescent="0.3">
      <c r="A313" s="630"/>
      <c r="B313" s="161" t="str">
        <f>IF(AND('Items sous domaines Maths '!K320&lt;=5, 'Items sous domaines Maths '!K320&gt;0),'Items sous domaines Maths '!B320,0)</f>
        <v>Analyse</v>
      </c>
      <c r="C313" s="162" t="str">
        <f>IF(AND('Items sous domaines Maths '!K320&lt;=5, 'Items sous domaines Maths '!K320&gt;0),'Items sous domaines Maths '!C320)</f>
        <v>Suites</v>
      </c>
      <c r="D313" s="162">
        <f>IF(AND('Items sous domaines Maths '!K320&lt;=5, 'Items sous domaines Maths '!K320&gt;0),'Items sous domaines Maths '!D320,0)</f>
        <v>0</v>
      </c>
      <c r="E313" s="162" t="str">
        <f>IF(AND('Items sous domaines Maths '!K320&lt;=5, 'Items sous domaines Maths '!K320&gt;0),'Items sous domaines Maths '!E320,0)</f>
        <v>Suites Géometriques</v>
      </c>
      <c r="F313" s="163" t="str">
        <f>IF(AND('Items sous domaines Maths '!K320&lt;=5, 'Items sous domaines Maths '!K320&gt;0),'Items sous domaines Maths '!F320,0)</f>
        <v>Définition, terme géberal, somme des termes consécutifs</v>
      </c>
      <c r="G313" s="722"/>
      <c r="H313" s="470"/>
      <c r="I313" s="249"/>
    </row>
    <row r="314" spans="1:9" ht="19.95" customHeight="1" x14ac:dyDescent="0.3">
      <c r="A314" s="630"/>
      <c r="B314" s="155" t="str">
        <f>IF(AND('Items sous domaines Maths '!K321&lt;=5, 'Items sous domaines Maths '!K321&gt;0),'Items sous domaines Maths '!B321,0)</f>
        <v>Analyse</v>
      </c>
      <c r="C314" s="156" t="str">
        <f>IF(AND('Items sous domaines Maths '!K321&lt;=5, 'Items sous domaines Maths '!K321&gt;0),'Items sous domaines Maths '!C321)</f>
        <v>Suites</v>
      </c>
      <c r="D314" s="156">
        <f>IF(AND('Items sous domaines Maths '!K321&lt;=5, 'Items sous domaines Maths '!K321&gt;0),'Items sous domaines Maths '!D321,0)</f>
        <v>0</v>
      </c>
      <c r="E314" s="156" t="str">
        <f>IF(AND('Items sous domaines Maths '!K321&lt;=5, 'Items sous domaines Maths '!K321&gt;0),'Items sous domaines Maths '!E321,0)</f>
        <v>Suites arithmético-géométriques</v>
      </c>
      <c r="F314" s="157">
        <f>IF(AND('Items sous domaines Maths '!K321&lt;=5, 'Items sous domaines Maths '!K321&gt;0),'Items sous domaines Maths '!F321,0)</f>
        <v>0</v>
      </c>
      <c r="G314" s="722"/>
      <c r="H314" s="470"/>
      <c r="I314" s="249"/>
    </row>
    <row r="315" spans="1:9" ht="19.95" customHeight="1" x14ac:dyDescent="0.3">
      <c r="A315" s="630"/>
      <c r="B315" s="161" t="str">
        <f>IF(AND('Items sous domaines Maths '!K322&lt;=5, 'Items sous domaines Maths '!K322&gt;0),'Items sous domaines Maths '!B322,0)</f>
        <v>Analyse</v>
      </c>
      <c r="C315" s="162" t="str">
        <f>IF(AND('Items sous domaines Maths '!K322&lt;=5, 'Items sous domaines Maths '!K322&gt;0),'Items sous domaines Maths '!C322)</f>
        <v>Suites</v>
      </c>
      <c r="D315" s="162" t="str">
        <f>IF(AND('Items sous domaines Maths '!K322&lt;=5, 'Items sous domaines Maths '!K322&gt;0),'Items sous domaines Maths '!D322,0)</f>
        <v>Methodes d'étude de suites</v>
      </c>
      <c r="E315" s="162" t="str">
        <f>IF(AND('Items sous domaines Maths '!K322&lt;=5, 'Items sous domaines Maths '!K322&gt;0),'Items sous domaines Maths '!E322,0)</f>
        <v>Représentation graphique, conjecture, démonstration / récurrence</v>
      </c>
      <c r="F315" s="163">
        <f>IF(AND('Items sous domaines Maths '!K322&lt;=5, 'Items sous domaines Maths '!K322&gt;0),'Items sous domaines Maths '!F322,0)</f>
        <v>0</v>
      </c>
      <c r="G315" s="722"/>
      <c r="H315" s="470"/>
      <c r="I315" s="249"/>
    </row>
    <row r="316" spans="1:9" ht="19.95" customHeight="1" x14ac:dyDescent="0.3">
      <c r="A316" s="630"/>
      <c r="B316" s="155" t="str">
        <f>IF(AND('Items sous domaines Maths '!K323&lt;=5, 'Items sous domaines Maths '!K323&gt;0),'Items sous domaines Maths '!B323,0)</f>
        <v>Analyse</v>
      </c>
      <c r="C316" s="156" t="str">
        <f>IF(AND('Items sous domaines Maths '!K323&lt;=5, 'Items sous domaines Maths '!K323&gt;0),'Items sous domaines Maths '!C323)</f>
        <v>Suites</v>
      </c>
      <c r="D316" s="156">
        <f>IF(AND('Items sous domaines Maths '!K323&lt;=5, 'Items sous domaines Maths '!K323&gt;0),'Items sous domaines Maths '!D323,0)</f>
        <v>0</v>
      </c>
      <c r="E316" s="156" t="str">
        <f>IF(AND('Items sous domaines Maths '!K323&lt;=5, 'Items sous domaines Maths '!K323&gt;0),'Items sous domaines Maths '!E323,0)</f>
        <v>Sommes partielles et convergence des sommes partielles</v>
      </c>
      <c r="F316" s="157" t="str">
        <f>IF(AND('Items sous domaines Maths '!K323&lt;=5, 'Items sous domaines Maths '!K323&gt;0),'Items sous domaines Maths '!F323,0)</f>
        <v>S(n+1) - S(n) = u(n+1) =&gt; la série converge seulement si u -&gt; 0</v>
      </c>
      <c r="G316" s="722"/>
      <c r="H316" s="470"/>
      <c r="I316" s="249"/>
    </row>
    <row r="317" spans="1:9" ht="19.95" customHeight="1" thickBot="1" x14ac:dyDescent="0.35">
      <c r="A317" s="631"/>
      <c r="B317" s="250" t="str">
        <f>IF(AND('Items sous domaines Maths '!K324&lt;=5, 'Items sous domaines Maths '!K324&gt;0),'Items sous domaines Maths '!B324,0)</f>
        <v>Analyse</v>
      </c>
      <c r="C317" s="251" t="str">
        <f>IF(AND('Items sous domaines Maths '!K324&lt;=5, 'Items sous domaines Maths '!K324&gt;0),'Items sous domaines Maths '!C324)</f>
        <v>Suites</v>
      </c>
      <c r="D317" s="251">
        <f>IF(AND('Items sous domaines Maths '!K324&lt;=5, 'Items sous domaines Maths '!K324&gt;0),'Items sous domaines Maths '!D324,0)</f>
        <v>0</v>
      </c>
      <c r="E317" s="251" t="str">
        <f>IF(AND('Items sous domaines Maths '!K324&lt;=5, 'Items sous domaines Maths '!K324&gt;0),'Items sous domaines Maths '!E324,0)</f>
        <v>Définition d'une série</v>
      </c>
      <c r="F317" s="252" t="str">
        <f>IF(AND('Items sous domaines Maths '!K324&lt;=5, 'Items sous domaines Maths '!K324&gt;0),'Items sous domaines Maths '!F324,0)</f>
        <v>Critères de convergence de Riemann pour les séries géométriques, exemples classiques (harmonique…)</v>
      </c>
      <c r="G317" s="723"/>
      <c r="H317" s="640"/>
      <c r="I317" s="253"/>
    </row>
    <row r="318" spans="1:9" customFormat="1" ht="13.5" hidden="1" customHeight="1" thickTop="1" thickBot="1" x14ac:dyDescent="0.3">
      <c r="B318">
        <f>IF(AND('Items sous domaines Maths '!K325&lt;=5, 'Items sous domaines Maths '!K325&gt;0),'Items sous domaines Maths '!B325,0)</f>
        <v>0</v>
      </c>
      <c r="C318" t="b">
        <f>IF(AND('Items sous domaines Maths '!K325&lt;=5, 'Items sous domaines Maths '!K325&gt;0),'Items sous domaines Maths '!C325)</f>
        <v>0</v>
      </c>
      <c r="D318">
        <f>IF(AND('Items sous domaines Maths '!K325&lt;=5, 'Items sous domaines Maths '!K325&gt;0),'Items sous domaines Maths '!D325,0)</f>
        <v>0</v>
      </c>
      <c r="E318">
        <f>IF(AND('Items sous domaines Maths '!K325&lt;=5, 'Items sous domaines Maths '!K325&gt;0),'Items sous domaines Maths '!E325,0)</f>
        <v>0</v>
      </c>
      <c r="F318" s="10">
        <f>IF(AND('Items sous domaines Maths '!K325&lt;=5, 'Items sous domaines Maths '!K325&gt;0),'Items sous domaines Maths '!F325,0)</f>
        <v>0</v>
      </c>
      <c r="G318" s="647"/>
      <c r="H318" s="9">
        <f>IF(AND('Items sous domaines Maths '!K322&lt;=5, 'Items sous domaines Maths '!K322&gt;0),'Items sous domaines Maths '!L322,0)</f>
        <v>0</v>
      </c>
    </row>
    <row r="319" spans="1:9" customFormat="1" ht="13.5" hidden="1" customHeight="1" thickBot="1" x14ac:dyDescent="0.3">
      <c r="B319" s="8">
        <f>IF(AND('Items sous domaines Maths '!K326&lt;=5, 'Items sous domaines Maths '!K326&gt;0),'Items sous domaines Maths '!B326,0)</f>
        <v>0</v>
      </c>
      <c r="C319" s="8" t="b">
        <f>IF(AND('Items sous domaines Maths '!K326&lt;=5, 'Items sous domaines Maths '!K326&gt;0),'Items sous domaines Maths '!C326)</f>
        <v>0</v>
      </c>
      <c r="D319" s="8">
        <f>IF(AND('Items sous domaines Maths '!K326&lt;=5, 'Items sous domaines Maths '!K326&gt;0),'Items sous domaines Maths '!D326,0)</f>
        <v>0</v>
      </c>
      <c r="E319" s="8">
        <f>IF(AND('Items sous domaines Maths '!K326&lt;=5, 'Items sous domaines Maths '!K326&gt;0),'Items sous domaines Maths '!E326,0)</f>
        <v>0</v>
      </c>
      <c r="F319" s="9">
        <f>IF(AND('Items sous domaines Maths '!K326&lt;=5, 'Items sous domaines Maths '!K326&gt;0),'Items sous domaines Maths '!F326,0)</f>
        <v>0</v>
      </c>
      <c r="G319" s="647"/>
      <c r="H319" s="9">
        <f>IF(AND('Items sous domaines Maths '!K323&lt;=5, 'Items sous domaines Maths '!K323&gt;0),'Items sous domaines Maths '!L323,0)</f>
        <v>0</v>
      </c>
    </row>
    <row r="320" spans="1:9" customFormat="1" ht="13.5" hidden="1" customHeight="1" thickBot="1" x14ac:dyDescent="0.3">
      <c r="B320" s="8">
        <f>IF(AND('Items sous domaines Maths '!K327&lt;=5, 'Items sous domaines Maths '!K327&gt;0),'Items sous domaines Maths '!B327,0)</f>
        <v>0</v>
      </c>
      <c r="C320" s="8" t="b">
        <f>IF(AND('Items sous domaines Maths '!K327&lt;=5, 'Items sous domaines Maths '!K327&gt;0),'Items sous domaines Maths '!C327)</f>
        <v>0</v>
      </c>
      <c r="D320" s="8">
        <f>IF(AND('Items sous domaines Maths '!K327&lt;=5, 'Items sous domaines Maths '!K327&gt;0),'Items sous domaines Maths '!D327,0)</f>
        <v>0</v>
      </c>
      <c r="E320" s="8">
        <f>IF(AND('Items sous domaines Maths '!K327&lt;=5, 'Items sous domaines Maths '!K327&gt;0),'Items sous domaines Maths '!E327,0)</f>
        <v>0</v>
      </c>
      <c r="F320" s="9">
        <f>IF(AND('Items sous domaines Maths '!K327&lt;=5, 'Items sous domaines Maths '!K327&gt;0),'Items sous domaines Maths '!F327,0)</f>
        <v>0</v>
      </c>
      <c r="G320" s="647"/>
      <c r="H320" s="9">
        <f>IF(AND('Items sous domaines Maths '!K324&lt;=5, 'Items sous domaines Maths '!K324&gt;0),'Items sous domaines Maths '!L324,0)</f>
        <v>0</v>
      </c>
    </row>
    <row r="321" spans="2:8" customFormat="1" ht="13.5" hidden="1" customHeight="1" thickBot="1" x14ac:dyDescent="0.3">
      <c r="B321" s="8">
        <f>IF(AND('Items sous domaines Maths '!K328&lt;=5, 'Items sous domaines Maths '!K328&gt;0),'Items sous domaines Maths '!B328,0)</f>
        <v>0</v>
      </c>
      <c r="C321" s="8" t="b">
        <f>IF(AND('Items sous domaines Maths '!K328&lt;=5, 'Items sous domaines Maths '!K328&gt;0),'Items sous domaines Maths '!C328)</f>
        <v>0</v>
      </c>
      <c r="D321" s="8">
        <f>IF(AND('Items sous domaines Maths '!K328&lt;=5, 'Items sous domaines Maths '!K328&gt;0),'Items sous domaines Maths '!D328,0)</f>
        <v>0</v>
      </c>
      <c r="E321" s="8">
        <f>IF(AND('Items sous domaines Maths '!K328&lt;=5, 'Items sous domaines Maths '!K328&gt;0),'Items sous domaines Maths '!E328,0)</f>
        <v>0</v>
      </c>
      <c r="F321" s="9">
        <f>IF(AND('Items sous domaines Maths '!K328&lt;=5, 'Items sous domaines Maths '!K328&gt;0),'Items sous domaines Maths '!F328,0)</f>
        <v>0</v>
      </c>
      <c r="G321" s="647"/>
      <c r="H321" s="9">
        <f>IF(AND('Items sous domaines Maths '!K325&lt;=5, 'Items sous domaines Maths '!K325&gt;0),'Items sous domaines Maths '!L325,0)</f>
        <v>0</v>
      </c>
    </row>
    <row r="322" spans="2:8" customFormat="1" ht="13.5" hidden="1" customHeight="1" thickBot="1" x14ac:dyDescent="0.3">
      <c r="B322" s="8">
        <f>IF(AND('Items sous domaines Maths '!K329&lt;=5, 'Items sous domaines Maths '!K329&gt;0),'Items sous domaines Maths '!B329,0)</f>
        <v>0</v>
      </c>
      <c r="C322" s="8" t="b">
        <f>IF(AND('Items sous domaines Maths '!K329&lt;=5, 'Items sous domaines Maths '!K329&gt;0),'Items sous domaines Maths '!C329)</f>
        <v>0</v>
      </c>
      <c r="D322" s="8">
        <f>IF(AND('Items sous domaines Maths '!K329&lt;=5, 'Items sous domaines Maths '!K329&gt;0),'Items sous domaines Maths '!D329,0)</f>
        <v>0</v>
      </c>
      <c r="E322" s="8">
        <f>IF(AND('Items sous domaines Maths '!K329&lt;=5, 'Items sous domaines Maths '!K329&gt;0),'Items sous domaines Maths '!E329,0)</f>
        <v>0</v>
      </c>
      <c r="F322" s="9">
        <f>IF(AND('Items sous domaines Maths '!K329&lt;=5, 'Items sous domaines Maths '!K329&gt;0),'Items sous domaines Maths '!F329,0)</f>
        <v>0</v>
      </c>
      <c r="G322" s="647"/>
      <c r="H322" s="9">
        <f>IF(AND('Items sous domaines Maths '!K326&lt;=5, 'Items sous domaines Maths '!K326&gt;0),'Items sous domaines Maths '!L326,0)</f>
        <v>0</v>
      </c>
    </row>
    <row r="323" spans="2:8" customFormat="1" ht="13.5" hidden="1" customHeight="1" thickBot="1" x14ac:dyDescent="0.3">
      <c r="B323" s="8">
        <f>IF(AND('Items sous domaines Maths '!K330&lt;=5, 'Items sous domaines Maths '!K330&gt;0),'Items sous domaines Maths '!B330,0)</f>
        <v>0</v>
      </c>
      <c r="C323" s="8" t="b">
        <f>IF(AND('Items sous domaines Maths '!K330&lt;=5, 'Items sous domaines Maths '!K330&gt;0),'Items sous domaines Maths '!C330)</f>
        <v>0</v>
      </c>
      <c r="D323" s="8">
        <f>IF(AND('Items sous domaines Maths '!K330&lt;=5, 'Items sous domaines Maths '!K330&gt;0),'Items sous domaines Maths '!D330,0)</f>
        <v>0</v>
      </c>
      <c r="E323" s="8">
        <f>IF(AND('Items sous domaines Maths '!K330&lt;=5, 'Items sous domaines Maths '!K330&gt;0),'Items sous domaines Maths '!E330,0)</f>
        <v>0</v>
      </c>
      <c r="F323" s="9">
        <f>IF(AND('Items sous domaines Maths '!K330&lt;=5, 'Items sous domaines Maths '!K330&gt;0),'Items sous domaines Maths '!F330,0)</f>
        <v>0</v>
      </c>
      <c r="G323" s="647"/>
      <c r="H323" s="9">
        <f>IF(AND('Items sous domaines Maths '!K327&lt;=5, 'Items sous domaines Maths '!K327&gt;0),'Items sous domaines Maths '!L327,0)</f>
        <v>0</v>
      </c>
    </row>
    <row r="324" spans="2:8" customFormat="1" ht="13.5" hidden="1" customHeight="1" thickBot="1" x14ac:dyDescent="0.3">
      <c r="B324" s="8">
        <f>IF(AND('Items sous domaines Maths '!K331&lt;=5, 'Items sous domaines Maths '!K331&gt;0),'Items sous domaines Maths '!B331,0)</f>
        <v>0</v>
      </c>
      <c r="C324" s="8" t="b">
        <f>IF(AND('Items sous domaines Maths '!K331&lt;=5, 'Items sous domaines Maths '!K331&gt;0),'Items sous domaines Maths '!C331)</f>
        <v>0</v>
      </c>
      <c r="D324" s="8">
        <f>IF(AND('Items sous domaines Maths '!K331&lt;=5, 'Items sous domaines Maths '!K331&gt;0),'Items sous domaines Maths '!D331,0)</f>
        <v>0</v>
      </c>
      <c r="E324" s="8">
        <f>IF(AND('Items sous domaines Maths '!K331&lt;=5, 'Items sous domaines Maths '!K331&gt;0),'Items sous domaines Maths '!E331,0)</f>
        <v>0</v>
      </c>
      <c r="F324" s="9">
        <f>IF(AND('Items sous domaines Maths '!K331&lt;=5, 'Items sous domaines Maths '!K331&gt;0),'Items sous domaines Maths '!F331,0)</f>
        <v>0</v>
      </c>
      <c r="G324" s="647"/>
      <c r="H324" s="9">
        <f>IF(AND('Items sous domaines Maths '!K328&lt;=5, 'Items sous domaines Maths '!K328&gt;0),'Items sous domaines Maths '!L328,0)</f>
        <v>0</v>
      </c>
    </row>
    <row r="325" spans="2:8" customFormat="1" ht="13.5" hidden="1" customHeight="1" thickBot="1" x14ac:dyDescent="0.3">
      <c r="B325" s="8">
        <f>IF(AND('Items sous domaines Maths '!K332&lt;=5, 'Items sous domaines Maths '!K332&gt;0),'Items sous domaines Maths '!B332,0)</f>
        <v>0</v>
      </c>
      <c r="C325" s="8" t="b">
        <f>IF(AND('Items sous domaines Maths '!K332&lt;=5, 'Items sous domaines Maths '!K332&gt;0),'Items sous domaines Maths '!C332)</f>
        <v>0</v>
      </c>
      <c r="D325" s="8">
        <f>IF(AND('Items sous domaines Maths '!K332&lt;=5, 'Items sous domaines Maths '!K332&gt;0),'Items sous domaines Maths '!D332,0)</f>
        <v>0</v>
      </c>
      <c r="E325" s="8">
        <f>IF(AND('Items sous domaines Maths '!K332&lt;=5, 'Items sous domaines Maths '!K332&gt;0),'Items sous domaines Maths '!E332,0)</f>
        <v>0</v>
      </c>
      <c r="F325" s="9">
        <f>IF(AND('Items sous domaines Maths '!K332&lt;=5, 'Items sous domaines Maths '!K332&gt;0),'Items sous domaines Maths '!F332,0)</f>
        <v>0</v>
      </c>
      <c r="G325" s="647"/>
      <c r="H325" s="9">
        <f>IF(AND('Items sous domaines Maths '!K329&lt;=5, 'Items sous domaines Maths '!K329&gt;0),'Items sous domaines Maths '!L329,0)</f>
        <v>0</v>
      </c>
    </row>
    <row r="326" spans="2:8" customFormat="1" ht="13.5" hidden="1" customHeight="1" thickBot="1" x14ac:dyDescent="0.3">
      <c r="B326" s="8">
        <f>IF(AND('Items sous domaines Maths '!K333&lt;=5, 'Items sous domaines Maths '!K333&gt;0),'Items sous domaines Maths '!B333,0)</f>
        <v>0</v>
      </c>
      <c r="C326" s="8" t="b">
        <f>IF(AND('Items sous domaines Maths '!K333&lt;=5, 'Items sous domaines Maths '!K333&gt;0),'Items sous domaines Maths '!C333)</f>
        <v>0</v>
      </c>
      <c r="D326" s="8">
        <f>IF(AND('Items sous domaines Maths '!K333&lt;=5, 'Items sous domaines Maths '!K333&gt;0),'Items sous domaines Maths '!D333,0)</f>
        <v>0</v>
      </c>
      <c r="E326" s="8">
        <f>IF(AND('Items sous domaines Maths '!K333&lt;=5, 'Items sous domaines Maths '!K333&gt;0),'Items sous domaines Maths '!E333,0)</f>
        <v>0</v>
      </c>
      <c r="F326" s="9">
        <f>IF(AND('Items sous domaines Maths '!K333&lt;=5, 'Items sous domaines Maths '!K333&gt;0),'Items sous domaines Maths '!F333,0)</f>
        <v>0</v>
      </c>
      <c r="G326" s="647"/>
      <c r="H326" s="9">
        <f>IF(AND('Items sous domaines Maths '!K330&lt;=5, 'Items sous domaines Maths '!K330&gt;0),'Items sous domaines Maths '!L330,0)</f>
        <v>0</v>
      </c>
    </row>
    <row r="327" spans="2:8" customFormat="1" ht="13.5" hidden="1" customHeight="1" thickBot="1" x14ac:dyDescent="0.3">
      <c r="B327" s="8">
        <f>IF(AND('Items sous domaines Maths '!K334&lt;=5, 'Items sous domaines Maths '!K334&gt;0),'Items sous domaines Maths '!B334,0)</f>
        <v>0</v>
      </c>
      <c r="C327" s="8" t="b">
        <f>IF(AND('Items sous domaines Maths '!K334&lt;=5, 'Items sous domaines Maths '!K334&gt;0),'Items sous domaines Maths '!C334)</f>
        <v>0</v>
      </c>
      <c r="D327" s="8">
        <f>IF(AND('Items sous domaines Maths '!K334&lt;=5, 'Items sous domaines Maths '!K334&gt;0),'Items sous domaines Maths '!D334,0)</f>
        <v>0</v>
      </c>
      <c r="E327" s="8">
        <f>IF(AND('Items sous domaines Maths '!K334&lt;=5, 'Items sous domaines Maths '!K334&gt;0),'Items sous domaines Maths '!E334,0)</f>
        <v>0</v>
      </c>
      <c r="F327" s="9">
        <f>IF(AND('Items sous domaines Maths '!K334&lt;=5, 'Items sous domaines Maths '!K334&gt;0),'Items sous domaines Maths '!F334,0)</f>
        <v>0</v>
      </c>
      <c r="G327" s="647"/>
      <c r="H327" s="9">
        <f>IF(AND('Items sous domaines Maths '!K331&lt;=5, 'Items sous domaines Maths '!K331&gt;0),'Items sous domaines Maths '!L331,0)</f>
        <v>0</v>
      </c>
    </row>
    <row r="328" spans="2:8" customFormat="1" ht="13.5" hidden="1" customHeight="1" thickBot="1" x14ac:dyDescent="0.3">
      <c r="B328" s="8">
        <f>IF(AND('Items sous domaines Maths '!K335&lt;=5, 'Items sous domaines Maths '!K335&gt;0),'Items sous domaines Maths '!B335,0)</f>
        <v>0</v>
      </c>
      <c r="C328" s="8" t="b">
        <f>IF(AND('Items sous domaines Maths '!K335&lt;=5, 'Items sous domaines Maths '!K335&gt;0),'Items sous domaines Maths '!C335)</f>
        <v>0</v>
      </c>
      <c r="D328" s="8">
        <f>IF(AND('Items sous domaines Maths '!K335&lt;=5, 'Items sous domaines Maths '!K335&gt;0),'Items sous domaines Maths '!D335,0)</f>
        <v>0</v>
      </c>
      <c r="E328" s="8">
        <f>IF(AND('Items sous domaines Maths '!K335&lt;=5, 'Items sous domaines Maths '!K335&gt;0),'Items sous domaines Maths '!E335,0)</f>
        <v>0</v>
      </c>
      <c r="F328" s="9">
        <f>IF(AND('Items sous domaines Maths '!K335&lt;=5, 'Items sous domaines Maths '!K335&gt;0),'Items sous domaines Maths '!F335,0)</f>
        <v>0</v>
      </c>
      <c r="G328" s="647"/>
      <c r="H328" s="9">
        <f>IF(AND('Items sous domaines Maths '!K332&lt;=5, 'Items sous domaines Maths '!K332&gt;0),'Items sous domaines Maths '!L332,0)</f>
        <v>0</v>
      </c>
    </row>
    <row r="329" spans="2:8" customFormat="1" ht="13.5" hidden="1" customHeight="1" thickBot="1" x14ac:dyDescent="0.3">
      <c r="B329" s="8">
        <f>IF(AND('Items sous domaines Maths '!K336&lt;=5, 'Items sous domaines Maths '!K336&gt;0),'Items sous domaines Maths '!B336,0)</f>
        <v>0</v>
      </c>
      <c r="C329" s="8" t="b">
        <f>IF(AND('Items sous domaines Maths '!K336&lt;=5, 'Items sous domaines Maths '!K336&gt;0),'Items sous domaines Maths '!C336)</f>
        <v>0</v>
      </c>
      <c r="D329" s="8">
        <f>IF(AND('Items sous domaines Maths '!K336&lt;=5, 'Items sous domaines Maths '!K336&gt;0),'Items sous domaines Maths '!D336,0)</f>
        <v>0</v>
      </c>
      <c r="E329" s="8">
        <f>IF(AND('Items sous domaines Maths '!K336&lt;=5, 'Items sous domaines Maths '!K336&gt;0),'Items sous domaines Maths '!E336,0)</f>
        <v>0</v>
      </c>
      <c r="F329" s="9">
        <f>IF(AND('Items sous domaines Maths '!K336&lt;=5, 'Items sous domaines Maths '!K336&gt;0),'Items sous domaines Maths '!F336,0)</f>
        <v>0</v>
      </c>
      <c r="G329" s="647"/>
      <c r="H329" s="9">
        <f>IF(AND('Items sous domaines Maths '!K333&lt;=5, 'Items sous domaines Maths '!K333&gt;0),'Items sous domaines Maths '!L333,0)</f>
        <v>0</v>
      </c>
    </row>
    <row r="330" spans="2:8" customFormat="1" ht="13.5" hidden="1" customHeight="1" thickBot="1" x14ac:dyDescent="0.3">
      <c r="B330" s="8">
        <f>IF(AND('Items sous domaines Maths '!K337&lt;=5, 'Items sous domaines Maths '!K337&gt;0),'Items sous domaines Maths '!B337,0)</f>
        <v>0</v>
      </c>
      <c r="C330" s="8" t="b">
        <f>IF(AND('Items sous domaines Maths '!K337&lt;=5, 'Items sous domaines Maths '!K337&gt;0),'Items sous domaines Maths '!C337)</f>
        <v>0</v>
      </c>
      <c r="D330" s="8">
        <f>IF(AND('Items sous domaines Maths '!K337&lt;=5, 'Items sous domaines Maths '!K337&gt;0),'Items sous domaines Maths '!D337,0)</f>
        <v>0</v>
      </c>
      <c r="E330" s="8">
        <f>IF(AND('Items sous domaines Maths '!K337&lt;=5, 'Items sous domaines Maths '!K337&gt;0),'Items sous domaines Maths '!E337,0)</f>
        <v>0</v>
      </c>
      <c r="F330" s="9">
        <f>IF(AND('Items sous domaines Maths '!K337&lt;=5, 'Items sous domaines Maths '!K337&gt;0),'Items sous domaines Maths '!F337,0)</f>
        <v>0</v>
      </c>
      <c r="G330" s="647"/>
      <c r="H330" s="9">
        <f>IF(AND('Items sous domaines Maths '!K334&lt;=5, 'Items sous domaines Maths '!K334&gt;0),'Items sous domaines Maths '!L334,0)</f>
        <v>0</v>
      </c>
    </row>
    <row r="331" spans="2:8" customFormat="1" ht="13.5" hidden="1" customHeight="1" thickBot="1" x14ac:dyDescent="0.3">
      <c r="B331" s="8">
        <f>IF(AND('Items sous domaines Maths '!K338&lt;=5, 'Items sous domaines Maths '!K338&gt;0),'Items sous domaines Maths '!B338,0)</f>
        <v>0</v>
      </c>
      <c r="C331" s="8" t="b">
        <f>IF(AND('Items sous domaines Maths '!K338&lt;=5, 'Items sous domaines Maths '!K338&gt;0),'Items sous domaines Maths '!C338)</f>
        <v>0</v>
      </c>
      <c r="D331" s="8">
        <f>IF(AND('Items sous domaines Maths '!K338&lt;=5, 'Items sous domaines Maths '!K338&gt;0),'Items sous domaines Maths '!D338,0)</f>
        <v>0</v>
      </c>
      <c r="E331" s="8">
        <f>IF(AND('Items sous domaines Maths '!K338&lt;=5, 'Items sous domaines Maths '!K338&gt;0),'Items sous domaines Maths '!E338,0)</f>
        <v>0</v>
      </c>
      <c r="F331" s="9">
        <f>IF(AND('Items sous domaines Maths '!K338&lt;=5, 'Items sous domaines Maths '!K338&gt;0),'Items sous domaines Maths '!F338,0)</f>
        <v>0</v>
      </c>
      <c r="G331" s="647"/>
      <c r="H331" s="9">
        <f>IF(AND('Items sous domaines Maths '!K335&lt;=5, 'Items sous domaines Maths '!K335&gt;0),'Items sous domaines Maths '!L335,0)</f>
        <v>0</v>
      </c>
    </row>
    <row r="332" spans="2:8" customFormat="1" ht="13.5" hidden="1" customHeight="1" thickBot="1" x14ac:dyDescent="0.3">
      <c r="B332" s="8">
        <f>IF(AND('Items sous domaines Maths '!K339&lt;=5, 'Items sous domaines Maths '!K339&gt;0),'Items sous domaines Maths '!B339,0)</f>
        <v>0</v>
      </c>
      <c r="C332" s="8" t="b">
        <f>IF(AND('Items sous domaines Maths '!K339&lt;=5, 'Items sous domaines Maths '!K339&gt;0),'Items sous domaines Maths '!C339)</f>
        <v>0</v>
      </c>
      <c r="D332" s="8">
        <f>IF(AND('Items sous domaines Maths '!K339&lt;=5, 'Items sous domaines Maths '!K339&gt;0),'Items sous domaines Maths '!D339,0)</f>
        <v>0</v>
      </c>
      <c r="E332" s="8">
        <f>IF(AND('Items sous domaines Maths '!K339&lt;=5, 'Items sous domaines Maths '!K339&gt;0),'Items sous domaines Maths '!E339,0)</f>
        <v>0</v>
      </c>
      <c r="F332" s="9">
        <f>IF(AND('Items sous domaines Maths '!K339&lt;=5, 'Items sous domaines Maths '!K339&gt;0),'Items sous domaines Maths '!F339,0)</f>
        <v>0</v>
      </c>
      <c r="G332" s="647"/>
      <c r="H332" s="9">
        <f>IF(AND('Items sous domaines Maths '!K336&lt;=5, 'Items sous domaines Maths '!K336&gt;0),'Items sous domaines Maths '!L336,0)</f>
        <v>0</v>
      </c>
    </row>
    <row r="333" spans="2:8" customFormat="1" ht="17.399999999999999" hidden="1" customHeight="1" thickBot="1" x14ac:dyDescent="0.3">
      <c r="B333" s="8">
        <f>IF(AND('Items sous domaines Maths '!K340&lt;=5, 'Items sous domaines Maths '!K340&gt;0),'Items sous domaines Maths '!B340,0)</f>
        <v>0</v>
      </c>
      <c r="C333" s="8" t="b">
        <f>IF(AND('Items sous domaines Maths '!K340&lt;=5, 'Items sous domaines Maths '!K340&gt;0),'Items sous domaines Maths '!C340)</f>
        <v>0</v>
      </c>
      <c r="D333" s="8">
        <f>IF(AND('Items sous domaines Maths '!K340&lt;=5, 'Items sous domaines Maths '!K340&gt;0),'Items sous domaines Maths '!D340,0)</f>
        <v>0</v>
      </c>
      <c r="E333" s="8">
        <f>IF(AND('Items sous domaines Maths '!K340&lt;=5, 'Items sous domaines Maths '!K340&gt;0),'Items sous domaines Maths '!E340,0)</f>
        <v>0</v>
      </c>
      <c r="F333" s="9">
        <f>IF(AND('Items sous domaines Maths '!K340&lt;=5, 'Items sous domaines Maths '!K340&gt;0),'Items sous domaines Maths '!F340,0)</f>
        <v>0</v>
      </c>
      <c r="G333" s="647"/>
      <c r="H333" s="9">
        <f>IF(AND('Items sous domaines Maths '!K337&lt;=5, 'Items sous domaines Maths '!K337&gt;0),'Items sous domaines Maths '!L337,0)</f>
        <v>0</v>
      </c>
    </row>
    <row r="334" spans="2:8" customFormat="1" ht="17.399999999999999" hidden="1" customHeight="1" thickBot="1" x14ac:dyDescent="0.3">
      <c r="B334" s="8">
        <f>IF(AND('Items sous domaines Maths '!K341&lt;=5, 'Items sous domaines Maths '!K341&gt;0),'Items sous domaines Maths '!B341,0)</f>
        <v>0</v>
      </c>
      <c r="C334" s="8" t="b">
        <f>IF(AND('Items sous domaines Maths '!K341&lt;=5, 'Items sous domaines Maths '!K341&gt;0),'Items sous domaines Maths '!C341)</f>
        <v>0</v>
      </c>
      <c r="D334" s="8">
        <f>IF(AND('Items sous domaines Maths '!K341&lt;=5, 'Items sous domaines Maths '!K341&gt;0),'Items sous domaines Maths '!D341,0)</f>
        <v>0</v>
      </c>
      <c r="E334" s="8">
        <f>IF(AND('Items sous domaines Maths '!K341&lt;=5, 'Items sous domaines Maths '!K341&gt;0),'Items sous domaines Maths '!E341,0)</f>
        <v>0</v>
      </c>
      <c r="F334" s="9">
        <f>IF(AND('Items sous domaines Maths '!K341&lt;=5, 'Items sous domaines Maths '!K341&gt;0),'Items sous domaines Maths '!F341,0)</f>
        <v>0</v>
      </c>
      <c r="G334" s="647"/>
      <c r="H334" s="9">
        <f>IF(AND('Items sous domaines Maths '!K338&lt;=5, 'Items sous domaines Maths '!K338&gt;0),'Items sous domaines Maths '!L338,0)</f>
        <v>0</v>
      </c>
    </row>
    <row r="335" spans="2:8" customFormat="1" ht="17.399999999999999" hidden="1" customHeight="1" thickBot="1" x14ac:dyDescent="0.3">
      <c r="B335" s="8">
        <f>IF(AND('Items sous domaines Maths '!K342&lt;=5, 'Items sous domaines Maths '!K342&gt;0),'Items sous domaines Maths '!B342,0)</f>
        <v>0</v>
      </c>
      <c r="C335" s="8" t="b">
        <f>IF(AND('Items sous domaines Maths '!K342&lt;=5, 'Items sous domaines Maths '!K342&gt;0),'Items sous domaines Maths '!C342)</f>
        <v>0</v>
      </c>
      <c r="D335" s="8">
        <f>IF(AND('Items sous domaines Maths '!K342&lt;=5, 'Items sous domaines Maths '!K342&gt;0),'Items sous domaines Maths '!D342,0)</f>
        <v>0</v>
      </c>
      <c r="E335" s="8">
        <f>IF(AND('Items sous domaines Maths '!K342&lt;=5, 'Items sous domaines Maths '!K342&gt;0),'Items sous domaines Maths '!E342,0)</f>
        <v>0</v>
      </c>
      <c r="F335" s="9">
        <f>IF(AND('Items sous domaines Maths '!K342&lt;=5, 'Items sous domaines Maths '!K342&gt;0),'Items sous domaines Maths '!F342,0)</f>
        <v>0</v>
      </c>
      <c r="G335" s="647"/>
      <c r="H335" s="9">
        <f>IF(AND('Items sous domaines Maths '!K339&lt;=5, 'Items sous domaines Maths '!K339&gt;0),'Items sous domaines Maths '!L339,0)</f>
        <v>0</v>
      </c>
    </row>
    <row r="336" spans="2:8" customFormat="1" ht="17.399999999999999" hidden="1" customHeight="1" thickBot="1" x14ac:dyDescent="0.3">
      <c r="B336" s="8">
        <f>IF(AND('Items sous domaines Maths '!K343&lt;=5, 'Items sous domaines Maths '!K343&gt;0),'Items sous domaines Maths '!B343,0)</f>
        <v>0</v>
      </c>
      <c r="C336" s="8" t="b">
        <f>IF(AND('Items sous domaines Maths '!K343&lt;=5, 'Items sous domaines Maths '!K343&gt;0),'Items sous domaines Maths '!C343)</f>
        <v>0</v>
      </c>
      <c r="D336" s="8">
        <f>IF(AND('Items sous domaines Maths '!K343&lt;=5, 'Items sous domaines Maths '!K343&gt;0),'Items sous domaines Maths '!D343,0)</f>
        <v>0</v>
      </c>
      <c r="E336" s="8">
        <f>IF(AND('Items sous domaines Maths '!K343&lt;=5, 'Items sous domaines Maths '!K343&gt;0),'Items sous domaines Maths '!E343,0)</f>
        <v>0</v>
      </c>
      <c r="F336" s="9">
        <f>IF(AND('Items sous domaines Maths '!K343&lt;=5, 'Items sous domaines Maths '!K343&gt;0),'Items sous domaines Maths '!F343,0)</f>
        <v>0</v>
      </c>
      <c r="G336" s="647"/>
      <c r="H336" s="9">
        <f>IF(AND('Items sous domaines Maths '!K340&lt;=5, 'Items sous domaines Maths '!K340&gt;0),'Items sous domaines Maths '!L340,0)</f>
        <v>0</v>
      </c>
    </row>
    <row r="337" spans="1:9" customFormat="1" ht="17.399999999999999" hidden="1" customHeight="1" thickBot="1" x14ac:dyDescent="0.3">
      <c r="B337" s="8">
        <f>IF(AND('Items sous domaines Maths '!K344&lt;=5, 'Items sous domaines Maths '!K344&gt;0),'Items sous domaines Maths '!B344,0)</f>
        <v>0</v>
      </c>
      <c r="C337" s="8" t="b">
        <f>IF(AND('Items sous domaines Maths '!K344&lt;=5, 'Items sous domaines Maths '!K344&gt;0),'Items sous domaines Maths '!C344)</f>
        <v>0</v>
      </c>
      <c r="D337" s="8">
        <f>IF(AND('Items sous domaines Maths '!K344&lt;=5, 'Items sous domaines Maths '!K344&gt;0),'Items sous domaines Maths '!D344,0)</f>
        <v>0</v>
      </c>
      <c r="E337" s="8">
        <f>IF(AND('Items sous domaines Maths '!K344&lt;=5, 'Items sous domaines Maths '!K344&gt;0),'Items sous domaines Maths '!E344,0)</f>
        <v>0</v>
      </c>
      <c r="F337" s="9">
        <f>IF(AND('Items sous domaines Maths '!K344&lt;=5, 'Items sous domaines Maths '!K344&gt;0),'Items sous domaines Maths '!F344,0)</f>
        <v>0</v>
      </c>
      <c r="G337" s="647"/>
      <c r="H337" s="9">
        <f>IF(AND('Items sous domaines Maths '!K341&lt;=5, 'Items sous domaines Maths '!K341&gt;0),'Items sous domaines Maths '!L341,0)</f>
        <v>0</v>
      </c>
    </row>
    <row r="338" spans="1:9" customFormat="1" ht="17.399999999999999" hidden="1" customHeight="1" thickBot="1" x14ac:dyDescent="0.3">
      <c r="B338" s="8">
        <f>IF(AND('Items sous domaines Maths '!K345&lt;=5, 'Items sous domaines Maths '!K345&gt;0),'Items sous domaines Maths '!B345,0)</f>
        <v>0</v>
      </c>
      <c r="C338" s="8" t="b">
        <f>IF(AND('Items sous domaines Maths '!K345&lt;=5, 'Items sous domaines Maths '!K345&gt;0),'Items sous domaines Maths '!C345)</f>
        <v>0</v>
      </c>
      <c r="D338" s="8">
        <f>IF(AND('Items sous domaines Maths '!K345&lt;=5, 'Items sous domaines Maths '!K345&gt;0),'Items sous domaines Maths '!D345,0)</f>
        <v>0</v>
      </c>
      <c r="E338" s="8">
        <f>IF(AND('Items sous domaines Maths '!K345&lt;=5, 'Items sous domaines Maths '!K345&gt;0),'Items sous domaines Maths '!E345,0)</f>
        <v>0</v>
      </c>
      <c r="F338" s="9">
        <f>IF(AND('Items sous domaines Maths '!K345&lt;=5, 'Items sous domaines Maths '!K345&gt;0),'Items sous domaines Maths '!F345,0)</f>
        <v>0</v>
      </c>
      <c r="G338" s="647"/>
      <c r="H338" s="9">
        <f>IF(AND('Items sous domaines Maths '!K342&lt;=5, 'Items sous domaines Maths '!K342&gt;0),'Items sous domaines Maths '!L342,0)</f>
        <v>0</v>
      </c>
    </row>
    <row r="339" spans="1:9" ht="19.95" customHeight="1" thickTop="1" x14ac:dyDescent="0.3">
      <c r="A339" s="733" t="s">
        <v>831</v>
      </c>
      <c r="B339" s="254" t="str">
        <f>IF(AND('Items sous domaines Maths '!K346&lt;=5, 'Items sous domaines Maths '!K346&gt;0),'Items sous domaines Maths '!B346,0)</f>
        <v>Probabilité et statistiques</v>
      </c>
      <c r="C339" s="255" t="str">
        <f>IF(AND('Items sous domaines Maths '!K346&lt;=5, 'Items sous domaines Maths '!K346&gt;0),'Items sous domaines Maths '!C346)</f>
        <v>Les probabilités</v>
      </c>
      <c r="D339" s="255" t="str">
        <f>IF(AND('Items sous domaines Maths '!K346&lt;=5, 'Items sous domaines Maths '!K346&gt;0),'Items sous domaines Maths '!D346,0)</f>
        <v>Dénombrement</v>
      </c>
      <c r="E339" s="255" t="str">
        <f>IF(AND('Items sous domaines Maths '!K346&lt;=5, 'Items sous domaines Maths '!K346&gt;0),'Items sous domaines Maths '!E346,0)</f>
        <v>Liste : tirages successifs avec remise</v>
      </c>
      <c r="F339" s="256">
        <f>IF(AND('Items sous domaines Maths '!K346&lt;=5, 'Items sous domaines Maths '!K346&gt;0),'Items sous domaines Maths '!F346,0)</f>
        <v>0</v>
      </c>
      <c r="G339" s="724"/>
      <c r="H339" s="720" t="s">
        <v>464</v>
      </c>
      <c r="I339" s="245"/>
    </row>
    <row r="340" spans="1:9" ht="19.95" customHeight="1" x14ac:dyDescent="0.3">
      <c r="A340" s="734"/>
      <c r="B340" s="155" t="str">
        <f>IF(AND('Items sous domaines Maths '!K347&lt;=5, 'Items sous domaines Maths '!K347&gt;0),'Items sous domaines Maths '!B347,0)</f>
        <v>Probabilité et statistiques</v>
      </c>
      <c r="C340" s="156" t="str">
        <f>IF(AND('Items sous domaines Maths '!K347&lt;=5, 'Items sous domaines Maths '!K347&gt;0),'Items sous domaines Maths '!C347)</f>
        <v>Les probabilités</v>
      </c>
      <c r="D340" s="156">
        <f>IF(AND('Items sous domaines Maths '!K347&lt;=5, 'Items sous domaines Maths '!K347&gt;0),'Items sous domaines Maths '!D347,0)</f>
        <v>0</v>
      </c>
      <c r="E340" s="156" t="str">
        <f>IF(AND('Items sous domaines Maths '!K347&lt;=5, 'Items sous domaines Maths '!K347&gt;0),'Items sous domaines Maths '!E347,0)</f>
        <v>Arrangement : tirages successifs sans remise - Permutations</v>
      </c>
      <c r="F340" s="157" t="str">
        <f>IF(AND('Items sous domaines Maths '!K347&lt;=5, 'Items sous domaines Maths '!K347&gt;0),'Items sous domaines Maths '!F347,0)</f>
        <v>Définition de la notation factorielle n! et propriétés.</v>
      </c>
      <c r="G340" s="722"/>
      <c r="H340" s="708"/>
      <c r="I340" s="249"/>
    </row>
    <row r="341" spans="1:9" ht="19.95" customHeight="1" x14ac:dyDescent="0.3">
      <c r="A341" s="734"/>
      <c r="B341" s="161" t="str">
        <f>IF(AND('Items sous domaines Maths '!K348&lt;=5, 'Items sous domaines Maths '!K348&gt;0),'Items sous domaines Maths '!B348,0)</f>
        <v>Probabilité et statistiques</v>
      </c>
      <c r="C341" s="162" t="str">
        <f>IF(AND('Items sous domaines Maths '!K348&lt;=5, 'Items sous domaines Maths '!K348&gt;0),'Items sous domaines Maths '!C348)</f>
        <v>Les probabilités</v>
      </c>
      <c r="D341" s="162">
        <f>IF(AND('Items sous domaines Maths '!K348&lt;=5, 'Items sous domaines Maths '!K348&gt;0),'Items sous domaines Maths '!D348,0)</f>
        <v>0</v>
      </c>
      <c r="E341" s="162" t="str">
        <f>IF(AND('Items sous domaines Maths '!K348&lt;=5, 'Items sous domaines Maths '!K348&gt;0),'Items sous domaines Maths '!E348,0)</f>
        <v>Combinaison : tirages simultannés</v>
      </c>
      <c r="F341" s="163" t="str">
        <f>IF(AND('Items sous domaines Maths '!K348&lt;=5, 'Items sous domaines Maths '!K348&gt;0),'Items sous domaines Maths '!F348,0)</f>
        <v>Propriétés des combinaisons, formule du binôme.</v>
      </c>
      <c r="G341" s="722"/>
      <c r="H341" s="708"/>
      <c r="I341" s="249"/>
    </row>
    <row r="342" spans="1:9" ht="19.95" customHeight="1" x14ac:dyDescent="0.3">
      <c r="A342" s="734"/>
      <c r="B342" s="155" t="str">
        <f>IF(AND('Items sous domaines Maths '!K349&lt;=5, 'Items sous domaines Maths '!K349&gt;0),'Items sous domaines Maths '!B349,0)</f>
        <v>Probabilité et statistiques</v>
      </c>
      <c r="C342" s="156" t="str">
        <f>IF(AND('Items sous domaines Maths '!K349&lt;=5, 'Items sous domaines Maths '!K349&gt;0),'Items sous domaines Maths '!C349)</f>
        <v>Les probabilités</v>
      </c>
      <c r="D342" s="156" t="str">
        <f>IF(AND('Items sous domaines Maths '!K349&lt;=5, 'Items sous domaines Maths '!K349&gt;0),'Items sous domaines Maths '!D349,0)</f>
        <v>Probabilités sur un univers fini</v>
      </c>
      <c r="E342" s="156" t="str">
        <f>IF(AND('Items sous domaines Maths '!K349&lt;=5, 'Items sous domaines Maths '!K349&gt;0),'Items sous domaines Maths '!E349,0)</f>
        <v>Vocabulaire des événements</v>
      </c>
      <c r="F342" s="157" t="str">
        <f>IF(AND('Items sous domaines Maths '!K349&lt;=5, 'Items sous domaines Maths '!K349&gt;0),'Items sous domaines Maths '!F349,0)</f>
        <v>Univers, évènements élémentaires, évènements contraires, certains et impossibles. Loi de Morgan. Diagrammes de Venn</v>
      </c>
      <c r="G342" s="722"/>
      <c r="H342" s="708"/>
      <c r="I342" s="249"/>
    </row>
    <row r="343" spans="1:9" ht="19.95" customHeight="1" x14ac:dyDescent="0.3">
      <c r="A343" s="734"/>
      <c r="B343" s="161" t="str">
        <f>IF(AND('Items sous domaines Maths '!K350&lt;=5, 'Items sous domaines Maths '!K350&gt;0),'Items sous domaines Maths '!B350,0)</f>
        <v>Probabilité et statistiques</v>
      </c>
      <c r="C343" s="162" t="str">
        <f>IF(AND('Items sous domaines Maths '!K350&lt;=5, 'Items sous domaines Maths '!K350&gt;0),'Items sous domaines Maths '!C350)</f>
        <v>Les probabilités</v>
      </c>
      <c r="D343" s="162">
        <f>IF(AND('Items sous domaines Maths '!K350&lt;=5, 'Items sous domaines Maths '!K350&gt;0),'Items sous domaines Maths '!D350,0)</f>
        <v>0</v>
      </c>
      <c r="E343" s="162" t="str">
        <f>IF(AND('Items sous domaines Maths '!K350&lt;=5, 'Items sous domaines Maths '!K350&gt;0),'Items sous domaines Maths '!E350,0)</f>
        <v>Loi de probabilité</v>
      </c>
      <c r="F343" s="163" t="str">
        <f>IF(AND('Items sous domaines Maths '!K350&lt;=5, 'Items sous domaines Maths '!K350&gt;0),'Items sous domaines Maths '!F350,0)</f>
        <v xml:space="preserve">Définr ce qu'est une expérience aléatoire et une probabilité. Evènements incompatibles. </v>
      </c>
      <c r="G343" s="722"/>
      <c r="H343" s="708"/>
      <c r="I343" s="249"/>
    </row>
    <row r="344" spans="1:9" ht="19.95" customHeight="1" x14ac:dyDescent="0.3">
      <c r="A344" s="734"/>
      <c r="B344" s="155" t="str">
        <f>IF(AND('Items sous domaines Maths '!K351&lt;=5, 'Items sous domaines Maths '!K351&gt;0),'Items sous domaines Maths '!B351,0)</f>
        <v>Probabilité et statistiques</v>
      </c>
      <c r="C344" s="156" t="str">
        <f>IF(AND('Items sous domaines Maths '!K351&lt;=5, 'Items sous domaines Maths '!K351&gt;0),'Items sous domaines Maths '!C351)</f>
        <v>Les probabilités</v>
      </c>
      <c r="D344" s="156">
        <f>IF(AND('Items sous domaines Maths '!K351&lt;=5, 'Items sous domaines Maths '!K351&gt;0),'Items sous domaines Maths '!D351,0)</f>
        <v>0</v>
      </c>
      <c r="E344" s="156" t="str">
        <f>IF(AND('Items sous domaines Maths '!K351&lt;=5, 'Items sous domaines Maths '!K351&gt;0),'Items sous domaines Maths '!E351,0)</f>
        <v>Calcul de probabilités</v>
      </c>
      <c r="F344" s="157" t="str">
        <f>IF(AND('Items sous domaines Maths '!K351&lt;=5, 'Items sous domaines Maths '!K351&gt;0),'Items sous domaines Maths '!F351,0)</f>
        <v>Equiprobabilité et situations non équiprobables. Arbres de probabilité, tableaux.</v>
      </c>
      <c r="G344" s="722"/>
      <c r="H344" s="708"/>
      <c r="I344" s="249"/>
    </row>
    <row r="345" spans="1:9" ht="19.95" customHeight="1" x14ac:dyDescent="0.3">
      <c r="A345" s="734"/>
      <c r="B345" s="161" t="str">
        <f>IF(AND('Items sous domaines Maths '!K352&lt;=5, 'Items sous domaines Maths '!K352&gt;0),'Items sous domaines Maths '!B352,0)</f>
        <v>Probabilité et statistiques</v>
      </c>
      <c r="C345" s="162" t="str">
        <f>IF(AND('Items sous domaines Maths '!K352&lt;=5, 'Items sous domaines Maths '!K352&gt;0),'Items sous domaines Maths '!C352)</f>
        <v>Les probabilités</v>
      </c>
      <c r="D345" s="162">
        <f>IF(AND('Items sous domaines Maths '!K352&lt;=5, 'Items sous domaines Maths '!K352&gt;0),'Items sous domaines Maths '!D352,0)</f>
        <v>0</v>
      </c>
      <c r="E345" s="162" t="str">
        <f>IF(AND('Items sous domaines Maths '!K352&lt;=5, 'Items sous domaines Maths '!K352&gt;0),'Items sous domaines Maths '!E352,0)</f>
        <v>Probabilités conditionnelles et indépendance</v>
      </c>
      <c r="F345" s="163" t="str">
        <f>IF(AND('Items sous domaines Maths '!K352&lt;=5, 'Items sous domaines Maths '!K352&gt;0),'Items sous domaines Maths '!F352,0)</f>
        <v>Baye.</v>
      </c>
      <c r="G345" s="722"/>
      <c r="H345" s="708"/>
      <c r="I345" s="249"/>
    </row>
    <row r="346" spans="1:9" ht="19.95" customHeight="1" x14ac:dyDescent="0.3">
      <c r="A346" s="734"/>
      <c r="B346" s="155" t="str">
        <f>IF(AND('Items sous domaines Maths '!K353&lt;=5, 'Items sous domaines Maths '!K353&gt;0),'Items sous domaines Maths '!B353,0)</f>
        <v>Probabilité et statistiques</v>
      </c>
      <c r="C346" s="156" t="str">
        <f>IF(AND('Items sous domaines Maths '!K353&lt;=5, 'Items sous domaines Maths '!K353&gt;0),'Items sous domaines Maths '!C353)</f>
        <v>Les probabilités</v>
      </c>
      <c r="D346" s="156">
        <f>IF(AND('Items sous domaines Maths '!K353&lt;=5, 'Items sous domaines Maths '!K353&gt;0),'Items sous domaines Maths '!D353,0)</f>
        <v>0</v>
      </c>
      <c r="E346" s="156" t="str">
        <f>IF(AND('Items sous domaines Maths '!K353&lt;=5, 'Items sous domaines Maths '!K353&gt;0),'Items sous domaines Maths '!E353,0)</f>
        <v>Notions de variables aléatoires</v>
      </c>
      <c r="F346" s="157" t="str">
        <f>IF(AND('Items sous domaines Maths '!K353&lt;=5, 'Items sous domaines Maths '!K353&gt;0),'Items sous domaines Maths '!F353,0)</f>
        <v>Exemples simples.</v>
      </c>
      <c r="G346" s="722"/>
      <c r="H346" s="708"/>
      <c r="I346" s="249"/>
    </row>
    <row r="347" spans="1:9" ht="19.95" customHeight="1" x14ac:dyDescent="0.3">
      <c r="A347" s="734"/>
      <c r="B347" s="161" t="str">
        <f>IF(AND('Items sous domaines Maths '!K354&lt;=5, 'Items sous domaines Maths '!K354&gt;0),'Items sous domaines Maths '!B354,0)</f>
        <v>Probabilité et statistiques</v>
      </c>
      <c r="C347" s="162" t="str">
        <f>IF(AND('Items sous domaines Maths '!K354&lt;=5, 'Items sous domaines Maths '!K354&gt;0),'Items sous domaines Maths '!C354)</f>
        <v>Les probabilités</v>
      </c>
      <c r="D347" s="162">
        <f>IF(AND('Items sous domaines Maths '!K354&lt;=5, 'Items sous domaines Maths '!K354&gt;0),'Items sous domaines Maths '!D354,0)</f>
        <v>0</v>
      </c>
      <c r="E347" s="162" t="str">
        <f>IF(AND('Items sous domaines Maths '!K354&lt;=5, 'Items sous domaines Maths '!K354&gt;0),'Items sous domaines Maths '!E354,0)</f>
        <v>Espérance, variance d'une variable aléatoire</v>
      </c>
      <c r="F347" s="163" t="str">
        <f>IF(AND('Items sous domaines Maths '!K354&lt;=5, 'Items sous domaines Maths '!K354&gt;0),'Items sous domaines Maths '!F354,0)</f>
        <v>Lien avec les barycentres / systèmes pondérés.</v>
      </c>
      <c r="G347" s="722"/>
      <c r="H347" s="708"/>
      <c r="I347" s="249"/>
    </row>
    <row r="348" spans="1:9" ht="19.95" customHeight="1" x14ac:dyDescent="0.3">
      <c r="A348" s="734"/>
      <c r="B348" s="155" t="str">
        <f>IF(AND('Items sous domaines Maths '!K355&lt;=5, 'Items sous domaines Maths '!K355&gt;0),'Items sous domaines Maths '!B355,0)</f>
        <v>Probabilité et statistiques</v>
      </c>
      <c r="C348" s="156" t="str">
        <f>IF(AND('Items sous domaines Maths '!K355&lt;=5, 'Items sous domaines Maths '!K355&gt;0),'Items sous domaines Maths '!C355)</f>
        <v>Les probabilités</v>
      </c>
      <c r="D348" s="156" t="str">
        <f>IF(AND('Items sous domaines Maths '!K355&lt;=5, 'Items sous domaines Maths '!K355&gt;0),'Items sous domaines Maths '!D355,0)</f>
        <v>Variables aléatoires</v>
      </c>
      <c r="E348" s="156" t="str">
        <f>IF(AND('Items sous domaines Maths '!K355&lt;=5, 'Items sous domaines Maths '!K355&gt;0),'Items sous domaines Maths '!E355,0)</f>
        <v xml:space="preserve">Variables aléatoires discrètes </v>
      </c>
      <c r="F348" s="157" t="str">
        <f>IF(AND('Items sous domaines Maths '!K355&lt;=5, 'Items sous domaines Maths '!K355&gt;0),'Items sous domaines Maths '!F355,0)</f>
        <v>Loi (et fonction de répartition ?).</v>
      </c>
      <c r="G348" s="722"/>
      <c r="H348" s="708"/>
      <c r="I348" s="249"/>
    </row>
    <row r="349" spans="1:9" ht="19.95" customHeight="1" x14ac:dyDescent="0.3">
      <c r="A349" s="734"/>
      <c r="B349" s="161" t="str">
        <f>IF(AND('Items sous domaines Maths '!K356&lt;=5, 'Items sous domaines Maths '!K356&gt;0),'Items sous domaines Maths '!B356,0)</f>
        <v>Probabilité et statistiques</v>
      </c>
      <c r="C349" s="162" t="str">
        <f>IF(AND('Items sous domaines Maths '!K356&lt;=5, 'Items sous domaines Maths '!K356&gt;0),'Items sous domaines Maths '!C356)</f>
        <v>Les probabilités</v>
      </c>
      <c r="D349" s="162">
        <f>IF(AND('Items sous domaines Maths '!K356&lt;=5, 'Items sous domaines Maths '!K356&gt;0),'Items sous domaines Maths '!D356,0)</f>
        <v>0</v>
      </c>
      <c r="E349" s="162">
        <f>IF(AND('Items sous domaines Maths '!K356&lt;=5, 'Items sous domaines Maths '!K356&gt;0),'Items sous domaines Maths '!E356,0)</f>
        <v>0</v>
      </c>
      <c r="F349" s="163" t="str">
        <f>IF(AND('Items sous domaines Maths '!K356&lt;=5, 'Items sous domaines Maths '!K356&gt;0),'Items sous domaines Maths '!F356,0)</f>
        <v xml:space="preserve">Espérance et variance. </v>
      </c>
      <c r="G349" s="722"/>
      <c r="H349" s="708"/>
      <c r="I349" s="249"/>
    </row>
    <row r="350" spans="1:9" ht="19.95" customHeight="1" x14ac:dyDescent="0.3">
      <c r="A350" s="734"/>
      <c r="B350" s="155" t="str">
        <f>IF(AND('Items sous domaines Maths '!K357&lt;=5, 'Items sous domaines Maths '!K357&gt;0),'Items sous domaines Maths '!B357,0)</f>
        <v>Probabilité et statistiques</v>
      </c>
      <c r="C350" s="156" t="str">
        <f>IF(AND('Items sous domaines Maths '!K357&lt;=5, 'Items sous domaines Maths '!K357&gt;0),'Items sous domaines Maths '!C357)</f>
        <v>Les probabilités</v>
      </c>
      <c r="D350" s="156">
        <f>IF(AND('Items sous domaines Maths '!K357&lt;=5, 'Items sous domaines Maths '!K357&gt;0),'Items sous domaines Maths '!D357,0)</f>
        <v>0</v>
      </c>
      <c r="E350" s="156">
        <f>IF(AND('Items sous domaines Maths '!K357&lt;=5, 'Items sous domaines Maths '!K357&gt;0),'Items sous domaines Maths '!E357,0)</f>
        <v>0</v>
      </c>
      <c r="F350" s="157" t="str">
        <f>IF(AND('Items sous domaines Maths '!K357&lt;=5, 'Items sous domaines Maths '!K357&gt;0),'Items sous domaines Maths '!F357,0)</f>
        <v>Lois usuelles (Uniforme, Bernoulli, binomiale, géométrique, Poisson), lien entre loi uniforme et équiprobabilité.</v>
      </c>
      <c r="G350" s="722"/>
      <c r="H350" s="708"/>
      <c r="I350" s="249"/>
    </row>
    <row r="351" spans="1:9" ht="19.95" customHeight="1" thickBot="1" x14ac:dyDescent="0.35">
      <c r="A351" s="734"/>
      <c r="B351" s="250" t="str">
        <f>IF(AND('Items sous domaines Maths '!K358&lt;=5, 'Items sous domaines Maths '!K358&gt;0),'Items sous domaines Maths '!B358,0)</f>
        <v>Probabilité et statistiques</v>
      </c>
      <c r="C351" s="251" t="str">
        <f>IF(AND('Items sous domaines Maths '!K358&lt;=5, 'Items sous domaines Maths '!K358&gt;0),'Items sous domaines Maths '!C358)</f>
        <v>Les probabilités</v>
      </c>
      <c r="D351" s="251">
        <f>IF(AND('Items sous domaines Maths '!K358&lt;=5, 'Items sous domaines Maths '!K358&gt;0),'Items sous domaines Maths '!D358,0)</f>
        <v>0</v>
      </c>
      <c r="E351" s="251">
        <f>IF(AND('Items sous domaines Maths '!K358&lt;=5, 'Items sous domaines Maths '!K358&gt;0),'Items sous domaines Maths '!E358,0)</f>
        <v>0</v>
      </c>
      <c r="F351" s="252" t="str">
        <f>IF(AND('Items sous domaines Maths '!K358&lt;=5, 'Items sous domaines Maths '!K358&gt;0),'Items sous domaines Maths '!F358,0)</f>
        <v>Inégalité de Markov / Bienaymé-Tchebychev.</v>
      </c>
      <c r="G351" s="723"/>
      <c r="H351" s="707"/>
      <c r="I351" s="253"/>
    </row>
    <row r="352" spans="1:9" customFormat="1" ht="13.5" customHeight="1" thickTop="1" thickBot="1" x14ac:dyDescent="0.3">
      <c r="A352" s="734"/>
      <c r="B352" t="str">
        <f>IF(AND('Items sous domaines Maths '!K359&lt;=5, 'Items sous domaines Maths '!K359&gt;0),'Items sous domaines Maths '!B359,0)</f>
        <v>Probabilité et statistiques</v>
      </c>
      <c r="C352" t="str">
        <f>IF(AND('Items sous domaines Maths '!K359&lt;=5, 'Items sous domaines Maths '!K359&gt;0),'Items sous domaines Maths '!C359)</f>
        <v>Les probabilités</v>
      </c>
      <c r="D352">
        <f>IF(AND('Items sous domaines Maths '!K359&lt;=5, 'Items sous domaines Maths '!K359&gt;0),'Items sous domaines Maths '!D359,0)</f>
        <v>0</v>
      </c>
      <c r="E352" t="str">
        <f>IF(AND('Items sous domaines Maths '!K359&lt;=5, 'Items sous domaines Maths '!K359&gt;0),'Items sous domaines Maths '!E359,0)</f>
        <v xml:space="preserve">Variables aléatoires continues </v>
      </c>
      <c r="F352" s="10" t="str">
        <f>IF(AND('Items sous domaines Maths '!K359&lt;=5, 'Items sous domaines Maths '!K359&gt;0),'Items sous domaines Maths '!F359,0)</f>
        <v xml:space="preserve">Densité et fonction de répartition. </v>
      </c>
      <c r="G352" s="647"/>
      <c r="H352" s="705"/>
    </row>
    <row r="353" spans="1:9" customFormat="1" ht="13.5" customHeight="1" thickBot="1" x14ac:dyDescent="0.3">
      <c r="A353" s="734"/>
      <c r="B353" s="8" t="str">
        <f>IF(AND('Items sous domaines Maths '!K360&lt;=5, 'Items sous domaines Maths '!K360&gt;0),'Items sous domaines Maths '!B360,0)</f>
        <v>Probabilité et statistiques</v>
      </c>
      <c r="C353" s="8" t="str">
        <f>IF(AND('Items sous domaines Maths '!K360&lt;=5, 'Items sous domaines Maths '!K360&gt;0),'Items sous domaines Maths '!C360)</f>
        <v>Les probabilités</v>
      </c>
      <c r="D353" s="8">
        <f>IF(AND('Items sous domaines Maths '!K360&lt;=5, 'Items sous domaines Maths '!K360&gt;0),'Items sous domaines Maths '!D360,0)</f>
        <v>0</v>
      </c>
      <c r="E353" s="8">
        <f>IF(AND('Items sous domaines Maths '!K360&lt;=5, 'Items sous domaines Maths '!K360&gt;0),'Items sous domaines Maths '!E360,0)</f>
        <v>0</v>
      </c>
      <c r="F353" s="9" t="str">
        <f>IF(AND('Items sous domaines Maths '!K360&lt;=5, 'Items sous domaines Maths '!K360&gt;0),'Items sous domaines Maths '!F360,0)</f>
        <v>Espérance, variance, écart-type</v>
      </c>
      <c r="G353" s="647"/>
      <c r="H353" s="705"/>
    </row>
    <row r="354" spans="1:9" customFormat="1" ht="13.5" customHeight="1" thickBot="1" x14ac:dyDescent="0.3">
      <c r="A354" s="734"/>
      <c r="B354" s="8" t="str">
        <f>IF(AND('Items sous domaines Maths '!K361&lt;=5, 'Items sous domaines Maths '!K361&gt;0),'Items sous domaines Maths '!B361,0)</f>
        <v>Probabilité et statistiques</v>
      </c>
      <c r="C354" s="8" t="str">
        <f>IF(AND('Items sous domaines Maths '!K361&lt;=5, 'Items sous domaines Maths '!K361&gt;0),'Items sous domaines Maths '!C361)</f>
        <v>Les probabilités</v>
      </c>
      <c r="D354" s="8">
        <f>IF(AND('Items sous domaines Maths '!K361&lt;=5, 'Items sous domaines Maths '!K361&gt;0),'Items sous domaines Maths '!D361,0)</f>
        <v>0</v>
      </c>
      <c r="E354" s="8">
        <f>IF(AND('Items sous domaines Maths '!K361&lt;=5, 'Items sous domaines Maths '!K361&gt;0),'Items sous domaines Maths '!E361,0)</f>
        <v>0</v>
      </c>
      <c r="F354" s="9" t="str">
        <f>IF(AND('Items sous domaines Maths '!K361&lt;=5, 'Items sous domaines Maths '!K361&gt;0),'Items sous domaines Maths '!F361,0)</f>
        <v>Lois usuelles (uniforme, exponentielle, normale) + lois utilisées en statistiques ? (X2, Student, Fisher...).</v>
      </c>
      <c r="G354" s="647"/>
      <c r="H354" s="705"/>
    </row>
    <row r="355" spans="1:9" customFormat="1" ht="13.5" customHeight="1" thickBot="1" x14ac:dyDescent="0.3">
      <c r="A355" s="734"/>
      <c r="B355" s="8" t="str">
        <f>IF(AND('Items sous domaines Maths '!K362&lt;=5, 'Items sous domaines Maths '!K362&gt;0),'Items sous domaines Maths '!B362,0)</f>
        <v>Probabilité et statistiques</v>
      </c>
      <c r="C355" s="8" t="str">
        <f>IF(AND('Items sous domaines Maths '!K362&lt;=5, 'Items sous domaines Maths '!K362&gt;0),'Items sous domaines Maths '!C362)</f>
        <v>Les probabilités</v>
      </c>
      <c r="D355" s="8">
        <f>IF(AND('Items sous domaines Maths '!K362&lt;=5, 'Items sous domaines Maths '!K362&gt;0),'Items sous domaines Maths '!D362,0)</f>
        <v>0</v>
      </c>
      <c r="E355" s="8">
        <f>IF(AND('Items sous domaines Maths '!K362&lt;=5, 'Items sous domaines Maths '!K362&gt;0),'Items sous domaines Maths '!E362,0)</f>
        <v>0</v>
      </c>
      <c r="F355" s="9" t="str">
        <f>IF(AND('Items sous domaines Maths '!K362&lt;=5, 'Items sous domaines Maths '!K362&gt;0),'Items sous domaines Maths '!F362,0)</f>
        <v>Inégalité de Markov / Bienaymé-Tchebychev.</v>
      </c>
      <c r="G355" s="647"/>
      <c r="H355" s="705"/>
    </row>
    <row r="356" spans="1:9" customFormat="1" ht="13.5" customHeight="1" thickBot="1" x14ac:dyDescent="0.3">
      <c r="A356" s="734"/>
      <c r="B356" s="8" t="str">
        <f>IF(AND('Items sous domaines Maths '!K363&lt;=5, 'Items sous domaines Maths '!K363&gt;0),'Items sous domaines Maths '!B363,0)</f>
        <v>Probabilité et statistiques</v>
      </c>
      <c r="C356" s="8" t="str">
        <f>IF(AND('Items sous domaines Maths '!K363&lt;=5, 'Items sous domaines Maths '!K363&gt;0),'Items sous domaines Maths '!C363)</f>
        <v>Les probabilités</v>
      </c>
      <c r="D356" s="8">
        <f>IF(AND('Items sous domaines Maths '!K363&lt;=5, 'Items sous domaines Maths '!K363&gt;0),'Items sous domaines Maths '!D363,0)</f>
        <v>0</v>
      </c>
      <c r="E356" s="8">
        <f>IF(AND('Items sous domaines Maths '!K363&lt;=5, 'Items sous domaines Maths '!K363&gt;0),'Items sous domaines Maths '!E363,0)</f>
        <v>0</v>
      </c>
      <c r="F356" s="9" t="str">
        <f>IF(AND('Items sous domaines Maths '!K363&lt;=5, 'Items sous domaines Maths '!K363&gt;0),'Items sous domaines Maths '!F363,0)</f>
        <v>Loi des grands nombres / Lien avec les statistiques (échantillonnage / estimation).</v>
      </c>
      <c r="G356" s="647"/>
      <c r="H356" s="705"/>
    </row>
    <row r="357" spans="1:9" customFormat="1" ht="13.5" customHeight="1" thickBot="1" x14ac:dyDescent="0.3">
      <c r="A357" s="739"/>
      <c r="B357" s="8" t="str">
        <f>IF(AND('Items sous domaines Maths '!K364&lt;=5, 'Items sous domaines Maths '!K364&gt;0),'Items sous domaines Maths '!B364,0)</f>
        <v>Probabilité et statistiques</v>
      </c>
      <c r="C357" s="8" t="str">
        <f>IF(AND('Items sous domaines Maths '!K364&lt;=5, 'Items sous domaines Maths '!K364&gt;0),'Items sous domaines Maths '!C364)</f>
        <v>Les probabilités</v>
      </c>
      <c r="D357" s="8">
        <f>IF(AND('Items sous domaines Maths '!K364&lt;=5, 'Items sous domaines Maths '!K364&gt;0),'Items sous domaines Maths '!D364,0)</f>
        <v>0</v>
      </c>
      <c r="E357" s="8">
        <f>IF(AND('Items sous domaines Maths '!K364&lt;=5, 'Items sous domaines Maths '!K364&gt;0),'Items sous domaines Maths '!E364,0)</f>
        <v>0</v>
      </c>
      <c r="F357" s="9" t="str">
        <f>IF(AND('Items sous domaines Maths '!K364&lt;=5, 'Items sous domaines Maths '!K364&gt;0),'Items sous domaines Maths '!F364,0)</f>
        <v>Théorème central limite / Théorème de Moivre-Laplace.</v>
      </c>
      <c r="G357" s="647"/>
      <c r="H357" s="705"/>
    </row>
    <row r="358" spans="1:9" customFormat="1" ht="12.75" hidden="1" customHeight="1" thickBot="1" x14ac:dyDescent="0.3">
      <c r="B358" s="8">
        <f>IF(AND('Items sous domaines Maths '!K366&lt;=5, 'Items sous domaines Maths '!K366&gt;0),'Items sous domaines Maths '!B366,0)</f>
        <v>0</v>
      </c>
      <c r="C358" s="8" t="b">
        <f>IF(AND('Items sous domaines Maths '!K366&lt;=5, 'Items sous domaines Maths '!K366&gt;0),'Items sous domaines Maths '!C366)</f>
        <v>0</v>
      </c>
      <c r="D358" s="8">
        <f>IF(AND('Items sous domaines Maths '!K366&lt;=5, 'Items sous domaines Maths '!K366&gt;0),'Items sous domaines Maths '!D366,0)</f>
        <v>0</v>
      </c>
      <c r="E358" s="8">
        <f>IF(AND('Items sous domaines Maths '!K366&lt;=5, 'Items sous domaines Maths '!K366&gt;0),'Items sous domaines Maths '!E366,0)</f>
        <v>0</v>
      </c>
      <c r="F358" s="9">
        <f>IF(AND('Items sous domaines Maths '!K366&lt;=5, 'Items sous domaines Maths '!K366&gt;0),'Items sous domaines Maths '!F366,0)</f>
        <v>0</v>
      </c>
      <c r="G358" s="647"/>
      <c r="H358" s="705"/>
    </row>
    <row r="359" spans="1:9" ht="19.95" customHeight="1" thickTop="1" x14ac:dyDescent="0.3">
      <c r="A359" s="733" t="s">
        <v>415</v>
      </c>
      <c r="B359" s="265" t="str">
        <f>IF(AND('Items sous domaines Maths '!K367&lt;=5, 'Items sous domaines Maths '!K367&gt;0),'Items sous domaines Maths '!B367,0)</f>
        <v>Probabilité et statistiques</v>
      </c>
      <c r="C359" s="266" t="str">
        <f>IF(AND('Items sous domaines Maths '!K367&lt;=5, 'Items sous domaines Maths '!K367&gt;0),'Items sous domaines Maths '!C367)</f>
        <v>Les statistiques</v>
      </c>
      <c r="D359" s="266" t="str">
        <f>IF(AND('Items sous domaines Maths '!K367&lt;=5, 'Items sous domaines Maths '!K367&gt;0),'Items sous domaines Maths '!D367,0)</f>
        <v>Statistiques a une variable</v>
      </c>
      <c r="E359" s="266" t="str">
        <f>IF(AND('Items sous domaines Maths '!K367&lt;=5, 'Items sous domaines Maths '!K367&gt;0),'Items sous domaines Maths '!E367,0)</f>
        <v>Méthodes de représentation</v>
      </c>
      <c r="F359" s="267" t="str">
        <f>IF(AND('Items sous domaines Maths '!K367&lt;=5, 'Items sous domaines Maths '!K367&gt;0),'Items sous domaines Maths '!F367,0)</f>
        <v>Vocabulaire (variables quantitatives/qualitatives, discrètes/continues).</v>
      </c>
      <c r="G359" s="724"/>
      <c r="H359" s="706"/>
      <c r="I359" s="245"/>
    </row>
    <row r="360" spans="1:9" ht="19.95" customHeight="1" x14ac:dyDescent="0.3">
      <c r="A360" s="734"/>
      <c r="B360" s="161" t="str">
        <f>IF(AND('Items sous domaines Maths '!K368&lt;=5, 'Items sous domaines Maths '!K368&gt;0),'Items sous domaines Maths '!B368,0)</f>
        <v>Probabilité et statistiques</v>
      </c>
      <c r="C360" s="162" t="str">
        <f>IF(AND('Items sous domaines Maths '!K368&lt;=5, 'Items sous domaines Maths '!K368&gt;0),'Items sous domaines Maths '!C368)</f>
        <v>Les statistiques</v>
      </c>
      <c r="D360" s="162">
        <f>IF(AND('Items sous domaines Maths '!K368&lt;=5, 'Items sous domaines Maths '!K368&gt;0),'Items sous domaines Maths '!D368,0)</f>
        <v>0</v>
      </c>
      <c r="E360" s="162">
        <f>IF(AND('Items sous domaines Maths '!K368&lt;=5, 'Items sous domaines Maths '!K368&gt;0),'Items sous domaines Maths '!E368,0)</f>
        <v>0</v>
      </c>
      <c r="F360" s="163" t="str">
        <f>IF(AND('Items sous domaines Maths '!K368&lt;=5, 'Items sous domaines Maths '!K368&gt;0),'Items sous domaines Maths '!F368,0)</f>
        <v>Tableaux statistiques et graphiques.</v>
      </c>
      <c r="G360" s="722"/>
      <c r="H360" s="708"/>
      <c r="I360" s="249"/>
    </row>
    <row r="361" spans="1:9" ht="19.95" customHeight="1" x14ac:dyDescent="0.3">
      <c r="A361" s="734"/>
      <c r="B361" s="155" t="str">
        <f>IF(AND('Items sous domaines Maths '!K369&lt;=5, 'Items sous domaines Maths '!K369&gt;0),'Items sous domaines Maths '!B369,0)</f>
        <v>Probabilité et statistiques</v>
      </c>
      <c r="C361" s="156" t="str">
        <f>IF(AND('Items sous domaines Maths '!K369&lt;=5, 'Items sous domaines Maths '!K369&gt;0),'Items sous domaines Maths '!C369)</f>
        <v>Les statistiques</v>
      </c>
      <c r="D361" s="156">
        <f>IF(AND('Items sous domaines Maths '!K369&lt;=5, 'Items sous domaines Maths '!K369&gt;0),'Items sous domaines Maths '!D369,0)</f>
        <v>0</v>
      </c>
      <c r="E361" s="156" t="str">
        <f>IF(AND('Items sous domaines Maths '!K369&lt;=5, 'Items sous domaines Maths '!K369&gt;0),'Items sous domaines Maths '!E369,0)</f>
        <v>Caractéristiques de position</v>
      </c>
      <c r="F361" s="157" t="str">
        <f>IF(AND('Items sous domaines Maths '!K369&lt;=5, 'Items sous domaines Maths '!K369&gt;0),'Items sous domaines Maths '!F369,0)</f>
        <v>Mode.</v>
      </c>
      <c r="G361" s="722"/>
      <c r="H361" s="708"/>
      <c r="I361" s="249"/>
    </row>
    <row r="362" spans="1:9" ht="19.95" customHeight="1" x14ac:dyDescent="0.3">
      <c r="A362" s="734"/>
      <c r="B362" s="161" t="str">
        <f>IF(AND('Items sous domaines Maths '!K370&lt;=5, 'Items sous domaines Maths '!K370&gt;0),'Items sous domaines Maths '!B370,0)</f>
        <v>Probabilité et statistiques</v>
      </c>
      <c r="C362" s="162" t="str">
        <f>IF(AND('Items sous domaines Maths '!K370&lt;=5, 'Items sous domaines Maths '!K370&gt;0),'Items sous domaines Maths '!C370)</f>
        <v>Les statistiques</v>
      </c>
      <c r="D362" s="162">
        <f>IF(AND('Items sous domaines Maths '!K370&lt;=5, 'Items sous domaines Maths '!K370&gt;0),'Items sous domaines Maths '!D370,0)</f>
        <v>0</v>
      </c>
      <c r="E362" s="162">
        <f>IF(AND('Items sous domaines Maths '!K370&lt;=5, 'Items sous domaines Maths '!K370&gt;0),'Items sous domaines Maths '!E370,0)</f>
        <v>0</v>
      </c>
      <c r="F362" s="163" t="str">
        <f>IF(AND('Items sous domaines Maths '!K370&lt;=5, 'Items sous domaines Maths '!K370&gt;0),'Items sous domaines Maths '!F370,0)</f>
        <v xml:space="preserve">Moyenne, médiane, quartiles, déciles. </v>
      </c>
      <c r="G362" s="722"/>
      <c r="H362" s="708"/>
      <c r="I362" s="249"/>
    </row>
    <row r="363" spans="1:9" ht="19.95" customHeight="1" x14ac:dyDescent="0.3">
      <c r="A363" s="734"/>
      <c r="B363" s="155" t="str">
        <f>IF(AND('Items sous domaines Maths '!K371&lt;=5, 'Items sous domaines Maths '!K371&gt;0),'Items sous domaines Maths '!B371,0)</f>
        <v>Probabilité et statistiques</v>
      </c>
      <c r="C363" s="156" t="str">
        <f>IF(AND('Items sous domaines Maths '!K371&lt;=5, 'Items sous domaines Maths '!K371&gt;0),'Items sous domaines Maths '!C371)</f>
        <v>Les statistiques</v>
      </c>
      <c r="D363" s="156">
        <f>IF(AND('Items sous domaines Maths '!K371&lt;=5, 'Items sous domaines Maths '!K371&gt;0),'Items sous domaines Maths '!D371,0)</f>
        <v>0</v>
      </c>
      <c r="E363" s="156">
        <f>IF(AND('Items sous domaines Maths '!K371&lt;=5, 'Items sous domaines Maths '!K371&gt;0),'Items sous domaines Maths '!E371,0)</f>
        <v>0</v>
      </c>
      <c r="F363" s="157" t="str">
        <f>IF(AND('Items sous domaines Maths '!K371&lt;=5, 'Items sous domaines Maths '!K371&gt;0),'Items sous domaines Maths '!F371,0)</f>
        <v>Représentation à l'aide d'une boite à moustache.</v>
      </c>
      <c r="G363" s="722"/>
      <c r="H363" s="708"/>
      <c r="I363" s="249"/>
    </row>
    <row r="364" spans="1:9" ht="19.95" customHeight="1" x14ac:dyDescent="0.3">
      <c r="A364" s="734"/>
      <c r="B364" s="161" t="str">
        <f>IF(AND('Items sous domaines Maths '!K372&lt;=5, 'Items sous domaines Maths '!K372&gt;0),'Items sous domaines Maths '!B372,0)</f>
        <v>Probabilité et statistiques</v>
      </c>
      <c r="C364" s="162" t="str">
        <f>IF(AND('Items sous domaines Maths '!K372&lt;=5, 'Items sous domaines Maths '!K372&gt;0),'Items sous domaines Maths '!C372)</f>
        <v>Les statistiques</v>
      </c>
      <c r="D364" s="162">
        <f>IF(AND('Items sous domaines Maths '!K372&lt;=5, 'Items sous domaines Maths '!K372&gt;0),'Items sous domaines Maths '!D372,0)</f>
        <v>0</v>
      </c>
      <c r="E364" s="162" t="str">
        <f>IF(AND('Items sous domaines Maths '!K372&lt;=5, 'Items sous domaines Maths '!K372&gt;0),'Items sous domaines Maths '!E372,0)</f>
        <v>Caractéristiques de dispersion</v>
      </c>
      <c r="F364" s="163" t="str">
        <f>IF(AND('Items sous domaines Maths '!K372&lt;=5, 'Items sous domaines Maths '!K372&gt;0),'Items sous domaines Maths '!F372,0)</f>
        <v>Etendue, Intervalles inter quartillles</v>
      </c>
      <c r="G364" s="722"/>
      <c r="H364" s="708"/>
      <c r="I364" s="249"/>
    </row>
    <row r="365" spans="1:9" ht="19.95" customHeight="1" x14ac:dyDescent="0.3">
      <c r="A365" s="734"/>
      <c r="B365" s="155" t="str">
        <f>IF(AND('Items sous domaines Maths '!K373&lt;=5, 'Items sous domaines Maths '!K373&gt;0),'Items sous domaines Maths '!B373,0)</f>
        <v>Probabilité et statistiques</v>
      </c>
      <c r="C365" s="156" t="str">
        <f>IF(AND('Items sous domaines Maths '!K373&lt;=5, 'Items sous domaines Maths '!K373&gt;0),'Items sous domaines Maths '!C373)</f>
        <v>Les statistiques</v>
      </c>
      <c r="D365" s="156">
        <f>IF(AND('Items sous domaines Maths '!K373&lt;=5, 'Items sous domaines Maths '!K373&gt;0),'Items sous domaines Maths '!D373,0)</f>
        <v>0</v>
      </c>
      <c r="E365" s="156">
        <f>IF(AND('Items sous domaines Maths '!K373&lt;=5, 'Items sous domaines Maths '!K373&gt;0),'Items sous domaines Maths '!E373,0)</f>
        <v>0</v>
      </c>
      <c r="F365" s="157" t="str">
        <f>IF(AND('Items sous domaines Maths '!K373&lt;=5, 'Items sous domaines Maths '!K373&gt;0),'Items sous domaines Maths '!F373,0)</f>
        <v xml:space="preserve">Variance, Ecart type. </v>
      </c>
      <c r="G365" s="722"/>
      <c r="H365" s="708"/>
      <c r="I365" s="249"/>
    </row>
    <row r="366" spans="1:9" ht="19.95" customHeight="1" x14ac:dyDescent="0.3">
      <c r="A366" s="734"/>
      <c r="B366" s="161" t="str">
        <f>IF(AND('Items sous domaines Maths '!K374&lt;=5, 'Items sous domaines Maths '!K374&gt;0),'Items sous domaines Maths '!B374,0)</f>
        <v>Probabilité et statistiques</v>
      </c>
      <c r="C366" s="162" t="str">
        <f>IF(AND('Items sous domaines Maths '!K374&lt;=5, 'Items sous domaines Maths '!K374&gt;0),'Items sous domaines Maths '!C374)</f>
        <v>Les statistiques</v>
      </c>
      <c r="D366" s="162" t="str">
        <f>IF(AND('Items sous domaines Maths '!K374&lt;=5, 'Items sous domaines Maths '!K374&gt;0),'Items sous domaines Maths '!D374,0)</f>
        <v>Statistiques a deux variables quantitatives</v>
      </c>
      <c r="E366" s="162" t="str">
        <f>IF(AND('Items sous domaines Maths '!K374&lt;=5, 'Items sous domaines Maths '!K374&gt;0),'Items sous domaines Maths '!E374,0)</f>
        <v>Position du problème de régression linéaire</v>
      </c>
      <c r="F366" s="163" t="str">
        <f>IF(AND('Items sous domaines Maths '!K374&lt;=5, 'Items sous domaines Maths '!K374&gt;0),'Items sous domaines Maths '!F374,0)</f>
        <v>Nuage de points.</v>
      </c>
      <c r="G366" s="722"/>
      <c r="H366" s="708"/>
      <c r="I366" s="249"/>
    </row>
    <row r="367" spans="1:9" ht="19.95" customHeight="1" thickBot="1" x14ac:dyDescent="0.35">
      <c r="A367" s="734"/>
      <c r="B367" s="258" t="str">
        <f>IF(AND('Items sous domaines Maths '!K375&lt;=5, 'Items sous domaines Maths '!K375&gt;0),'Items sous domaines Maths '!B375,0)</f>
        <v>Probabilité et statistiques</v>
      </c>
      <c r="C367" s="259" t="str">
        <f>IF(AND('Items sous domaines Maths '!K375&lt;=5, 'Items sous domaines Maths '!K375&gt;0),'Items sous domaines Maths '!C375)</f>
        <v>Les statistiques</v>
      </c>
      <c r="D367" s="259">
        <f>IF(AND('Items sous domaines Maths '!K375&lt;=5, 'Items sous domaines Maths '!K375&gt;0),'Items sous domaines Maths '!D375,0)</f>
        <v>0</v>
      </c>
      <c r="E367" s="259">
        <f>IF(AND('Items sous domaines Maths '!K375&lt;=5, 'Items sous domaines Maths '!K375&gt;0),'Items sous domaines Maths '!E375,0)</f>
        <v>0</v>
      </c>
      <c r="F367" s="260" t="str">
        <f>IF(AND('Items sous domaines Maths '!K375&lt;=5, 'Items sous domaines Maths '!K375&gt;0),'Items sous domaines Maths '!F375,0)</f>
        <v>Coefficient de corrélation linéaire.</v>
      </c>
      <c r="G367" s="723"/>
      <c r="H367" s="707"/>
      <c r="I367" s="253"/>
    </row>
    <row r="368" spans="1:9" customFormat="1" ht="13.5" hidden="1" customHeight="1" thickTop="1" thickBot="1" x14ac:dyDescent="0.3">
      <c r="A368" s="734"/>
      <c r="B368">
        <f>IF(AND('Items sous domaines Maths '!K376&lt;=5, 'Items sous domaines Maths '!K376&gt;0),'Items sous domaines Maths '!B376,0)</f>
        <v>0</v>
      </c>
      <c r="C368" t="b">
        <f>IF(AND('Items sous domaines Maths '!K376&lt;=5, 'Items sous domaines Maths '!K376&gt;0),'Items sous domaines Maths '!C376)</f>
        <v>0</v>
      </c>
      <c r="D368">
        <f>IF(AND('Items sous domaines Maths '!K376&lt;=5, 'Items sous domaines Maths '!K376&gt;0),'Items sous domaines Maths '!D376,0)</f>
        <v>0</v>
      </c>
      <c r="E368">
        <f>IF(AND('Items sous domaines Maths '!K376&lt;=5, 'Items sous domaines Maths '!K376&gt;0),'Items sous domaines Maths '!E376,0)</f>
        <v>0</v>
      </c>
      <c r="F368" s="10">
        <f>IF(AND('Items sous domaines Maths '!K376&lt;=5, 'Items sous domaines Maths '!K376&gt;0),'Items sous domaines Maths '!F376,0)</f>
        <v>0</v>
      </c>
      <c r="G368" s="647"/>
      <c r="H368" s="705"/>
    </row>
    <row r="369" spans="1:9" customFormat="1" ht="13.5" hidden="1" customHeight="1" thickBot="1" x14ac:dyDescent="0.3">
      <c r="A369" s="734"/>
      <c r="B369" s="8">
        <f>IF(AND('Items sous domaines Maths '!K377&lt;=5, 'Items sous domaines Maths '!K377&gt;0),'Items sous domaines Maths '!B377,0)</f>
        <v>0</v>
      </c>
      <c r="C369" s="8" t="b">
        <f>IF(AND('Items sous domaines Maths '!K377&lt;=5, 'Items sous domaines Maths '!K377&gt;0),'Items sous domaines Maths '!C377)</f>
        <v>0</v>
      </c>
      <c r="D369" s="8">
        <f>IF(AND('Items sous domaines Maths '!K377&lt;=5, 'Items sous domaines Maths '!K377&gt;0),'Items sous domaines Maths '!D377,0)</f>
        <v>0</v>
      </c>
      <c r="E369" s="8">
        <f>IF(AND('Items sous domaines Maths '!K377&lt;=5, 'Items sous domaines Maths '!K377&gt;0),'Items sous domaines Maths '!E377,0)</f>
        <v>0</v>
      </c>
      <c r="F369" s="9">
        <f>IF(AND('Items sous domaines Maths '!K377&lt;=5, 'Items sous domaines Maths '!K377&gt;0),'Items sous domaines Maths '!F377,0)</f>
        <v>0</v>
      </c>
      <c r="G369" s="647"/>
      <c r="H369" s="705"/>
    </row>
    <row r="370" spans="1:9" customFormat="1" ht="13.5" hidden="1" customHeight="1" thickBot="1" x14ac:dyDescent="0.3">
      <c r="A370" s="734"/>
      <c r="B370" s="8">
        <f>IF(AND('Items sous domaines Maths '!K378&lt;=5, 'Items sous domaines Maths '!K378&gt;0),'Items sous domaines Maths '!B378,0)</f>
        <v>0</v>
      </c>
      <c r="C370" s="8" t="b">
        <f>IF(AND('Items sous domaines Maths '!K378&lt;=5, 'Items sous domaines Maths '!K378&gt;0),'Items sous domaines Maths '!C378)</f>
        <v>0</v>
      </c>
      <c r="D370" s="8">
        <f>IF(AND('Items sous domaines Maths '!K378&lt;=5, 'Items sous domaines Maths '!K378&gt;0),'Items sous domaines Maths '!D378,0)</f>
        <v>0</v>
      </c>
      <c r="E370" s="8">
        <f>IF(AND('Items sous domaines Maths '!K378&lt;=5, 'Items sous domaines Maths '!K378&gt;0),'Items sous domaines Maths '!E378,0)</f>
        <v>0</v>
      </c>
      <c r="F370" s="9">
        <f>IF(AND('Items sous domaines Maths '!K378&lt;=5, 'Items sous domaines Maths '!K378&gt;0),'Items sous domaines Maths '!F378,0)</f>
        <v>0</v>
      </c>
      <c r="G370" s="647"/>
      <c r="H370" s="705"/>
    </row>
    <row r="371" spans="1:9" customFormat="1" ht="13.5" hidden="1" customHeight="1" thickBot="1" x14ac:dyDescent="0.3">
      <c r="A371" s="734"/>
      <c r="B371" s="8">
        <f>IF(AND('Items sous domaines Maths '!K379&lt;=5, 'Items sous domaines Maths '!K379&gt;0),'Items sous domaines Maths '!B379,0)</f>
        <v>0</v>
      </c>
      <c r="C371" s="8" t="b">
        <f>IF(AND('Items sous domaines Maths '!K379&lt;=5, 'Items sous domaines Maths '!K379&gt;0),'Items sous domaines Maths '!C379)</f>
        <v>0</v>
      </c>
      <c r="D371" s="8">
        <f>IF(AND('Items sous domaines Maths '!K379&lt;=5, 'Items sous domaines Maths '!K379&gt;0),'Items sous domaines Maths '!D379,0)</f>
        <v>0</v>
      </c>
      <c r="E371" s="8">
        <f>IF(AND('Items sous domaines Maths '!K379&lt;=5, 'Items sous domaines Maths '!K379&gt;0),'Items sous domaines Maths '!E379,0)</f>
        <v>0</v>
      </c>
      <c r="F371" s="9">
        <f>IF(AND('Items sous domaines Maths '!K379&lt;=5, 'Items sous domaines Maths '!K379&gt;0),'Items sous domaines Maths '!F379,0)</f>
        <v>0</v>
      </c>
      <c r="G371" s="647"/>
      <c r="H371" s="705"/>
    </row>
    <row r="372" spans="1:9" customFormat="1" ht="13.5" hidden="1" customHeight="1" thickBot="1" x14ac:dyDescent="0.3">
      <c r="A372" s="734"/>
      <c r="B372" s="8">
        <f>IF(AND('Items sous domaines Maths '!K380&lt;=5, 'Items sous domaines Maths '!K380&gt;0),'Items sous domaines Maths '!B380,0)</f>
        <v>0</v>
      </c>
      <c r="C372" s="8" t="b">
        <f>IF(AND('Items sous domaines Maths '!K380&lt;=5, 'Items sous domaines Maths '!K380&gt;0),'Items sous domaines Maths '!C380)</f>
        <v>0</v>
      </c>
      <c r="D372" s="8">
        <f>IF(AND('Items sous domaines Maths '!K380&lt;=5, 'Items sous domaines Maths '!K380&gt;0),'Items sous domaines Maths '!D380,0)</f>
        <v>0</v>
      </c>
      <c r="E372" s="8">
        <f>IF(AND('Items sous domaines Maths '!K380&lt;=5, 'Items sous domaines Maths '!K380&gt;0),'Items sous domaines Maths '!E380,0)</f>
        <v>0</v>
      </c>
      <c r="F372" s="9">
        <f>IF(AND('Items sous domaines Maths '!K380&lt;=5, 'Items sous domaines Maths '!K380&gt;0),'Items sous domaines Maths '!F380,0)</f>
        <v>0</v>
      </c>
      <c r="G372" s="647"/>
      <c r="H372" s="705"/>
    </row>
    <row r="373" spans="1:9" customFormat="1" ht="13.5" hidden="1" customHeight="1" thickBot="1" x14ac:dyDescent="0.3">
      <c r="A373" s="734"/>
      <c r="B373" s="8">
        <f>IF(AND('Items sous domaines Maths '!K381&lt;=5, 'Items sous domaines Maths '!K381&gt;0),'Items sous domaines Maths '!B381,0)</f>
        <v>0</v>
      </c>
      <c r="C373" s="8" t="b">
        <f>IF(AND('Items sous domaines Maths '!K381&lt;=5, 'Items sous domaines Maths '!K381&gt;0),'Items sous domaines Maths '!C381)</f>
        <v>0</v>
      </c>
      <c r="D373" s="8">
        <f>IF(AND('Items sous domaines Maths '!K381&lt;=5, 'Items sous domaines Maths '!K381&gt;0),'Items sous domaines Maths '!D381,0)</f>
        <v>0</v>
      </c>
      <c r="E373" s="8">
        <f>IF(AND('Items sous domaines Maths '!K381&lt;=5, 'Items sous domaines Maths '!K381&gt;0),'Items sous domaines Maths '!E381,0)</f>
        <v>0</v>
      </c>
      <c r="F373" s="9">
        <f>IF(AND('Items sous domaines Maths '!K381&lt;=5, 'Items sous domaines Maths '!K381&gt;0),'Items sous domaines Maths '!F381,0)</f>
        <v>0</v>
      </c>
      <c r="G373" s="647"/>
      <c r="H373" s="705"/>
    </row>
    <row r="374" spans="1:9" ht="19.95" customHeight="1" thickTop="1" x14ac:dyDescent="0.3">
      <c r="A374" s="734"/>
      <c r="B374" s="254" t="str">
        <f>IF(AND('Items sous domaines Maths '!K383&lt;=5, 'Items sous domaines Maths '!K383&gt;0),'Items sous domaines Maths '!B383,0)</f>
        <v>Probabilité et statistiques</v>
      </c>
      <c r="C374" s="255" t="str">
        <f>IF(AND('Items sous domaines Maths '!K383&lt;=5, 'Items sous domaines Maths '!K383&gt;0),'Items sous domaines Maths '!C383)</f>
        <v>Les statistiques</v>
      </c>
      <c r="D374" s="255" t="str">
        <f>IF(AND('Items sous domaines Maths '!K383&lt;=5, 'Items sous domaines Maths '!K383&gt;0),'Items sous domaines Maths '!D383,0)</f>
        <v>Estimation / Echantillonnage</v>
      </c>
      <c r="E374" s="255" t="str">
        <f>IF(AND('Items sous domaines Maths '!K383&lt;=5, 'Items sous domaines Maths '!K383&gt;0),'Items sous domaines Maths '!E383,0)</f>
        <v>Echantillonnage</v>
      </c>
      <c r="F374" s="256" t="str">
        <f>IF(AND('Items sous domaines Maths '!K383&lt;=5, 'Items sous domaines Maths '!K383&gt;0),'Items sous domaines Maths '!F383,0)</f>
        <v>Notion d'échantillon.</v>
      </c>
      <c r="G374" s="724"/>
      <c r="H374" s="706"/>
      <c r="I374" s="245"/>
    </row>
    <row r="375" spans="1:9" ht="19.95" customHeight="1" thickBot="1" x14ac:dyDescent="0.35">
      <c r="A375" s="735"/>
      <c r="B375" s="258" t="str">
        <f>IF(AND('Items sous domaines Maths '!K384&lt;=5, 'Items sous domaines Maths '!K384&gt;0),'Items sous domaines Maths '!B384,0)</f>
        <v>Probabilité et statistiques</v>
      </c>
      <c r="C375" s="259" t="str">
        <f>IF(AND('Items sous domaines Maths '!K384&lt;=5, 'Items sous domaines Maths '!K384&gt;0),'Items sous domaines Maths '!C384)</f>
        <v>Les statistiques</v>
      </c>
      <c r="D375" s="259">
        <f>IF(AND('Items sous domaines Maths '!K384&lt;=5, 'Items sous domaines Maths '!K384&gt;0),'Items sous domaines Maths '!D384,0)</f>
        <v>0</v>
      </c>
      <c r="E375" s="259">
        <f>IF(AND('Items sous domaines Maths '!K384&lt;=5, 'Items sous domaines Maths '!K384&gt;0),'Items sous domaines Maths '!E384,0)</f>
        <v>0</v>
      </c>
      <c r="F375" s="260" t="str">
        <f>IF(AND('Items sous domaines Maths '!K384&lt;=5, 'Items sous domaines Maths '!K384&gt;0),'Items sous domaines Maths '!F384,0)</f>
        <v>Lois d'échantillonnage de la moyenne et de la fréquence.</v>
      </c>
      <c r="G375" s="723"/>
      <c r="H375" s="707"/>
      <c r="I375" s="253"/>
    </row>
    <row r="376" spans="1:9" customFormat="1" ht="13.8" hidden="1" thickTop="1" x14ac:dyDescent="0.25">
      <c r="A376" s="453"/>
      <c r="B376">
        <f>IF(AND('Items sous domaines Maths '!K385&lt;=5, 'Items sous domaines Maths '!K385&gt;0),'Items sous domaines Maths '!B385,0)</f>
        <v>0</v>
      </c>
      <c r="C376" t="b">
        <f>IF(AND('Items sous domaines Maths '!K385&lt;=5, 'Items sous domaines Maths '!K385&gt;0),'Items sous domaines Maths '!C385)</f>
        <v>0</v>
      </c>
      <c r="D376">
        <f>IF(AND('Items sous domaines Maths '!K385&lt;=5, 'Items sous domaines Maths '!K385&gt;0),'Items sous domaines Maths '!D385,0)</f>
        <v>0</v>
      </c>
      <c r="E376">
        <f>IF(AND('Items sous domaines Maths '!K385&lt;=5, 'Items sous domaines Maths '!K385&gt;0),'Items sous domaines Maths '!E385,0)</f>
        <v>0</v>
      </c>
      <c r="F376" s="10">
        <f>IF(AND('Items sous domaines Maths '!K385&lt;=5, 'Items sous domaines Maths '!K385&gt;0),'Items sous domaines Maths '!F385,0)</f>
        <v>0</v>
      </c>
      <c r="G376">
        <f>IF('Items sous domaines Maths '!H385&lt;4,'Items sous domaines Maths '!G385,0)</f>
        <v>0</v>
      </c>
      <c r="H376" s="9">
        <f>IF(AND('Items sous domaines Maths '!K380&lt;=5, 'Items sous domaines Maths '!K380&gt;0),'Items sous domaines Maths '!L380,0)</f>
        <v>0</v>
      </c>
    </row>
    <row r="377" spans="1:9" customFormat="1" ht="13.8" hidden="1" thickTop="1" x14ac:dyDescent="0.25">
      <c r="A377" s="453"/>
      <c r="B377" s="8">
        <f>IF(AND('Items sous domaines Maths '!K386&lt;=5, 'Items sous domaines Maths '!K386&gt;0),'Items sous domaines Maths '!B386,0)</f>
        <v>0</v>
      </c>
      <c r="C377" s="8" t="b">
        <f>IF(AND('Items sous domaines Maths '!K386&lt;=5, 'Items sous domaines Maths '!K386&gt;0),'Items sous domaines Maths '!C386)</f>
        <v>0</v>
      </c>
      <c r="D377" s="8">
        <f>IF(AND('Items sous domaines Maths '!K386&lt;=5, 'Items sous domaines Maths '!K386&gt;0),'Items sous domaines Maths '!D386,0)</f>
        <v>0</v>
      </c>
      <c r="E377" s="8">
        <f>IF(AND('Items sous domaines Maths '!K386&lt;=5, 'Items sous domaines Maths '!K386&gt;0),'Items sous domaines Maths '!E386,0)</f>
        <v>0</v>
      </c>
      <c r="F377" s="9">
        <f>IF(AND('Items sous domaines Maths '!K386&lt;=5, 'Items sous domaines Maths '!K386&gt;0),'Items sous domaines Maths '!F386,0)</f>
        <v>0</v>
      </c>
      <c r="G377">
        <f>IF('Items sous domaines Maths '!H386&lt;4,'Items sous domaines Maths '!G386,0)</f>
        <v>0</v>
      </c>
      <c r="H377" s="9">
        <f>IF(AND('Items sous domaines Maths '!K381&lt;=5, 'Items sous domaines Maths '!K381&gt;0),'Items sous domaines Maths '!L381,0)</f>
        <v>0</v>
      </c>
    </row>
    <row r="378" spans="1:9" customFormat="1" ht="13.8" hidden="1" thickTop="1" x14ac:dyDescent="0.25">
      <c r="A378" s="453"/>
      <c r="B378" s="8">
        <f>IF(AND('Items sous domaines Maths '!K387&lt;=5, 'Items sous domaines Maths '!K387&gt;0),'Items sous domaines Maths '!B387,0)</f>
        <v>0</v>
      </c>
      <c r="C378" s="8" t="b">
        <f>IF(AND('Items sous domaines Maths '!K387&lt;=5, 'Items sous domaines Maths '!K387&gt;0),'Items sous domaines Maths '!C387)</f>
        <v>0</v>
      </c>
      <c r="D378" s="8">
        <f>IF(AND('Items sous domaines Maths '!K387&lt;=5, 'Items sous domaines Maths '!K387&gt;0),'Items sous domaines Maths '!D387,0)</f>
        <v>0</v>
      </c>
      <c r="E378" s="8">
        <f>IF(AND('Items sous domaines Maths '!K387&lt;=5, 'Items sous domaines Maths '!K387&gt;0),'Items sous domaines Maths '!E387,0)</f>
        <v>0</v>
      </c>
      <c r="F378" s="9">
        <f>IF(AND('Items sous domaines Maths '!K387&lt;=5, 'Items sous domaines Maths '!K387&gt;0),'Items sous domaines Maths '!F387,0)</f>
        <v>0</v>
      </c>
      <c r="G378">
        <f>IF('Items sous domaines Maths '!H387&lt;4,'Items sous domaines Maths '!G387,0)</f>
        <v>0</v>
      </c>
      <c r="H378" s="9">
        <f>IF(AND('Items sous domaines Maths '!K382&lt;=5, 'Items sous domaines Maths '!K382&gt;0),'Items sous domaines Maths '!L382,0)</f>
        <v>0</v>
      </c>
    </row>
    <row r="379" spans="1:9" customFormat="1" ht="14.4" hidden="1" thickTop="1" thickBot="1" x14ac:dyDescent="0.3">
      <c r="A379" s="454"/>
      <c r="B379" s="8">
        <f>IF(AND('Items sous domaines Maths '!K388&lt;=5, 'Items sous domaines Maths '!K388&gt;0),'Items sous domaines Maths '!B388,0)</f>
        <v>0</v>
      </c>
      <c r="C379" s="8" t="b">
        <f>IF(AND('Items sous domaines Maths '!K388&lt;=5, 'Items sous domaines Maths '!K388&gt;0),'Items sous domaines Maths '!C388)</f>
        <v>0</v>
      </c>
      <c r="D379" s="8">
        <f>IF(AND('Items sous domaines Maths '!K388&lt;=5, 'Items sous domaines Maths '!K388&gt;0),'Items sous domaines Maths '!D388,0)</f>
        <v>0</v>
      </c>
      <c r="E379" s="8">
        <f>IF(AND('Items sous domaines Maths '!K388&lt;=5, 'Items sous domaines Maths '!K388&gt;0),'Items sous domaines Maths '!E388,0)</f>
        <v>0</v>
      </c>
      <c r="F379" s="9">
        <f>IF(AND('Items sous domaines Maths '!K388&lt;=5, 'Items sous domaines Maths '!K388&gt;0),'Items sous domaines Maths '!F388,0)</f>
        <v>0</v>
      </c>
      <c r="G379">
        <f>IF('Items sous domaines Maths '!H388&lt;4,'Items sous domaines Maths '!G388,0)</f>
        <v>0</v>
      </c>
      <c r="H379" s="9">
        <f>IF(AND('Items sous domaines Maths '!K383&lt;=5, 'Items sous domaines Maths '!K383&gt;0),'Items sous domaines Maths '!L383,0)</f>
        <v>0</v>
      </c>
    </row>
    <row r="380" spans="1:9" customFormat="1" ht="13.8" hidden="1" thickTop="1" x14ac:dyDescent="0.25">
      <c r="B380" s="8">
        <f>IF(AND('Items sous domaines Maths '!K389&lt;=5, 'Items sous domaines Maths '!K389&gt;0),'Items sous domaines Maths '!B389,0)</f>
        <v>0</v>
      </c>
      <c r="C380" s="8" t="b">
        <f>IF(AND('Items sous domaines Maths '!K389&lt;=5, 'Items sous domaines Maths '!K389&gt;0),'Items sous domaines Maths '!C389)</f>
        <v>0</v>
      </c>
      <c r="D380" s="8">
        <f>IF(AND('Items sous domaines Maths '!K389&lt;=5, 'Items sous domaines Maths '!K389&gt;0),'Items sous domaines Maths '!D389,0)</f>
        <v>0</v>
      </c>
      <c r="E380" s="8">
        <f>IF(AND('Items sous domaines Maths '!K389&lt;=5, 'Items sous domaines Maths '!K389&gt;0),'Items sous domaines Maths '!E389,0)</f>
        <v>0</v>
      </c>
      <c r="F380" s="9">
        <f>IF(AND('Items sous domaines Maths '!K389&lt;=5, 'Items sous domaines Maths '!K389&gt;0),'Items sous domaines Maths '!F389,0)</f>
        <v>0</v>
      </c>
      <c r="G380">
        <f>IF('Items sous domaines Maths '!H389&lt;4,'Items sous domaines Maths '!G389,0)</f>
        <v>0</v>
      </c>
      <c r="H380" s="9">
        <f>IF(AND('Items sous domaines Maths '!K384&lt;=5, 'Items sous domaines Maths '!K384&gt;0),'Items sous domaines Maths '!L384,0)</f>
        <v>0</v>
      </c>
    </row>
    <row r="381" spans="1:9" customFormat="1" ht="13.8" hidden="1" thickTop="1" x14ac:dyDescent="0.25">
      <c r="B381" s="8">
        <f>IF(AND('Items sous domaines Maths '!K390&lt;=5, 'Items sous domaines Maths '!K390&gt;0),'Items sous domaines Maths '!B390,0)</f>
        <v>0</v>
      </c>
      <c r="C381" s="8" t="b">
        <f>IF(AND('Items sous domaines Maths '!K390&lt;=5, 'Items sous domaines Maths '!K390&gt;0),'Items sous domaines Maths '!C390)</f>
        <v>0</v>
      </c>
      <c r="D381" s="8">
        <f>IF(AND('Items sous domaines Maths '!K390&lt;=5, 'Items sous domaines Maths '!K390&gt;0),'Items sous domaines Maths '!D390,0)</f>
        <v>0</v>
      </c>
      <c r="E381" s="8">
        <f>IF(AND('Items sous domaines Maths '!K390&lt;=5, 'Items sous domaines Maths '!K390&gt;0),'Items sous domaines Maths '!E390,0)</f>
        <v>0</v>
      </c>
      <c r="F381" s="9">
        <f>IF(AND('Items sous domaines Maths '!K390&lt;=5, 'Items sous domaines Maths '!K390&gt;0),'Items sous domaines Maths '!F390,0)</f>
        <v>0</v>
      </c>
      <c r="G381">
        <f>IF('Items sous domaines Maths '!H390&lt;4,'Items sous domaines Maths '!G390,0)</f>
        <v>0</v>
      </c>
      <c r="H381" s="9">
        <f>IF(AND('Items sous domaines Maths '!K385&lt;=5, 'Items sous domaines Maths '!K385&gt;0),'Items sous domaines Maths '!L385,0)</f>
        <v>0</v>
      </c>
    </row>
    <row r="382" spans="1:9" customFormat="1" ht="13.8" hidden="1" thickTop="1" x14ac:dyDescent="0.25">
      <c r="B382" s="8">
        <f>IF(AND('Items sous domaines Maths '!K391&lt;=5, 'Items sous domaines Maths '!K391&gt;0),'Items sous domaines Maths '!B391,0)</f>
        <v>0</v>
      </c>
      <c r="C382" s="8" t="b">
        <f>IF(AND('Items sous domaines Maths '!K391&lt;=5, 'Items sous domaines Maths '!K391&gt;0),'Items sous domaines Maths '!C391)</f>
        <v>0</v>
      </c>
      <c r="D382" s="8">
        <f>IF(AND('Items sous domaines Maths '!K391&lt;=5, 'Items sous domaines Maths '!K391&gt;0),'Items sous domaines Maths '!D391,0)</f>
        <v>0</v>
      </c>
      <c r="E382" s="8">
        <f>IF(AND('Items sous domaines Maths '!K391&lt;=5, 'Items sous domaines Maths '!K391&gt;0),'Items sous domaines Maths '!E391,0)</f>
        <v>0</v>
      </c>
      <c r="F382" s="9">
        <f>IF(AND('Items sous domaines Maths '!K391&lt;=5, 'Items sous domaines Maths '!K391&gt;0),'Items sous domaines Maths '!F391,0)</f>
        <v>0</v>
      </c>
      <c r="G382">
        <f>IF('Items sous domaines Maths '!H391&lt;4,'Items sous domaines Maths '!G391,0)</f>
        <v>0</v>
      </c>
      <c r="H382" s="9">
        <f>IF(AND('Items sous domaines Maths '!K386&lt;=5, 'Items sous domaines Maths '!K386&gt;0),'Items sous domaines Maths '!L386,0)</f>
        <v>0</v>
      </c>
    </row>
    <row r="383" spans="1:9" customFormat="1" ht="13.8" hidden="1" thickTop="1" x14ac:dyDescent="0.25">
      <c r="B383" s="8">
        <f>IF(AND('Items sous domaines Maths '!K392&lt;=5, 'Items sous domaines Maths '!K392&gt;0),'Items sous domaines Maths '!B392,0)</f>
        <v>0</v>
      </c>
      <c r="C383" s="8" t="b">
        <f>IF(AND('Items sous domaines Maths '!K392&lt;=5, 'Items sous domaines Maths '!K392&gt;0),'Items sous domaines Maths '!C392)</f>
        <v>0</v>
      </c>
      <c r="D383" s="8">
        <f>IF(AND('Items sous domaines Maths '!K392&lt;=5, 'Items sous domaines Maths '!K392&gt;0),'Items sous domaines Maths '!D392,0)</f>
        <v>0</v>
      </c>
      <c r="E383" s="8">
        <f>IF(AND('Items sous domaines Maths '!K392&lt;=5, 'Items sous domaines Maths '!K392&gt;0),'Items sous domaines Maths '!E392,0)</f>
        <v>0</v>
      </c>
      <c r="F383" s="9">
        <f>IF(AND('Items sous domaines Maths '!K392&lt;=5, 'Items sous domaines Maths '!K392&gt;0),'Items sous domaines Maths '!F392,0)</f>
        <v>0</v>
      </c>
      <c r="G383">
        <f>IF('Items sous domaines Maths '!H392&lt;4,'Items sous domaines Maths '!G392,0)</f>
        <v>0</v>
      </c>
      <c r="H383" s="9">
        <f>IF(AND('Items sous domaines Maths '!K387&lt;=5, 'Items sous domaines Maths '!K387&gt;0),'Items sous domaines Maths '!L387,0)</f>
        <v>0</v>
      </c>
    </row>
    <row r="384" spans="1:9" customFormat="1" ht="13.8" hidden="1" thickTop="1" x14ac:dyDescent="0.25">
      <c r="B384" s="8">
        <f>IF(AND('Items sous domaines Maths '!K393&lt;=5, 'Items sous domaines Maths '!K393&gt;0),'Items sous domaines Maths '!B393,0)</f>
        <v>0</v>
      </c>
      <c r="C384" s="8" t="b">
        <f>IF(AND('Items sous domaines Maths '!K393&lt;=5, 'Items sous domaines Maths '!K393&gt;0),'Items sous domaines Maths '!C393)</f>
        <v>0</v>
      </c>
      <c r="D384" s="8">
        <f>IF(AND('Items sous domaines Maths '!K393&lt;=5, 'Items sous domaines Maths '!K393&gt;0),'Items sous domaines Maths '!D393,0)</f>
        <v>0</v>
      </c>
      <c r="E384" s="8">
        <f>IF(AND('Items sous domaines Maths '!K393&lt;=5, 'Items sous domaines Maths '!K393&gt;0),'Items sous domaines Maths '!E393,0)</f>
        <v>0</v>
      </c>
      <c r="F384" s="9">
        <f>IF(AND('Items sous domaines Maths '!K393&lt;=5, 'Items sous domaines Maths '!K393&gt;0),'Items sous domaines Maths '!F393,0)</f>
        <v>0</v>
      </c>
      <c r="G384">
        <f>IF('Items sous domaines Maths '!H393&lt;4,'Items sous domaines Maths '!G393,0)</f>
        <v>0</v>
      </c>
      <c r="H384" s="9">
        <f>IF(AND('Items sous domaines Maths '!K388&lt;=5, 'Items sous domaines Maths '!K388&gt;0),'Items sous domaines Maths '!L388,0)</f>
        <v>0</v>
      </c>
    </row>
    <row r="385" spans="2:8" customFormat="1" ht="13.8" hidden="1" thickTop="1" x14ac:dyDescent="0.25">
      <c r="B385" s="8">
        <f>IF(AND('Items sous domaines Maths '!K394&lt;=5, 'Items sous domaines Maths '!K394&gt;0),'Items sous domaines Maths '!B394,0)</f>
        <v>0</v>
      </c>
      <c r="C385" s="8" t="b">
        <f>IF(AND('Items sous domaines Maths '!K394&lt;=5, 'Items sous domaines Maths '!K394&gt;0),'Items sous domaines Maths '!C394)</f>
        <v>0</v>
      </c>
      <c r="D385" s="8">
        <f>IF(AND('Items sous domaines Maths '!K394&lt;=5, 'Items sous domaines Maths '!K394&gt;0),'Items sous domaines Maths '!D394,0)</f>
        <v>0</v>
      </c>
      <c r="E385" s="8">
        <f>IF(AND('Items sous domaines Maths '!K394&lt;=5, 'Items sous domaines Maths '!K394&gt;0),'Items sous domaines Maths '!E394,0)</f>
        <v>0</v>
      </c>
      <c r="F385" s="9">
        <f>IF(AND('Items sous domaines Maths '!K394&lt;=5, 'Items sous domaines Maths '!K394&gt;0),'Items sous domaines Maths '!F394,0)</f>
        <v>0</v>
      </c>
      <c r="G385">
        <f>IF('Items sous domaines Maths '!H394&lt;4,'Items sous domaines Maths '!G394,0)</f>
        <v>0</v>
      </c>
      <c r="H385" s="9">
        <f>IF(AND('Items sous domaines Maths '!K389&lt;=5, 'Items sous domaines Maths '!K389&gt;0),'Items sous domaines Maths '!L389,0)</f>
        <v>0</v>
      </c>
    </row>
    <row r="386" spans="2:8" customFormat="1" ht="13.8" hidden="1" thickTop="1" x14ac:dyDescent="0.25">
      <c r="B386" s="8">
        <f>IF(AND('Items sous domaines Maths '!K395&lt;=5, 'Items sous domaines Maths '!K395&gt;0),'Items sous domaines Maths '!B395,0)</f>
        <v>0</v>
      </c>
      <c r="C386" s="8" t="b">
        <f>IF(AND('Items sous domaines Maths '!K395&lt;=5, 'Items sous domaines Maths '!K395&gt;0),'Items sous domaines Maths '!C395)</f>
        <v>0</v>
      </c>
      <c r="D386" s="8">
        <f>IF(AND('Items sous domaines Maths '!K395&lt;=5, 'Items sous domaines Maths '!K395&gt;0),'Items sous domaines Maths '!D395,0)</f>
        <v>0</v>
      </c>
      <c r="E386" s="8">
        <f>IF(AND('Items sous domaines Maths '!K395&lt;=5, 'Items sous domaines Maths '!K395&gt;0),'Items sous domaines Maths '!E395,0)</f>
        <v>0</v>
      </c>
      <c r="F386" s="9">
        <f>IF(AND('Items sous domaines Maths '!K395&lt;=5, 'Items sous domaines Maths '!K395&gt;0),'Items sous domaines Maths '!F395,0)</f>
        <v>0</v>
      </c>
      <c r="G386">
        <f>IF('Items sous domaines Maths '!H395&lt;4,'Items sous domaines Maths '!G395,0)</f>
        <v>0</v>
      </c>
      <c r="H386" s="9">
        <f>IF(AND('Items sous domaines Maths '!K390&lt;=5, 'Items sous domaines Maths '!K390&gt;0),'Items sous domaines Maths '!L390,0)</f>
        <v>0</v>
      </c>
    </row>
    <row r="387" spans="2:8" customFormat="1" ht="13.8" hidden="1" thickTop="1" x14ac:dyDescent="0.25">
      <c r="B387" s="8">
        <f>IF(AND('Items sous domaines Maths '!K396&lt;=5, 'Items sous domaines Maths '!K396&gt;0),'Items sous domaines Maths '!B396,0)</f>
        <v>0</v>
      </c>
      <c r="C387" s="8" t="b">
        <f>IF(AND('Items sous domaines Maths '!K396&lt;=5, 'Items sous domaines Maths '!K396&gt;0),'Items sous domaines Maths '!C396)</f>
        <v>0</v>
      </c>
      <c r="D387" s="8">
        <f>IF(AND('Items sous domaines Maths '!K396&lt;=5, 'Items sous domaines Maths '!K396&gt;0),'Items sous domaines Maths '!D396,0)</f>
        <v>0</v>
      </c>
      <c r="E387" s="8">
        <f>IF(AND('Items sous domaines Maths '!K396&lt;=5, 'Items sous domaines Maths '!K396&gt;0),'Items sous domaines Maths '!E396,0)</f>
        <v>0</v>
      </c>
      <c r="F387" s="9">
        <f>IF(AND('Items sous domaines Maths '!K396&lt;=5, 'Items sous domaines Maths '!K396&gt;0),'Items sous domaines Maths '!F396,0)</f>
        <v>0</v>
      </c>
      <c r="G387">
        <f>IF('Items sous domaines Maths '!H396&lt;4,'Items sous domaines Maths '!G396,0)</f>
        <v>0</v>
      </c>
      <c r="H387" s="9">
        <f>IF(AND('Items sous domaines Maths '!K391&lt;=5, 'Items sous domaines Maths '!K391&gt;0),'Items sous domaines Maths '!L391,0)</f>
        <v>0</v>
      </c>
    </row>
    <row r="388" spans="2:8" customFormat="1" ht="13.8" hidden="1" thickTop="1" x14ac:dyDescent="0.25">
      <c r="B388" s="8">
        <f>IF(AND('Items sous domaines Maths '!K397&lt;=5, 'Items sous domaines Maths '!K397&gt;0),'Items sous domaines Maths '!B397,0)</f>
        <v>0</v>
      </c>
      <c r="C388" s="8" t="b">
        <f>IF(AND('Items sous domaines Maths '!K397&lt;=5, 'Items sous domaines Maths '!K397&gt;0),'Items sous domaines Maths '!C397)</f>
        <v>0</v>
      </c>
      <c r="D388" s="8">
        <f>IF(AND('Items sous domaines Maths '!K397&lt;=5, 'Items sous domaines Maths '!K397&gt;0),'Items sous domaines Maths '!D397,0)</f>
        <v>0</v>
      </c>
      <c r="E388" s="8">
        <f>IF(AND('Items sous domaines Maths '!K397&lt;=5, 'Items sous domaines Maths '!K397&gt;0),'Items sous domaines Maths '!E397,0)</f>
        <v>0</v>
      </c>
      <c r="F388" s="9">
        <f>IF(AND('Items sous domaines Maths '!K397&lt;=5, 'Items sous domaines Maths '!K397&gt;0),'Items sous domaines Maths '!F397,0)</f>
        <v>0</v>
      </c>
      <c r="G388">
        <f>IF('Items sous domaines Maths '!H397&lt;4,'Items sous domaines Maths '!G397,0)</f>
        <v>0</v>
      </c>
      <c r="H388" s="9">
        <f>IF(AND('Items sous domaines Maths '!K392&lt;=5, 'Items sous domaines Maths '!K392&gt;0),'Items sous domaines Maths '!L392,0)</f>
        <v>0</v>
      </c>
    </row>
    <row r="389" spans="2:8" customFormat="1" ht="13.8" hidden="1" thickTop="1" x14ac:dyDescent="0.25">
      <c r="B389" s="8">
        <f>IF(AND('Items sous domaines Maths '!K398&lt;=5, 'Items sous domaines Maths '!K398&gt;0),'Items sous domaines Maths '!B398,0)</f>
        <v>0</v>
      </c>
      <c r="C389" s="8" t="b">
        <f>IF(AND('Items sous domaines Maths '!K398&lt;=5, 'Items sous domaines Maths '!K398&gt;0),'Items sous domaines Maths '!C398)</f>
        <v>0</v>
      </c>
      <c r="D389" s="8">
        <f>IF(AND('Items sous domaines Maths '!K398&lt;=5, 'Items sous domaines Maths '!K398&gt;0),'Items sous domaines Maths '!D398,0)</f>
        <v>0</v>
      </c>
      <c r="E389" s="8">
        <f>IF(AND('Items sous domaines Maths '!K398&lt;=5, 'Items sous domaines Maths '!K398&gt;0),'Items sous domaines Maths '!E398,0)</f>
        <v>0</v>
      </c>
      <c r="F389" s="9">
        <f>IF(AND('Items sous domaines Maths '!K398&lt;=5, 'Items sous domaines Maths '!K398&gt;0),'Items sous domaines Maths '!F398,0)</f>
        <v>0</v>
      </c>
      <c r="G389">
        <f>IF('Items sous domaines Maths '!H398&lt;4,'Items sous domaines Maths '!G398,0)</f>
        <v>0</v>
      </c>
      <c r="H389" s="9">
        <f>IF(AND('Items sous domaines Maths '!K393&lt;=5, 'Items sous domaines Maths '!K393&gt;0),'Items sous domaines Maths '!L393,0)</f>
        <v>0</v>
      </c>
    </row>
    <row r="390" spans="2:8" customFormat="1" ht="13.8" hidden="1" thickTop="1" x14ac:dyDescent="0.25">
      <c r="B390" s="8">
        <f>IF(AND('Items sous domaines Maths '!K399&lt;=5, 'Items sous domaines Maths '!K399&gt;0),'Items sous domaines Maths '!B399,0)</f>
        <v>0</v>
      </c>
      <c r="C390" s="8" t="b">
        <f>IF(AND('Items sous domaines Maths '!K399&lt;=5, 'Items sous domaines Maths '!K399&gt;0),'Items sous domaines Maths '!C399)</f>
        <v>0</v>
      </c>
      <c r="D390" s="8">
        <f>IF(AND('Items sous domaines Maths '!K399&lt;=5, 'Items sous domaines Maths '!K399&gt;0),'Items sous domaines Maths '!D399,0)</f>
        <v>0</v>
      </c>
      <c r="E390" s="8">
        <f>IF(AND('Items sous domaines Maths '!K399&lt;=5, 'Items sous domaines Maths '!K399&gt;0),'Items sous domaines Maths '!E399,0)</f>
        <v>0</v>
      </c>
      <c r="F390" s="9">
        <f>IF(AND('Items sous domaines Maths '!K399&lt;=5, 'Items sous domaines Maths '!K399&gt;0),'Items sous domaines Maths '!F399,0)</f>
        <v>0</v>
      </c>
      <c r="G390">
        <f>IF('Items sous domaines Maths '!H399&lt;4,'Items sous domaines Maths '!G399,0)</f>
        <v>0</v>
      </c>
      <c r="H390" s="9">
        <f>IF(AND('Items sous domaines Maths '!K394&lt;=5, 'Items sous domaines Maths '!K394&gt;0),'Items sous domaines Maths '!L394,0)</f>
        <v>0</v>
      </c>
    </row>
    <row r="391" spans="2:8" customFormat="1" ht="13.8" hidden="1" thickTop="1" x14ac:dyDescent="0.25">
      <c r="B391" s="8">
        <f>IF(AND('Items sous domaines Maths '!K400&lt;=5, 'Items sous domaines Maths '!K400&gt;0),'Items sous domaines Maths '!B400,0)</f>
        <v>0</v>
      </c>
      <c r="C391" s="8" t="b">
        <f>IF(AND('Items sous domaines Maths '!K400&lt;=5, 'Items sous domaines Maths '!K400&gt;0),'Items sous domaines Maths '!C400)</f>
        <v>0</v>
      </c>
      <c r="D391" s="8">
        <f>IF(AND('Items sous domaines Maths '!K400&lt;=5, 'Items sous domaines Maths '!K400&gt;0),'Items sous domaines Maths '!D400,0)</f>
        <v>0</v>
      </c>
      <c r="E391" s="8">
        <f>IF(AND('Items sous domaines Maths '!K400&lt;=5, 'Items sous domaines Maths '!K400&gt;0),'Items sous domaines Maths '!E400,0)</f>
        <v>0</v>
      </c>
      <c r="F391" s="9">
        <f>IF(AND('Items sous domaines Maths '!K400&lt;=5, 'Items sous domaines Maths '!K400&gt;0),'Items sous domaines Maths '!F400,0)</f>
        <v>0</v>
      </c>
      <c r="G391">
        <f>IF('Items sous domaines Maths '!H400&lt;4,'Items sous domaines Maths '!G400,0)</f>
        <v>0</v>
      </c>
      <c r="H391" s="9">
        <f>IF(AND('Items sous domaines Maths '!K395&lt;=5, 'Items sous domaines Maths '!K395&gt;0),'Items sous domaines Maths '!L395,0)</f>
        <v>0</v>
      </c>
    </row>
    <row r="392" spans="2:8" customFormat="1" ht="13.8" hidden="1" thickTop="1" x14ac:dyDescent="0.25">
      <c r="B392" s="8">
        <f>IF(AND('Items sous domaines Maths '!K416&lt;=5, 'Items sous domaines Maths '!K416&gt;0),'Items sous domaines Maths '!B416,0)</f>
        <v>0</v>
      </c>
      <c r="C392" s="8" t="b">
        <f>IF(AND('Items sous domaines Maths '!K416&lt;=5, 'Items sous domaines Maths '!K416&gt;0),'Items sous domaines Maths '!C416)</f>
        <v>0</v>
      </c>
      <c r="D392" s="8">
        <f>IF(AND('Items sous domaines Maths '!K416&lt;=5, 'Items sous domaines Maths '!K416&gt;0),'Items sous domaines Maths '!D416,0)</f>
        <v>0</v>
      </c>
      <c r="E392" s="8">
        <f>IF(AND('Items sous domaines Maths '!K416&lt;=5, 'Items sous domaines Maths '!K416&gt;0),'Items sous domaines Maths '!E416,0)</f>
        <v>0</v>
      </c>
      <c r="F392" s="9">
        <f>IF(AND('Items sous domaines Maths '!K416&lt;=5, 'Items sous domaines Maths '!K416&gt;0),'Items sous domaines Maths '!F416,0)</f>
        <v>0</v>
      </c>
      <c r="G392">
        <f>IF('Items sous domaines Maths '!H416&lt;4,'Items sous domaines Maths '!G416,0)</f>
        <v>0</v>
      </c>
      <c r="H392" s="9">
        <f>IF(AND('Items sous domaines Maths '!K396&lt;=5, 'Items sous domaines Maths '!K396&gt;0),'Items sous domaines Maths '!L396,0)</f>
        <v>0</v>
      </c>
    </row>
    <row r="393" spans="2:8" customFormat="1" ht="13.8" hidden="1" thickTop="1" x14ac:dyDescent="0.25">
      <c r="B393" s="8">
        <f>IF(AND('Items sous domaines Maths '!K417&lt;=5, 'Items sous domaines Maths '!K417&gt;0),'Items sous domaines Maths '!B417,0)</f>
        <v>0</v>
      </c>
      <c r="C393" s="8" t="b">
        <f>IF(AND('Items sous domaines Maths '!K417&lt;=5, 'Items sous domaines Maths '!K417&gt;0),'Items sous domaines Maths '!C417)</f>
        <v>0</v>
      </c>
      <c r="D393" s="8">
        <f>IF(AND('Items sous domaines Maths '!K417&lt;=5, 'Items sous domaines Maths '!K417&gt;0),'Items sous domaines Maths '!D417,0)</f>
        <v>0</v>
      </c>
      <c r="E393" s="8">
        <f>IF(AND('Items sous domaines Maths '!K417&lt;=5, 'Items sous domaines Maths '!K417&gt;0),'Items sous domaines Maths '!E417,0)</f>
        <v>0</v>
      </c>
      <c r="F393" s="9">
        <f>IF(AND('Items sous domaines Maths '!K417&lt;=5, 'Items sous domaines Maths '!K417&gt;0),'Items sous domaines Maths '!#REF!,0)</f>
        <v>0</v>
      </c>
      <c r="G393">
        <f>IF('Items sous domaines Maths '!H417&lt;4,'Items sous domaines Maths '!G417,0)</f>
        <v>0</v>
      </c>
      <c r="H393" s="9">
        <f>IF(AND('Items sous domaines Maths '!K397&lt;=5, 'Items sous domaines Maths '!K397&gt;0),'Items sous domaines Maths '!L397,0)</f>
        <v>0</v>
      </c>
    </row>
    <row r="394" spans="2:8" customFormat="1" ht="13.8" hidden="1" thickTop="1" x14ac:dyDescent="0.25">
      <c r="B394" s="8">
        <f>IF(AND('Items sous domaines Maths '!K418&lt;=5, 'Items sous domaines Maths '!K418&gt;0),'Items sous domaines Maths '!B418,0)</f>
        <v>0</v>
      </c>
      <c r="C394" s="8" t="b">
        <f>IF(AND('Items sous domaines Maths '!K418&lt;=5, 'Items sous domaines Maths '!K418&gt;0),'Items sous domaines Maths '!C418)</f>
        <v>0</v>
      </c>
      <c r="D394" s="8">
        <f>IF(AND('Items sous domaines Maths '!K418&lt;=5, 'Items sous domaines Maths '!K418&gt;0),'Items sous domaines Maths '!D418,0)</f>
        <v>0</v>
      </c>
      <c r="E394" s="8">
        <f>IF(AND('Items sous domaines Maths '!K418&lt;=5, 'Items sous domaines Maths '!K418&gt;0),'Items sous domaines Maths '!E418,0)</f>
        <v>0</v>
      </c>
      <c r="F394" s="9">
        <f>IF(AND('Items sous domaines Maths '!K418&lt;=5, 'Items sous domaines Maths '!K418&gt;0),'Items sous domaines Maths '!F417,0)</f>
        <v>0</v>
      </c>
      <c r="G394">
        <f>IF('Items sous domaines Maths '!H418&lt;4,'Items sous domaines Maths '!G418,0)</f>
        <v>0</v>
      </c>
      <c r="H394" s="9">
        <f>IF(AND('Items sous domaines Maths '!K398&lt;=5, 'Items sous domaines Maths '!K398&gt;0),'Items sous domaines Maths '!L398,0)</f>
        <v>0</v>
      </c>
    </row>
    <row r="395" spans="2:8" customFormat="1" ht="13.8" hidden="1" thickTop="1" x14ac:dyDescent="0.25">
      <c r="B395" s="8">
        <f>IF(AND('Items sous domaines Maths '!K419&lt;=5, 'Items sous domaines Maths '!K419&gt;0),'Items sous domaines Maths '!B419,0)</f>
        <v>0</v>
      </c>
      <c r="C395" s="8" t="b">
        <f>IF(AND('Items sous domaines Maths '!K419&lt;=5, 'Items sous domaines Maths '!K419&gt;0),'Items sous domaines Maths '!C419)</f>
        <v>0</v>
      </c>
      <c r="D395" s="8">
        <f>IF(AND('Items sous domaines Maths '!K419&lt;=5, 'Items sous domaines Maths '!K419&gt;0),'Items sous domaines Maths '!D419,0)</f>
        <v>0</v>
      </c>
      <c r="E395" s="8">
        <f>IF(AND('Items sous domaines Maths '!K419&lt;=5, 'Items sous domaines Maths '!K419&gt;0),'Items sous domaines Maths '!E419,0)</f>
        <v>0</v>
      </c>
      <c r="F395" s="9">
        <f>IF(AND('Items sous domaines Maths '!K419&lt;=5, 'Items sous domaines Maths '!K419&gt;0),'Items sous domaines Maths '!F418,0)</f>
        <v>0</v>
      </c>
      <c r="G395">
        <f>IF('Items sous domaines Maths '!H419&lt;4,'Items sous domaines Maths '!G419,0)</f>
        <v>0</v>
      </c>
      <c r="H395" s="9">
        <f>IF(AND('Items sous domaines Maths '!K399&lt;=5, 'Items sous domaines Maths '!K399&gt;0),'Items sous domaines Maths '!L399,0)</f>
        <v>0</v>
      </c>
    </row>
    <row r="396" spans="2:8" customFormat="1" ht="13.8" hidden="1" thickTop="1" x14ac:dyDescent="0.25">
      <c r="B396" s="8">
        <f>IF(AND('Items sous domaines Maths '!K420&lt;=5, 'Items sous domaines Maths '!K420&gt;0),'Items sous domaines Maths '!B420,0)</f>
        <v>0</v>
      </c>
      <c r="C396" s="8" t="b">
        <f>IF(AND('Items sous domaines Maths '!K420&lt;=5, 'Items sous domaines Maths '!K420&gt;0),'Items sous domaines Maths '!C420)</f>
        <v>0</v>
      </c>
      <c r="D396" s="8">
        <f>IF(AND('Items sous domaines Maths '!K420&lt;=5, 'Items sous domaines Maths '!K420&gt;0),'Items sous domaines Maths '!D420,0)</f>
        <v>0</v>
      </c>
      <c r="E396" s="8">
        <f>IF(AND('Items sous domaines Maths '!K420&lt;=5, 'Items sous domaines Maths '!K420&gt;0),'Items sous domaines Maths '!E420,0)</f>
        <v>0</v>
      </c>
      <c r="F396" s="9">
        <f>IF(AND('Items sous domaines Maths '!K420&lt;=5, 'Items sous domaines Maths '!K420&gt;0),'Items sous domaines Maths '!F419,0)</f>
        <v>0</v>
      </c>
      <c r="G396">
        <f>IF('Items sous domaines Maths '!H420&lt;4,'Items sous domaines Maths '!G420,0)</f>
        <v>0</v>
      </c>
      <c r="H396" s="9">
        <f>IF(AND('Items sous domaines Maths '!K400&lt;=5, 'Items sous domaines Maths '!K400&gt;0),'Items sous domaines Maths '!L400,0)</f>
        <v>0</v>
      </c>
    </row>
    <row r="397" spans="2:8" customFormat="1" ht="13.8" hidden="1" thickTop="1" x14ac:dyDescent="0.25">
      <c r="B397" s="8">
        <f>IF(AND('Items sous domaines Maths '!K421&lt;=5, 'Items sous domaines Maths '!K421&gt;0),'Items sous domaines Maths '!B421,0)</f>
        <v>0</v>
      </c>
      <c r="C397" s="8" t="b">
        <f>IF(AND('Items sous domaines Maths '!K421&lt;=5, 'Items sous domaines Maths '!K421&gt;0),'Items sous domaines Maths '!C421)</f>
        <v>0</v>
      </c>
      <c r="D397" s="8">
        <f>IF(AND('Items sous domaines Maths '!K421&lt;=5, 'Items sous domaines Maths '!K421&gt;0),'Items sous domaines Maths '!D421,0)</f>
        <v>0</v>
      </c>
      <c r="E397" s="8">
        <f>IF(AND('Items sous domaines Maths '!K421&lt;=5, 'Items sous domaines Maths '!K421&gt;0),'Items sous domaines Maths '!E421,0)</f>
        <v>0</v>
      </c>
      <c r="F397" s="9">
        <f>IF(AND('Items sous domaines Maths '!K421&lt;=5, 'Items sous domaines Maths '!K421&gt;0),'Items sous domaines Maths '!F420,0)</f>
        <v>0</v>
      </c>
      <c r="G397">
        <f>IF('Items sous domaines Maths '!H421&lt;4,'Items sous domaines Maths '!G421,0)</f>
        <v>0</v>
      </c>
      <c r="H397" s="9">
        <f>IF(AND('Items sous domaines Maths '!K401&lt;=5, 'Items sous domaines Maths '!K401&gt;0),'Items sous domaines Maths '!L401,0)</f>
        <v>0</v>
      </c>
    </row>
    <row r="398" spans="2:8" customFormat="1" ht="13.8" hidden="1" thickTop="1" x14ac:dyDescent="0.25">
      <c r="B398" s="8">
        <f>IF(AND('Items sous domaines Maths '!K422&lt;=5, 'Items sous domaines Maths '!K422&gt;0),'Items sous domaines Maths '!B422,0)</f>
        <v>0</v>
      </c>
      <c r="C398" s="8" t="b">
        <f>IF(AND('Items sous domaines Maths '!K422&lt;=5, 'Items sous domaines Maths '!K422&gt;0),'Items sous domaines Maths '!C422)</f>
        <v>0</v>
      </c>
      <c r="D398" s="8">
        <f>IF(AND('Items sous domaines Maths '!K422&lt;=5, 'Items sous domaines Maths '!K422&gt;0),'Items sous domaines Maths '!D422,0)</f>
        <v>0</v>
      </c>
      <c r="E398" s="8">
        <f>IF(AND('Items sous domaines Maths '!K422&lt;=5, 'Items sous domaines Maths '!K422&gt;0),'Items sous domaines Maths '!E422,0)</f>
        <v>0</v>
      </c>
      <c r="F398" s="9">
        <f>IF(AND('Items sous domaines Maths '!K422&lt;=5, 'Items sous domaines Maths '!K422&gt;0),'Items sous domaines Maths '!F421,0)</f>
        <v>0</v>
      </c>
      <c r="G398">
        <f>IF('Items sous domaines Maths '!H422&lt;4,'Items sous domaines Maths '!G422,0)</f>
        <v>0</v>
      </c>
      <c r="H398" s="9">
        <f>IF(AND('Items sous domaines Maths '!K402&lt;=5, 'Items sous domaines Maths '!K402&gt;0),'Items sous domaines Maths '!L402,0)</f>
        <v>0</v>
      </c>
    </row>
    <row r="399" spans="2:8" customFormat="1" ht="13.8" hidden="1" thickTop="1" x14ac:dyDescent="0.25">
      <c r="B399" s="8">
        <f>IF(AND('Items sous domaines Maths '!K423&lt;=5, 'Items sous domaines Maths '!K423&gt;0),'Items sous domaines Maths '!B423,0)</f>
        <v>0</v>
      </c>
      <c r="C399" s="8" t="b">
        <f>IF(AND('Items sous domaines Maths '!K423&lt;=5, 'Items sous domaines Maths '!K423&gt;0),'Items sous domaines Maths '!C423)</f>
        <v>0</v>
      </c>
      <c r="D399" s="8">
        <f>IF(AND('Items sous domaines Maths '!K423&lt;=5, 'Items sous domaines Maths '!K423&gt;0),'Items sous domaines Maths '!D423,0)</f>
        <v>0</v>
      </c>
      <c r="E399" s="8">
        <f>IF(AND('Items sous domaines Maths '!K423&lt;=5, 'Items sous domaines Maths '!K423&gt;0),'Items sous domaines Maths '!E423,0)</f>
        <v>0</v>
      </c>
      <c r="F399" s="9">
        <f>IF(AND('Items sous domaines Maths '!K423&lt;=5, 'Items sous domaines Maths '!K423&gt;0),'Items sous domaines Maths '!F422,0)</f>
        <v>0</v>
      </c>
      <c r="G399">
        <f>IF('Items sous domaines Maths '!H423&lt;4,'Items sous domaines Maths '!G423,0)</f>
        <v>0</v>
      </c>
      <c r="H399" s="9">
        <f>IF(AND('Items sous domaines Maths '!K403&lt;=5, 'Items sous domaines Maths '!K403&gt;0),'Items sous domaines Maths '!L403,0)</f>
        <v>0</v>
      </c>
    </row>
    <row r="400" spans="2:8" customFormat="1" ht="13.8" hidden="1" thickTop="1" x14ac:dyDescent="0.25">
      <c r="B400" s="8">
        <f>IF(AND('Items sous domaines Maths '!K424&lt;=5, 'Items sous domaines Maths '!K424&gt;0),'Items sous domaines Maths '!B424,0)</f>
        <v>0</v>
      </c>
      <c r="C400" s="8" t="b">
        <f>IF(AND('Items sous domaines Maths '!K424&lt;=5, 'Items sous domaines Maths '!K424&gt;0),'Items sous domaines Maths '!C424)</f>
        <v>0</v>
      </c>
      <c r="D400" s="8">
        <f>IF(AND('Items sous domaines Maths '!K424&lt;=5, 'Items sous domaines Maths '!K424&gt;0),'Items sous domaines Maths '!D424,0)</f>
        <v>0</v>
      </c>
      <c r="E400" s="8">
        <f>IF(AND('Items sous domaines Maths '!K424&lt;=5, 'Items sous domaines Maths '!K424&gt;0),'Items sous domaines Maths '!E424,0)</f>
        <v>0</v>
      </c>
      <c r="F400" s="9">
        <f>IF(AND('Items sous domaines Maths '!K424&lt;=5, 'Items sous domaines Maths '!K424&gt;0),'Items sous domaines Maths '!F423,0)</f>
        <v>0</v>
      </c>
      <c r="G400">
        <f>IF('Items sous domaines Maths '!H424&lt;4,'Items sous domaines Maths '!G424,0)</f>
        <v>0</v>
      </c>
      <c r="H400" s="9">
        <f>IF(AND('Items sous domaines Maths '!K404&lt;=5, 'Items sous domaines Maths '!K404&gt;0),'Items sous domaines Maths '!L404,0)</f>
        <v>0</v>
      </c>
    </row>
    <row r="401" spans="2:8" customFormat="1" ht="13.8" hidden="1" thickTop="1" x14ac:dyDescent="0.25">
      <c r="B401" s="8">
        <f>IF(AND('Items sous domaines Maths '!K425&lt;=5, 'Items sous domaines Maths '!K425&gt;0),'Items sous domaines Maths '!B425,0)</f>
        <v>0</v>
      </c>
      <c r="C401" s="8" t="b">
        <f>IF(AND('Items sous domaines Maths '!K425&lt;=5, 'Items sous domaines Maths '!K425&gt;0),'Items sous domaines Maths '!C425)</f>
        <v>0</v>
      </c>
      <c r="D401" s="8">
        <f>IF(AND('Items sous domaines Maths '!K425&lt;=5, 'Items sous domaines Maths '!K425&gt;0),'Items sous domaines Maths '!D425,0)</f>
        <v>0</v>
      </c>
      <c r="E401" s="8">
        <f>IF(AND('Items sous domaines Maths '!K425&lt;=5, 'Items sous domaines Maths '!K425&gt;0),'Items sous domaines Maths '!E425,0)</f>
        <v>0</v>
      </c>
      <c r="F401" s="9">
        <f>IF(AND('Items sous domaines Maths '!K425&lt;=5, 'Items sous domaines Maths '!K425&gt;0),'Items sous domaines Maths '!F424,0)</f>
        <v>0</v>
      </c>
      <c r="G401">
        <f>IF('Items sous domaines Maths '!H425&lt;4,'Items sous domaines Maths '!G425,0)</f>
        <v>0</v>
      </c>
      <c r="H401" s="9">
        <f>IF(AND('Items sous domaines Maths '!K405&lt;=5, 'Items sous domaines Maths '!K405&gt;0),'Items sous domaines Maths '!L405,0)</f>
        <v>0</v>
      </c>
    </row>
    <row r="402" spans="2:8" customFormat="1" ht="13.8" hidden="1" thickTop="1" x14ac:dyDescent="0.25">
      <c r="B402" s="8">
        <f>IF(AND('Items sous domaines Maths '!K426&lt;=5, 'Items sous domaines Maths '!K426&gt;0),'Items sous domaines Maths '!B426,0)</f>
        <v>0</v>
      </c>
      <c r="C402" s="8" t="b">
        <f>IF(AND('Items sous domaines Maths '!K426&lt;=5, 'Items sous domaines Maths '!K426&gt;0),'Items sous domaines Maths '!C426)</f>
        <v>0</v>
      </c>
      <c r="D402" s="8">
        <f>IF(AND('Items sous domaines Maths '!K426&lt;=5, 'Items sous domaines Maths '!K426&gt;0),'Items sous domaines Maths '!D426,0)</f>
        <v>0</v>
      </c>
      <c r="E402" s="8">
        <f>IF(AND('Items sous domaines Maths '!K426&lt;=5, 'Items sous domaines Maths '!K426&gt;0),'Items sous domaines Maths '!E426,0)</f>
        <v>0</v>
      </c>
      <c r="F402" s="9">
        <f>IF(AND('Items sous domaines Maths '!K426&lt;=5, 'Items sous domaines Maths '!K426&gt;0),'Items sous domaines Maths '!F425,0)</f>
        <v>0</v>
      </c>
      <c r="G402">
        <f>IF('Items sous domaines Maths '!H426&lt;4,'Items sous domaines Maths '!G426,0)</f>
        <v>0</v>
      </c>
      <c r="H402" s="9">
        <f>IF(AND('Items sous domaines Maths '!K406&lt;=5, 'Items sous domaines Maths '!K406&gt;0),'Items sous domaines Maths '!L406,0)</f>
        <v>0</v>
      </c>
    </row>
    <row r="403" spans="2:8" customFormat="1" ht="13.8" hidden="1" thickTop="1" x14ac:dyDescent="0.25">
      <c r="B403" s="8">
        <f>IF(AND('Items sous domaines Maths '!K427&lt;=5, 'Items sous domaines Maths '!K427&gt;0),'Items sous domaines Maths '!B427,0)</f>
        <v>0</v>
      </c>
      <c r="C403" s="8" t="b">
        <f>IF(AND('Items sous domaines Maths '!K427&lt;=5, 'Items sous domaines Maths '!K427&gt;0),'Items sous domaines Maths '!C427)</f>
        <v>0</v>
      </c>
      <c r="D403" s="8">
        <f>IF(AND('Items sous domaines Maths '!K427&lt;=5, 'Items sous domaines Maths '!K427&gt;0),'Items sous domaines Maths '!D427,0)</f>
        <v>0</v>
      </c>
      <c r="E403" s="8">
        <f>IF(AND('Items sous domaines Maths '!K427&lt;=5, 'Items sous domaines Maths '!K427&gt;0),'Items sous domaines Maths '!E427,0)</f>
        <v>0</v>
      </c>
      <c r="F403" s="9">
        <f>IF(AND('Items sous domaines Maths '!K427&lt;=5, 'Items sous domaines Maths '!K427&gt;0),'Items sous domaines Maths '!F426,0)</f>
        <v>0</v>
      </c>
      <c r="G403">
        <f>IF('Items sous domaines Maths '!H427&lt;4,'Items sous domaines Maths '!G427,0)</f>
        <v>0</v>
      </c>
      <c r="H403" s="9">
        <f>IF(AND('Items sous domaines Maths '!K407&lt;=5, 'Items sous domaines Maths '!K407&gt;0),'Items sous domaines Maths '!L407,0)</f>
        <v>0</v>
      </c>
    </row>
    <row r="404" spans="2:8" customFormat="1" ht="13.8" hidden="1" thickTop="1" x14ac:dyDescent="0.25">
      <c r="B404" s="8">
        <f>IF(AND('Items sous domaines Maths '!K428&lt;=5, 'Items sous domaines Maths '!K428&gt;0),'Items sous domaines Maths '!B428,0)</f>
        <v>0</v>
      </c>
      <c r="C404" s="8" t="b">
        <f>IF(AND('Items sous domaines Maths '!K428&lt;=5, 'Items sous domaines Maths '!K428&gt;0),'Items sous domaines Maths '!C428)</f>
        <v>0</v>
      </c>
      <c r="D404" s="8">
        <f>IF(AND('Items sous domaines Maths '!K428&lt;=5, 'Items sous domaines Maths '!K428&gt;0),'Items sous domaines Maths '!D428,0)</f>
        <v>0</v>
      </c>
      <c r="E404" s="8">
        <f>IF(AND('Items sous domaines Maths '!K428&lt;=5, 'Items sous domaines Maths '!K428&gt;0),'Items sous domaines Maths '!E428,0)</f>
        <v>0</v>
      </c>
      <c r="F404" s="9">
        <f>IF(AND('Items sous domaines Maths '!K428&lt;=5, 'Items sous domaines Maths '!K428&gt;0),'Items sous domaines Maths '!#REF!,0)</f>
        <v>0</v>
      </c>
      <c r="G404">
        <f>IF('Items sous domaines Maths '!H428&lt;4,'Items sous domaines Maths '!G428,0)</f>
        <v>0</v>
      </c>
      <c r="H404" s="9">
        <f>IF(AND('Items sous domaines Maths '!K408&lt;=5, 'Items sous domaines Maths '!K408&gt;0),'Items sous domaines Maths '!L408,0)</f>
        <v>0</v>
      </c>
    </row>
    <row r="405" spans="2:8" customFormat="1" ht="13.8" hidden="1" thickTop="1" x14ac:dyDescent="0.25">
      <c r="B405" s="8">
        <f>IF(AND('Items sous domaines Maths '!K429&lt;=5, 'Items sous domaines Maths '!K429&gt;0),'Items sous domaines Maths '!B429,0)</f>
        <v>0</v>
      </c>
      <c r="C405" s="8" t="b">
        <f>IF(AND('Items sous domaines Maths '!K429&lt;=5, 'Items sous domaines Maths '!K429&gt;0),'Items sous domaines Maths '!C429)</f>
        <v>0</v>
      </c>
      <c r="D405" s="8">
        <f>IF(AND('Items sous domaines Maths '!K429&lt;=5, 'Items sous domaines Maths '!K429&gt;0),'Items sous domaines Maths '!D429,0)</f>
        <v>0</v>
      </c>
      <c r="E405" s="8">
        <f>IF(AND('Items sous domaines Maths '!K429&lt;=5, 'Items sous domaines Maths '!K429&gt;0),'Items sous domaines Maths '!E429,0)</f>
        <v>0</v>
      </c>
      <c r="F405" s="9">
        <f>IF(AND('Items sous domaines Maths '!K429&lt;=5, 'Items sous domaines Maths '!K429&gt;0),'Items sous domaines Maths '!#REF!,0)</f>
        <v>0</v>
      </c>
      <c r="G405">
        <f>IF('Items sous domaines Maths '!H429&lt;4,'Items sous domaines Maths '!G429,0)</f>
        <v>0</v>
      </c>
      <c r="H405" s="9">
        <f>IF(AND('Items sous domaines Maths '!K409&lt;=5, 'Items sous domaines Maths '!K409&gt;0),'Items sous domaines Maths '!L409,0)</f>
        <v>0</v>
      </c>
    </row>
    <row r="406" spans="2:8" customFormat="1" ht="13.8" hidden="1" thickTop="1" x14ac:dyDescent="0.25">
      <c r="B406" s="8">
        <f>IF(AND('Items sous domaines Maths '!J430&lt;=5, 'Items sous domaines Maths '!J430&gt;0),'Items sous domaines Maths '!B430,0)</f>
        <v>0</v>
      </c>
      <c r="C406" s="8" t="b">
        <f>IF(AND('Items sous domaines Maths '!J430&lt;=5, 'Items sous domaines Maths '!J430&gt;0),'Items sous domaines Maths '!C430)</f>
        <v>0</v>
      </c>
      <c r="D406" s="8">
        <f>IF(AND('Items sous domaines Maths '!J430&lt;=5, 'Items sous domaines Maths '!J430&gt;0),'Items sous domaines Maths '!D430,0)</f>
        <v>0</v>
      </c>
      <c r="E406" s="8">
        <f>IF(AND('Items sous domaines Maths '!J430&lt;=5, 'Items sous domaines Maths '!J430&gt;0),'Items sous domaines Maths '!E430,0)</f>
        <v>0</v>
      </c>
      <c r="F406" s="9">
        <f>IF(AND('Items sous domaines Maths '!J430&lt;=5, 'Items sous domaines Maths '!J430&gt;0),'Items sous domaines Maths '!#REF!,0)</f>
        <v>0</v>
      </c>
      <c r="G406">
        <f>IF('Items sous domaines Maths '!G430&lt;4,'Items sous domaines Maths '!F430,0)</f>
        <v>0</v>
      </c>
      <c r="H406" s="9">
        <f>IF(AND('Items sous domaines Maths '!K410&lt;=5, 'Items sous domaines Maths '!K410&gt;0),'Items sous domaines Maths '!L410,0)</f>
        <v>0</v>
      </c>
    </row>
    <row r="407" spans="2:8" customFormat="1" ht="13.8" hidden="1" thickTop="1" x14ac:dyDescent="0.25">
      <c r="B407" s="8">
        <f>IF(AND('Items sous domaines Maths '!J431&lt;=5, 'Items sous domaines Maths '!J431&gt;0),'Items sous domaines Maths '!B431,0)</f>
        <v>0</v>
      </c>
      <c r="C407" s="8" t="b">
        <f>IF(AND('Items sous domaines Maths '!J431&lt;=5, 'Items sous domaines Maths '!J431&gt;0),'Items sous domaines Maths '!C431)</f>
        <v>0</v>
      </c>
      <c r="D407" s="8">
        <f>IF(AND('Items sous domaines Maths '!J431&lt;=5, 'Items sous domaines Maths '!J431&gt;0),'Items sous domaines Maths '!D431,0)</f>
        <v>0</v>
      </c>
      <c r="E407" s="8">
        <f>IF(AND('Items sous domaines Maths '!J431&lt;=5, 'Items sous domaines Maths '!J431&gt;0),'Items sous domaines Maths '!E431,0)</f>
        <v>0</v>
      </c>
      <c r="F407" s="9">
        <f>IF(AND('Items sous domaines Maths '!J431&lt;=5, 'Items sous domaines Maths '!J431&gt;0),'Items sous domaines Maths '!F427,0)</f>
        <v>0</v>
      </c>
      <c r="G407">
        <f>IF('Items sous domaines Maths '!G431&lt;4,'Items sous domaines Maths '!F431,0)</f>
        <v>0</v>
      </c>
      <c r="H407" s="9">
        <f>IF(AND('Items sous domaines Maths '!K411&lt;=5, 'Items sous domaines Maths '!K411&gt;0),'Items sous domaines Maths '!L411,0)</f>
        <v>0</v>
      </c>
    </row>
    <row r="408" spans="2:8" customFormat="1" ht="13.8" hidden="1" thickTop="1" x14ac:dyDescent="0.25">
      <c r="B408" s="8">
        <f>IF(AND('Items sous domaines Maths '!J432&lt;=5, 'Items sous domaines Maths '!J432&gt;0),'Items sous domaines Maths '!B432,0)</f>
        <v>0</v>
      </c>
      <c r="C408" s="8" t="b">
        <f>IF(AND('Items sous domaines Maths '!J432&lt;=5, 'Items sous domaines Maths '!J432&gt;0),'Items sous domaines Maths '!C432)</f>
        <v>0</v>
      </c>
      <c r="D408" s="8">
        <f>IF(AND('Items sous domaines Maths '!J432&lt;=5, 'Items sous domaines Maths '!J432&gt;0),'Items sous domaines Maths '!D432,0)</f>
        <v>0</v>
      </c>
      <c r="E408" s="8">
        <f>IF(AND('Items sous domaines Maths '!J432&lt;=5, 'Items sous domaines Maths '!J432&gt;0),'Items sous domaines Maths '!E432,0)</f>
        <v>0</v>
      </c>
      <c r="F408" s="9">
        <f>IF(AND('Items sous domaines Maths '!J432&lt;=5, 'Items sous domaines Maths '!J432&gt;0),'Items sous domaines Maths '!#REF!,0)</f>
        <v>0</v>
      </c>
      <c r="G408">
        <f>IF('Items sous domaines Maths '!G432&lt;4,'Items sous domaines Maths '!F432,0)</f>
        <v>0</v>
      </c>
      <c r="H408" s="9">
        <f>IF(AND('Items sous domaines Maths '!K412&lt;=5, 'Items sous domaines Maths '!K412&gt;0),'Items sous domaines Maths '!L412,0)</f>
        <v>0</v>
      </c>
    </row>
    <row r="409" spans="2:8" customFormat="1" ht="13.8" hidden="1" thickTop="1" x14ac:dyDescent="0.25">
      <c r="B409" s="8">
        <f>IF(AND('Items sous domaines Maths '!J433&lt;=5, 'Items sous domaines Maths '!J433&gt;0),'Items sous domaines Maths '!B433,0)</f>
        <v>0</v>
      </c>
      <c r="C409" s="8" t="b">
        <f>IF(AND('Items sous domaines Maths '!J433&lt;=5, 'Items sous domaines Maths '!J433&gt;0),'Items sous domaines Maths '!C433)</f>
        <v>0</v>
      </c>
      <c r="D409" s="8">
        <f>IF(AND('Items sous domaines Maths '!J433&lt;=5, 'Items sous domaines Maths '!J433&gt;0),'Items sous domaines Maths '!D433,0)</f>
        <v>0</v>
      </c>
      <c r="E409" s="8">
        <f>IF(AND('Items sous domaines Maths '!J433&lt;=5, 'Items sous domaines Maths '!J433&gt;0),'Items sous domaines Maths '!E433,0)</f>
        <v>0</v>
      </c>
      <c r="F409" s="9">
        <f>IF(AND('Items sous domaines Maths '!J433&lt;=5, 'Items sous domaines Maths '!J433&gt;0),'Items sous domaines Maths '!F428,0)</f>
        <v>0</v>
      </c>
      <c r="G409">
        <f>IF('Items sous domaines Maths '!G433&lt;4,'Items sous domaines Maths '!F433,0)</f>
        <v>0</v>
      </c>
      <c r="H409" s="9">
        <f>IF(AND('Items sous domaines Maths '!K413&lt;=5, 'Items sous domaines Maths '!K413&gt;0),'Items sous domaines Maths '!L413,0)</f>
        <v>0</v>
      </c>
    </row>
    <row r="410" spans="2:8" customFormat="1" ht="13.8" hidden="1" thickTop="1" x14ac:dyDescent="0.25">
      <c r="B410" s="8">
        <f>IF(AND('Items sous domaines Maths '!J434&lt;=5, 'Items sous domaines Maths '!J434&gt;0),'Items sous domaines Maths '!B434,0)</f>
        <v>0</v>
      </c>
      <c r="C410" s="8" t="b">
        <f>IF(AND('Items sous domaines Maths '!J434&lt;=5, 'Items sous domaines Maths '!J434&gt;0),'Items sous domaines Maths '!C434)</f>
        <v>0</v>
      </c>
      <c r="D410" s="8">
        <f>IF(AND('Items sous domaines Maths '!J434&lt;=5, 'Items sous domaines Maths '!J434&gt;0),'Items sous domaines Maths '!D434,0)</f>
        <v>0</v>
      </c>
      <c r="E410" s="8">
        <f>IF(AND('Items sous domaines Maths '!J434&lt;=5, 'Items sous domaines Maths '!J434&gt;0),'Items sous domaines Maths '!E434,0)</f>
        <v>0</v>
      </c>
      <c r="F410" s="9">
        <f>IF(AND('Items sous domaines Maths '!J434&lt;=5, 'Items sous domaines Maths '!J434&gt;0),'Items sous domaines Maths '!#REF!,0)</f>
        <v>0</v>
      </c>
      <c r="G410">
        <f>IF('Items sous domaines Maths '!G434&lt;4,'Items sous domaines Maths '!F434,0)</f>
        <v>0</v>
      </c>
      <c r="H410" s="9">
        <f>IF(AND('Items sous domaines Maths '!K414&lt;=5, 'Items sous domaines Maths '!K414&gt;0),'Items sous domaines Maths '!L414,0)</f>
        <v>0</v>
      </c>
    </row>
    <row r="411" spans="2:8" customFormat="1" ht="13.8" hidden="1" thickTop="1" x14ac:dyDescent="0.25">
      <c r="B411" s="8">
        <f>IF(AND('Items sous domaines Maths '!J435&lt;=5, 'Items sous domaines Maths '!J435&gt;0),'Items sous domaines Maths '!B435,0)</f>
        <v>0</v>
      </c>
      <c r="C411" s="8" t="b">
        <f>IF(AND('Items sous domaines Maths '!J435&lt;=5, 'Items sous domaines Maths '!J435&gt;0),'Items sous domaines Maths '!C435)</f>
        <v>0</v>
      </c>
      <c r="D411" s="8">
        <f>IF(AND('Items sous domaines Maths '!J435&lt;=5, 'Items sous domaines Maths '!J435&gt;0),'Items sous domaines Maths '!D435,0)</f>
        <v>0</v>
      </c>
      <c r="E411" s="8">
        <f>IF(AND('Items sous domaines Maths '!J435&lt;=5, 'Items sous domaines Maths '!J435&gt;0),'Items sous domaines Maths '!E435,0)</f>
        <v>0</v>
      </c>
      <c r="F411" s="9">
        <f>IF(AND('Items sous domaines Maths '!J435&lt;=5, 'Items sous domaines Maths '!J435&gt;0),'Items sous domaines Maths '!F429,0)</f>
        <v>0</v>
      </c>
      <c r="G411">
        <f>IF('Items sous domaines Maths '!G435&lt;4,'Items sous domaines Maths '!F435,0)</f>
        <v>0</v>
      </c>
      <c r="H411" s="9">
        <f>IF(AND('Items sous domaines Maths '!K415&lt;=5, 'Items sous domaines Maths '!K415&gt;0),'Items sous domaines Maths '!L415,0)</f>
        <v>0</v>
      </c>
    </row>
    <row r="412" spans="2:8" customFormat="1" ht="13.8" hidden="1" thickTop="1" x14ac:dyDescent="0.25">
      <c r="B412" s="8">
        <f>IF(AND('Items sous domaines Maths '!J436&lt;=5, 'Items sous domaines Maths '!J436&gt;0),'Items sous domaines Maths '!B436,0)</f>
        <v>0</v>
      </c>
      <c r="C412" s="8" t="b">
        <f>IF(AND('Items sous domaines Maths '!J436&lt;=5, 'Items sous domaines Maths '!J436&gt;0),'Items sous domaines Maths '!C436)</f>
        <v>0</v>
      </c>
      <c r="D412" s="8">
        <f>IF(AND('Items sous domaines Maths '!J436&lt;=5, 'Items sous domaines Maths '!J436&gt;0),'Items sous domaines Maths '!D436,0)</f>
        <v>0</v>
      </c>
      <c r="E412" s="8">
        <f>IF(AND('Items sous domaines Maths '!J436&lt;=5, 'Items sous domaines Maths '!J436&gt;0),'Items sous domaines Maths '!E436,0)</f>
        <v>0</v>
      </c>
      <c r="F412" s="9">
        <f>IF(AND('Items sous domaines Maths '!J436&lt;=5, 'Items sous domaines Maths '!J436&gt;0),'Items sous domaines Maths '!#REF!,0)</f>
        <v>0</v>
      </c>
      <c r="G412">
        <f>IF('Items sous domaines Maths '!G436&lt;4,'Items sous domaines Maths '!F436,0)</f>
        <v>0</v>
      </c>
      <c r="H412" s="9">
        <f>IF(AND('Items sous domaines Maths '!K416&lt;=5, 'Items sous domaines Maths '!K416&gt;0),'Items sous domaines Maths '!L416,0)</f>
        <v>0</v>
      </c>
    </row>
    <row r="413" spans="2:8" customFormat="1" ht="13.8" hidden="1" thickTop="1" x14ac:dyDescent="0.25">
      <c r="B413" s="8">
        <f>IF(AND('Items sous domaines Maths '!J437&lt;=5, 'Items sous domaines Maths '!J437&gt;0),'Items sous domaines Maths '!B437,0)</f>
        <v>0</v>
      </c>
      <c r="C413" s="8" t="b">
        <f>IF(AND('Items sous domaines Maths '!J437&lt;=5, 'Items sous domaines Maths '!J437&gt;0),'Items sous domaines Maths '!C437)</f>
        <v>0</v>
      </c>
      <c r="D413" s="8">
        <f>IF(AND('Items sous domaines Maths '!J437&lt;=5, 'Items sous domaines Maths '!J437&gt;0),'Items sous domaines Maths '!D437,0)</f>
        <v>0</v>
      </c>
      <c r="E413" s="8">
        <f>IF(AND('Items sous domaines Maths '!J437&lt;=5, 'Items sous domaines Maths '!J437&gt;0),'Items sous domaines Maths '!E437,0)</f>
        <v>0</v>
      </c>
      <c r="F413" s="9">
        <f>IF(AND('Items sous domaines Maths '!J437&lt;=5, 'Items sous domaines Maths '!J437&gt;0),'Items sous domaines Maths '!#REF!,0)</f>
        <v>0</v>
      </c>
      <c r="G413">
        <f>IF('Items sous domaines Maths '!G437&lt;4,'Items sous domaines Maths '!F437,0)</f>
        <v>0</v>
      </c>
      <c r="H413" s="9">
        <f>IF(AND('Items sous domaines Maths '!K417&lt;=5, 'Items sous domaines Maths '!K417&gt;0),'Items sous domaines Maths '!L417,0)</f>
        <v>0</v>
      </c>
    </row>
    <row r="414" spans="2:8" customFormat="1" ht="13.8" hidden="1" thickTop="1" x14ac:dyDescent="0.25">
      <c r="B414" s="8">
        <f>IF(AND('Items sous domaines Maths '!J438&lt;=5, 'Items sous domaines Maths '!J438&gt;0),'Items sous domaines Maths '!B438,0)</f>
        <v>0</v>
      </c>
      <c r="C414" s="8" t="b">
        <f>IF(AND('Items sous domaines Maths '!J438&lt;=5, 'Items sous domaines Maths '!J438&gt;0),'Items sous domaines Maths '!C438)</f>
        <v>0</v>
      </c>
      <c r="D414" s="8">
        <f>IF(AND('Items sous domaines Maths '!J438&lt;=5, 'Items sous domaines Maths '!J438&gt;0),'Items sous domaines Maths '!D438,0)</f>
        <v>0</v>
      </c>
      <c r="E414" s="8">
        <f>IF(AND('Items sous domaines Maths '!J438&lt;=5, 'Items sous domaines Maths '!J438&gt;0),'Items sous domaines Maths '!E438,0)</f>
        <v>0</v>
      </c>
      <c r="F414" s="9">
        <f>IF(AND('Items sous domaines Maths '!J438&lt;=5, 'Items sous domaines Maths '!J438&gt;0),'Items sous domaines Maths '!#REF!,0)</f>
        <v>0</v>
      </c>
      <c r="G414">
        <f>IF('Items sous domaines Maths '!G438&lt;4,'Items sous domaines Maths '!F438,0)</f>
        <v>0</v>
      </c>
      <c r="H414" s="9">
        <f>IF(AND('Items sous domaines Maths '!K418&lt;=5, 'Items sous domaines Maths '!K418&gt;0),'Items sous domaines Maths '!L418,0)</f>
        <v>0</v>
      </c>
    </row>
    <row r="415" spans="2:8" customFormat="1" ht="13.8" hidden="1" thickTop="1" x14ac:dyDescent="0.25">
      <c r="B415" s="8">
        <f>IF(AND('Items sous domaines Maths '!J439&lt;=5, 'Items sous domaines Maths '!J439&gt;0),'Items sous domaines Maths '!B439,0)</f>
        <v>0</v>
      </c>
      <c r="C415" s="8" t="b">
        <f>IF(AND('Items sous domaines Maths '!J439&lt;=5, 'Items sous domaines Maths '!J439&gt;0),'Items sous domaines Maths '!C439)</f>
        <v>0</v>
      </c>
      <c r="D415" s="8">
        <f>IF(AND('Items sous domaines Maths '!J439&lt;=5, 'Items sous domaines Maths '!J439&gt;0),'Items sous domaines Maths '!D439,0)</f>
        <v>0</v>
      </c>
      <c r="E415" s="8">
        <f>IF(AND('Items sous domaines Maths '!J439&lt;=5, 'Items sous domaines Maths '!J439&gt;0),'Items sous domaines Maths '!E439,0)</f>
        <v>0</v>
      </c>
      <c r="F415" s="9">
        <f>IF(AND('Items sous domaines Maths '!J439&lt;=5, 'Items sous domaines Maths '!J439&gt;0),'Items sous domaines Maths '!#REF!,0)</f>
        <v>0</v>
      </c>
      <c r="G415">
        <f>IF('Items sous domaines Maths '!G439&lt;4,'Items sous domaines Maths '!F439,0)</f>
        <v>0</v>
      </c>
      <c r="H415" s="9">
        <f>IF(AND('Items sous domaines Maths '!K419&lt;=5, 'Items sous domaines Maths '!K419&gt;0),'Items sous domaines Maths '!L419,0)</f>
        <v>0</v>
      </c>
    </row>
    <row r="416" spans="2:8" customFormat="1" ht="13.8" hidden="1" thickTop="1" x14ac:dyDescent="0.25">
      <c r="B416" s="8">
        <f>IF(AND('Items sous domaines Maths '!J440&lt;=5, 'Items sous domaines Maths '!J440&gt;0),'Items sous domaines Maths '!B440,0)</f>
        <v>0</v>
      </c>
      <c r="C416" s="8" t="b">
        <f>IF(AND('Items sous domaines Maths '!J440&lt;=5, 'Items sous domaines Maths '!J440&gt;0),'Items sous domaines Maths '!C440)</f>
        <v>0</v>
      </c>
      <c r="D416" s="8">
        <f>IF(AND('Items sous domaines Maths '!J440&lt;=5, 'Items sous domaines Maths '!J440&gt;0),'Items sous domaines Maths '!D440,0)</f>
        <v>0</v>
      </c>
      <c r="E416" s="8">
        <f>IF(AND('Items sous domaines Maths '!J440&lt;=5, 'Items sous domaines Maths '!J440&gt;0),'Items sous domaines Maths '!E440,0)</f>
        <v>0</v>
      </c>
      <c r="F416" s="9">
        <f>IF(AND('Items sous domaines Maths '!J440&lt;=5, 'Items sous domaines Maths '!J440&gt;0),'Items sous domaines Maths '!#REF!,0)</f>
        <v>0</v>
      </c>
      <c r="G416">
        <f>IF('Items sous domaines Maths '!G440&lt;4,'Items sous domaines Maths '!F440,0)</f>
        <v>0</v>
      </c>
      <c r="H416" s="9">
        <f>IF(AND('Items sous domaines Maths '!K420&lt;=5, 'Items sous domaines Maths '!K420&gt;0),'Items sous domaines Maths '!L420,0)</f>
        <v>0</v>
      </c>
    </row>
    <row r="417" spans="2:8" customFormat="1" ht="13.8" hidden="1" thickTop="1" x14ac:dyDescent="0.25">
      <c r="B417" s="8">
        <f>IF(AND('Items sous domaines Maths '!J441&lt;=5, 'Items sous domaines Maths '!J441&gt;0),'Items sous domaines Maths '!B441,0)</f>
        <v>0</v>
      </c>
      <c r="C417" s="8" t="b">
        <f>IF(AND('Items sous domaines Maths '!J441&lt;=5, 'Items sous domaines Maths '!J441&gt;0),'Items sous domaines Maths '!C441)</f>
        <v>0</v>
      </c>
      <c r="D417" s="8">
        <f>IF(AND('Items sous domaines Maths '!J441&lt;=5, 'Items sous domaines Maths '!J441&gt;0),'Items sous domaines Maths '!D441,0)</f>
        <v>0</v>
      </c>
      <c r="E417" s="8">
        <f>IF(AND('Items sous domaines Maths '!J441&lt;=5, 'Items sous domaines Maths '!J441&gt;0),'Items sous domaines Maths '!E441,0)</f>
        <v>0</v>
      </c>
      <c r="F417" s="9">
        <f>IF(AND('Items sous domaines Maths '!J441&lt;=5, 'Items sous domaines Maths '!J441&gt;0),'Items sous domaines Maths '!#REF!,0)</f>
        <v>0</v>
      </c>
      <c r="G417">
        <f>IF('Items sous domaines Maths '!G441&lt;4,'Items sous domaines Maths '!F441,0)</f>
        <v>0</v>
      </c>
      <c r="H417" s="9">
        <f>IF(AND('Items sous domaines Maths '!K421&lt;=5, 'Items sous domaines Maths '!K421&gt;0),'Items sous domaines Maths '!L421,0)</f>
        <v>0</v>
      </c>
    </row>
    <row r="418" spans="2:8" customFormat="1" ht="13.8" hidden="1" thickTop="1" x14ac:dyDescent="0.25">
      <c r="B418" s="8">
        <f>IF(AND('Items sous domaines Maths '!J442&lt;=5, 'Items sous domaines Maths '!J442&gt;0),'Items sous domaines Maths '!B442,0)</f>
        <v>0</v>
      </c>
      <c r="C418" s="8" t="b">
        <f>IF(AND('Items sous domaines Maths '!J442&lt;=5, 'Items sous domaines Maths '!J442&gt;0),'Items sous domaines Maths '!C442)</f>
        <v>0</v>
      </c>
      <c r="D418" s="8">
        <f>IF(AND('Items sous domaines Maths '!J442&lt;=5, 'Items sous domaines Maths '!J442&gt;0),'Items sous domaines Maths '!D442,0)</f>
        <v>0</v>
      </c>
      <c r="E418" s="8">
        <f>IF(AND('Items sous domaines Maths '!J442&lt;=5, 'Items sous domaines Maths '!J442&gt;0),'Items sous domaines Maths '!E442,0)</f>
        <v>0</v>
      </c>
      <c r="F418" s="9">
        <f>IF(AND('Items sous domaines Maths '!J442&lt;=5, 'Items sous domaines Maths '!J442&gt;0),'Items sous domaines Maths '!#REF!,0)</f>
        <v>0</v>
      </c>
      <c r="G418">
        <f>IF('Items sous domaines Maths '!G442&lt;4,'Items sous domaines Maths '!F442,0)</f>
        <v>0</v>
      </c>
      <c r="H418" s="9">
        <f>IF(AND('Items sous domaines Maths '!K422&lt;=5, 'Items sous domaines Maths '!K422&gt;0),'Items sous domaines Maths '!L422,0)</f>
        <v>0</v>
      </c>
    </row>
    <row r="419" spans="2:8" customFormat="1" ht="13.8" hidden="1" thickTop="1" x14ac:dyDescent="0.25">
      <c r="B419" s="8">
        <f>IF(AND('Items sous domaines Maths '!J443&lt;=5, 'Items sous domaines Maths '!J443&gt;0),'Items sous domaines Maths '!B443,0)</f>
        <v>0</v>
      </c>
      <c r="C419" s="8" t="b">
        <f>IF(AND('Items sous domaines Maths '!J443&lt;=5, 'Items sous domaines Maths '!J443&gt;0),'Items sous domaines Maths '!C443)</f>
        <v>0</v>
      </c>
      <c r="D419" s="8">
        <f>IF(AND('Items sous domaines Maths '!J443&lt;=5, 'Items sous domaines Maths '!J443&gt;0),'Items sous domaines Maths '!D443,0)</f>
        <v>0</v>
      </c>
      <c r="E419" s="8">
        <f>IF(AND('Items sous domaines Maths '!J443&lt;=5, 'Items sous domaines Maths '!J443&gt;0),'Items sous domaines Maths '!E443,0)</f>
        <v>0</v>
      </c>
      <c r="F419" s="9">
        <f>IF(AND('Items sous domaines Maths '!J443&lt;=5, 'Items sous domaines Maths '!J443&gt;0),'Items sous domaines Maths '!#REF!,0)</f>
        <v>0</v>
      </c>
      <c r="G419">
        <f>IF('Items sous domaines Maths '!G443&lt;4,'Items sous domaines Maths '!F443,0)</f>
        <v>0</v>
      </c>
      <c r="H419" s="9">
        <f>IF(AND('Items sous domaines Maths '!K423&lt;=5, 'Items sous domaines Maths '!K423&gt;0),'Items sous domaines Maths '!L423,0)</f>
        <v>0</v>
      </c>
    </row>
    <row r="420" spans="2:8" customFormat="1" ht="13.8" hidden="1" thickTop="1" x14ac:dyDescent="0.25">
      <c r="B420" s="8">
        <f>IF(AND('Items sous domaines Maths '!J444&lt;=5, 'Items sous domaines Maths '!J444&gt;0),'Items sous domaines Maths '!B444,0)</f>
        <v>0</v>
      </c>
      <c r="C420" s="8" t="b">
        <f>IF(AND('Items sous domaines Maths '!J444&lt;=5, 'Items sous domaines Maths '!J444&gt;0),'Items sous domaines Maths '!C444)</f>
        <v>0</v>
      </c>
      <c r="D420" s="8">
        <f>IF(AND('Items sous domaines Maths '!J444&lt;=5, 'Items sous domaines Maths '!J444&gt;0),'Items sous domaines Maths '!D444,0)</f>
        <v>0</v>
      </c>
      <c r="E420" s="8">
        <f>IF(AND('Items sous domaines Maths '!J444&lt;=5, 'Items sous domaines Maths '!J444&gt;0),'Items sous domaines Maths '!E444,0)</f>
        <v>0</v>
      </c>
      <c r="F420" s="9">
        <f>IF(AND('Items sous domaines Maths '!J444&lt;=5, 'Items sous domaines Maths '!J444&gt;0),'Items sous domaines Maths '!#REF!,0)</f>
        <v>0</v>
      </c>
      <c r="G420">
        <f>IF('Items sous domaines Maths '!G444&lt;4,'Items sous domaines Maths '!F444,0)</f>
        <v>0</v>
      </c>
      <c r="H420" s="9">
        <f>IF(AND('Items sous domaines Maths '!K424&lt;=5, 'Items sous domaines Maths '!K424&gt;0),'Items sous domaines Maths '!L424,0)</f>
        <v>0</v>
      </c>
    </row>
    <row r="421" spans="2:8" customFormat="1" ht="13.8" hidden="1" thickTop="1" x14ac:dyDescent="0.25">
      <c r="B421" s="8">
        <f>IF(AND('Items sous domaines Maths '!J445&lt;=5, 'Items sous domaines Maths '!J445&gt;0),'Items sous domaines Maths '!B445,0)</f>
        <v>0</v>
      </c>
      <c r="C421" s="8" t="b">
        <f>IF(AND('Items sous domaines Maths '!J445&lt;=5, 'Items sous domaines Maths '!J445&gt;0),'Items sous domaines Maths '!C445)</f>
        <v>0</v>
      </c>
      <c r="D421" s="8">
        <f>IF(AND('Items sous domaines Maths '!J445&lt;=5, 'Items sous domaines Maths '!J445&gt;0),'Items sous domaines Maths '!D445,0)</f>
        <v>0</v>
      </c>
      <c r="E421" s="8">
        <f>IF(AND('Items sous domaines Maths '!J445&lt;=5, 'Items sous domaines Maths '!J445&gt;0),'Items sous domaines Maths '!E445,0)</f>
        <v>0</v>
      </c>
      <c r="F421" s="9">
        <f>IF(AND('Items sous domaines Maths '!J445&lt;=5, 'Items sous domaines Maths '!J445&gt;0),'Items sous domaines Maths '!#REF!,0)</f>
        <v>0</v>
      </c>
      <c r="G421">
        <f>IF('Items sous domaines Maths '!G445&lt;4,'Items sous domaines Maths '!F445,0)</f>
        <v>0</v>
      </c>
      <c r="H421" s="9">
        <f>IF(AND('Items sous domaines Maths '!K425&lt;=5, 'Items sous domaines Maths '!K425&gt;0),'Items sous domaines Maths '!L425,0)</f>
        <v>0</v>
      </c>
    </row>
    <row r="422" spans="2:8" customFormat="1" ht="13.8" hidden="1" thickTop="1" x14ac:dyDescent="0.25">
      <c r="B422" s="8">
        <f>IF(AND('Items sous domaines Maths '!J446&lt;=5, 'Items sous domaines Maths '!J446&gt;0),'Items sous domaines Maths '!B446,0)</f>
        <v>0</v>
      </c>
      <c r="C422" s="8" t="b">
        <f>IF(AND('Items sous domaines Maths '!J446&lt;=5, 'Items sous domaines Maths '!J446&gt;0),'Items sous domaines Maths '!C446)</f>
        <v>0</v>
      </c>
      <c r="D422" s="8">
        <f>IF(AND('Items sous domaines Maths '!J446&lt;=5, 'Items sous domaines Maths '!J446&gt;0),'Items sous domaines Maths '!D446,0)</f>
        <v>0</v>
      </c>
      <c r="E422" s="8">
        <f>IF(AND('Items sous domaines Maths '!J446&lt;=5, 'Items sous domaines Maths '!J446&gt;0),'Items sous domaines Maths '!E446,0)</f>
        <v>0</v>
      </c>
      <c r="F422" s="9">
        <f>IF(AND('Items sous domaines Maths '!J446&lt;=5, 'Items sous domaines Maths '!J446&gt;0),'Items sous domaines Maths '!#REF!,0)</f>
        <v>0</v>
      </c>
      <c r="G422">
        <f>IF('Items sous domaines Maths '!G446&lt;4,'Items sous domaines Maths '!F446,0)</f>
        <v>0</v>
      </c>
      <c r="H422" s="9">
        <f>IF(AND('Items sous domaines Maths '!K426&lt;=5, 'Items sous domaines Maths '!K426&gt;0),'Items sous domaines Maths '!L426,0)</f>
        <v>0</v>
      </c>
    </row>
    <row r="423" spans="2:8" customFormat="1" ht="13.8" hidden="1" thickTop="1" x14ac:dyDescent="0.25">
      <c r="B423" s="8">
        <f>IF(AND('Items sous domaines Maths '!J447&lt;=5, 'Items sous domaines Maths '!J447&gt;0),'Items sous domaines Maths '!B447,0)</f>
        <v>0</v>
      </c>
      <c r="C423" s="8" t="b">
        <f>IF(AND('Items sous domaines Maths '!J447&lt;=5, 'Items sous domaines Maths '!J447&gt;0),'Items sous domaines Maths '!C447)</f>
        <v>0</v>
      </c>
      <c r="D423" s="8">
        <f>IF(AND('Items sous domaines Maths '!J447&lt;=5, 'Items sous domaines Maths '!J447&gt;0),'Items sous domaines Maths '!D447,0)</f>
        <v>0</v>
      </c>
      <c r="E423" s="8">
        <f>IF(AND('Items sous domaines Maths '!J447&lt;=5, 'Items sous domaines Maths '!J447&gt;0),'Items sous domaines Maths '!E447,0)</f>
        <v>0</v>
      </c>
      <c r="F423" s="9">
        <f>IF(AND('Items sous domaines Maths '!J447&lt;=5, 'Items sous domaines Maths '!J447&gt;0),'Items sous domaines Maths '!#REF!,0)</f>
        <v>0</v>
      </c>
      <c r="G423">
        <f>IF('Items sous domaines Maths '!G447&lt;4,'Items sous domaines Maths '!F447,0)</f>
        <v>0</v>
      </c>
      <c r="H423" s="9">
        <f>IF(AND('Items sous domaines Maths '!K427&lt;=5, 'Items sous domaines Maths '!K427&gt;0),'Items sous domaines Maths '!L427,0)</f>
        <v>0</v>
      </c>
    </row>
    <row r="424" spans="2:8" customFormat="1" ht="13.8" hidden="1" thickTop="1" x14ac:dyDescent="0.25">
      <c r="B424" s="8">
        <f>IF(AND('Items sous domaines Maths '!J448&lt;=5, 'Items sous domaines Maths '!J448&gt;0),'Items sous domaines Maths '!B448,0)</f>
        <v>0</v>
      </c>
      <c r="C424" s="8" t="b">
        <f>IF(AND('Items sous domaines Maths '!J448&lt;=5, 'Items sous domaines Maths '!J448&gt;0),'Items sous domaines Maths '!C448)</f>
        <v>0</v>
      </c>
      <c r="D424" s="8">
        <f>IF(AND('Items sous domaines Maths '!J448&lt;=5, 'Items sous domaines Maths '!J448&gt;0),'Items sous domaines Maths '!D448,0)</f>
        <v>0</v>
      </c>
      <c r="E424" s="8">
        <f>IF(AND('Items sous domaines Maths '!J448&lt;=5, 'Items sous domaines Maths '!J448&gt;0),'Items sous domaines Maths '!E448,0)</f>
        <v>0</v>
      </c>
      <c r="F424" s="9">
        <f>IF(AND('Items sous domaines Maths '!J448&lt;=5, 'Items sous domaines Maths '!J448&gt;0),'Items sous domaines Maths '!#REF!,0)</f>
        <v>0</v>
      </c>
      <c r="G424">
        <f>IF('Items sous domaines Maths '!G448&lt;4,'Items sous domaines Maths '!F448,0)</f>
        <v>0</v>
      </c>
      <c r="H424" s="9">
        <f>IF(AND('Items sous domaines Maths '!K428&lt;=5, 'Items sous domaines Maths '!K428&gt;0),'Items sous domaines Maths '!L428,0)</f>
        <v>0</v>
      </c>
    </row>
    <row r="425" spans="2:8" customFormat="1" ht="13.8" hidden="1" thickTop="1" x14ac:dyDescent="0.25">
      <c r="B425" s="8">
        <f>IF(AND('Items sous domaines Maths '!J449&lt;=5, 'Items sous domaines Maths '!J449&gt;0),'Items sous domaines Maths '!B449,0)</f>
        <v>0</v>
      </c>
      <c r="C425" s="8" t="b">
        <f>IF(AND('Items sous domaines Maths '!J449&lt;=5, 'Items sous domaines Maths '!J449&gt;0),'Items sous domaines Maths '!C449)</f>
        <v>0</v>
      </c>
      <c r="D425" s="8">
        <f>IF(AND('Items sous domaines Maths '!J449&lt;=5, 'Items sous domaines Maths '!J449&gt;0),'Items sous domaines Maths '!D449,0)</f>
        <v>0</v>
      </c>
      <c r="E425" s="8">
        <f>IF(AND('Items sous domaines Maths '!J449&lt;=5, 'Items sous domaines Maths '!J449&gt;0),'Items sous domaines Maths '!E449,0)</f>
        <v>0</v>
      </c>
      <c r="F425" s="9">
        <f>IF(AND('Items sous domaines Maths '!J449&lt;=5, 'Items sous domaines Maths '!J449&gt;0),'Items sous domaines Maths '!#REF!,0)</f>
        <v>0</v>
      </c>
      <c r="G425">
        <f>IF('Items sous domaines Maths '!G449&lt;4,'Items sous domaines Maths '!F449,0)</f>
        <v>0</v>
      </c>
      <c r="H425" s="9">
        <f>IF(AND('Items sous domaines Maths '!K429&lt;=5, 'Items sous domaines Maths '!K429&gt;0),'Items sous domaines Maths '!L429,0)</f>
        <v>0</v>
      </c>
    </row>
    <row r="426" spans="2:8" customFormat="1" ht="13.8" hidden="1" thickTop="1" x14ac:dyDescent="0.25">
      <c r="B426" s="8">
        <f>IF(AND('Items sous domaines Maths '!J450&lt;=5, 'Items sous domaines Maths '!J450&gt;0),'Items sous domaines Maths '!B450,0)</f>
        <v>0</v>
      </c>
      <c r="C426" s="8" t="b">
        <f>IF(AND('Items sous domaines Maths '!J450&lt;=5, 'Items sous domaines Maths '!J450&gt;0),'Items sous domaines Maths '!C450)</f>
        <v>0</v>
      </c>
      <c r="D426" s="8">
        <f>IF(AND('Items sous domaines Maths '!J450&lt;=5, 'Items sous domaines Maths '!J450&gt;0),'Items sous domaines Maths '!D450,0)</f>
        <v>0</v>
      </c>
      <c r="E426" s="8">
        <f>IF(AND('Items sous domaines Maths '!J450&lt;=5, 'Items sous domaines Maths '!J450&gt;0),'Items sous domaines Maths '!E450,0)</f>
        <v>0</v>
      </c>
      <c r="F426" s="9">
        <f>IF(AND('Items sous domaines Maths '!J450&lt;=5, 'Items sous domaines Maths '!J450&gt;0),'Items sous domaines Maths '!#REF!,0)</f>
        <v>0</v>
      </c>
      <c r="G426">
        <f>IF('Items sous domaines Maths '!G450&lt;4,'Items sous domaines Maths '!F450,0)</f>
        <v>0</v>
      </c>
      <c r="H426" s="9">
        <f>IF(AND('Items sous domaines Maths '!K430&lt;=5, 'Items sous domaines Maths '!K430&gt;0),'Items sous domaines Maths '!L430,0)</f>
        <v>0</v>
      </c>
    </row>
    <row r="427" spans="2:8" customFormat="1" ht="13.8" hidden="1" thickTop="1" x14ac:dyDescent="0.25">
      <c r="B427" s="8">
        <f>IF(AND('Items sous domaines Maths '!J451&lt;=5, 'Items sous domaines Maths '!J451&gt;0),'Items sous domaines Maths '!B451,0)</f>
        <v>0</v>
      </c>
      <c r="C427" s="8" t="b">
        <f>IF(AND('Items sous domaines Maths '!J451&lt;=5, 'Items sous domaines Maths '!J451&gt;0),'Items sous domaines Maths '!C451)</f>
        <v>0</v>
      </c>
      <c r="D427" s="8">
        <f>IF(AND('Items sous domaines Maths '!J451&lt;=5, 'Items sous domaines Maths '!J451&gt;0),'Items sous domaines Maths '!D451,0)</f>
        <v>0</v>
      </c>
      <c r="E427" s="8">
        <f>IF(AND('Items sous domaines Maths '!J451&lt;=5, 'Items sous domaines Maths '!J451&gt;0),'Items sous domaines Maths '!E451,0)</f>
        <v>0</v>
      </c>
      <c r="F427" s="9">
        <f>IF(AND('Items sous domaines Maths '!J451&lt;=5, 'Items sous domaines Maths '!J451&gt;0),'Items sous domaines Maths '!#REF!,0)</f>
        <v>0</v>
      </c>
      <c r="G427">
        <f>IF('Items sous domaines Maths '!G451&lt;4,'Items sous domaines Maths '!F451,0)</f>
        <v>0</v>
      </c>
      <c r="H427" s="9">
        <f>IF(AND('Items sous domaines Maths '!K431&lt;=5, 'Items sous domaines Maths '!K431&gt;0),'Items sous domaines Maths '!L431,0)</f>
        <v>0</v>
      </c>
    </row>
    <row r="428" spans="2:8" customFormat="1" ht="13.8" hidden="1" thickTop="1" x14ac:dyDescent="0.25">
      <c r="B428" s="8">
        <f>IF(AND('Items sous domaines Maths '!K452&lt;=5, 'Items sous domaines Maths '!K452&gt;0),'Items sous domaines Maths '!B452,0)</f>
        <v>0</v>
      </c>
      <c r="C428" s="8" t="b">
        <f>IF(AND('Items sous domaines Maths '!K452&lt;=5, 'Items sous domaines Maths '!K452&gt;0),'Items sous domaines Maths '!C452)</f>
        <v>0</v>
      </c>
      <c r="D428" s="8">
        <f>IF(AND('Items sous domaines Maths '!K452&lt;=5, 'Items sous domaines Maths '!K452&gt;0),'Items sous domaines Maths '!D452,0)</f>
        <v>0</v>
      </c>
      <c r="E428" s="8">
        <f>IF(AND('Items sous domaines Maths '!K452&lt;=5, 'Items sous domaines Maths '!K452&gt;0),'Items sous domaines Maths '!E452,0)</f>
        <v>0</v>
      </c>
      <c r="F428" s="9">
        <f>IF(AND('Items sous domaines Maths '!K452&lt;=5, 'Items sous domaines Maths '!K452&gt;0),'Items sous domaines Maths '!#REF!,0)</f>
        <v>0</v>
      </c>
      <c r="G428">
        <f>IF('Items sous domaines Maths '!H452&lt;4,'Items sous domaines Maths '!G452,0)</f>
        <v>0</v>
      </c>
      <c r="H428" s="9">
        <f>IF(AND('Items sous domaines Maths '!K432&lt;=5, 'Items sous domaines Maths '!K432&gt;0),'Items sous domaines Maths '!L432,0)</f>
        <v>0</v>
      </c>
    </row>
    <row r="429" spans="2:8" customFormat="1" ht="13.8" hidden="1" thickTop="1" x14ac:dyDescent="0.25">
      <c r="B429" s="8">
        <f>IF(AND('Items sous domaines Maths '!K453&lt;=5, 'Items sous domaines Maths '!K453&gt;0),'Items sous domaines Maths '!B453,0)</f>
        <v>0</v>
      </c>
      <c r="C429" s="8" t="b">
        <f>IF(AND('Items sous domaines Maths '!K453&lt;=5, 'Items sous domaines Maths '!K453&gt;0),'Items sous domaines Maths '!C453)</f>
        <v>0</v>
      </c>
      <c r="D429" s="8">
        <f>IF(AND('Items sous domaines Maths '!K453&lt;=5, 'Items sous domaines Maths '!K453&gt;0),'Items sous domaines Maths '!D453,0)</f>
        <v>0</v>
      </c>
      <c r="E429" s="8">
        <f>IF(AND('Items sous domaines Maths '!K453&lt;=5, 'Items sous domaines Maths '!K453&gt;0),'Items sous domaines Maths '!E453,0)</f>
        <v>0</v>
      </c>
      <c r="F429" s="9">
        <f>IF(AND('Items sous domaines Maths '!K453&lt;=5, 'Items sous domaines Maths '!K453&gt;0),'Items sous domaines Maths '!#REF!,0)</f>
        <v>0</v>
      </c>
      <c r="G429">
        <f>IF('Items sous domaines Maths '!H453&lt;4,'Items sous domaines Maths '!G453,0)</f>
        <v>0</v>
      </c>
      <c r="H429" s="9">
        <f>IF(AND('Items sous domaines Maths '!K433&lt;=5, 'Items sous domaines Maths '!K433&gt;0),'Items sous domaines Maths '!L433,0)</f>
        <v>0</v>
      </c>
    </row>
    <row r="430" spans="2:8" customFormat="1" ht="13.8" hidden="1" thickTop="1" x14ac:dyDescent="0.25">
      <c r="B430" s="8">
        <f>IF(AND('Items sous domaines Maths '!K454&lt;=5, 'Items sous domaines Maths '!K454&gt;0),'Items sous domaines Maths '!B454,0)</f>
        <v>0</v>
      </c>
      <c r="C430" s="8" t="b">
        <f>IF(AND('Items sous domaines Maths '!K454&lt;=5, 'Items sous domaines Maths '!K454&gt;0),'Items sous domaines Maths '!C454)</f>
        <v>0</v>
      </c>
      <c r="D430" s="8">
        <f>IF(AND('Items sous domaines Maths '!K454&lt;=5, 'Items sous domaines Maths '!K454&gt;0),'Items sous domaines Maths '!D454,0)</f>
        <v>0</v>
      </c>
      <c r="E430" s="8">
        <f>IF(AND('Items sous domaines Maths '!K454&lt;=5, 'Items sous domaines Maths '!K454&gt;0),'Items sous domaines Maths '!E454,0)</f>
        <v>0</v>
      </c>
      <c r="F430" s="9">
        <f>IF(AND('Items sous domaines Maths '!K454&lt;=5, 'Items sous domaines Maths '!K454&gt;0),'Items sous domaines Maths '!#REF!,0)</f>
        <v>0</v>
      </c>
      <c r="G430">
        <f>IF('Items sous domaines Maths '!H454&lt;4,'Items sous domaines Maths '!G454,0)</f>
        <v>0</v>
      </c>
      <c r="H430" s="9">
        <f>IF(AND('Items sous domaines Maths '!K434&lt;=5, 'Items sous domaines Maths '!K434&gt;0),'Items sous domaines Maths '!L434,0)</f>
        <v>0</v>
      </c>
    </row>
    <row r="431" spans="2:8" customFormat="1" ht="13.8" hidden="1" thickTop="1" x14ac:dyDescent="0.25">
      <c r="B431" s="8">
        <f>IF(AND('Items sous domaines Maths '!K455&lt;=5, 'Items sous domaines Maths '!K455&gt;0),'Items sous domaines Maths '!B455,0)</f>
        <v>0</v>
      </c>
      <c r="C431" s="8" t="b">
        <f>IF(AND('Items sous domaines Maths '!K455&lt;=5, 'Items sous domaines Maths '!K455&gt;0),'Items sous domaines Maths '!C455)</f>
        <v>0</v>
      </c>
      <c r="D431" s="8">
        <f>IF(AND('Items sous domaines Maths '!K455&lt;=5, 'Items sous domaines Maths '!K455&gt;0),'Items sous domaines Maths '!D455,0)</f>
        <v>0</v>
      </c>
      <c r="E431" s="8">
        <f>IF(AND('Items sous domaines Maths '!K455&lt;=5, 'Items sous domaines Maths '!K455&gt;0),'Items sous domaines Maths '!E455,0)</f>
        <v>0</v>
      </c>
      <c r="F431" s="9">
        <f>IF(AND('Items sous domaines Maths '!K455&lt;=5, 'Items sous domaines Maths '!K455&gt;0),'Items sous domaines Maths '!#REF!,0)</f>
        <v>0</v>
      </c>
      <c r="G431">
        <f>IF('Items sous domaines Maths '!H455&lt;4,'Items sous domaines Maths '!G455,0)</f>
        <v>0</v>
      </c>
      <c r="H431" s="9">
        <f>IF(AND('Items sous domaines Maths '!K435&lt;=5, 'Items sous domaines Maths '!K435&gt;0),'Items sous domaines Maths '!L435,0)</f>
        <v>0</v>
      </c>
    </row>
    <row r="432" spans="2:8" customFormat="1" ht="13.8" hidden="1" thickTop="1" x14ac:dyDescent="0.25">
      <c r="B432" s="8">
        <f>IF(AND('Items sous domaines Maths '!K456&lt;=5, 'Items sous domaines Maths '!K456&gt;0),'Items sous domaines Maths '!B456,0)</f>
        <v>0</v>
      </c>
      <c r="C432" s="8" t="b">
        <f>IF(AND('Items sous domaines Maths '!K456&lt;=5, 'Items sous domaines Maths '!K456&gt;0),'Items sous domaines Maths '!C456)</f>
        <v>0</v>
      </c>
      <c r="D432" s="8">
        <f>IF(AND('Items sous domaines Maths '!K456&lt;=5, 'Items sous domaines Maths '!K456&gt;0),'Items sous domaines Maths '!D456,0)</f>
        <v>0</v>
      </c>
      <c r="E432" s="8">
        <f>IF(AND('Items sous domaines Maths '!K456&lt;=5, 'Items sous domaines Maths '!K456&gt;0),'Items sous domaines Maths '!E456,0)</f>
        <v>0</v>
      </c>
      <c r="F432" s="9">
        <f>IF(AND('Items sous domaines Maths '!K456&lt;=5, 'Items sous domaines Maths '!K456&gt;0),'Items sous domaines Maths '!#REF!,0)</f>
        <v>0</v>
      </c>
      <c r="G432">
        <f>IF('Items sous domaines Maths '!H456&lt;4,'Items sous domaines Maths '!G456,0)</f>
        <v>0</v>
      </c>
      <c r="H432" s="9">
        <f>IF(AND('Items sous domaines Maths '!K436&lt;=5, 'Items sous domaines Maths '!K436&gt;0),'Items sous domaines Maths '!L436,0)</f>
        <v>0</v>
      </c>
    </row>
    <row r="433" spans="2:8" customFormat="1" ht="13.8" hidden="1" thickTop="1" x14ac:dyDescent="0.25">
      <c r="B433" s="8">
        <f>IF(AND('Items sous domaines Maths '!K457&lt;=5, 'Items sous domaines Maths '!K457&gt;0),'Items sous domaines Maths '!B457,0)</f>
        <v>0</v>
      </c>
      <c r="C433" s="8" t="b">
        <f>IF(AND('Items sous domaines Maths '!K457&lt;=5, 'Items sous domaines Maths '!K457&gt;0),'Items sous domaines Maths '!C457)</f>
        <v>0</v>
      </c>
      <c r="D433" s="8">
        <f>IF(AND('Items sous domaines Maths '!K457&lt;=5, 'Items sous domaines Maths '!K457&gt;0),'Items sous domaines Maths '!D457,0)</f>
        <v>0</v>
      </c>
      <c r="E433" s="8">
        <f>IF(AND('Items sous domaines Maths '!K457&lt;=5, 'Items sous domaines Maths '!K457&gt;0),'Items sous domaines Maths '!E457,0)</f>
        <v>0</v>
      </c>
      <c r="F433" s="9">
        <f>IF(AND('Items sous domaines Maths '!K457&lt;=5, 'Items sous domaines Maths '!K457&gt;0),'Items sous domaines Maths '!#REF!,0)</f>
        <v>0</v>
      </c>
      <c r="G433">
        <f>IF('Items sous domaines Maths '!H457&lt;4,'Items sous domaines Maths '!G457,0)</f>
        <v>0</v>
      </c>
      <c r="H433" s="9">
        <f>IF(AND('Items sous domaines Maths '!K437&lt;=5, 'Items sous domaines Maths '!K437&gt;0),'Items sous domaines Maths '!L437,0)</f>
        <v>0</v>
      </c>
    </row>
    <row r="434" spans="2:8" customFormat="1" ht="13.8" hidden="1" thickTop="1" x14ac:dyDescent="0.25">
      <c r="B434" s="8">
        <f>IF(AND('Items sous domaines Maths '!K458&lt;=5, 'Items sous domaines Maths '!K458&gt;0),'Items sous domaines Maths '!B458,0)</f>
        <v>0</v>
      </c>
      <c r="C434" s="8" t="b">
        <f>IF(AND('Items sous domaines Maths '!K458&lt;=5, 'Items sous domaines Maths '!K458&gt;0),'Items sous domaines Maths '!C458)</f>
        <v>0</v>
      </c>
      <c r="D434" s="8">
        <f>IF(AND('Items sous domaines Maths '!K458&lt;=5, 'Items sous domaines Maths '!K458&gt;0),'Items sous domaines Maths '!D458,0)</f>
        <v>0</v>
      </c>
      <c r="E434" s="8">
        <f>IF(AND('Items sous domaines Maths '!K458&lt;=5, 'Items sous domaines Maths '!K458&gt;0),'Items sous domaines Maths '!E458,0)</f>
        <v>0</v>
      </c>
      <c r="F434" s="9">
        <f>IF(AND('Items sous domaines Maths '!K458&lt;=5, 'Items sous domaines Maths '!K458&gt;0),'Items sous domaines Maths '!F452,0)</f>
        <v>0</v>
      </c>
      <c r="G434">
        <f>IF('Items sous domaines Maths '!H458&lt;4,'Items sous domaines Maths '!G458,0)</f>
        <v>0</v>
      </c>
      <c r="H434" s="9">
        <f>IF(AND('Items sous domaines Maths '!K438&lt;=5, 'Items sous domaines Maths '!K438&gt;0),'Items sous domaines Maths '!L438,0)</f>
        <v>0</v>
      </c>
    </row>
    <row r="435" spans="2:8" customFormat="1" ht="13.8" hidden="1" thickTop="1" x14ac:dyDescent="0.25">
      <c r="B435" s="8">
        <f>IF(AND('Items sous domaines Maths '!K459&lt;=5, 'Items sous domaines Maths '!K459&gt;0),'Items sous domaines Maths '!B459,0)</f>
        <v>0</v>
      </c>
      <c r="C435" s="8" t="b">
        <f>IF(AND('Items sous domaines Maths '!K459&lt;=5, 'Items sous domaines Maths '!K459&gt;0),'Items sous domaines Maths '!C459)</f>
        <v>0</v>
      </c>
      <c r="D435" s="8">
        <f>IF(AND('Items sous domaines Maths '!K459&lt;=5, 'Items sous domaines Maths '!K459&gt;0),'Items sous domaines Maths '!D459,0)</f>
        <v>0</v>
      </c>
      <c r="E435" s="8">
        <f>IF(AND('Items sous domaines Maths '!K459&lt;=5, 'Items sous domaines Maths '!K459&gt;0),'Items sous domaines Maths '!E459,0)</f>
        <v>0</v>
      </c>
      <c r="F435" s="9">
        <f>IF(AND('Items sous domaines Maths '!K459&lt;=5, 'Items sous domaines Maths '!K459&gt;0),'Items sous domaines Maths '!F453,0)</f>
        <v>0</v>
      </c>
      <c r="G435">
        <f>IF('Items sous domaines Maths '!H459&lt;4,'Items sous domaines Maths '!G459,0)</f>
        <v>0</v>
      </c>
      <c r="H435" s="9">
        <f>IF(AND('Items sous domaines Maths '!K439&lt;=5, 'Items sous domaines Maths '!K439&gt;0),'Items sous domaines Maths '!L439,0)</f>
        <v>0</v>
      </c>
    </row>
    <row r="436" spans="2:8" customFormat="1" ht="13.8" hidden="1" thickTop="1" x14ac:dyDescent="0.25">
      <c r="B436" s="8">
        <f>IF(AND('Items sous domaines Maths '!K460&lt;=5, 'Items sous domaines Maths '!K460&gt;0),'Items sous domaines Maths '!B460,0)</f>
        <v>0</v>
      </c>
      <c r="C436" s="8" t="b">
        <f>IF(AND('Items sous domaines Maths '!K460&lt;=5, 'Items sous domaines Maths '!K460&gt;0),'Items sous domaines Maths '!C460)</f>
        <v>0</v>
      </c>
      <c r="D436" s="8">
        <f>IF(AND('Items sous domaines Maths '!K460&lt;=5, 'Items sous domaines Maths '!K460&gt;0),'Items sous domaines Maths '!D460,0)</f>
        <v>0</v>
      </c>
      <c r="E436" s="8">
        <f>IF(AND('Items sous domaines Maths '!K460&lt;=5, 'Items sous domaines Maths '!K460&gt;0),'Items sous domaines Maths '!E460,0)</f>
        <v>0</v>
      </c>
      <c r="F436" s="9">
        <f>IF(AND('Items sous domaines Maths '!K460&lt;=5, 'Items sous domaines Maths '!K460&gt;0),'Items sous domaines Maths '!F454,0)</f>
        <v>0</v>
      </c>
      <c r="G436">
        <f>IF('Items sous domaines Maths '!H460&lt;4,'Items sous domaines Maths '!G460,0)</f>
        <v>0</v>
      </c>
      <c r="H436" s="9">
        <f>IF(AND('Items sous domaines Maths '!K440&lt;=5, 'Items sous domaines Maths '!K440&gt;0),'Items sous domaines Maths '!L440,0)</f>
        <v>0</v>
      </c>
    </row>
    <row r="437" spans="2:8" customFormat="1" ht="13.8" hidden="1" thickTop="1" x14ac:dyDescent="0.25">
      <c r="B437" s="8">
        <f>IF(AND('Items sous domaines Maths '!K461&lt;=5, 'Items sous domaines Maths '!K461&gt;0),'Items sous domaines Maths '!B461,0)</f>
        <v>0</v>
      </c>
      <c r="C437" s="8" t="b">
        <f>IF(AND('Items sous domaines Maths '!K461&lt;=5, 'Items sous domaines Maths '!K461&gt;0),'Items sous domaines Maths '!C461)</f>
        <v>0</v>
      </c>
      <c r="D437" s="8">
        <f>IF(AND('Items sous domaines Maths '!K461&lt;=5, 'Items sous domaines Maths '!K461&gt;0),'Items sous domaines Maths '!D461,0)</f>
        <v>0</v>
      </c>
      <c r="E437" s="8">
        <f>IF(AND('Items sous domaines Maths '!K461&lt;=5, 'Items sous domaines Maths '!K461&gt;0),'Items sous domaines Maths '!E461,0)</f>
        <v>0</v>
      </c>
      <c r="F437" s="9">
        <f>IF(AND('Items sous domaines Maths '!K461&lt;=5, 'Items sous domaines Maths '!K461&gt;0),'Items sous domaines Maths '!F455,0)</f>
        <v>0</v>
      </c>
      <c r="G437">
        <f>IF('Items sous domaines Maths '!H461&lt;4,'Items sous domaines Maths '!G461,0)</f>
        <v>0</v>
      </c>
      <c r="H437" s="9">
        <f>IF(AND('Items sous domaines Maths '!K441&lt;=5, 'Items sous domaines Maths '!K441&gt;0),'Items sous domaines Maths '!L441,0)</f>
        <v>0</v>
      </c>
    </row>
    <row r="438" spans="2:8" customFormat="1" ht="13.8" hidden="1" thickTop="1" x14ac:dyDescent="0.25">
      <c r="B438" s="8">
        <f>IF(AND('Items sous domaines Maths '!K462&lt;=5, 'Items sous domaines Maths '!K462&gt;0),'Items sous domaines Maths '!B462,0)</f>
        <v>0</v>
      </c>
      <c r="C438" s="8" t="b">
        <f>IF(AND('Items sous domaines Maths '!K462&lt;=5, 'Items sous domaines Maths '!K462&gt;0),'Items sous domaines Maths '!C462)</f>
        <v>0</v>
      </c>
      <c r="D438" s="8">
        <f>IF(AND('Items sous domaines Maths '!K462&lt;=5, 'Items sous domaines Maths '!K462&gt;0),'Items sous domaines Maths '!D462,0)</f>
        <v>0</v>
      </c>
      <c r="E438" s="8">
        <f>IF(AND('Items sous domaines Maths '!K462&lt;=5, 'Items sous domaines Maths '!K462&gt;0),'Items sous domaines Maths '!E462,0)</f>
        <v>0</v>
      </c>
      <c r="F438" s="9">
        <f>IF(AND('Items sous domaines Maths '!K462&lt;=5, 'Items sous domaines Maths '!K462&gt;0),'Items sous domaines Maths '!F456,0)</f>
        <v>0</v>
      </c>
      <c r="G438">
        <f>IF('Items sous domaines Maths '!H462&lt;4,'Items sous domaines Maths '!G462,0)</f>
        <v>0</v>
      </c>
      <c r="H438" s="9">
        <f>IF(AND('Items sous domaines Maths '!K442&lt;=5, 'Items sous domaines Maths '!K442&gt;0),'Items sous domaines Maths '!L442,0)</f>
        <v>0</v>
      </c>
    </row>
    <row r="439" spans="2:8" customFormat="1" ht="13.8" hidden="1" thickTop="1" x14ac:dyDescent="0.25">
      <c r="B439" s="8">
        <f>IF(AND('Items sous domaines Maths '!K463&lt;=5, 'Items sous domaines Maths '!K463&gt;0),'Items sous domaines Maths '!B463,0)</f>
        <v>0</v>
      </c>
      <c r="C439" s="8" t="b">
        <f>IF(AND('Items sous domaines Maths '!K463&lt;=5, 'Items sous domaines Maths '!K463&gt;0),'Items sous domaines Maths '!C463)</f>
        <v>0</v>
      </c>
      <c r="D439" s="8">
        <f>IF(AND('Items sous domaines Maths '!K463&lt;=5, 'Items sous domaines Maths '!K463&gt;0),'Items sous domaines Maths '!D463,0)</f>
        <v>0</v>
      </c>
      <c r="E439" s="8">
        <f>IF(AND('Items sous domaines Maths '!K463&lt;=5, 'Items sous domaines Maths '!K463&gt;0),'Items sous domaines Maths '!E463,0)</f>
        <v>0</v>
      </c>
      <c r="F439" s="9">
        <f>IF(AND('Items sous domaines Maths '!K463&lt;=5, 'Items sous domaines Maths '!K463&gt;0),'Items sous domaines Maths '!F457,0)</f>
        <v>0</v>
      </c>
      <c r="G439">
        <f>IF('Items sous domaines Maths '!H463&lt;4,'Items sous domaines Maths '!G463,0)</f>
        <v>0</v>
      </c>
      <c r="H439" s="9">
        <f>IF(AND('Items sous domaines Maths '!K443&lt;=5, 'Items sous domaines Maths '!K443&gt;0),'Items sous domaines Maths '!L443,0)</f>
        <v>0</v>
      </c>
    </row>
    <row r="440" spans="2:8" customFormat="1" ht="13.8" hidden="1" thickTop="1" x14ac:dyDescent="0.25">
      <c r="B440" s="8">
        <f>IF(AND('Items sous domaines Maths '!K464&lt;=5, 'Items sous domaines Maths '!K464&gt;0),'Items sous domaines Maths '!B464,0)</f>
        <v>0</v>
      </c>
      <c r="C440" s="8" t="b">
        <f>IF(AND('Items sous domaines Maths '!K464&lt;=5, 'Items sous domaines Maths '!K464&gt;0),'Items sous domaines Maths '!C464)</f>
        <v>0</v>
      </c>
      <c r="D440" s="8">
        <f>IF(AND('Items sous domaines Maths '!K464&lt;=5, 'Items sous domaines Maths '!K464&gt;0),'Items sous domaines Maths '!D464,0)</f>
        <v>0</v>
      </c>
      <c r="E440" s="8">
        <f>IF(AND('Items sous domaines Maths '!K464&lt;=5, 'Items sous domaines Maths '!K464&gt;0),'Items sous domaines Maths '!E464,0)</f>
        <v>0</v>
      </c>
      <c r="F440" s="9">
        <f>IF(AND('Items sous domaines Maths '!K464&lt;=5, 'Items sous domaines Maths '!K464&gt;0),'Items sous domaines Maths '!F458,0)</f>
        <v>0</v>
      </c>
      <c r="G440">
        <f>IF('Items sous domaines Maths '!H464&lt;4,'Items sous domaines Maths '!G464,0)</f>
        <v>0</v>
      </c>
      <c r="H440" s="9">
        <f>IF(AND('Items sous domaines Maths '!K444&lt;=5, 'Items sous domaines Maths '!K444&gt;0),'Items sous domaines Maths '!L444,0)</f>
        <v>0</v>
      </c>
    </row>
    <row r="441" spans="2:8" customFormat="1" ht="13.8" hidden="1" thickTop="1" x14ac:dyDescent="0.25">
      <c r="B441" s="8">
        <f>IF(AND('Items sous domaines Maths '!K465&lt;=5, 'Items sous domaines Maths '!K465&gt;0),'Items sous domaines Maths '!B465,0)</f>
        <v>0</v>
      </c>
      <c r="C441" s="8" t="b">
        <f>IF(AND('Items sous domaines Maths '!K465&lt;=5, 'Items sous domaines Maths '!K465&gt;0),'Items sous domaines Maths '!C465)</f>
        <v>0</v>
      </c>
      <c r="D441" s="8">
        <f>IF(AND('Items sous domaines Maths '!K465&lt;=5, 'Items sous domaines Maths '!K465&gt;0),'Items sous domaines Maths '!D465,0)</f>
        <v>0</v>
      </c>
      <c r="E441" s="8">
        <f>IF(AND('Items sous domaines Maths '!K465&lt;=5, 'Items sous domaines Maths '!K465&gt;0),'Items sous domaines Maths '!E465,0)</f>
        <v>0</v>
      </c>
      <c r="F441" s="9">
        <f>IF(AND('Items sous domaines Maths '!K465&lt;=5, 'Items sous domaines Maths '!K465&gt;0),'Items sous domaines Maths '!F459,0)</f>
        <v>0</v>
      </c>
      <c r="G441">
        <f>IF('Items sous domaines Maths '!H465&lt;4,'Items sous domaines Maths '!G465,0)</f>
        <v>0</v>
      </c>
      <c r="H441" s="9">
        <f>IF(AND('Items sous domaines Maths '!K445&lt;=5, 'Items sous domaines Maths '!K445&gt;0),'Items sous domaines Maths '!L445,0)</f>
        <v>0</v>
      </c>
    </row>
    <row r="442" spans="2:8" customFormat="1" ht="13.8" hidden="1" thickTop="1" x14ac:dyDescent="0.25">
      <c r="B442" s="8">
        <f>IF(AND('Items sous domaines Maths '!K466&lt;=5, 'Items sous domaines Maths '!K466&gt;0),'Items sous domaines Maths '!B466,0)</f>
        <v>0</v>
      </c>
      <c r="C442" s="8" t="b">
        <f>IF(AND('Items sous domaines Maths '!K466&lt;=5, 'Items sous domaines Maths '!K466&gt;0),'Items sous domaines Maths '!C466)</f>
        <v>0</v>
      </c>
      <c r="D442" s="8">
        <f>IF(AND('Items sous domaines Maths '!K466&lt;=5, 'Items sous domaines Maths '!K466&gt;0),'Items sous domaines Maths '!D466,0)</f>
        <v>0</v>
      </c>
      <c r="E442" s="8">
        <f>IF(AND('Items sous domaines Maths '!K466&lt;=5, 'Items sous domaines Maths '!K466&gt;0),'Items sous domaines Maths '!E466,0)</f>
        <v>0</v>
      </c>
      <c r="F442" s="9">
        <f>IF(AND('Items sous domaines Maths '!K466&lt;=5, 'Items sous domaines Maths '!K466&gt;0),'Items sous domaines Maths '!F460,0)</f>
        <v>0</v>
      </c>
      <c r="G442">
        <f>IF('Items sous domaines Maths '!H466&lt;4,'Items sous domaines Maths '!G466,0)</f>
        <v>0</v>
      </c>
      <c r="H442" s="9">
        <f>IF(AND('Items sous domaines Maths '!K446&lt;=5, 'Items sous domaines Maths '!K446&gt;0),'Items sous domaines Maths '!L446,0)</f>
        <v>0</v>
      </c>
    </row>
    <row r="443" spans="2:8" customFormat="1" ht="13.8" hidden="1" thickTop="1" x14ac:dyDescent="0.25">
      <c r="B443" s="8">
        <f>IF(AND('Items sous domaines Maths '!K467&lt;=5, 'Items sous domaines Maths '!K467&gt;0),'Items sous domaines Maths '!B467,0)</f>
        <v>0</v>
      </c>
      <c r="C443" s="8" t="b">
        <f>IF(AND('Items sous domaines Maths '!K467&lt;=5, 'Items sous domaines Maths '!K467&gt;0),'Items sous domaines Maths '!C467)</f>
        <v>0</v>
      </c>
      <c r="D443" s="8">
        <f>IF(AND('Items sous domaines Maths '!K467&lt;=5, 'Items sous domaines Maths '!K467&gt;0),'Items sous domaines Maths '!D467,0)</f>
        <v>0</v>
      </c>
      <c r="E443" s="8">
        <f>IF(AND('Items sous domaines Maths '!K467&lt;=5, 'Items sous domaines Maths '!K467&gt;0),'Items sous domaines Maths '!E467,0)</f>
        <v>0</v>
      </c>
      <c r="F443" s="9">
        <f>IF(AND('Items sous domaines Maths '!K467&lt;=5, 'Items sous domaines Maths '!K467&gt;0),'Items sous domaines Maths '!F461,0)</f>
        <v>0</v>
      </c>
      <c r="G443">
        <f>IF('Items sous domaines Maths '!H467&lt;4,'Items sous domaines Maths '!G467,0)</f>
        <v>0</v>
      </c>
      <c r="H443" s="9">
        <f>IF(AND('Items sous domaines Maths '!K447&lt;=5, 'Items sous domaines Maths '!K447&gt;0),'Items sous domaines Maths '!L447,0)</f>
        <v>0</v>
      </c>
    </row>
    <row r="444" spans="2:8" customFormat="1" ht="13.8" hidden="1" thickTop="1" x14ac:dyDescent="0.25">
      <c r="B444" s="8">
        <f>IF(AND('Items sous domaines Maths '!K468&lt;=5, 'Items sous domaines Maths '!K468&gt;0),'Items sous domaines Maths '!B468,0)</f>
        <v>0</v>
      </c>
      <c r="C444" s="8" t="b">
        <f>IF(AND('Items sous domaines Maths '!K468&lt;=5, 'Items sous domaines Maths '!K468&gt;0),'Items sous domaines Maths '!C468)</f>
        <v>0</v>
      </c>
      <c r="D444" s="8">
        <f>IF(AND('Items sous domaines Maths '!K468&lt;=5, 'Items sous domaines Maths '!K468&gt;0),'Items sous domaines Maths '!D468,0)</f>
        <v>0</v>
      </c>
      <c r="E444" s="8">
        <f>IF(AND('Items sous domaines Maths '!K468&lt;=5, 'Items sous domaines Maths '!K468&gt;0),'Items sous domaines Maths '!E468,0)</f>
        <v>0</v>
      </c>
      <c r="F444" s="9">
        <f>IF(AND('Items sous domaines Maths '!K468&lt;=5, 'Items sous domaines Maths '!K468&gt;0),'Items sous domaines Maths '!F462,0)</f>
        <v>0</v>
      </c>
      <c r="G444">
        <f>IF('Items sous domaines Maths '!H468&lt;4,'Items sous domaines Maths '!G468,0)</f>
        <v>0</v>
      </c>
      <c r="H444" s="9">
        <f>IF(AND('Items sous domaines Maths '!K448&lt;=5, 'Items sous domaines Maths '!K448&gt;0),'Items sous domaines Maths '!L448,0)</f>
        <v>0</v>
      </c>
    </row>
    <row r="445" spans="2:8" customFormat="1" ht="13.8" hidden="1" thickTop="1" x14ac:dyDescent="0.25">
      <c r="B445" s="8">
        <f>IF(AND('Items sous domaines Maths '!K469&lt;=5, 'Items sous domaines Maths '!K469&gt;0),'Items sous domaines Maths '!B469,0)</f>
        <v>0</v>
      </c>
      <c r="C445" s="8" t="b">
        <f>IF(AND('Items sous domaines Maths '!K469&lt;=5, 'Items sous domaines Maths '!K469&gt;0),'Items sous domaines Maths '!C469)</f>
        <v>0</v>
      </c>
      <c r="D445" s="8">
        <f>IF(AND('Items sous domaines Maths '!K469&lt;=5, 'Items sous domaines Maths '!K469&gt;0),'Items sous domaines Maths '!D469,0)</f>
        <v>0</v>
      </c>
      <c r="E445" s="8">
        <f>IF(AND('Items sous domaines Maths '!K469&lt;=5, 'Items sous domaines Maths '!K469&gt;0),'Items sous domaines Maths '!E469,0)</f>
        <v>0</v>
      </c>
      <c r="F445" s="9">
        <f>IF(AND('Items sous domaines Maths '!K469&lt;=5, 'Items sous domaines Maths '!K469&gt;0),'Items sous domaines Maths '!F463,0)</f>
        <v>0</v>
      </c>
      <c r="G445">
        <f>IF('Items sous domaines Maths '!H469&lt;4,'Items sous domaines Maths '!G469,0)</f>
        <v>0</v>
      </c>
      <c r="H445" s="9">
        <f>IF(AND('Items sous domaines Maths '!K449&lt;=5, 'Items sous domaines Maths '!K449&gt;0),'Items sous domaines Maths '!L449,0)</f>
        <v>0</v>
      </c>
    </row>
    <row r="446" spans="2:8" customFormat="1" ht="13.8" hidden="1" thickTop="1" x14ac:dyDescent="0.25">
      <c r="B446" s="8">
        <f>IF(AND('Items sous domaines Maths '!K470&lt;=5, 'Items sous domaines Maths '!K470&gt;0),'Items sous domaines Maths '!B470,0)</f>
        <v>0</v>
      </c>
      <c r="C446" s="8" t="b">
        <f>IF(AND('Items sous domaines Maths '!K470&lt;=5, 'Items sous domaines Maths '!K470&gt;0),'Items sous domaines Maths '!C470)</f>
        <v>0</v>
      </c>
      <c r="D446" s="8">
        <f>IF(AND('Items sous domaines Maths '!K470&lt;=5, 'Items sous domaines Maths '!K470&gt;0),'Items sous domaines Maths '!D470,0)</f>
        <v>0</v>
      </c>
      <c r="E446" s="8">
        <f>IF(AND('Items sous domaines Maths '!K470&lt;=5, 'Items sous domaines Maths '!K470&gt;0),'Items sous domaines Maths '!E470,0)</f>
        <v>0</v>
      </c>
      <c r="F446" s="9">
        <f>IF(AND('Items sous domaines Maths '!K470&lt;=5, 'Items sous domaines Maths '!K470&gt;0),'Items sous domaines Maths '!F464,0)</f>
        <v>0</v>
      </c>
      <c r="G446">
        <f>IF('Items sous domaines Maths '!H470&lt;4,'Items sous domaines Maths '!G470,0)</f>
        <v>0</v>
      </c>
      <c r="H446" s="9">
        <f>IF(AND('Items sous domaines Maths '!K450&lt;=5, 'Items sous domaines Maths '!K450&gt;0),'Items sous domaines Maths '!L450,0)</f>
        <v>0</v>
      </c>
    </row>
    <row r="447" spans="2:8" customFormat="1" ht="13.8" hidden="1" thickTop="1" x14ac:dyDescent="0.25">
      <c r="B447" s="8">
        <f>IF(AND('Items sous domaines Maths '!K471&lt;=5, 'Items sous domaines Maths '!K471&gt;0),'Items sous domaines Maths '!B471,0)</f>
        <v>0</v>
      </c>
      <c r="C447" s="8" t="b">
        <f>IF(AND('Items sous domaines Maths '!K471&lt;=5, 'Items sous domaines Maths '!K471&gt;0),'Items sous domaines Maths '!C471)</f>
        <v>0</v>
      </c>
      <c r="D447" s="8">
        <f>IF(AND('Items sous domaines Maths '!K471&lt;=5, 'Items sous domaines Maths '!K471&gt;0),'Items sous domaines Maths '!D471,0)</f>
        <v>0</v>
      </c>
      <c r="E447" s="8">
        <f>IF(AND('Items sous domaines Maths '!K471&lt;=5, 'Items sous domaines Maths '!K471&gt;0),'Items sous domaines Maths '!E471,0)</f>
        <v>0</v>
      </c>
      <c r="F447" s="9">
        <f>IF(AND('Items sous domaines Maths '!K471&lt;=5, 'Items sous domaines Maths '!K471&gt;0),'Items sous domaines Maths '!F465,0)</f>
        <v>0</v>
      </c>
      <c r="G447">
        <f>IF('Items sous domaines Maths '!H471&lt;4,'Items sous domaines Maths '!G471,0)</f>
        <v>0</v>
      </c>
      <c r="H447" s="9">
        <f>IF(AND('Items sous domaines Maths '!K451&lt;=5, 'Items sous domaines Maths '!K451&gt;0),'Items sous domaines Maths '!L451,0)</f>
        <v>0</v>
      </c>
    </row>
    <row r="448" spans="2:8" customFormat="1" ht="13.8" hidden="1" thickTop="1" x14ac:dyDescent="0.25">
      <c r="B448" s="8">
        <f>IF(AND('Items sous domaines Maths '!K472&lt;=5, 'Items sous domaines Maths '!K472&gt;0),'Items sous domaines Maths '!B472,0)</f>
        <v>0</v>
      </c>
      <c r="C448" s="8" t="b">
        <f>IF(AND('Items sous domaines Maths '!K472&lt;=5, 'Items sous domaines Maths '!K472&gt;0),'Items sous domaines Maths '!C472)</f>
        <v>0</v>
      </c>
      <c r="D448" s="8">
        <f>IF(AND('Items sous domaines Maths '!K472&lt;=5, 'Items sous domaines Maths '!K472&gt;0),'Items sous domaines Maths '!D472,0)</f>
        <v>0</v>
      </c>
      <c r="E448" s="8">
        <f>IF(AND('Items sous domaines Maths '!K472&lt;=5, 'Items sous domaines Maths '!K472&gt;0),'Items sous domaines Maths '!E472,0)</f>
        <v>0</v>
      </c>
      <c r="F448" s="9">
        <f>IF(AND('Items sous domaines Maths '!K472&lt;=5, 'Items sous domaines Maths '!K472&gt;0),'Items sous domaines Maths '!F466,0)</f>
        <v>0</v>
      </c>
      <c r="G448">
        <f>IF('Items sous domaines Maths '!H472&lt;4,'Items sous domaines Maths '!G472,0)</f>
        <v>0</v>
      </c>
      <c r="H448" s="9">
        <f>IF(AND('Items sous domaines Maths '!K452&lt;=5, 'Items sous domaines Maths '!K452&gt;0),'Items sous domaines Maths '!L452,0)</f>
        <v>0</v>
      </c>
    </row>
    <row r="449" spans="2:8" customFormat="1" ht="13.8" hidden="1" thickTop="1" x14ac:dyDescent="0.25">
      <c r="B449" s="8">
        <f>IF(AND('Items sous domaines Maths '!K473&lt;=5, 'Items sous domaines Maths '!K473&gt;0),'Items sous domaines Maths '!B473,0)</f>
        <v>0</v>
      </c>
      <c r="C449" s="8" t="b">
        <f>IF(AND('Items sous domaines Maths '!K473&lt;=5, 'Items sous domaines Maths '!K473&gt;0),'Items sous domaines Maths '!C473)</f>
        <v>0</v>
      </c>
      <c r="D449" s="8">
        <f>IF(AND('Items sous domaines Maths '!K473&lt;=5, 'Items sous domaines Maths '!K473&gt;0),'Items sous domaines Maths '!D473,0)</f>
        <v>0</v>
      </c>
      <c r="E449" s="8">
        <f>IF(AND('Items sous domaines Maths '!K473&lt;=5, 'Items sous domaines Maths '!K473&gt;0),'Items sous domaines Maths '!E473,0)</f>
        <v>0</v>
      </c>
      <c r="F449" s="9">
        <f>IF(AND('Items sous domaines Maths '!K473&lt;=5, 'Items sous domaines Maths '!K473&gt;0),'Items sous domaines Maths '!F467,0)</f>
        <v>0</v>
      </c>
      <c r="G449">
        <f>IF('Items sous domaines Maths '!H473&lt;4,'Items sous domaines Maths '!G473,0)</f>
        <v>0</v>
      </c>
      <c r="H449" s="9">
        <f>IF(AND('Items sous domaines Maths '!K453&lt;=5, 'Items sous domaines Maths '!K453&gt;0),'Items sous domaines Maths '!L453,0)</f>
        <v>0</v>
      </c>
    </row>
    <row r="450" spans="2:8" customFormat="1" ht="13.8" hidden="1" thickTop="1" x14ac:dyDescent="0.25">
      <c r="B450" s="8">
        <f>IF(AND('Items sous domaines Maths '!K474&lt;=5, 'Items sous domaines Maths '!K474&gt;0),'Items sous domaines Maths '!B474,0)</f>
        <v>0</v>
      </c>
      <c r="C450" s="8" t="b">
        <f>IF(AND('Items sous domaines Maths '!K474&lt;=5, 'Items sous domaines Maths '!K474&gt;0),'Items sous domaines Maths '!C474)</f>
        <v>0</v>
      </c>
      <c r="D450" s="8">
        <f>IF(AND('Items sous domaines Maths '!K474&lt;=5, 'Items sous domaines Maths '!K474&gt;0),'Items sous domaines Maths '!D474,0)</f>
        <v>0</v>
      </c>
      <c r="E450" s="8">
        <f>IF(AND('Items sous domaines Maths '!K474&lt;=5, 'Items sous domaines Maths '!K474&gt;0),'Items sous domaines Maths '!E474,0)</f>
        <v>0</v>
      </c>
      <c r="F450" s="9">
        <f>IF(AND('Items sous domaines Maths '!K474&lt;=5, 'Items sous domaines Maths '!K474&gt;0),'Items sous domaines Maths '!F468,0)</f>
        <v>0</v>
      </c>
      <c r="G450">
        <f>IF('Items sous domaines Maths '!H474&lt;4,'Items sous domaines Maths '!G474,0)</f>
        <v>0</v>
      </c>
      <c r="H450" s="9">
        <f>IF(AND('Items sous domaines Maths '!K454&lt;=5, 'Items sous domaines Maths '!K454&gt;0),'Items sous domaines Maths '!L454,0)</f>
        <v>0</v>
      </c>
    </row>
    <row r="451" spans="2:8" customFormat="1" ht="13.8" hidden="1" thickTop="1" x14ac:dyDescent="0.25">
      <c r="B451" s="8">
        <f>IF(AND('Items sous domaines Maths '!K475&lt;=5, 'Items sous domaines Maths '!K475&gt;0),'Items sous domaines Maths '!B475,0)</f>
        <v>0</v>
      </c>
      <c r="C451" s="8" t="b">
        <f>IF(AND('Items sous domaines Maths '!K475&lt;=5, 'Items sous domaines Maths '!K475&gt;0),'Items sous domaines Maths '!C475)</f>
        <v>0</v>
      </c>
      <c r="D451" s="8">
        <f>IF(AND('Items sous domaines Maths '!K475&lt;=5, 'Items sous domaines Maths '!K475&gt;0),'Items sous domaines Maths '!D475,0)</f>
        <v>0</v>
      </c>
      <c r="E451" s="8">
        <f>IF(AND('Items sous domaines Maths '!K475&lt;=5, 'Items sous domaines Maths '!K475&gt;0),'Items sous domaines Maths '!E475,0)</f>
        <v>0</v>
      </c>
      <c r="F451" s="9">
        <f>IF(AND('Items sous domaines Maths '!K475&lt;=5, 'Items sous domaines Maths '!K475&gt;0),'Items sous domaines Maths '!F469,0)</f>
        <v>0</v>
      </c>
      <c r="G451">
        <f>IF('Items sous domaines Maths '!H475&lt;4,'Items sous domaines Maths '!G475,0)</f>
        <v>0</v>
      </c>
      <c r="H451" s="9">
        <f>IF(AND('Items sous domaines Maths '!K455&lt;=5, 'Items sous domaines Maths '!K455&gt;0),'Items sous domaines Maths '!L455,0)</f>
        <v>0</v>
      </c>
    </row>
    <row r="452" spans="2:8" customFormat="1" ht="13.8" hidden="1" thickTop="1" x14ac:dyDescent="0.25">
      <c r="B452" s="8">
        <f>IF(AND('Items sous domaines Maths '!K476&lt;=5, 'Items sous domaines Maths '!K476&gt;0),'Items sous domaines Maths '!B476,0)</f>
        <v>0</v>
      </c>
      <c r="C452" s="8" t="b">
        <f>IF(AND('Items sous domaines Maths '!K476&lt;=5, 'Items sous domaines Maths '!K476&gt;0),'Items sous domaines Maths '!C476)</f>
        <v>0</v>
      </c>
      <c r="D452" s="8">
        <f>IF(AND('Items sous domaines Maths '!K476&lt;=5, 'Items sous domaines Maths '!K476&gt;0),'Items sous domaines Maths '!D476,0)</f>
        <v>0</v>
      </c>
      <c r="E452" s="8">
        <f>IF(AND('Items sous domaines Maths '!K476&lt;=5, 'Items sous domaines Maths '!K476&gt;0),'Items sous domaines Maths '!E476,0)</f>
        <v>0</v>
      </c>
      <c r="F452" s="9">
        <f>IF(AND('Items sous domaines Maths '!K476&lt;=5, 'Items sous domaines Maths '!K476&gt;0),'Items sous domaines Maths '!F470,0)</f>
        <v>0</v>
      </c>
      <c r="G452">
        <f>IF('Items sous domaines Maths '!H476&lt;4,'Items sous domaines Maths '!G476,0)</f>
        <v>0</v>
      </c>
      <c r="H452" s="9">
        <f>IF(AND('Items sous domaines Maths '!K456&lt;=5, 'Items sous domaines Maths '!K456&gt;0),'Items sous domaines Maths '!L456,0)</f>
        <v>0</v>
      </c>
    </row>
    <row r="453" spans="2:8" customFormat="1" ht="13.8" hidden="1" thickTop="1" x14ac:dyDescent="0.25">
      <c r="B453" s="8">
        <f>IF(AND('Items sous domaines Maths '!K477&lt;=5, 'Items sous domaines Maths '!K477&gt;0),'Items sous domaines Maths '!B477,0)</f>
        <v>0</v>
      </c>
      <c r="C453" s="8" t="b">
        <f>IF(AND('Items sous domaines Maths '!K477&lt;=5, 'Items sous domaines Maths '!K477&gt;0),'Items sous domaines Maths '!C477)</f>
        <v>0</v>
      </c>
      <c r="D453" s="8">
        <f>IF(AND('Items sous domaines Maths '!K477&lt;=5, 'Items sous domaines Maths '!K477&gt;0),'Items sous domaines Maths '!D477,0)</f>
        <v>0</v>
      </c>
      <c r="E453" s="8">
        <f>IF(AND('Items sous domaines Maths '!K477&lt;=5, 'Items sous domaines Maths '!K477&gt;0),'Items sous domaines Maths '!E477,0)</f>
        <v>0</v>
      </c>
      <c r="F453" s="9">
        <f>IF(AND('Items sous domaines Maths '!K477&lt;=5, 'Items sous domaines Maths '!K477&gt;0),'Items sous domaines Maths '!F471,0)</f>
        <v>0</v>
      </c>
      <c r="G453">
        <f>IF('Items sous domaines Maths '!H477&lt;4,'Items sous domaines Maths '!G477,0)</f>
        <v>0</v>
      </c>
      <c r="H453" s="9">
        <f>IF(AND('Items sous domaines Maths '!K457&lt;=5, 'Items sous domaines Maths '!K457&gt;0),'Items sous domaines Maths '!L457,0)</f>
        <v>0</v>
      </c>
    </row>
    <row r="454" spans="2:8" customFormat="1" ht="13.8" hidden="1" thickTop="1" x14ac:dyDescent="0.25">
      <c r="B454" s="8">
        <f>IF(AND('Items sous domaines Maths '!K478&lt;=5, 'Items sous domaines Maths '!K478&gt;0),'Items sous domaines Maths '!B478,0)</f>
        <v>0</v>
      </c>
      <c r="C454" s="8" t="b">
        <f>IF(AND('Items sous domaines Maths '!K478&lt;=5, 'Items sous domaines Maths '!K478&gt;0),'Items sous domaines Maths '!C478)</f>
        <v>0</v>
      </c>
      <c r="D454" s="8">
        <f>IF(AND('Items sous domaines Maths '!K478&lt;=5, 'Items sous domaines Maths '!K478&gt;0),'Items sous domaines Maths '!D478,0)</f>
        <v>0</v>
      </c>
      <c r="E454" s="8">
        <f>IF(AND('Items sous domaines Maths '!K478&lt;=5, 'Items sous domaines Maths '!K478&gt;0),'Items sous domaines Maths '!E478,0)</f>
        <v>0</v>
      </c>
      <c r="F454" s="9">
        <f>IF(AND('Items sous domaines Maths '!K478&lt;=5, 'Items sous domaines Maths '!K478&gt;0),'Items sous domaines Maths '!F472,0)</f>
        <v>0</v>
      </c>
      <c r="G454">
        <f>IF('Items sous domaines Maths '!H478&lt;4,'Items sous domaines Maths '!G478,0)</f>
        <v>0</v>
      </c>
      <c r="H454" s="9">
        <f>IF(AND('Items sous domaines Maths '!K458&lt;=5, 'Items sous domaines Maths '!K458&gt;0),'Items sous domaines Maths '!L458,0)</f>
        <v>0</v>
      </c>
    </row>
    <row r="455" spans="2:8" customFormat="1" ht="13.8" hidden="1" thickTop="1" x14ac:dyDescent="0.25">
      <c r="B455" s="8">
        <f>IF(AND('Items sous domaines Maths '!K479&lt;=5, 'Items sous domaines Maths '!K479&gt;0),'Items sous domaines Maths '!B479,0)</f>
        <v>0</v>
      </c>
      <c r="C455" s="8" t="b">
        <f>IF(AND('Items sous domaines Maths '!K479&lt;=5, 'Items sous domaines Maths '!K479&gt;0),'Items sous domaines Maths '!C479)</f>
        <v>0</v>
      </c>
      <c r="D455" s="8">
        <f>IF(AND('Items sous domaines Maths '!K479&lt;=5, 'Items sous domaines Maths '!K479&gt;0),'Items sous domaines Maths '!D479,0)</f>
        <v>0</v>
      </c>
      <c r="E455" s="8">
        <f>IF(AND('Items sous domaines Maths '!K479&lt;=5, 'Items sous domaines Maths '!K479&gt;0),'Items sous domaines Maths '!E479,0)</f>
        <v>0</v>
      </c>
      <c r="F455" s="9">
        <f>IF(AND('Items sous domaines Maths '!K479&lt;=5, 'Items sous domaines Maths '!K479&gt;0),'Items sous domaines Maths '!F473,0)</f>
        <v>0</v>
      </c>
      <c r="G455">
        <f>IF('Items sous domaines Maths '!H479&lt;4,'Items sous domaines Maths '!G479,0)</f>
        <v>0</v>
      </c>
      <c r="H455" s="9">
        <f>IF(AND('Items sous domaines Maths '!K459&lt;=5, 'Items sous domaines Maths '!K459&gt;0),'Items sous domaines Maths '!L459,0)</f>
        <v>0</v>
      </c>
    </row>
    <row r="456" spans="2:8" customFormat="1" ht="13.8" hidden="1" thickTop="1" x14ac:dyDescent="0.25">
      <c r="B456" s="8">
        <f>IF(AND('Items sous domaines Maths '!K480&lt;=5, 'Items sous domaines Maths '!K480&gt;0),'Items sous domaines Maths '!B480,0)</f>
        <v>0</v>
      </c>
      <c r="C456" s="8" t="b">
        <f>IF(AND('Items sous domaines Maths '!K480&lt;=5, 'Items sous domaines Maths '!K480&gt;0),'Items sous domaines Maths '!C480)</f>
        <v>0</v>
      </c>
      <c r="D456" s="8">
        <f>IF(AND('Items sous domaines Maths '!K480&lt;=5, 'Items sous domaines Maths '!K480&gt;0),'Items sous domaines Maths '!D480,0)</f>
        <v>0</v>
      </c>
      <c r="E456" s="8">
        <f>IF(AND('Items sous domaines Maths '!K480&lt;=5, 'Items sous domaines Maths '!K480&gt;0),'Items sous domaines Maths '!E480,0)</f>
        <v>0</v>
      </c>
      <c r="F456" s="9">
        <f>IF(AND('Items sous domaines Maths '!K480&lt;=5, 'Items sous domaines Maths '!K480&gt;0),'Items sous domaines Maths '!F474,0)</f>
        <v>0</v>
      </c>
      <c r="G456">
        <f>IF('Items sous domaines Maths '!H480&lt;4,'Items sous domaines Maths '!G480,0)</f>
        <v>0</v>
      </c>
      <c r="H456" s="9">
        <f>IF(AND('Items sous domaines Maths '!K460&lt;=5, 'Items sous domaines Maths '!K460&gt;0),'Items sous domaines Maths '!L460,0)</f>
        <v>0</v>
      </c>
    </row>
    <row r="457" spans="2:8" customFormat="1" ht="13.8" hidden="1" thickTop="1" x14ac:dyDescent="0.25">
      <c r="B457" s="8">
        <f>IF(AND('Items sous domaines Maths '!K481&lt;=5, 'Items sous domaines Maths '!K481&gt;0),'Items sous domaines Maths '!B481,0)</f>
        <v>0</v>
      </c>
      <c r="C457" s="8" t="b">
        <f>IF(AND('Items sous domaines Maths '!K481&lt;=5, 'Items sous domaines Maths '!K481&gt;0),'Items sous domaines Maths '!C481)</f>
        <v>0</v>
      </c>
      <c r="D457" s="8">
        <f>IF(AND('Items sous domaines Maths '!K481&lt;=5, 'Items sous domaines Maths '!K481&gt;0),'Items sous domaines Maths '!D481,0)</f>
        <v>0</v>
      </c>
      <c r="E457" s="8">
        <f>IF(AND('Items sous domaines Maths '!K481&lt;=5, 'Items sous domaines Maths '!K481&gt;0),'Items sous domaines Maths '!E481,0)</f>
        <v>0</v>
      </c>
      <c r="F457" s="9">
        <f>IF(AND('Items sous domaines Maths '!K481&lt;=5, 'Items sous domaines Maths '!K481&gt;0),'Items sous domaines Maths '!F475,0)</f>
        <v>0</v>
      </c>
      <c r="G457">
        <f>IF('Items sous domaines Maths '!H481&lt;4,'Items sous domaines Maths '!G481,0)</f>
        <v>0</v>
      </c>
      <c r="H457" s="9">
        <f>IF(AND('Items sous domaines Maths '!K461&lt;=5, 'Items sous domaines Maths '!K461&gt;0),'Items sous domaines Maths '!L461,0)</f>
        <v>0</v>
      </c>
    </row>
    <row r="458" spans="2:8" customFormat="1" ht="13.8" hidden="1" thickTop="1" x14ac:dyDescent="0.25">
      <c r="B458" s="8">
        <f>IF(AND('Items sous domaines Maths '!K482&lt;=5, 'Items sous domaines Maths '!K482&gt;0),'Items sous domaines Maths '!B482,0)</f>
        <v>0</v>
      </c>
      <c r="C458" s="8" t="b">
        <f>IF(AND('Items sous domaines Maths '!K482&lt;=5, 'Items sous domaines Maths '!K482&gt;0),'Items sous domaines Maths '!C482)</f>
        <v>0</v>
      </c>
      <c r="D458" s="8">
        <f>IF(AND('Items sous domaines Maths '!K482&lt;=5, 'Items sous domaines Maths '!K482&gt;0),'Items sous domaines Maths '!D482,0)</f>
        <v>0</v>
      </c>
      <c r="E458" s="8">
        <f>IF(AND('Items sous domaines Maths '!K482&lt;=5, 'Items sous domaines Maths '!K482&gt;0),'Items sous domaines Maths '!E482,0)</f>
        <v>0</v>
      </c>
      <c r="F458" s="9">
        <f>IF(AND('Items sous domaines Maths '!K482&lt;=5, 'Items sous domaines Maths '!K482&gt;0),'Items sous domaines Maths '!F476,0)</f>
        <v>0</v>
      </c>
      <c r="G458">
        <f>IF('Items sous domaines Maths '!H482&lt;4,'Items sous domaines Maths '!G482,0)</f>
        <v>0</v>
      </c>
      <c r="H458" s="9">
        <f>IF(AND('Items sous domaines Maths '!K462&lt;=5, 'Items sous domaines Maths '!K462&gt;0),'Items sous domaines Maths '!L462,0)</f>
        <v>0</v>
      </c>
    </row>
    <row r="459" spans="2:8" customFormat="1" ht="13.8" hidden="1" thickTop="1" x14ac:dyDescent="0.25">
      <c r="B459" s="8">
        <f>IF(AND('Items sous domaines Maths '!K483&lt;=5, 'Items sous domaines Maths '!K483&gt;0),'Items sous domaines Maths '!B483,0)</f>
        <v>0</v>
      </c>
      <c r="C459" s="8" t="b">
        <f>IF(AND('Items sous domaines Maths '!K483&lt;=5, 'Items sous domaines Maths '!K483&gt;0),'Items sous domaines Maths '!C483)</f>
        <v>0</v>
      </c>
      <c r="D459" s="8">
        <f>IF(AND('Items sous domaines Maths '!K483&lt;=5, 'Items sous domaines Maths '!K483&gt;0),'Items sous domaines Maths '!D483,0)</f>
        <v>0</v>
      </c>
      <c r="E459" s="8">
        <f>IF(AND('Items sous domaines Maths '!K483&lt;=5, 'Items sous domaines Maths '!K483&gt;0),'Items sous domaines Maths '!E483,0)</f>
        <v>0</v>
      </c>
      <c r="F459" s="9">
        <f>IF(AND('Items sous domaines Maths '!K483&lt;=5, 'Items sous domaines Maths '!K483&gt;0),'Items sous domaines Maths '!F477,0)</f>
        <v>0</v>
      </c>
      <c r="G459">
        <f>IF('Items sous domaines Maths '!H483&lt;4,'Items sous domaines Maths '!G483,0)</f>
        <v>0</v>
      </c>
      <c r="H459" s="9">
        <f>IF(AND('Items sous domaines Maths '!K463&lt;=5, 'Items sous domaines Maths '!K463&gt;0),'Items sous domaines Maths '!L463,0)</f>
        <v>0</v>
      </c>
    </row>
    <row r="460" spans="2:8" customFormat="1" ht="13.8" hidden="1" thickTop="1" x14ac:dyDescent="0.25">
      <c r="B460" s="8">
        <f>IF(AND('Items sous domaines Maths '!K484&lt;=5, 'Items sous domaines Maths '!K484&gt;0),'Items sous domaines Maths '!B484,0)</f>
        <v>0</v>
      </c>
      <c r="C460" s="8" t="b">
        <f>IF(AND('Items sous domaines Maths '!K484&lt;=5, 'Items sous domaines Maths '!K484&gt;0),'Items sous domaines Maths '!C484)</f>
        <v>0</v>
      </c>
      <c r="D460" s="8">
        <f>IF(AND('Items sous domaines Maths '!K484&lt;=5, 'Items sous domaines Maths '!K484&gt;0),'Items sous domaines Maths '!D484,0)</f>
        <v>0</v>
      </c>
      <c r="E460" s="8">
        <f>IF(AND('Items sous domaines Maths '!K484&lt;=5, 'Items sous domaines Maths '!K484&gt;0),'Items sous domaines Maths '!E484,0)</f>
        <v>0</v>
      </c>
      <c r="F460" s="9">
        <f>IF(AND('Items sous domaines Maths '!K484&lt;=5, 'Items sous domaines Maths '!K484&gt;0),'Items sous domaines Maths '!F478,0)</f>
        <v>0</v>
      </c>
      <c r="G460">
        <f>IF('Items sous domaines Maths '!H484&lt;4,'Items sous domaines Maths '!G484,0)</f>
        <v>0</v>
      </c>
      <c r="H460" s="9">
        <f>IF(AND('Items sous domaines Maths '!K464&lt;=5, 'Items sous domaines Maths '!K464&gt;0),'Items sous domaines Maths '!L464,0)</f>
        <v>0</v>
      </c>
    </row>
    <row r="461" spans="2:8" customFormat="1" ht="13.8" hidden="1" thickTop="1" x14ac:dyDescent="0.25">
      <c r="B461" s="8">
        <f>IF(AND('Items sous domaines Maths '!K485&lt;=5, 'Items sous domaines Maths '!K485&gt;0),'Items sous domaines Maths '!B485,0)</f>
        <v>0</v>
      </c>
      <c r="C461" s="8" t="b">
        <f>IF(AND('Items sous domaines Maths '!K485&lt;=5, 'Items sous domaines Maths '!K485&gt;0),'Items sous domaines Maths '!C485)</f>
        <v>0</v>
      </c>
      <c r="D461" s="8">
        <f>IF(AND('Items sous domaines Maths '!K485&lt;=5, 'Items sous domaines Maths '!K485&gt;0),'Items sous domaines Maths '!D485,0)</f>
        <v>0</v>
      </c>
      <c r="E461" s="8">
        <f>IF(AND('Items sous domaines Maths '!K485&lt;=5, 'Items sous domaines Maths '!K485&gt;0),'Items sous domaines Maths '!E485,0)</f>
        <v>0</v>
      </c>
      <c r="F461" s="9">
        <f>IF(AND('Items sous domaines Maths '!K485&lt;=5, 'Items sous domaines Maths '!K485&gt;0),'Items sous domaines Maths '!F479,0)</f>
        <v>0</v>
      </c>
      <c r="G461">
        <f>IF('Items sous domaines Maths '!H485&lt;4,'Items sous domaines Maths '!G485,0)</f>
        <v>0</v>
      </c>
      <c r="H461" s="9">
        <f>IF(AND('Items sous domaines Maths '!K465&lt;=5, 'Items sous domaines Maths '!K465&gt;0),'Items sous domaines Maths '!L465,0)</f>
        <v>0</v>
      </c>
    </row>
    <row r="462" spans="2:8" customFormat="1" ht="13.8" hidden="1" thickTop="1" x14ac:dyDescent="0.25">
      <c r="B462" s="8">
        <f>IF(AND('Items sous domaines Maths '!K486&lt;=5, 'Items sous domaines Maths '!K486&gt;0),'Items sous domaines Maths '!B486,0)</f>
        <v>0</v>
      </c>
      <c r="C462" s="8" t="b">
        <f>IF(AND('Items sous domaines Maths '!K486&lt;=5, 'Items sous domaines Maths '!K486&gt;0),'Items sous domaines Maths '!C486)</f>
        <v>0</v>
      </c>
      <c r="D462" s="8">
        <f>IF(AND('Items sous domaines Maths '!K486&lt;=5, 'Items sous domaines Maths '!K486&gt;0),'Items sous domaines Maths '!D486,0)</f>
        <v>0</v>
      </c>
      <c r="E462" s="8">
        <f>IF(AND('Items sous domaines Maths '!K486&lt;=5, 'Items sous domaines Maths '!K486&gt;0),'Items sous domaines Maths '!E486,0)</f>
        <v>0</v>
      </c>
      <c r="F462" s="9">
        <f>IF(AND('Items sous domaines Maths '!K486&lt;=5, 'Items sous domaines Maths '!K486&gt;0),'Items sous domaines Maths '!F480,0)</f>
        <v>0</v>
      </c>
      <c r="G462">
        <f>IF('Items sous domaines Maths '!H486&lt;4,'Items sous domaines Maths '!G486,0)</f>
        <v>0</v>
      </c>
      <c r="H462" s="9">
        <f>IF(AND('Items sous domaines Maths '!K466&lt;=5, 'Items sous domaines Maths '!K466&gt;0),'Items sous domaines Maths '!L466,0)</f>
        <v>0</v>
      </c>
    </row>
    <row r="463" spans="2:8" customFormat="1" ht="13.8" hidden="1" thickTop="1" x14ac:dyDescent="0.25">
      <c r="B463" s="8">
        <f>IF(AND('Items sous domaines Maths '!K487&lt;=5, 'Items sous domaines Maths '!K487&gt;0),'Items sous domaines Maths '!B487,0)</f>
        <v>0</v>
      </c>
      <c r="C463" s="8" t="b">
        <f>IF(AND('Items sous domaines Maths '!K487&lt;=5, 'Items sous domaines Maths '!K487&gt;0),'Items sous domaines Maths '!C487)</f>
        <v>0</v>
      </c>
      <c r="D463" s="8">
        <f>IF(AND('Items sous domaines Maths '!K487&lt;=5, 'Items sous domaines Maths '!K487&gt;0),'Items sous domaines Maths '!D487,0)</f>
        <v>0</v>
      </c>
      <c r="E463" s="8">
        <f>IF(AND('Items sous domaines Maths '!K487&lt;=5, 'Items sous domaines Maths '!K487&gt;0),'Items sous domaines Maths '!E487,0)</f>
        <v>0</v>
      </c>
      <c r="F463" s="9">
        <f>IF(AND('Items sous domaines Maths '!K487&lt;=5, 'Items sous domaines Maths '!K487&gt;0),'Items sous domaines Maths '!F481,0)</f>
        <v>0</v>
      </c>
      <c r="G463">
        <f>IF('Items sous domaines Maths '!H487&lt;4,'Items sous domaines Maths '!G487,0)</f>
        <v>0</v>
      </c>
      <c r="H463" s="9">
        <f>IF(AND('Items sous domaines Maths '!K467&lt;=5, 'Items sous domaines Maths '!K467&gt;0),'Items sous domaines Maths '!L467,0)</f>
        <v>0</v>
      </c>
    </row>
    <row r="464" spans="2:8" customFormat="1" ht="13.8" hidden="1" thickTop="1" x14ac:dyDescent="0.25">
      <c r="B464" s="8">
        <f>IF(AND('Items sous domaines Maths '!K488&lt;=5, 'Items sous domaines Maths '!K488&gt;0),'Items sous domaines Maths '!B488,0)</f>
        <v>0</v>
      </c>
      <c r="C464" s="8" t="b">
        <f>IF(AND('Items sous domaines Maths '!K488&lt;=5, 'Items sous domaines Maths '!K488&gt;0),'Items sous domaines Maths '!C488)</f>
        <v>0</v>
      </c>
      <c r="D464" s="8">
        <f>IF(AND('Items sous domaines Maths '!K488&lt;=5, 'Items sous domaines Maths '!K488&gt;0),'Items sous domaines Maths '!D488,0)</f>
        <v>0</v>
      </c>
      <c r="E464" s="8">
        <f>IF(AND('Items sous domaines Maths '!K488&lt;=5, 'Items sous domaines Maths '!K488&gt;0),'Items sous domaines Maths '!E488,0)</f>
        <v>0</v>
      </c>
      <c r="F464" s="9">
        <f>IF(AND('Items sous domaines Maths '!K488&lt;=5, 'Items sous domaines Maths '!K488&gt;0),'Items sous domaines Maths '!F482,0)</f>
        <v>0</v>
      </c>
      <c r="G464">
        <f>IF('Items sous domaines Maths '!H488&lt;4,'Items sous domaines Maths '!G488,0)</f>
        <v>0</v>
      </c>
      <c r="H464" s="9">
        <f>IF(AND('Items sous domaines Maths '!K468&lt;=5, 'Items sous domaines Maths '!K468&gt;0),'Items sous domaines Maths '!L468,0)</f>
        <v>0</v>
      </c>
    </row>
    <row r="465" spans="2:8" customFormat="1" ht="13.8" hidden="1" thickTop="1" x14ac:dyDescent="0.25">
      <c r="B465" s="8">
        <f>IF(AND('Items sous domaines Maths '!K489&lt;=5, 'Items sous domaines Maths '!K489&gt;0),'Items sous domaines Maths '!B489,0)</f>
        <v>0</v>
      </c>
      <c r="C465" s="8" t="b">
        <f>IF(AND('Items sous domaines Maths '!K489&lt;=5, 'Items sous domaines Maths '!K489&gt;0),'Items sous domaines Maths '!C489)</f>
        <v>0</v>
      </c>
      <c r="D465" s="8">
        <f>IF(AND('Items sous domaines Maths '!K489&lt;=5, 'Items sous domaines Maths '!K489&gt;0),'Items sous domaines Maths '!D489,0)</f>
        <v>0</v>
      </c>
      <c r="E465" s="8">
        <f>IF(AND('Items sous domaines Maths '!K489&lt;=5, 'Items sous domaines Maths '!K489&gt;0),'Items sous domaines Maths '!E489,0)</f>
        <v>0</v>
      </c>
      <c r="F465" s="9">
        <f>IF(AND('Items sous domaines Maths '!K489&lt;=5, 'Items sous domaines Maths '!K489&gt;0),'Items sous domaines Maths '!F483,0)</f>
        <v>0</v>
      </c>
      <c r="G465">
        <f>IF('Items sous domaines Maths '!H489&lt;4,'Items sous domaines Maths '!G489,0)</f>
        <v>0</v>
      </c>
      <c r="H465" s="9">
        <f>IF(AND('Items sous domaines Maths '!K469&lt;=5, 'Items sous domaines Maths '!K469&gt;0),'Items sous domaines Maths '!L469,0)</f>
        <v>0</v>
      </c>
    </row>
    <row r="466" spans="2:8" customFormat="1" ht="13.8" hidden="1" thickTop="1" x14ac:dyDescent="0.25">
      <c r="B466" s="8">
        <f>IF(AND('Items sous domaines Maths '!K490&lt;=5, 'Items sous domaines Maths '!K490&gt;0),'Items sous domaines Maths '!B490,0)</f>
        <v>0</v>
      </c>
      <c r="C466" s="8" t="b">
        <f>IF(AND('Items sous domaines Maths '!K490&lt;=5, 'Items sous domaines Maths '!K490&gt;0),'Items sous domaines Maths '!C490)</f>
        <v>0</v>
      </c>
      <c r="D466" s="8">
        <f>IF(AND('Items sous domaines Maths '!K490&lt;=5, 'Items sous domaines Maths '!K490&gt;0),'Items sous domaines Maths '!D490,0)</f>
        <v>0</v>
      </c>
      <c r="E466" s="8">
        <f>IF(AND('Items sous domaines Maths '!K490&lt;=5, 'Items sous domaines Maths '!K490&gt;0),'Items sous domaines Maths '!E490,0)</f>
        <v>0</v>
      </c>
      <c r="F466" s="9">
        <f>IF(AND('Items sous domaines Maths '!K490&lt;=5, 'Items sous domaines Maths '!K490&gt;0),'Items sous domaines Maths '!F484,0)</f>
        <v>0</v>
      </c>
      <c r="G466">
        <f>IF('Items sous domaines Maths '!H490&lt;4,'Items sous domaines Maths '!G490,0)</f>
        <v>0</v>
      </c>
      <c r="H466" s="9">
        <f>IF(AND('Items sous domaines Maths '!K470&lt;=5, 'Items sous domaines Maths '!K470&gt;0),'Items sous domaines Maths '!L470,0)</f>
        <v>0</v>
      </c>
    </row>
    <row r="467" spans="2:8" customFormat="1" ht="13.8" hidden="1" thickTop="1" x14ac:dyDescent="0.25">
      <c r="B467" s="8">
        <f>IF(AND('Items sous domaines Maths '!K491&lt;=5, 'Items sous domaines Maths '!K491&gt;0),'Items sous domaines Maths '!B491,0)</f>
        <v>0</v>
      </c>
      <c r="C467" s="8" t="b">
        <f>IF(AND('Items sous domaines Maths '!K491&lt;=5, 'Items sous domaines Maths '!K491&gt;0),'Items sous domaines Maths '!C491)</f>
        <v>0</v>
      </c>
      <c r="D467" s="8">
        <f>IF(AND('Items sous domaines Maths '!K491&lt;=5, 'Items sous domaines Maths '!K491&gt;0),'Items sous domaines Maths '!D491,0)</f>
        <v>0</v>
      </c>
      <c r="E467" s="8">
        <f>IF(AND('Items sous domaines Maths '!K491&lt;=5, 'Items sous domaines Maths '!K491&gt;0),'Items sous domaines Maths '!E491,0)</f>
        <v>0</v>
      </c>
      <c r="F467" s="9">
        <f>IF(AND('Items sous domaines Maths '!K491&lt;=5, 'Items sous domaines Maths '!K491&gt;0),'Items sous domaines Maths '!F485,0)</f>
        <v>0</v>
      </c>
      <c r="G467">
        <f>IF('Items sous domaines Maths '!H491&lt;4,'Items sous domaines Maths '!G491,0)</f>
        <v>0</v>
      </c>
      <c r="H467" s="9">
        <f>IF(AND('Items sous domaines Maths '!K471&lt;=5, 'Items sous domaines Maths '!K471&gt;0),'Items sous domaines Maths '!L471,0)</f>
        <v>0</v>
      </c>
    </row>
    <row r="468" spans="2:8" customFormat="1" ht="13.8" hidden="1" thickTop="1" x14ac:dyDescent="0.25">
      <c r="B468" s="8">
        <f>IF(AND('Items sous domaines Maths '!K492&lt;=5, 'Items sous domaines Maths '!K492&gt;0),'Items sous domaines Maths '!B492,0)</f>
        <v>0</v>
      </c>
      <c r="C468" s="8" t="b">
        <f>IF(AND('Items sous domaines Maths '!K492&lt;=5, 'Items sous domaines Maths '!K492&gt;0),'Items sous domaines Maths '!C492)</f>
        <v>0</v>
      </c>
      <c r="D468" s="8">
        <f>IF(AND('Items sous domaines Maths '!K492&lt;=5, 'Items sous domaines Maths '!K492&gt;0),'Items sous domaines Maths '!D492,0)</f>
        <v>0</v>
      </c>
      <c r="E468" s="8">
        <f>IF(AND('Items sous domaines Maths '!K492&lt;=5, 'Items sous domaines Maths '!K492&gt;0),'Items sous domaines Maths '!E492,0)</f>
        <v>0</v>
      </c>
      <c r="F468" s="9">
        <f>IF(AND('Items sous domaines Maths '!K492&lt;=5, 'Items sous domaines Maths '!K492&gt;0),'Items sous domaines Maths '!F486,0)</f>
        <v>0</v>
      </c>
      <c r="G468">
        <f>IF('Items sous domaines Maths '!H492&lt;4,'Items sous domaines Maths '!G492,0)</f>
        <v>0</v>
      </c>
      <c r="H468" s="9">
        <f>IF(AND('Items sous domaines Maths '!K472&lt;=5, 'Items sous domaines Maths '!K472&gt;0),'Items sous domaines Maths '!L472,0)</f>
        <v>0</v>
      </c>
    </row>
    <row r="469" spans="2:8" customFormat="1" ht="13.8" hidden="1" thickTop="1" x14ac:dyDescent="0.25">
      <c r="B469" s="8">
        <f>IF(AND('Items sous domaines Maths '!K493&lt;=5, 'Items sous domaines Maths '!K493&gt;0),'Items sous domaines Maths '!B493,0)</f>
        <v>0</v>
      </c>
      <c r="C469" s="8" t="b">
        <f>IF(AND('Items sous domaines Maths '!K493&lt;=5, 'Items sous domaines Maths '!K493&gt;0),'Items sous domaines Maths '!C493)</f>
        <v>0</v>
      </c>
      <c r="D469" s="8">
        <f>IF(AND('Items sous domaines Maths '!K493&lt;=5, 'Items sous domaines Maths '!K493&gt;0),'Items sous domaines Maths '!D493,0)</f>
        <v>0</v>
      </c>
      <c r="E469" s="8">
        <f>IF(AND('Items sous domaines Maths '!K493&lt;=5, 'Items sous domaines Maths '!K493&gt;0),'Items sous domaines Maths '!E493,0)</f>
        <v>0</v>
      </c>
      <c r="F469" s="9">
        <f>IF(AND('Items sous domaines Maths '!K493&lt;=5, 'Items sous domaines Maths '!K493&gt;0),'Items sous domaines Maths '!F487,0)</f>
        <v>0</v>
      </c>
      <c r="G469">
        <f>IF('Items sous domaines Maths '!H493&lt;4,'Items sous domaines Maths '!G493,0)</f>
        <v>0</v>
      </c>
      <c r="H469" s="9">
        <f>IF(AND('Items sous domaines Maths '!K473&lt;=5, 'Items sous domaines Maths '!K473&gt;0),'Items sous domaines Maths '!L473,0)</f>
        <v>0</v>
      </c>
    </row>
    <row r="470" spans="2:8" customFormat="1" ht="13.8" hidden="1" thickTop="1" x14ac:dyDescent="0.25">
      <c r="B470" s="8">
        <f>IF(AND('Items sous domaines Maths '!K494&lt;=5, 'Items sous domaines Maths '!K494&gt;0),'Items sous domaines Maths '!B494,0)</f>
        <v>0</v>
      </c>
      <c r="C470" s="8" t="b">
        <f>IF(AND('Items sous domaines Maths '!K494&lt;=5, 'Items sous domaines Maths '!K494&gt;0),'Items sous domaines Maths '!C494)</f>
        <v>0</v>
      </c>
      <c r="D470" s="8">
        <f>IF(AND('Items sous domaines Maths '!K494&lt;=5, 'Items sous domaines Maths '!K494&gt;0),'Items sous domaines Maths '!D494,0)</f>
        <v>0</v>
      </c>
      <c r="E470" s="8">
        <f>IF(AND('Items sous domaines Maths '!K494&lt;=5, 'Items sous domaines Maths '!K494&gt;0),'Items sous domaines Maths '!E494,0)</f>
        <v>0</v>
      </c>
      <c r="F470" s="9">
        <f>IF(AND('Items sous domaines Maths '!K494&lt;=5, 'Items sous domaines Maths '!K494&gt;0),'Items sous domaines Maths '!F488,0)</f>
        <v>0</v>
      </c>
      <c r="G470">
        <f>IF('Items sous domaines Maths '!H494&lt;4,'Items sous domaines Maths '!G494,0)</f>
        <v>0</v>
      </c>
      <c r="H470" s="9">
        <f>IF(AND('Items sous domaines Maths '!K474&lt;=5, 'Items sous domaines Maths '!K474&gt;0),'Items sous domaines Maths '!L474,0)</f>
        <v>0</v>
      </c>
    </row>
    <row r="471" spans="2:8" customFormat="1" ht="13.8" hidden="1" thickTop="1" x14ac:dyDescent="0.25">
      <c r="B471" s="8">
        <f>IF(AND('Items sous domaines Maths '!K495&lt;=5, 'Items sous domaines Maths '!K495&gt;0),'Items sous domaines Maths '!B495,0)</f>
        <v>0</v>
      </c>
      <c r="C471" s="8" t="b">
        <f>IF(AND('Items sous domaines Maths '!K495&lt;=5, 'Items sous domaines Maths '!K495&gt;0),'Items sous domaines Maths '!C495)</f>
        <v>0</v>
      </c>
      <c r="D471" s="8">
        <f>IF(AND('Items sous domaines Maths '!K495&lt;=5, 'Items sous domaines Maths '!K495&gt;0),'Items sous domaines Maths '!D495,0)</f>
        <v>0</v>
      </c>
      <c r="E471" s="8">
        <f>IF(AND('Items sous domaines Maths '!K495&lt;=5, 'Items sous domaines Maths '!K495&gt;0),'Items sous domaines Maths '!E495,0)</f>
        <v>0</v>
      </c>
      <c r="F471" s="9">
        <f>IF(AND('Items sous domaines Maths '!K495&lt;=5, 'Items sous domaines Maths '!K495&gt;0),'Items sous domaines Maths '!F489,0)</f>
        <v>0</v>
      </c>
      <c r="G471">
        <f>IF('Items sous domaines Maths '!H495&lt;4,'Items sous domaines Maths '!G495,0)</f>
        <v>0</v>
      </c>
      <c r="H471" s="9">
        <f>IF(AND('Items sous domaines Maths '!K475&lt;=5, 'Items sous domaines Maths '!K475&gt;0),'Items sous domaines Maths '!L475,0)</f>
        <v>0</v>
      </c>
    </row>
    <row r="472" spans="2:8" customFormat="1" ht="13.8" hidden="1" thickTop="1" x14ac:dyDescent="0.25">
      <c r="B472" s="8">
        <f>IF(AND('Items sous domaines Maths '!K496&lt;=5, 'Items sous domaines Maths '!K496&gt;0),'Items sous domaines Maths '!B496,0)</f>
        <v>0</v>
      </c>
      <c r="C472" s="8" t="b">
        <f>IF(AND('Items sous domaines Maths '!K496&lt;=5, 'Items sous domaines Maths '!K496&gt;0),'Items sous domaines Maths '!C496)</f>
        <v>0</v>
      </c>
      <c r="D472" s="8">
        <f>IF(AND('Items sous domaines Maths '!K496&lt;=5, 'Items sous domaines Maths '!K496&gt;0),'Items sous domaines Maths '!D496,0)</f>
        <v>0</v>
      </c>
      <c r="E472" s="8">
        <f>IF(AND('Items sous domaines Maths '!K496&lt;=5, 'Items sous domaines Maths '!K496&gt;0),'Items sous domaines Maths '!E496,0)</f>
        <v>0</v>
      </c>
      <c r="F472" s="9">
        <f>IF(AND('Items sous domaines Maths '!K496&lt;=5, 'Items sous domaines Maths '!K496&gt;0),'Items sous domaines Maths '!F490,0)</f>
        <v>0</v>
      </c>
      <c r="G472">
        <f>IF('Items sous domaines Maths '!H496&lt;4,'Items sous domaines Maths '!G496,0)</f>
        <v>0</v>
      </c>
      <c r="H472" s="9">
        <f>IF(AND('Items sous domaines Maths '!K476&lt;=5, 'Items sous domaines Maths '!K476&gt;0),'Items sous domaines Maths '!L476,0)</f>
        <v>0</v>
      </c>
    </row>
    <row r="473" spans="2:8" customFormat="1" ht="13.8" hidden="1" thickTop="1" x14ac:dyDescent="0.25">
      <c r="B473" s="8">
        <f>IF(AND('Items sous domaines Maths '!K497&lt;=5, 'Items sous domaines Maths '!K497&gt;0),'Items sous domaines Maths '!B497,0)</f>
        <v>0</v>
      </c>
      <c r="C473" s="8" t="b">
        <f>IF(AND('Items sous domaines Maths '!K497&lt;=5, 'Items sous domaines Maths '!K497&gt;0),'Items sous domaines Maths '!C497)</f>
        <v>0</v>
      </c>
      <c r="D473" s="8">
        <f>IF(AND('Items sous domaines Maths '!K497&lt;=5, 'Items sous domaines Maths '!K497&gt;0),'Items sous domaines Maths '!D497,0)</f>
        <v>0</v>
      </c>
      <c r="E473" s="8">
        <f>IF(AND('Items sous domaines Maths '!K497&lt;=5, 'Items sous domaines Maths '!K497&gt;0),'Items sous domaines Maths '!E497,0)</f>
        <v>0</v>
      </c>
      <c r="F473" s="9">
        <f>IF(AND('Items sous domaines Maths '!K497&lt;=5, 'Items sous domaines Maths '!K497&gt;0),'Items sous domaines Maths '!F491,0)</f>
        <v>0</v>
      </c>
      <c r="G473">
        <f>IF('Items sous domaines Maths '!H497&lt;4,'Items sous domaines Maths '!G497,0)</f>
        <v>0</v>
      </c>
      <c r="H473" s="9">
        <f>IF(AND('Items sous domaines Maths '!K477&lt;=5, 'Items sous domaines Maths '!K477&gt;0),'Items sous domaines Maths '!L477,0)</f>
        <v>0</v>
      </c>
    </row>
    <row r="474" spans="2:8" customFormat="1" ht="13.8" hidden="1" thickTop="1" x14ac:dyDescent="0.25">
      <c r="B474" s="8">
        <f>IF(AND('Items sous domaines Maths '!K498&lt;=5, 'Items sous domaines Maths '!K498&gt;0),'Items sous domaines Maths '!B498,0)</f>
        <v>0</v>
      </c>
      <c r="C474" s="8" t="b">
        <f>IF(AND('Items sous domaines Maths '!K498&lt;=5, 'Items sous domaines Maths '!K498&gt;0),'Items sous domaines Maths '!C498)</f>
        <v>0</v>
      </c>
      <c r="D474" s="8">
        <f>IF(AND('Items sous domaines Maths '!K498&lt;=5, 'Items sous domaines Maths '!K498&gt;0),'Items sous domaines Maths '!D498,0)</f>
        <v>0</v>
      </c>
      <c r="E474" s="8">
        <f>IF(AND('Items sous domaines Maths '!K498&lt;=5, 'Items sous domaines Maths '!K498&gt;0),'Items sous domaines Maths '!E498,0)</f>
        <v>0</v>
      </c>
      <c r="F474" s="9">
        <f>IF(AND('Items sous domaines Maths '!K498&lt;=5, 'Items sous domaines Maths '!K498&gt;0),'Items sous domaines Maths '!F492,0)</f>
        <v>0</v>
      </c>
      <c r="G474">
        <f>IF('Items sous domaines Maths '!H498&lt;4,'Items sous domaines Maths '!G498,0)</f>
        <v>0</v>
      </c>
      <c r="H474" s="9">
        <f>IF(AND('Items sous domaines Maths '!K478&lt;=5, 'Items sous domaines Maths '!K478&gt;0),'Items sous domaines Maths '!L478,0)</f>
        <v>0</v>
      </c>
    </row>
    <row r="475" spans="2:8" customFormat="1" ht="13.8" hidden="1" thickTop="1" x14ac:dyDescent="0.25">
      <c r="B475" s="8">
        <f>IF(AND('Items sous domaines Maths '!K499&lt;=5, 'Items sous domaines Maths '!K499&gt;0),'Items sous domaines Maths '!B499,0)</f>
        <v>0</v>
      </c>
      <c r="C475" s="8" t="b">
        <f>IF(AND('Items sous domaines Maths '!K499&lt;=5, 'Items sous domaines Maths '!K499&gt;0),'Items sous domaines Maths '!C499)</f>
        <v>0</v>
      </c>
      <c r="D475" s="8">
        <f>IF(AND('Items sous domaines Maths '!K499&lt;=5, 'Items sous domaines Maths '!K499&gt;0),'Items sous domaines Maths '!D499,0)</f>
        <v>0</v>
      </c>
      <c r="E475" s="8">
        <f>IF(AND('Items sous domaines Maths '!K499&lt;=5, 'Items sous domaines Maths '!K499&gt;0),'Items sous domaines Maths '!E499,0)</f>
        <v>0</v>
      </c>
      <c r="F475" s="9">
        <f>IF(AND('Items sous domaines Maths '!K499&lt;=5, 'Items sous domaines Maths '!K499&gt;0),'Items sous domaines Maths '!F493,0)</f>
        <v>0</v>
      </c>
      <c r="G475">
        <f>IF('Items sous domaines Maths '!H499&lt;4,'Items sous domaines Maths '!G499,0)</f>
        <v>0</v>
      </c>
      <c r="H475" s="9">
        <f>IF(AND('Items sous domaines Maths '!K479&lt;=5, 'Items sous domaines Maths '!K479&gt;0),'Items sous domaines Maths '!L479,0)</f>
        <v>0</v>
      </c>
    </row>
    <row r="476" spans="2:8" customFormat="1" ht="13.8" hidden="1" thickTop="1" x14ac:dyDescent="0.25">
      <c r="B476" s="8">
        <f>IF(AND('Items sous domaines Maths '!K500&lt;=5, 'Items sous domaines Maths '!K500&gt;0),'Items sous domaines Maths '!B500,0)</f>
        <v>0</v>
      </c>
      <c r="C476" s="8" t="b">
        <f>IF(AND('Items sous domaines Maths '!K500&lt;=5, 'Items sous domaines Maths '!K500&gt;0),'Items sous domaines Maths '!C500)</f>
        <v>0</v>
      </c>
      <c r="D476" s="8">
        <f>IF(AND('Items sous domaines Maths '!K500&lt;=5, 'Items sous domaines Maths '!K500&gt;0),'Items sous domaines Maths '!D500,0)</f>
        <v>0</v>
      </c>
      <c r="E476" s="8">
        <f>IF(AND('Items sous domaines Maths '!K500&lt;=5, 'Items sous domaines Maths '!K500&gt;0),'Items sous domaines Maths '!E500,0)</f>
        <v>0</v>
      </c>
      <c r="F476" s="9">
        <f>IF(AND('Items sous domaines Maths '!K500&lt;=5, 'Items sous domaines Maths '!K500&gt;0),'Items sous domaines Maths '!F494,0)</f>
        <v>0</v>
      </c>
      <c r="G476">
        <f>IF('Items sous domaines Maths '!H500&lt;4,'Items sous domaines Maths '!G500,0)</f>
        <v>0</v>
      </c>
      <c r="H476" s="9">
        <f>IF(AND('Items sous domaines Maths '!K480&lt;=5, 'Items sous domaines Maths '!K480&gt;0),'Items sous domaines Maths '!L480,0)</f>
        <v>0</v>
      </c>
    </row>
    <row r="477" spans="2:8" customFormat="1" ht="13.8" hidden="1" thickTop="1" x14ac:dyDescent="0.25">
      <c r="B477" s="8">
        <f>IF(AND('Items sous domaines Maths '!K501&lt;=5, 'Items sous domaines Maths '!K501&gt;0),'Items sous domaines Maths '!B501,0)</f>
        <v>0</v>
      </c>
      <c r="C477" s="8" t="b">
        <f>IF(AND('Items sous domaines Maths '!K501&lt;=5, 'Items sous domaines Maths '!K501&gt;0),'Items sous domaines Maths '!C501)</f>
        <v>0</v>
      </c>
      <c r="D477" s="8">
        <f>IF(AND('Items sous domaines Maths '!K501&lt;=5, 'Items sous domaines Maths '!K501&gt;0),'Items sous domaines Maths '!D501,0)</f>
        <v>0</v>
      </c>
      <c r="E477" s="8">
        <f>IF(AND('Items sous domaines Maths '!K501&lt;=5, 'Items sous domaines Maths '!K501&gt;0),'Items sous domaines Maths '!E501,0)</f>
        <v>0</v>
      </c>
      <c r="F477" s="9">
        <f>IF(AND('Items sous domaines Maths '!K501&lt;=5, 'Items sous domaines Maths '!K501&gt;0),'Items sous domaines Maths '!F495,0)</f>
        <v>0</v>
      </c>
      <c r="G477">
        <f>IF('Items sous domaines Maths '!H501&lt;4,'Items sous domaines Maths '!G501,0)</f>
        <v>0</v>
      </c>
      <c r="H477" s="9">
        <f>IF(AND('Items sous domaines Maths '!K481&lt;=5, 'Items sous domaines Maths '!K481&gt;0),'Items sous domaines Maths '!L481,0)</f>
        <v>0</v>
      </c>
    </row>
    <row r="478" spans="2:8" customFormat="1" ht="13.8" hidden="1" thickTop="1" x14ac:dyDescent="0.25">
      <c r="B478" s="8">
        <f>IF(AND('Items sous domaines Maths '!K502&lt;=5, 'Items sous domaines Maths '!K502&gt;0),'Items sous domaines Maths '!B502,0)</f>
        <v>0</v>
      </c>
      <c r="C478" s="8" t="b">
        <f>IF(AND('Items sous domaines Maths '!K502&lt;=5, 'Items sous domaines Maths '!K502&gt;0),'Items sous domaines Maths '!C502)</f>
        <v>0</v>
      </c>
      <c r="D478" s="8">
        <f>IF(AND('Items sous domaines Maths '!K502&lt;=5, 'Items sous domaines Maths '!K502&gt;0),'Items sous domaines Maths '!D502,0)</f>
        <v>0</v>
      </c>
      <c r="E478" s="8">
        <f>IF(AND('Items sous domaines Maths '!K502&lt;=5, 'Items sous domaines Maths '!K502&gt;0),'Items sous domaines Maths '!E502,0)</f>
        <v>0</v>
      </c>
      <c r="F478" s="9">
        <f>IF(AND('Items sous domaines Maths '!K502&lt;=5, 'Items sous domaines Maths '!K502&gt;0),'Items sous domaines Maths '!F496,0)</f>
        <v>0</v>
      </c>
      <c r="G478">
        <f>IF('Items sous domaines Maths '!H502&lt;4,'Items sous domaines Maths '!G502,0)</f>
        <v>0</v>
      </c>
      <c r="H478" s="9">
        <f>IF(AND('Items sous domaines Maths '!K482&lt;=5, 'Items sous domaines Maths '!K482&gt;0),'Items sous domaines Maths '!L482,0)</f>
        <v>0</v>
      </c>
    </row>
    <row r="479" spans="2:8" customFormat="1" ht="13.8" hidden="1" thickTop="1" x14ac:dyDescent="0.25">
      <c r="B479" s="8">
        <f>IF(AND('Items sous domaines Maths '!K503&lt;=5, 'Items sous domaines Maths '!K503&gt;0),'Items sous domaines Maths '!B503,0)</f>
        <v>0</v>
      </c>
      <c r="C479" s="8" t="b">
        <f>IF(AND('Items sous domaines Maths '!K503&lt;=5, 'Items sous domaines Maths '!K503&gt;0),'Items sous domaines Maths '!C503)</f>
        <v>0</v>
      </c>
      <c r="D479" s="8">
        <f>IF(AND('Items sous domaines Maths '!K503&lt;=5, 'Items sous domaines Maths '!K503&gt;0),'Items sous domaines Maths '!D503,0)</f>
        <v>0</v>
      </c>
      <c r="E479" s="8">
        <f>IF(AND('Items sous domaines Maths '!K503&lt;=5, 'Items sous domaines Maths '!K503&gt;0),'Items sous domaines Maths '!E503,0)</f>
        <v>0</v>
      </c>
      <c r="F479" s="9">
        <f>IF(AND('Items sous domaines Maths '!K503&lt;=5, 'Items sous domaines Maths '!K503&gt;0),'Items sous domaines Maths '!F497,0)</f>
        <v>0</v>
      </c>
      <c r="G479">
        <f>IF('Items sous domaines Maths '!H503&lt;4,'Items sous domaines Maths '!G503,0)</f>
        <v>0</v>
      </c>
      <c r="H479" s="9">
        <f>IF(AND('Items sous domaines Maths '!K483&lt;=5, 'Items sous domaines Maths '!K483&gt;0),'Items sous domaines Maths '!L483,0)</f>
        <v>0</v>
      </c>
    </row>
    <row r="480" spans="2:8" customFormat="1" ht="13.8" hidden="1" thickTop="1" x14ac:dyDescent="0.25">
      <c r="B480" s="8">
        <f>IF(AND('Items sous domaines Maths '!K504&lt;=5, 'Items sous domaines Maths '!K504&gt;0),'Items sous domaines Maths '!B504,0)</f>
        <v>0</v>
      </c>
      <c r="C480" s="8" t="b">
        <f>IF(AND('Items sous domaines Maths '!K504&lt;=5, 'Items sous domaines Maths '!K504&gt;0),'Items sous domaines Maths '!C504)</f>
        <v>0</v>
      </c>
      <c r="D480" s="8">
        <f>IF(AND('Items sous domaines Maths '!K504&lt;=5, 'Items sous domaines Maths '!K504&gt;0),'Items sous domaines Maths '!D504,0)</f>
        <v>0</v>
      </c>
      <c r="E480" s="8">
        <f>IF(AND('Items sous domaines Maths '!K504&lt;=5, 'Items sous domaines Maths '!K504&gt;0),'Items sous domaines Maths '!E504,0)</f>
        <v>0</v>
      </c>
      <c r="F480" s="9">
        <f>IF(AND('Items sous domaines Maths '!K504&lt;=5, 'Items sous domaines Maths '!K504&gt;0),'Items sous domaines Maths '!F498,0)</f>
        <v>0</v>
      </c>
      <c r="G480">
        <f>IF('Items sous domaines Maths '!H504&lt;4,'Items sous domaines Maths '!G504,0)</f>
        <v>0</v>
      </c>
      <c r="H480" s="9">
        <f>IF(AND('Items sous domaines Maths '!K484&lt;=5, 'Items sous domaines Maths '!K484&gt;0),'Items sous domaines Maths '!L484,0)</f>
        <v>0</v>
      </c>
    </row>
    <row r="481" spans="1:8" customFormat="1" ht="13.8" hidden="1" thickTop="1" x14ac:dyDescent="0.25">
      <c r="B481" s="8">
        <f>IF(AND('Items sous domaines Maths '!K505&lt;=5, 'Items sous domaines Maths '!K505&gt;0),'Items sous domaines Maths '!B505,0)</f>
        <v>0</v>
      </c>
      <c r="C481" s="8" t="b">
        <f>IF(AND('Items sous domaines Maths '!K505&lt;=5, 'Items sous domaines Maths '!K505&gt;0),'Items sous domaines Maths '!C505)</f>
        <v>0</v>
      </c>
      <c r="D481" s="8">
        <f>IF(AND('Items sous domaines Maths '!K505&lt;=5, 'Items sous domaines Maths '!K505&gt;0),'Items sous domaines Maths '!D505,0)</f>
        <v>0</v>
      </c>
      <c r="E481" s="8">
        <f>IF(AND('Items sous domaines Maths '!K505&lt;=5, 'Items sous domaines Maths '!K505&gt;0),'Items sous domaines Maths '!E505,0)</f>
        <v>0</v>
      </c>
      <c r="F481" s="9">
        <f>IF(AND('Items sous domaines Maths '!K505&lt;=5, 'Items sous domaines Maths '!K505&gt;0),'Items sous domaines Maths '!F499,0)</f>
        <v>0</v>
      </c>
      <c r="G481">
        <f>IF('Items sous domaines Maths '!H505&lt;4,'Items sous domaines Maths '!G505,0)</f>
        <v>0</v>
      </c>
      <c r="H481" s="9">
        <f>IF(AND('Items sous domaines Maths '!K485&lt;=5, 'Items sous domaines Maths '!K485&gt;0),'Items sous domaines Maths '!L485,0)</f>
        <v>0</v>
      </c>
    </row>
    <row r="482" spans="1:8" customFormat="1" ht="13.8" hidden="1" thickTop="1" x14ac:dyDescent="0.25">
      <c r="B482" s="8">
        <f>IF(AND('Items sous domaines Maths '!H506&lt;=1, 'Items sous domaines Maths '!H506&gt;0),'Items sous domaines Maths '!B506,0)</f>
        <v>0</v>
      </c>
      <c r="C482" s="8" t="b">
        <f>IF(AND('Items sous domaines Maths '!H506&lt;=1, 'Items sous domaines Maths '!H506&gt;0),'Items sous domaines Maths '!C506)</f>
        <v>0</v>
      </c>
      <c r="D482" s="8">
        <f>IF(AND('Items sous domaines Maths '!H506&lt;=14, 'Items sous domaines Maths '!H506&gt;0),'Items sous domaines Maths '!D506,0)</f>
        <v>0</v>
      </c>
      <c r="E482" s="8">
        <f>IF(AND('Items sous domaines Maths '!H506&lt;=1, 'Items sous domaines Maths '!H506&gt;0),'Items sous domaines Maths '!E506,0)</f>
        <v>0</v>
      </c>
      <c r="F482" s="9">
        <f>IF(AND('Items sous domaines Maths '!H506&lt;=1, 'Items sous domaines Maths '!H506&gt;0),'Items sous domaines Maths '!F500,0)</f>
        <v>0</v>
      </c>
      <c r="G482">
        <f>IF('Items sous domaines Maths '!H506&lt;4,'Items sous domaines Maths '!G506,0)</f>
        <v>0</v>
      </c>
      <c r="H482" s="9">
        <f>IF(AND('Items sous domaines Maths '!K486&lt;=5, 'Items sous domaines Maths '!K486&gt;0),'Items sous domaines Maths '!L486,0)</f>
        <v>0</v>
      </c>
    </row>
    <row r="483" spans="1:8" customFormat="1" ht="13.8" hidden="1" thickTop="1" x14ac:dyDescent="0.25">
      <c r="B483" s="8">
        <f>IF(AND('Items sous domaines Maths '!H507&lt;=1, 'Items sous domaines Maths '!H507&gt;0),'Items sous domaines Maths '!B507,0)</f>
        <v>0</v>
      </c>
      <c r="C483" s="8" t="b">
        <f>IF(AND('Items sous domaines Maths '!H507&lt;=1, 'Items sous domaines Maths '!H507&gt;0),'Items sous domaines Maths '!C507)</f>
        <v>0</v>
      </c>
      <c r="D483" s="8">
        <f>IF(AND('Items sous domaines Maths '!H507&lt;=14, 'Items sous domaines Maths '!H507&gt;0),'Items sous domaines Maths '!D507,0)</f>
        <v>0</v>
      </c>
      <c r="E483" s="8">
        <f>IF(AND('Items sous domaines Maths '!H507&lt;=1, 'Items sous domaines Maths '!H507&gt;0),'Items sous domaines Maths '!E507,0)</f>
        <v>0</v>
      </c>
      <c r="F483" s="9">
        <f>IF(AND('Items sous domaines Maths '!H507&lt;=1, 'Items sous domaines Maths '!H507&gt;0),'Items sous domaines Maths '!F501,0)</f>
        <v>0</v>
      </c>
      <c r="G483">
        <f>IF('Items sous domaines Maths '!H507&lt;4,'Items sous domaines Maths '!G507,0)</f>
        <v>0</v>
      </c>
      <c r="H483" s="3"/>
    </row>
    <row r="484" spans="1:8" customFormat="1" ht="13.8" hidden="1" thickTop="1" x14ac:dyDescent="0.25">
      <c r="B484" s="8">
        <f>IF(AND('Items sous domaines Maths '!H508&lt;=1, 'Items sous domaines Maths '!H508&gt;0),'Items sous domaines Maths '!B508,0)</f>
        <v>0</v>
      </c>
      <c r="C484" s="8" t="b">
        <f>IF(AND('Items sous domaines Maths '!H508&lt;=1, 'Items sous domaines Maths '!H508&gt;0),'Items sous domaines Maths '!C508)</f>
        <v>0</v>
      </c>
      <c r="D484" s="8">
        <f>IF(AND('Items sous domaines Maths '!H508&lt;=14, 'Items sous domaines Maths '!H508&gt;0),'Items sous domaines Maths '!D508,0)</f>
        <v>0</v>
      </c>
      <c r="E484" s="8">
        <f>IF(AND('Items sous domaines Maths '!H508&lt;=1, 'Items sous domaines Maths '!H508&gt;0),'Items sous domaines Maths '!E508,0)</f>
        <v>0</v>
      </c>
      <c r="F484" s="9">
        <f>IF(AND('Items sous domaines Maths '!H508&lt;=1, 'Items sous domaines Maths '!H508&gt;0),'Items sous domaines Maths '!F502,0)</f>
        <v>0</v>
      </c>
      <c r="G484">
        <f>IF('Items sous domaines Maths '!H508&lt;4,'Items sous domaines Maths '!G508,0)</f>
        <v>0</v>
      </c>
      <c r="H484" s="3"/>
    </row>
    <row r="485" spans="1:8" customFormat="1" ht="13.2" hidden="1" x14ac:dyDescent="0.25">
      <c r="A485" s="17"/>
      <c r="B485" s="8">
        <f>IF(AND('Items sous domaines Maths '!H509&lt;=1, 'Items sous domaines Maths '!H509&gt;0),'Items sous domaines Maths '!B509,0)</f>
        <v>0</v>
      </c>
      <c r="C485" s="8" t="b">
        <f>IF(AND('Items sous domaines Maths '!H509&lt;=1, 'Items sous domaines Maths '!H509&gt;0),'Items sous domaines Maths '!C509)</f>
        <v>0</v>
      </c>
      <c r="D485" s="8">
        <f>IF(AND('Items sous domaines Maths '!H509&lt;=14, 'Items sous domaines Maths '!H509&gt;0),'Items sous domaines Maths '!D509,0)</f>
        <v>0</v>
      </c>
      <c r="E485" s="8">
        <f>IF(AND('Items sous domaines Maths '!H509&lt;=1, 'Items sous domaines Maths '!H509&gt;0),'Items sous domaines Maths '!E509,0)</f>
        <v>0</v>
      </c>
      <c r="F485" s="9">
        <f>IF(AND('Items sous domaines Maths '!H509&lt;=1, 'Items sous domaines Maths '!H509&gt;0),'Items sous domaines Maths '!F503,0)</f>
        <v>0</v>
      </c>
      <c r="G485" s="4"/>
      <c r="H485" s="3"/>
    </row>
    <row r="486" spans="1:8" ht="18.600000000000001" thickTop="1" x14ac:dyDescent="0.3"/>
  </sheetData>
  <autoFilter ref="A3:J485" xr:uid="{00000000-0009-0000-0000-000009000000}">
    <filterColumn colId="1">
      <filters>
        <filter val="Algèbre"/>
        <filter val="Analyse"/>
        <filter val="Géométrie"/>
        <filter val="Probabilité et statistiques"/>
      </filters>
    </filterColumn>
  </autoFilter>
  <mergeCells count="34">
    <mergeCell ref="G4:G375"/>
    <mergeCell ref="A307:A317"/>
    <mergeCell ref="A187:A206"/>
    <mergeCell ref="A279:A295"/>
    <mergeCell ref="A230:A243"/>
    <mergeCell ref="A59:A68"/>
    <mergeCell ref="A208:A228"/>
    <mergeCell ref="A176:A185"/>
    <mergeCell ref="A157:A171"/>
    <mergeCell ref="A359:A375"/>
    <mergeCell ref="A264:A276"/>
    <mergeCell ref="A245:A262"/>
    <mergeCell ref="A339:A357"/>
    <mergeCell ref="H339:H375"/>
    <mergeCell ref="H307:H317"/>
    <mergeCell ref="H279:H294"/>
    <mergeCell ref="H245:H276"/>
    <mergeCell ref="H230:H242"/>
    <mergeCell ref="A1:G1"/>
    <mergeCell ref="A2:G2"/>
    <mergeCell ref="H85:H107"/>
    <mergeCell ref="H208:H228"/>
    <mergeCell ref="H196:H206"/>
    <mergeCell ref="H187:H195"/>
    <mergeCell ref="H168:H171"/>
    <mergeCell ref="H157:H167"/>
    <mergeCell ref="H109:H120"/>
    <mergeCell ref="H22:H34"/>
    <mergeCell ref="H36:H52"/>
    <mergeCell ref="H2:I2"/>
    <mergeCell ref="H59:H68"/>
    <mergeCell ref="H4:H19"/>
    <mergeCell ref="A4:A58"/>
    <mergeCell ref="A85:A156"/>
  </mergeCells>
  <hyperlinks>
    <hyperlink ref="H307" r:id="rId1" display="https://uel.unisciel.fr/mathematiques/analyse1/analyse1_ch02/co/analyse1_ch02.html" xr:uid="{00000000-0004-0000-0900-000000000000}"/>
    <hyperlink ref="H339" r:id="rId2" xr:uid="{00000000-0004-0000-0900-000001000000}"/>
    <hyperlink ref="H279" r:id="rId3" xr:uid="{00000000-0004-0000-0900-000002000000}"/>
    <hyperlink ref="H245" r:id="rId4" xr:uid="{00000000-0004-0000-0900-000003000000}"/>
    <hyperlink ref="H230" r:id="rId5" xr:uid="{00000000-0004-0000-0900-000004000000}"/>
    <hyperlink ref="H85" r:id="rId6" xr:uid="{00000000-0004-0000-0900-000005000000}"/>
    <hyperlink ref="H4" r:id="rId7" xr:uid="{00000000-0004-0000-0900-000006000000}"/>
  </hyperlinks>
  <pageMargins left="0.7" right="0.7" top="0.75" bottom="0.75" header="0.3" footer="0.3"/>
  <pageSetup paperSize="9" orientation="portrait" r:id="rId8"/>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tabColor rgb="FF326295"/>
  </sheetPr>
  <dimension ref="A1:I426"/>
  <sheetViews>
    <sheetView topLeftCell="A218" zoomScale="72" zoomScaleNormal="55" workbookViewId="0">
      <selection activeCell="D214" sqref="D214"/>
    </sheetView>
  </sheetViews>
  <sheetFormatPr baseColWidth="10" defaultColWidth="11.44140625" defaultRowHeight="18" x14ac:dyDescent="0.3"/>
  <cols>
    <col min="1" max="1" width="40.6640625" style="109" customWidth="1"/>
    <col min="2" max="2" width="30.6640625" style="28" customWidth="1"/>
    <col min="3" max="3" width="30.6640625" style="110" customWidth="1"/>
    <col min="4" max="4" width="44.6640625" style="111" customWidth="1"/>
    <col min="5" max="5" width="94.6640625" style="111" customWidth="1"/>
    <col min="6" max="6" width="255.6640625" style="112" bestFit="1" customWidth="1"/>
    <col min="7" max="7" width="40.6640625" style="113" customWidth="1"/>
    <col min="8" max="8" width="60.6640625" style="108" customWidth="1"/>
    <col min="9" max="16384" width="11.44140625" style="28"/>
  </cols>
  <sheetData>
    <row r="1" spans="1:9" ht="46.2" customHeight="1" thickTop="1" x14ac:dyDescent="0.3">
      <c r="A1" s="700" t="s">
        <v>441</v>
      </c>
      <c r="B1" s="701"/>
      <c r="C1" s="701"/>
      <c r="D1" s="701"/>
      <c r="E1" s="701"/>
      <c r="F1" s="701"/>
      <c r="G1" s="701"/>
      <c r="H1" s="244"/>
      <c r="I1" s="245"/>
    </row>
    <row r="2" spans="1:9" ht="42" customHeight="1" thickBot="1" x14ac:dyDescent="0.35">
      <c r="A2" s="702" t="s">
        <v>520</v>
      </c>
      <c r="B2" s="703"/>
      <c r="C2" s="703"/>
      <c r="D2" s="703"/>
      <c r="E2" s="703"/>
      <c r="F2" s="703"/>
      <c r="G2" s="703"/>
      <c r="H2" s="492"/>
      <c r="I2" s="652"/>
    </row>
    <row r="3" spans="1:9" s="107" customFormat="1" ht="17.399999999999999" customHeight="1" thickBot="1" x14ac:dyDescent="0.45">
      <c r="A3" s="270" t="str">
        <f>'A1 CPI S1'!A3</f>
        <v>EE du DS</v>
      </c>
      <c r="B3" s="234" t="str">
        <f>'A1 CPI S1'!B3</f>
        <v>Domaine</v>
      </c>
      <c r="C3" s="234" t="str">
        <f>'A1 CPI S1'!C3</f>
        <v>Discipline</v>
      </c>
      <c r="D3" s="234" t="str">
        <f>'A1 CPI S1'!D3</f>
        <v>Chapitres</v>
      </c>
      <c r="E3" s="234" t="str">
        <f>'A1 CPI S1'!E3</f>
        <v>Thèmes</v>
      </c>
      <c r="F3" s="234" t="str">
        <f>'A1 CPI S1'!F3</f>
        <v>Détail des chapitres</v>
      </c>
      <c r="G3" s="234" t="s">
        <v>303</v>
      </c>
      <c r="H3" s="671"/>
      <c r="I3" s="672"/>
    </row>
    <row r="4" spans="1:9" customFormat="1" ht="25.2" hidden="1" customHeight="1" thickTop="1" thickBot="1" x14ac:dyDescent="0.3">
      <c r="A4" s="750" t="s">
        <v>476</v>
      </c>
      <c r="B4">
        <f>IF(AND('Items sous domaines Maths '!K8=6, 'Items sous domaines Maths '!K8&gt;0),'Items sous domaines Maths '!B8,0)</f>
        <v>0</v>
      </c>
      <c r="C4" t="b">
        <f>IF(AND('Items sous domaines Maths '!K8=6, 'Items sous domaines Maths '!K8&gt;0),'Items sous domaines Maths '!C8)</f>
        <v>0</v>
      </c>
      <c r="D4">
        <f>IF(AND('Items sous domaines Maths '!K8=6, 'Items sous domaines Maths '!K8&gt;0),'Items sous domaines Maths '!D8,0)</f>
        <v>0</v>
      </c>
      <c r="E4">
        <f>IF(AND('Items sous domaines Maths '!K8=6, 'Items sous domaines Maths '!K8&gt;0),'Items sous domaines Maths '!E8,0)</f>
        <v>0</v>
      </c>
      <c r="F4" s="10">
        <f>IF(AND('Items sous domaines Maths '!K8=6, 'Items sous domaines Maths '!K8&gt;0),'Items sous domaines Maths '!F8,0)</f>
        <v>0</v>
      </c>
      <c r="G4">
        <f>IF(AND('Items sous domaines Maths '!K8=6, 'Items sous domaines Maths '!K8&gt;0),'Items sous domaines Maths '!G8,0)</f>
        <v>0</v>
      </c>
    </row>
    <row r="5" spans="1:9" customFormat="1" ht="22.2" hidden="1" customHeight="1" thickBot="1" x14ac:dyDescent="0.3">
      <c r="A5" s="750"/>
      <c r="B5" s="8">
        <f>IF(AND('Items sous domaines Maths '!K9=6, 'Items sous domaines Maths '!K9&gt;0),'Items sous domaines Maths '!B9,0)</f>
        <v>0</v>
      </c>
      <c r="C5" s="8" t="b">
        <f>IF(AND('Items sous domaines Maths '!K9=6, 'Items sous domaines Maths '!K9&gt;0),'Items sous domaines Maths '!C9)</f>
        <v>0</v>
      </c>
      <c r="D5" s="8">
        <f>IF(AND('Items sous domaines Maths '!K9=6, 'Items sous domaines Maths '!K9&gt;0),'Items sous domaines Maths '!D9,0)</f>
        <v>0</v>
      </c>
      <c r="E5" s="8">
        <f>IF(AND('Items sous domaines Maths '!K9=6, 'Items sous domaines Maths '!K9&gt;0),'Items sous domaines Maths '!E9,0)</f>
        <v>0</v>
      </c>
      <c r="F5" s="9">
        <f>IF(AND('Items sous domaines Maths '!K9=6, 'Items sous domaines Maths '!K9&gt;0),'Items sous domaines Maths '!F9,0)</f>
        <v>0</v>
      </c>
      <c r="G5">
        <f>IF('Items sous domaines Maths '!K9=6,'Items sous domaines Maths '!G9,0)</f>
        <v>0</v>
      </c>
    </row>
    <row r="6" spans="1:9" customFormat="1" ht="17.399999999999999" hidden="1" customHeight="1" thickBot="1" x14ac:dyDescent="0.3">
      <c r="A6" s="750"/>
      <c r="B6" s="8">
        <f>IF(AND('Items sous domaines Maths '!K10=6, 'Items sous domaines Maths '!K10&gt;0),'Items sous domaines Maths '!B10,0)</f>
        <v>0</v>
      </c>
      <c r="C6" s="8" t="b">
        <f>IF(AND('Items sous domaines Maths '!K10=6, 'Items sous domaines Maths '!K10&gt;0),'Items sous domaines Maths '!C10)</f>
        <v>0</v>
      </c>
      <c r="D6" s="8">
        <f>IF(AND('Items sous domaines Maths '!K10=6, 'Items sous domaines Maths '!K10&gt;0),'Items sous domaines Maths '!D10,0)</f>
        <v>0</v>
      </c>
      <c r="E6" s="8">
        <f>IF(AND('Items sous domaines Maths '!K10=6, 'Items sous domaines Maths '!K10&gt;0),'Items sous domaines Maths '!E10,0)</f>
        <v>0</v>
      </c>
      <c r="F6" s="9">
        <f>IF(AND('Items sous domaines Maths '!K10=6, 'Items sous domaines Maths '!K10&gt;0),'Items sous domaines Maths '!F10,0)</f>
        <v>0</v>
      </c>
      <c r="G6">
        <f>IF('Items sous domaines Maths '!K10=6,'Items sous domaines Maths '!G10,0)</f>
        <v>0</v>
      </c>
    </row>
    <row r="7" spans="1:9" s="61" customFormat="1" ht="19.95" hidden="1" customHeight="1" thickTop="1" x14ac:dyDescent="0.25">
      <c r="A7" s="665"/>
      <c r="B7" s="271">
        <f>IF(AND('Items sous domaines Maths '!K11=6, 'Items sous domaines Maths '!K11&gt;0),'Items sous domaines Maths '!B11,0)</f>
        <v>0</v>
      </c>
      <c r="C7" s="182" t="b">
        <f>IF(AND('Items sous domaines Maths '!K11=6, 'Items sous domaines Maths '!K11&gt;0),'Items sous domaines Maths '!C11)</f>
        <v>0</v>
      </c>
      <c r="D7" s="182">
        <f>IF(AND('Items sous domaines Maths '!K11=6, 'Items sous domaines Maths '!K11&gt;0),'Items sous domaines Maths '!D11,0)</f>
        <v>0</v>
      </c>
      <c r="E7" s="182">
        <f>IF(AND('Items sous domaines Maths '!K11=6, 'Items sous domaines Maths '!K11&gt;0),'Items sous domaines Maths '!E11,0)</f>
        <v>0</v>
      </c>
      <c r="F7" s="183">
        <f>IF(AND('Items sous domaines Maths '!K11=6, 'Items sous domaines Maths '!K11&gt;0),'Items sous domaines Maths '!F11,0)</f>
        <v>0</v>
      </c>
      <c r="G7" s="648" t="s">
        <v>482</v>
      </c>
      <c r="H7" s="190"/>
      <c r="I7" s="178"/>
    </row>
    <row r="8" spans="1:9" s="61" customFormat="1" ht="19.95" hidden="1" customHeight="1" x14ac:dyDescent="0.25">
      <c r="A8" s="666"/>
      <c r="B8" s="169">
        <f>IF(AND('Items sous domaines Maths '!K12=6, 'Items sous domaines Maths '!K12&gt;0),'Items sous domaines Maths '!B12,0)</f>
        <v>0</v>
      </c>
      <c r="C8" s="142" t="b">
        <f>IF(AND('Items sous domaines Maths '!K12=6, 'Items sous domaines Maths '!K12&gt;0),'Items sous domaines Maths '!C12)</f>
        <v>0</v>
      </c>
      <c r="D8" s="142">
        <f>IF(AND('Items sous domaines Maths '!K12=6, 'Items sous domaines Maths '!K12&gt;0),'Items sous domaines Maths '!D12,0)</f>
        <v>0</v>
      </c>
      <c r="E8" s="142">
        <f>IF(AND('Items sous domaines Maths '!K12=6, 'Items sous domaines Maths '!K12&gt;0),'Items sous domaines Maths '!E12,0)</f>
        <v>0</v>
      </c>
      <c r="F8" s="143">
        <f>IF(AND('Items sous domaines Maths '!K12=6, 'Items sous domaines Maths '!K12&gt;0),'Items sous domaines Maths '!F12,0)</f>
        <v>0</v>
      </c>
      <c r="G8" s="649"/>
      <c r="H8" s="272" t="s">
        <v>21</v>
      </c>
      <c r="I8" s="199"/>
    </row>
    <row r="9" spans="1:9" s="61" customFormat="1" ht="19.95" hidden="1" customHeight="1" x14ac:dyDescent="0.25">
      <c r="A9" s="666"/>
      <c r="B9" s="172">
        <f>IF(AND('Items sous domaines Maths '!K13=6, 'Items sous domaines Maths '!K13&gt;0),'Items sous domaines Maths '!B13,0)</f>
        <v>0</v>
      </c>
      <c r="C9" s="145" t="b">
        <f>IF(AND('Items sous domaines Maths '!K13=6, 'Items sous domaines Maths '!K13&gt;0),'Items sous domaines Maths '!C13)</f>
        <v>0</v>
      </c>
      <c r="D9" s="145">
        <f>IF(AND('Items sous domaines Maths '!K13=6, 'Items sous domaines Maths '!K13&gt;0),'Items sous domaines Maths '!D13,0)</f>
        <v>0</v>
      </c>
      <c r="E9" s="145">
        <f>IF(AND('Items sous domaines Maths '!K13=6, 'Items sous domaines Maths '!K13&gt;0),'Items sous domaines Maths '!E13,0)</f>
        <v>0</v>
      </c>
      <c r="F9" s="146">
        <f>IF(AND('Items sous domaines Maths '!K13=6, 'Items sous domaines Maths '!K13&gt;0),'Items sous domaines Maths '!F13,0)</f>
        <v>0</v>
      </c>
      <c r="G9" s="649"/>
      <c r="H9" s="114"/>
      <c r="I9" s="199"/>
    </row>
    <row r="10" spans="1:9" s="61" customFormat="1" ht="19.95" hidden="1" customHeight="1" thickBot="1" x14ac:dyDescent="0.3">
      <c r="A10" s="751"/>
      <c r="B10" s="273">
        <f>IF(AND('Items sous domaines Maths '!K14=6, 'Items sous domaines Maths '!K14&gt;0),'Items sous domaines Maths '!B14,0)</f>
        <v>0</v>
      </c>
      <c r="C10" s="187" t="b">
        <f>IF(AND('Items sous domaines Maths '!K14=6, 'Items sous domaines Maths '!K14&gt;0),'Items sous domaines Maths '!C14)</f>
        <v>0</v>
      </c>
      <c r="D10" s="187">
        <f>IF(AND('Items sous domaines Maths '!K14=6, 'Items sous domaines Maths '!K14&gt;0),'Items sous domaines Maths '!D14,0)</f>
        <v>0</v>
      </c>
      <c r="E10" s="187">
        <f>IF(AND('Items sous domaines Maths '!K14=6, 'Items sous domaines Maths '!K14&gt;0),'Items sous domaines Maths '!E14,0)</f>
        <v>0</v>
      </c>
      <c r="F10" s="188">
        <f>IF(AND('Items sous domaines Maths '!K14=6, 'Items sous domaines Maths '!K14&gt;0),'Items sous domaines Maths '!F14,0)</f>
        <v>0</v>
      </c>
      <c r="G10" s="650"/>
      <c r="H10" s="191"/>
      <c r="I10" s="189"/>
    </row>
    <row r="11" spans="1:9" customFormat="1" ht="17.399999999999999" hidden="1" customHeight="1" thickTop="1" thickBot="1" x14ac:dyDescent="0.3">
      <c r="A11" s="750"/>
      <c r="B11">
        <f>IF(AND('Items sous domaines Maths '!K15=6, 'Items sous domaines Maths '!K15&gt;0),'Items sous domaines Maths '!B15,0)</f>
        <v>0</v>
      </c>
      <c r="C11" t="b">
        <f>IF(AND('Items sous domaines Maths '!K15=6, 'Items sous domaines Maths '!K15&gt;0),'Items sous domaines Maths '!C15)</f>
        <v>0</v>
      </c>
      <c r="D11">
        <f>IF(AND('Items sous domaines Maths '!K15=6, 'Items sous domaines Maths '!K15&gt;0),'Items sous domaines Maths '!D15,0)</f>
        <v>0</v>
      </c>
      <c r="E11">
        <f>IF(AND('Items sous domaines Maths '!K15=6, 'Items sous domaines Maths '!K15&gt;0),'Items sous domaines Maths '!E15,0)</f>
        <v>0</v>
      </c>
      <c r="F11" s="10">
        <f>IF(AND('Items sous domaines Maths '!K15=6, 'Items sous domaines Maths '!K15&gt;0),'Items sous domaines Maths '!F15,0)</f>
        <v>0</v>
      </c>
      <c r="G11" s="647"/>
    </row>
    <row r="12" spans="1:9" customFormat="1" ht="17.399999999999999" hidden="1" customHeight="1" thickBot="1" x14ac:dyDescent="0.3">
      <c r="A12" s="750"/>
      <c r="B12" s="8">
        <f>IF(AND('Items sous domaines Maths '!K16=6, 'Items sous domaines Maths '!K16&gt;0),'Items sous domaines Maths '!B16,0)</f>
        <v>0</v>
      </c>
      <c r="C12" s="8" t="b">
        <f>IF(AND('Items sous domaines Maths '!K16=6, 'Items sous domaines Maths '!K16&gt;0),'Items sous domaines Maths '!C16)</f>
        <v>0</v>
      </c>
      <c r="D12" s="8">
        <f>IF(AND('Items sous domaines Maths '!K16=6, 'Items sous domaines Maths '!K16&gt;0),'Items sous domaines Maths '!D16,0)</f>
        <v>0</v>
      </c>
      <c r="E12" s="8">
        <f>IF(AND('Items sous domaines Maths '!K16=6, 'Items sous domaines Maths '!K16&gt;0),'Items sous domaines Maths '!E16,0)</f>
        <v>0</v>
      </c>
      <c r="F12" s="9">
        <f>IF(AND('Items sous domaines Maths '!K16=6, 'Items sous domaines Maths '!K16&gt;0),'Items sous domaines Maths '!F16,0)</f>
        <v>0</v>
      </c>
      <c r="G12" s="647"/>
    </row>
    <row r="13" spans="1:9" customFormat="1" ht="17.399999999999999" hidden="1" customHeight="1" thickBot="1" x14ac:dyDescent="0.3">
      <c r="A13" s="750"/>
      <c r="B13" s="8">
        <f>IF(AND('Items sous domaines Maths '!K17=6, 'Items sous domaines Maths '!K17&gt;0),'Items sous domaines Maths '!B17,0)</f>
        <v>0</v>
      </c>
      <c r="C13" s="8" t="b">
        <f>IF(AND('Items sous domaines Maths '!K17=6, 'Items sous domaines Maths '!K17&gt;0),'Items sous domaines Maths '!C17)</f>
        <v>0</v>
      </c>
      <c r="D13" s="8">
        <f>IF(AND('Items sous domaines Maths '!K17=6, 'Items sous domaines Maths '!K17&gt;0),'Items sous domaines Maths '!D17,0)</f>
        <v>0</v>
      </c>
      <c r="E13" s="8">
        <f>IF(AND('Items sous domaines Maths '!K17=6, 'Items sous domaines Maths '!K17&gt;0),'Items sous domaines Maths '!E17,0)</f>
        <v>0</v>
      </c>
      <c r="F13" s="9">
        <f>IF(AND('Items sous domaines Maths '!K17=6, 'Items sous domaines Maths '!K17&gt;0),'Items sous domaines Maths '!F17,0)</f>
        <v>0</v>
      </c>
      <c r="G13" s="647"/>
    </row>
    <row r="14" spans="1:9" customFormat="1" ht="17.399999999999999" hidden="1" customHeight="1" thickBot="1" x14ac:dyDescent="0.3">
      <c r="A14" s="750"/>
      <c r="B14" s="8">
        <f>IF(AND('Items sous domaines Maths '!K18=6, 'Items sous domaines Maths '!K18&gt;0),'Items sous domaines Maths '!B18,0)</f>
        <v>0</v>
      </c>
      <c r="C14" s="8" t="b">
        <f>IF(AND('Items sous domaines Maths '!K18=6, 'Items sous domaines Maths '!K18&gt;0),'Items sous domaines Maths '!C18)</f>
        <v>0</v>
      </c>
      <c r="D14" s="8">
        <f>IF(AND('Items sous domaines Maths '!K18=6, 'Items sous domaines Maths '!K18&gt;0),'Items sous domaines Maths '!D18,0)</f>
        <v>0</v>
      </c>
      <c r="E14" s="8">
        <f>IF(AND('Items sous domaines Maths '!K18=6, 'Items sous domaines Maths '!K18&gt;0),'Items sous domaines Maths '!E18,0)</f>
        <v>0</v>
      </c>
      <c r="F14" s="9">
        <f>IF(AND('Items sous domaines Maths '!K18=6, 'Items sous domaines Maths '!K18&gt;0),'Items sous domaines Maths '!F18,0)</f>
        <v>0</v>
      </c>
      <c r="G14" s="647"/>
    </row>
    <row r="15" spans="1:9" customFormat="1" ht="17.399999999999999" hidden="1" customHeight="1" thickBot="1" x14ac:dyDescent="0.3">
      <c r="A15" s="750"/>
      <c r="B15" s="8">
        <f>IF(AND('Items sous domaines Maths '!K19=6, 'Items sous domaines Maths '!K19&gt;0),'Items sous domaines Maths '!B19,0)</f>
        <v>0</v>
      </c>
      <c r="C15" s="8" t="b">
        <f>IF(AND('Items sous domaines Maths '!K19=6, 'Items sous domaines Maths '!K19&gt;0),'Items sous domaines Maths '!C19)</f>
        <v>0</v>
      </c>
      <c r="D15" s="8">
        <f>IF(AND('Items sous domaines Maths '!K19=6, 'Items sous domaines Maths '!K19&gt;0),'Items sous domaines Maths '!D19,0)</f>
        <v>0</v>
      </c>
      <c r="E15" s="8">
        <f>IF(AND('Items sous domaines Maths '!K19=6, 'Items sous domaines Maths '!K19&gt;0),'Items sous domaines Maths '!E19,0)</f>
        <v>0</v>
      </c>
      <c r="F15" s="9">
        <f>IF(AND('Items sous domaines Maths '!K19=6, 'Items sous domaines Maths '!K19&gt;0),'Items sous domaines Maths '!F19,0)</f>
        <v>0</v>
      </c>
      <c r="G15" s="647"/>
    </row>
    <row r="16" spans="1:9" customFormat="1" ht="17.399999999999999" hidden="1" customHeight="1" thickBot="1" x14ac:dyDescent="0.3">
      <c r="A16" s="750"/>
      <c r="B16" s="8">
        <f>IF(AND('Items sous domaines Maths '!K20=6, 'Items sous domaines Maths '!K20&gt;0),'Items sous domaines Maths '!B20,0)</f>
        <v>0</v>
      </c>
      <c r="C16" s="8" t="b">
        <f>IF(AND('Items sous domaines Maths '!K20=6, 'Items sous domaines Maths '!K20&gt;0),'Items sous domaines Maths '!C20)</f>
        <v>0</v>
      </c>
      <c r="D16" s="8">
        <f>IF(AND('Items sous domaines Maths '!K20=6, 'Items sous domaines Maths '!K20&gt;0),'Items sous domaines Maths '!D20,0)</f>
        <v>0</v>
      </c>
      <c r="E16" s="8">
        <f>IF(AND('Items sous domaines Maths '!K20=6, 'Items sous domaines Maths '!K20&gt;0),'Items sous domaines Maths '!E20,0)</f>
        <v>0</v>
      </c>
      <c r="F16" s="9">
        <f>IF(AND('Items sous domaines Maths '!K20=6, 'Items sous domaines Maths '!K20&gt;0),'Items sous domaines Maths '!F20,0)</f>
        <v>0</v>
      </c>
      <c r="G16" s="647"/>
    </row>
    <row r="17" spans="1:7" customFormat="1" ht="17.399999999999999" hidden="1" customHeight="1" thickBot="1" x14ac:dyDescent="0.3">
      <c r="A17" s="750"/>
      <c r="B17" s="8">
        <f>IF(AND('Items sous domaines Maths '!K21=6, 'Items sous domaines Maths '!K21&gt;0),'Items sous domaines Maths '!B21,0)</f>
        <v>0</v>
      </c>
      <c r="C17" s="8" t="b">
        <f>IF(AND('Items sous domaines Maths '!K21=6, 'Items sous domaines Maths '!K21&gt;0),'Items sous domaines Maths '!C21)</f>
        <v>0</v>
      </c>
      <c r="D17" s="8">
        <f>IF(AND('Items sous domaines Maths '!K21=6, 'Items sous domaines Maths '!K21&gt;0),'Items sous domaines Maths '!D21,0)</f>
        <v>0</v>
      </c>
      <c r="E17" s="8">
        <f>IF(AND('Items sous domaines Maths '!K21=6, 'Items sous domaines Maths '!K21&gt;0),'Items sous domaines Maths '!E21,0)</f>
        <v>0</v>
      </c>
      <c r="F17" s="9">
        <f>IF(AND('Items sous domaines Maths '!K21=6, 'Items sous domaines Maths '!K21&gt;0),'Items sous domaines Maths '!F21,0)</f>
        <v>0</v>
      </c>
      <c r="G17" s="647"/>
    </row>
    <row r="18" spans="1:7" customFormat="1" ht="17.399999999999999" hidden="1" customHeight="1" thickBot="1" x14ac:dyDescent="0.3">
      <c r="A18" s="750"/>
      <c r="B18" s="8">
        <f>IF(AND('Items sous domaines Maths '!K22=6, 'Items sous domaines Maths '!K22&gt;0),'Items sous domaines Maths '!B22,0)</f>
        <v>0</v>
      </c>
      <c r="C18" s="8" t="b">
        <f>IF(AND('Items sous domaines Maths '!K22=6, 'Items sous domaines Maths '!K22&gt;0),'Items sous domaines Maths '!C22)</f>
        <v>0</v>
      </c>
      <c r="D18" s="8">
        <f>IF(AND('Items sous domaines Maths '!K22=6, 'Items sous domaines Maths '!K22&gt;0),'Items sous domaines Maths '!D22,0)</f>
        <v>0</v>
      </c>
      <c r="E18" s="8">
        <f>IF(AND('Items sous domaines Maths '!K22=6, 'Items sous domaines Maths '!K22&gt;0),'Items sous domaines Maths '!E22,0)</f>
        <v>0</v>
      </c>
      <c r="F18" s="9">
        <f>IF(AND('Items sous domaines Maths '!K22=6, 'Items sous domaines Maths '!K22&gt;0),'Items sous domaines Maths '!F22,0)</f>
        <v>0</v>
      </c>
      <c r="G18" s="647"/>
    </row>
    <row r="19" spans="1:7" customFormat="1" ht="17.399999999999999" hidden="1" customHeight="1" thickBot="1" x14ac:dyDescent="0.3">
      <c r="A19" s="750"/>
      <c r="B19" s="8">
        <f>IF(AND('Items sous domaines Maths '!K23=6, 'Items sous domaines Maths '!K23&gt;0),'Items sous domaines Maths '!B23,0)</f>
        <v>0</v>
      </c>
      <c r="C19" s="8" t="b">
        <f>IF(AND('Items sous domaines Maths '!K23=6, 'Items sous domaines Maths '!K23&gt;0),'Items sous domaines Maths '!C23)</f>
        <v>0</v>
      </c>
      <c r="D19" s="8">
        <f>IF(AND('Items sous domaines Maths '!K23=6, 'Items sous domaines Maths '!K23&gt;0),'Items sous domaines Maths '!D23,0)</f>
        <v>0</v>
      </c>
      <c r="E19" s="8">
        <f>IF(AND('Items sous domaines Maths '!K23=6, 'Items sous domaines Maths '!K23&gt;0),'Items sous domaines Maths '!E23,0)</f>
        <v>0</v>
      </c>
      <c r="F19" s="9">
        <f>IF(AND('Items sous domaines Maths '!K23=6, 'Items sous domaines Maths '!K23&gt;0),'Items sous domaines Maths '!F23,0)</f>
        <v>0</v>
      </c>
      <c r="G19" s="647"/>
    </row>
    <row r="20" spans="1:7" customFormat="1" ht="17.399999999999999" hidden="1" customHeight="1" thickBot="1" x14ac:dyDescent="0.3">
      <c r="A20" s="750"/>
      <c r="B20" s="8">
        <f>IF(AND('Items sous domaines Maths '!K24=6, 'Items sous domaines Maths '!K24&gt;0),'Items sous domaines Maths '!B24,0)</f>
        <v>0</v>
      </c>
      <c r="C20" s="8" t="b">
        <f>IF(AND('Items sous domaines Maths '!K24=6, 'Items sous domaines Maths '!K24&gt;0),'Items sous domaines Maths '!C24)</f>
        <v>0</v>
      </c>
      <c r="D20" s="8">
        <f>IF(AND('Items sous domaines Maths '!K24=6, 'Items sous domaines Maths '!K24&gt;0),'Items sous domaines Maths '!D24,0)</f>
        <v>0</v>
      </c>
      <c r="E20" s="8">
        <f>IF(AND('Items sous domaines Maths '!K24=6, 'Items sous domaines Maths '!K24&gt;0),'Items sous domaines Maths '!E24,0)</f>
        <v>0</v>
      </c>
      <c r="F20" s="9">
        <f>IF(AND('Items sous domaines Maths '!K24=6, 'Items sous domaines Maths '!K24&gt;0),'Items sous domaines Maths '!F24,0)</f>
        <v>0</v>
      </c>
      <c r="G20" s="647"/>
    </row>
    <row r="21" spans="1:7" customFormat="1" ht="17.399999999999999" hidden="1" customHeight="1" thickBot="1" x14ac:dyDescent="0.3">
      <c r="A21" s="750"/>
      <c r="B21" s="8">
        <f>IF(AND('Items sous domaines Maths '!K25=6, 'Items sous domaines Maths '!K25&gt;0),'Items sous domaines Maths '!B25,0)</f>
        <v>0</v>
      </c>
      <c r="C21" s="8" t="b">
        <f>IF(AND('Items sous domaines Maths '!K25=6, 'Items sous domaines Maths '!K25&gt;0),'Items sous domaines Maths '!C25)</f>
        <v>0</v>
      </c>
      <c r="D21" s="8">
        <f>IF(AND('Items sous domaines Maths '!K25=6, 'Items sous domaines Maths '!K25&gt;0),'Items sous domaines Maths '!D25,0)</f>
        <v>0</v>
      </c>
      <c r="E21" s="8">
        <f>IF(AND('Items sous domaines Maths '!K25=6, 'Items sous domaines Maths '!K25&gt;0),'Items sous domaines Maths '!E25,0)</f>
        <v>0</v>
      </c>
      <c r="F21" s="9">
        <f>IF(AND('Items sous domaines Maths '!K25=6, 'Items sous domaines Maths '!K25&gt;0),'Items sous domaines Maths '!F25,0)</f>
        <v>0</v>
      </c>
      <c r="G21" s="647"/>
    </row>
    <row r="22" spans="1:7" customFormat="1" ht="17.399999999999999" hidden="1" customHeight="1" thickBot="1" x14ac:dyDescent="0.3">
      <c r="A22" s="750"/>
      <c r="B22" s="8">
        <f>IF(AND('Items sous domaines Maths '!K26=6, 'Items sous domaines Maths '!K26&gt;0),'Items sous domaines Maths '!B26,0)</f>
        <v>0</v>
      </c>
      <c r="C22" s="8" t="b">
        <f>IF(AND('Items sous domaines Maths '!K26=6, 'Items sous domaines Maths '!K26&gt;0),'Items sous domaines Maths '!C26)</f>
        <v>0</v>
      </c>
      <c r="D22" s="8">
        <f>IF(AND('Items sous domaines Maths '!K26=6, 'Items sous domaines Maths '!K26&gt;0),'Items sous domaines Maths '!D26,0)</f>
        <v>0</v>
      </c>
      <c r="E22" s="8">
        <f>IF(AND('Items sous domaines Maths '!K26=6, 'Items sous domaines Maths '!K26&gt;0),'Items sous domaines Maths '!E26,0)</f>
        <v>0</v>
      </c>
      <c r="F22" s="9">
        <f>IF(AND('Items sous domaines Maths '!K26=6, 'Items sous domaines Maths '!K26&gt;0),'Items sous domaines Maths '!F26,0)</f>
        <v>0</v>
      </c>
      <c r="G22" s="647"/>
    </row>
    <row r="23" spans="1:7" customFormat="1" ht="17.399999999999999" hidden="1" customHeight="1" thickBot="1" x14ac:dyDescent="0.3">
      <c r="A23" s="750"/>
      <c r="B23" s="8">
        <f>IF(AND('Items sous domaines Maths '!K27=6, 'Items sous domaines Maths '!K27&gt;0),'Items sous domaines Maths '!B27,0)</f>
        <v>0</v>
      </c>
      <c r="C23" s="8" t="b">
        <f>IF(AND('Items sous domaines Maths '!K27=6, 'Items sous domaines Maths '!K27&gt;0),'Items sous domaines Maths '!C27)</f>
        <v>0</v>
      </c>
      <c r="D23" s="8">
        <f>IF(AND('Items sous domaines Maths '!K27=6, 'Items sous domaines Maths '!K27&gt;0),'Items sous domaines Maths '!D27,0)</f>
        <v>0</v>
      </c>
      <c r="E23" s="8">
        <f>IF(AND('Items sous domaines Maths '!K27=6, 'Items sous domaines Maths '!K27&gt;0),'Items sous domaines Maths '!E27,0)</f>
        <v>0</v>
      </c>
      <c r="F23" s="9">
        <f>IF(AND('Items sous domaines Maths '!K27=6, 'Items sous domaines Maths '!K27&gt;0),'Items sous domaines Maths '!F27,0)</f>
        <v>0</v>
      </c>
      <c r="G23" s="647"/>
    </row>
    <row r="24" spans="1:7" customFormat="1" ht="17.399999999999999" hidden="1" customHeight="1" thickBot="1" x14ac:dyDescent="0.3">
      <c r="A24" s="750"/>
      <c r="B24" s="8">
        <f>IF(AND('Items sous domaines Maths '!K28=6, 'Items sous domaines Maths '!K28&gt;0),'Items sous domaines Maths '!B28,0)</f>
        <v>0</v>
      </c>
      <c r="C24" s="8" t="b">
        <f>IF(AND('Items sous domaines Maths '!K28=6, 'Items sous domaines Maths '!K28&gt;0),'Items sous domaines Maths '!C28)</f>
        <v>0</v>
      </c>
      <c r="D24" s="8">
        <f>IF(AND('Items sous domaines Maths '!K28=6, 'Items sous domaines Maths '!K28&gt;0),'Items sous domaines Maths '!D28,0)</f>
        <v>0</v>
      </c>
      <c r="E24" s="8">
        <f>IF(AND('Items sous domaines Maths '!K28=6, 'Items sous domaines Maths '!K28&gt;0),'Items sous domaines Maths '!E28,0)</f>
        <v>0</v>
      </c>
      <c r="F24" s="9">
        <f>IF(AND('Items sous domaines Maths '!K28=6, 'Items sous domaines Maths '!K28&gt;0),'Items sous domaines Maths '!F28,0)</f>
        <v>0</v>
      </c>
      <c r="G24" s="647"/>
    </row>
    <row r="25" spans="1:7" customFormat="1" ht="17.399999999999999" hidden="1" customHeight="1" thickBot="1" x14ac:dyDescent="0.3">
      <c r="A25" s="750"/>
      <c r="B25" s="8">
        <f>IF(AND('Items sous domaines Maths '!K29=6, 'Items sous domaines Maths '!K29&gt;0),'Items sous domaines Maths '!B29,0)</f>
        <v>0</v>
      </c>
      <c r="C25" s="8" t="b">
        <f>IF(AND('Items sous domaines Maths '!K29=6, 'Items sous domaines Maths '!K29&gt;0),'Items sous domaines Maths '!C29)</f>
        <v>0</v>
      </c>
      <c r="D25" s="8">
        <f>IF(AND('Items sous domaines Maths '!K29=6, 'Items sous domaines Maths '!K29&gt;0),'Items sous domaines Maths '!D29,0)</f>
        <v>0</v>
      </c>
      <c r="E25" s="8">
        <f>IF(AND('Items sous domaines Maths '!K29=6, 'Items sous domaines Maths '!K29&gt;0),'Items sous domaines Maths '!E29,0)</f>
        <v>0</v>
      </c>
      <c r="F25" s="9">
        <f>IF(AND('Items sous domaines Maths '!K29=6, 'Items sous domaines Maths '!K29&gt;0),'Items sous domaines Maths '!F29,0)</f>
        <v>0</v>
      </c>
      <c r="G25" s="647"/>
    </row>
    <row r="26" spans="1:7" customFormat="1" ht="22.2" hidden="1" customHeight="1" thickBot="1" x14ac:dyDescent="0.3">
      <c r="A26" s="750"/>
      <c r="B26" s="8">
        <f>IF(AND('Items sous domaines Maths '!K30=6, 'Items sous domaines Maths '!K30&gt;0),'Items sous domaines Maths '!B30,0)</f>
        <v>0</v>
      </c>
      <c r="C26" s="8" t="b">
        <f>IF(AND('Items sous domaines Maths '!K30=6, 'Items sous domaines Maths '!K30&gt;0),'Items sous domaines Maths '!C30)</f>
        <v>0</v>
      </c>
      <c r="D26" s="8">
        <f>IF(AND('Items sous domaines Maths '!K30=6, 'Items sous domaines Maths '!K30&gt;0),'Items sous domaines Maths '!D30,0)</f>
        <v>0</v>
      </c>
      <c r="E26" s="8">
        <f>IF(AND('Items sous domaines Maths '!K30=6, 'Items sous domaines Maths '!K30&gt;0),'Items sous domaines Maths '!E30,0)</f>
        <v>0</v>
      </c>
      <c r="F26" s="9">
        <f>IF(AND('Items sous domaines Maths '!K30=6, 'Items sous domaines Maths '!K30&gt;0),'Items sous domaines Maths '!F30,0)</f>
        <v>0</v>
      </c>
      <c r="G26" s="647"/>
    </row>
    <row r="27" spans="1:7" s="2" customFormat="1" ht="17.399999999999999" hidden="1" customHeight="1" thickBot="1" x14ac:dyDescent="0.3">
      <c r="A27" s="750"/>
      <c r="B27" s="8">
        <f>IF(AND('Items sous domaines Maths '!K31=6, 'Items sous domaines Maths '!K31&gt;0),'Items sous domaines Maths '!B31,0)</f>
        <v>0</v>
      </c>
      <c r="C27" s="8" t="b">
        <f>IF(AND('Items sous domaines Maths '!K31=6, 'Items sous domaines Maths '!K31&gt;0),'Items sous domaines Maths '!C31)</f>
        <v>0</v>
      </c>
      <c r="D27" s="8">
        <f>IF(AND('Items sous domaines Maths '!K31=6, 'Items sous domaines Maths '!K31&gt;0),'Items sous domaines Maths '!D31,0)</f>
        <v>0</v>
      </c>
      <c r="E27" s="8">
        <f>IF(AND('Items sous domaines Maths '!K31=6, 'Items sous domaines Maths '!K31&gt;0),'Items sous domaines Maths '!E31,0)</f>
        <v>0</v>
      </c>
      <c r="F27" s="9">
        <f>IF(AND('Items sous domaines Maths '!K31=6, 'Items sous domaines Maths '!K31&gt;0),'Items sous domaines Maths '!F31,0)</f>
        <v>0</v>
      </c>
      <c r="G27" s="647"/>
    </row>
    <row r="28" spans="1:7" s="2" customFormat="1" ht="17.399999999999999" hidden="1" customHeight="1" thickBot="1" x14ac:dyDescent="0.3">
      <c r="A28" s="750"/>
      <c r="B28" s="8">
        <f>IF(AND('Items sous domaines Maths '!K32=6, 'Items sous domaines Maths '!K32&gt;0),'Items sous domaines Maths '!B32,0)</f>
        <v>0</v>
      </c>
      <c r="C28" s="8" t="b">
        <f>IF(AND('Items sous domaines Maths '!K32=6, 'Items sous domaines Maths '!K32&gt;0),'Items sous domaines Maths '!C32)</f>
        <v>0</v>
      </c>
      <c r="D28" s="8">
        <f>IF(AND('Items sous domaines Maths '!K32=6, 'Items sous domaines Maths '!K32&gt;0),'Items sous domaines Maths '!D32,0)</f>
        <v>0</v>
      </c>
      <c r="E28" s="8">
        <f>IF(AND('Items sous domaines Maths '!K32=6, 'Items sous domaines Maths '!K32&gt;0),'Items sous domaines Maths '!E32,0)</f>
        <v>0</v>
      </c>
      <c r="F28" s="9">
        <f>IF(AND('Items sous domaines Maths '!K32=6, 'Items sous domaines Maths '!K32&gt;0),'Items sous domaines Maths '!F32,0)</f>
        <v>0</v>
      </c>
      <c r="G28" s="647"/>
    </row>
    <row r="29" spans="1:7" s="2" customFormat="1" ht="17.399999999999999" hidden="1" customHeight="1" thickBot="1" x14ac:dyDescent="0.3">
      <c r="A29" s="750"/>
      <c r="B29" s="8">
        <f>IF(AND('Items sous domaines Maths '!K33=6, 'Items sous domaines Maths '!K33&gt;0),'Items sous domaines Maths '!B33,0)</f>
        <v>0</v>
      </c>
      <c r="C29" s="8" t="b">
        <f>IF(AND('Items sous domaines Maths '!K33=6, 'Items sous domaines Maths '!K33&gt;0),'Items sous domaines Maths '!C33)</f>
        <v>0</v>
      </c>
      <c r="D29" s="8">
        <f>IF(AND('Items sous domaines Maths '!K33=6, 'Items sous domaines Maths '!K33&gt;0),'Items sous domaines Maths '!D33,0)</f>
        <v>0</v>
      </c>
      <c r="E29" s="8">
        <f>IF(AND('Items sous domaines Maths '!K33=6, 'Items sous domaines Maths '!K33&gt;0),'Items sous domaines Maths '!E33,0)</f>
        <v>0</v>
      </c>
      <c r="F29" s="9">
        <f>IF(AND('Items sous domaines Maths '!K33=6, 'Items sous domaines Maths '!K33&gt;0),'Items sous domaines Maths '!F33,0)</f>
        <v>0</v>
      </c>
      <c r="G29" s="647"/>
    </row>
    <row r="30" spans="1:7" s="2" customFormat="1" ht="17.399999999999999" hidden="1" customHeight="1" thickBot="1" x14ac:dyDescent="0.3">
      <c r="A30" s="750"/>
      <c r="B30" s="8">
        <f>IF(AND('Items sous domaines Maths '!K34=6, 'Items sous domaines Maths '!K34&gt;0),'Items sous domaines Maths '!B34,0)</f>
        <v>0</v>
      </c>
      <c r="C30" s="8" t="b">
        <f>IF(AND('Items sous domaines Maths '!K34=6, 'Items sous domaines Maths '!K34&gt;0),'Items sous domaines Maths '!C34)</f>
        <v>0</v>
      </c>
      <c r="D30" s="8">
        <f>IF(AND('Items sous domaines Maths '!K34=6, 'Items sous domaines Maths '!K34&gt;0),'Items sous domaines Maths '!D34,0)</f>
        <v>0</v>
      </c>
      <c r="E30" s="8">
        <f>IF(AND('Items sous domaines Maths '!K34=6, 'Items sous domaines Maths '!K34&gt;0),'Items sous domaines Maths '!E34,0)</f>
        <v>0</v>
      </c>
      <c r="F30" s="9">
        <f>IF(AND('Items sous domaines Maths '!K34=6, 'Items sous domaines Maths '!K34&gt;0),'Items sous domaines Maths '!F34,0)</f>
        <v>0</v>
      </c>
      <c r="G30" s="647"/>
    </row>
    <row r="31" spans="1:7" s="2" customFormat="1" ht="17.399999999999999" hidden="1" customHeight="1" thickBot="1" x14ac:dyDescent="0.3">
      <c r="A31" s="750"/>
      <c r="B31" s="8">
        <f>IF(AND('Items sous domaines Maths '!K35=6, 'Items sous domaines Maths '!K35&gt;0),'Items sous domaines Maths '!B35,0)</f>
        <v>0</v>
      </c>
      <c r="C31" s="8" t="b">
        <f>IF(AND('Items sous domaines Maths '!K35=6, 'Items sous domaines Maths '!K35&gt;0),'Items sous domaines Maths '!C35)</f>
        <v>0</v>
      </c>
      <c r="D31" s="8">
        <f>IF(AND('Items sous domaines Maths '!K35=6, 'Items sous domaines Maths '!K35&gt;0),'Items sous domaines Maths '!D35,0)</f>
        <v>0</v>
      </c>
      <c r="E31" s="8">
        <f>IF(AND('Items sous domaines Maths '!K35=6, 'Items sous domaines Maths '!K35&gt;0),'Items sous domaines Maths '!E35,0)</f>
        <v>0</v>
      </c>
      <c r="F31" s="9">
        <f>IF(AND('Items sous domaines Maths '!K35=6, 'Items sous domaines Maths '!K35&gt;0),'Items sous domaines Maths '!F35,0)</f>
        <v>0</v>
      </c>
      <c r="G31" s="647"/>
    </row>
    <row r="32" spans="1:7" s="2" customFormat="1" ht="17.399999999999999" hidden="1" customHeight="1" thickBot="1" x14ac:dyDescent="0.3">
      <c r="A32" s="750"/>
      <c r="B32" s="8">
        <f>IF(AND('Items sous domaines Maths '!K36=6, 'Items sous domaines Maths '!K36&gt;0),'Items sous domaines Maths '!B36,0)</f>
        <v>0</v>
      </c>
      <c r="C32" s="8" t="b">
        <f>IF(AND('Items sous domaines Maths '!K36=6, 'Items sous domaines Maths '!K36&gt;0),'Items sous domaines Maths '!C36)</f>
        <v>0</v>
      </c>
      <c r="D32" s="8">
        <f>IF(AND('Items sous domaines Maths '!K36=6, 'Items sous domaines Maths '!K36&gt;0),'Items sous domaines Maths '!D36,0)</f>
        <v>0</v>
      </c>
      <c r="E32" s="8">
        <f>IF(AND('Items sous domaines Maths '!K36=6, 'Items sous domaines Maths '!K36&gt;0),'Items sous domaines Maths '!E36,0)</f>
        <v>0</v>
      </c>
      <c r="F32" s="9">
        <f>IF(AND('Items sous domaines Maths '!K36=6, 'Items sous domaines Maths '!K36&gt;0),'Items sous domaines Maths '!F36,0)</f>
        <v>0</v>
      </c>
      <c r="G32" s="647"/>
    </row>
    <row r="33" spans="1:7" s="2" customFormat="1" ht="17.399999999999999" hidden="1" customHeight="1" thickBot="1" x14ac:dyDescent="0.3">
      <c r="A33" s="750"/>
      <c r="B33" s="8">
        <f>IF(AND('Items sous domaines Maths '!K37=6, 'Items sous domaines Maths '!K37&gt;0),'Items sous domaines Maths '!B37,0)</f>
        <v>0</v>
      </c>
      <c r="C33" s="8" t="b">
        <f>IF(AND('Items sous domaines Maths '!K37=6, 'Items sous domaines Maths '!K37&gt;0),'Items sous domaines Maths '!C37)</f>
        <v>0</v>
      </c>
      <c r="D33" s="8">
        <f>IF(AND('Items sous domaines Maths '!K37=6, 'Items sous domaines Maths '!K37&gt;0),'Items sous domaines Maths '!D37,0)</f>
        <v>0</v>
      </c>
      <c r="E33" s="8">
        <f>IF(AND('Items sous domaines Maths '!K37=6, 'Items sous domaines Maths '!K37&gt;0),'Items sous domaines Maths '!E37,0)</f>
        <v>0</v>
      </c>
      <c r="F33" s="9">
        <f>IF(AND('Items sous domaines Maths '!K37=6, 'Items sous domaines Maths '!K37&gt;0),'Items sous domaines Maths '!F37,0)</f>
        <v>0</v>
      </c>
      <c r="G33" s="647"/>
    </row>
    <row r="34" spans="1:7" customFormat="1" ht="17.399999999999999" hidden="1" customHeight="1" thickBot="1" x14ac:dyDescent="0.3">
      <c r="A34" s="750"/>
      <c r="B34" s="8">
        <f>IF(AND('Items sous domaines Maths '!K38=6, 'Items sous domaines Maths '!K38&gt;0),'Items sous domaines Maths '!B38,0)</f>
        <v>0</v>
      </c>
      <c r="C34" s="8" t="b">
        <f>IF(AND('Items sous domaines Maths '!K38=6, 'Items sous domaines Maths '!K38&gt;0),'Items sous domaines Maths '!C38)</f>
        <v>0</v>
      </c>
      <c r="D34" s="8">
        <f>IF(AND('Items sous domaines Maths '!K38=6, 'Items sous domaines Maths '!K38&gt;0),'Items sous domaines Maths '!D38,0)</f>
        <v>0</v>
      </c>
      <c r="E34" s="8">
        <f>IF(AND('Items sous domaines Maths '!K38=6, 'Items sous domaines Maths '!K38&gt;0),'Items sous domaines Maths '!E38,0)</f>
        <v>0</v>
      </c>
      <c r="F34" s="9">
        <f>IF(AND('Items sous domaines Maths '!K38=6, 'Items sous domaines Maths '!K38&gt;0),'Items sous domaines Maths '!F38,0)</f>
        <v>0</v>
      </c>
      <c r="G34" s="647"/>
    </row>
    <row r="35" spans="1:7" customFormat="1" ht="17.399999999999999" hidden="1" customHeight="1" thickBot="1" x14ac:dyDescent="0.3">
      <c r="A35" s="750"/>
      <c r="B35" s="8">
        <f>IF(AND('Items sous domaines Maths '!K39=6, 'Items sous domaines Maths '!K39&gt;0),'Items sous domaines Maths '!B39,0)</f>
        <v>0</v>
      </c>
      <c r="C35" s="8" t="b">
        <f>IF(AND('Items sous domaines Maths '!K39=6, 'Items sous domaines Maths '!K39&gt;0),'Items sous domaines Maths '!C39)</f>
        <v>0</v>
      </c>
      <c r="D35" s="8">
        <f>IF(AND('Items sous domaines Maths '!K39=6, 'Items sous domaines Maths '!K39&gt;0),'Items sous domaines Maths '!D39,0)</f>
        <v>0</v>
      </c>
      <c r="E35" s="8">
        <f>IF(AND('Items sous domaines Maths '!K39=6, 'Items sous domaines Maths '!K39&gt;0),'Items sous domaines Maths '!E39,0)</f>
        <v>0</v>
      </c>
      <c r="F35" s="9">
        <f>IF(AND('Items sous domaines Maths '!K39=6, 'Items sous domaines Maths '!K39&gt;0),'Items sous domaines Maths '!F39,0)</f>
        <v>0</v>
      </c>
      <c r="G35" s="647"/>
    </row>
    <row r="36" spans="1:7" customFormat="1" ht="17.399999999999999" hidden="1" customHeight="1" thickBot="1" x14ac:dyDescent="0.3">
      <c r="A36" s="750"/>
      <c r="B36" s="8">
        <f>IF(AND('Items sous domaines Maths '!K40=6, 'Items sous domaines Maths '!K40&gt;0),'Items sous domaines Maths '!B40,0)</f>
        <v>0</v>
      </c>
      <c r="C36" s="8" t="b">
        <f>IF(AND('Items sous domaines Maths '!K40=6, 'Items sous domaines Maths '!K40&gt;0),'Items sous domaines Maths '!C40)</f>
        <v>0</v>
      </c>
      <c r="D36" s="8">
        <f>IF(AND('Items sous domaines Maths '!K40=6, 'Items sous domaines Maths '!K40&gt;0),'Items sous domaines Maths '!D40,0)</f>
        <v>0</v>
      </c>
      <c r="E36" s="8">
        <f>IF(AND('Items sous domaines Maths '!K40=6, 'Items sous domaines Maths '!K40&gt;0),'Items sous domaines Maths '!E40,0)</f>
        <v>0</v>
      </c>
      <c r="F36" s="9">
        <f>IF(AND('Items sous domaines Maths '!K40=6, 'Items sous domaines Maths '!K40&gt;0),'Items sous domaines Maths '!F40,0)</f>
        <v>0</v>
      </c>
      <c r="G36" s="647"/>
    </row>
    <row r="37" spans="1:7" customFormat="1" ht="17.399999999999999" hidden="1" customHeight="1" thickBot="1" x14ac:dyDescent="0.3">
      <c r="A37" s="750"/>
      <c r="B37" s="8">
        <f>IF(AND('Items sous domaines Maths '!K41=6, 'Items sous domaines Maths '!K41&gt;0),'Items sous domaines Maths '!B41,0)</f>
        <v>0</v>
      </c>
      <c r="C37" s="8" t="b">
        <f>IF(AND('Items sous domaines Maths '!K41=6, 'Items sous domaines Maths '!K41&gt;0),'Items sous domaines Maths '!C41)</f>
        <v>0</v>
      </c>
      <c r="D37" s="8">
        <f>IF(AND('Items sous domaines Maths '!K41=6, 'Items sous domaines Maths '!K41&gt;0),'Items sous domaines Maths '!D41,0)</f>
        <v>0</v>
      </c>
      <c r="E37" s="8">
        <f>IF(AND('Items sous domaines Maths '!K41=6, 'Items sous domaines Maths '!K41&gt;0),'Items sous domaines Maths '!E41,0)</f>
        <v>0</v>
      </c>
      <c r="F37" s="9">
        <f>IF(AND('Items sous domaines Maths '!K41=6, 'Items sous domaines Maths '!K41&gt;0),'Items sous domaines Maths '!F41,0)</f>
        <v>0</v>
      </c>
      <c r="G37" s="647"/>
    </row>
    <row r="38" spans="1:7" customFormat="1" ht="17.399999999999999" hidden="1" customHeight="1" thickBot="1" x14ac:dyDescent="0.3">
      <c r="A38" s="750"/>
      <c r="B38" s="8">
        <f>IF(AND('Items sous domaines Maths '!K42=6, 'Items sous domaines Maths '!K42&gt;0),'Items sous domaines Maths '!B42,0)</f>
        <v>0</v>
      </c>
      <c r="C38" s="8" t="b">
        <f>IF(AND('Items sous domaines Maths '!K42=6, 'Items sous domaines Maths '!K42&gt;0),'Items sous domaines Maths '!C42)</f>
        <v>0</v>
      </c>
      <c r="D38" s="8">
        <f>IF(AND('Items sous domaines Maths '!K42=6, 'Items sous domaines Maths '!K42&gt;0),'Items sous domaines Maths '!D42,0)</f>
        <v>0</v>
      </c>
      <c r="E38" s="8">
        <f>IF(AND('Items sous domaines Maths '!K42=6, 'Items sous domaines Maths '!K42&gt;0),'Items sous domaines Maths '!E42,0)</f>
        <v>0</v>
      </c>
      <c r="F38" s="9">
        <f>IF(AND('Items sous domaines Maths '!K42=6, 'Items sous domaines Maths '!K42&gt;0),'Items sous domaines Maths '!F42,0)</f>
        <v>0</v>
      </c>
      <c r="G38" s="647"/>
    </row>
    <row r="39" spans="1:7" customFormat="1" ht="17.399999999999999" hidden="1" customHeight="1" thickBot="1" x14ac:dyDescent="0.3">
      <c r="A39" s="750"/>
      <c r="B39" s="8">
        <f>IF(AND('Items sous domaines Maths '!K43=6, 'Items sous domaines Maths '!K43&gt;0),'Items sous domaines Maths '!B43,0)</f>
        <v>0</v>
      </c>
      <c r="C39" s="8" t="b">
        <f>IF(AND('Items sous domaines Maths '!K43=6, 'Items sous domaines Maths '!K43&gt;0),'Items sous domaines Maths '!C43)</f>
        <v>0</v>
      </c>
      <c r="D39" s="8">
        <f>IF(AND('Items sous domaines Maths '!K43=6, 'Items sous domaines Maths '!K43&gt;0),'Items sous domaines Maths '!D43,0)</f>
        <v>0</v>
      </c>
      <c r="E39" s="8">
        <f>IF(AND('Items sous domaines Maths '!K43=6, 'Items sous domaines Maths '!K43&gt;0),'Items sous domaines Maths '!E43,0)</f>
        <v>0</v>
      </c>
      <c r="F39" s="9">
        <f>IF(AND('Items sous domaines Maths '!K43=6, 'Items sous domaines Maths '!K43&gt;0),'Items sous domaines Maths '!F43,0)</f>
        <v>0</v>
      </c>
      <c r="G39" s="647"/>
    </row>
    <row r="40" spans="1:7" customFormat="1" ht="17.399999999999999" hidden="1" customHeight="1" thickBot="1" x14ac:dyDescent="0.3">
      <c r="A40" s="750"/>
      <c r="B40" s="8">
        <f>IF(AND('Items sous domaines Maths '!K44=6, 'Items sous domaines Maths '!K44&gt;0),'Items sous domaines Maths '!B44,0)</f>
        <v>0</v>
      </c>
      <c r="C40" s="8" t="b">
        <f>IF(AND('Items sous domaines Maths '!K44=6, 'Items sous domaines Maths '!K44&gt;0),'Items sous domaines Maths '!C44)</f>
        <v>0</v>
      </c>
      <c r="D40" s="8">
        <f>IF(AND('Items sous domaines Maths '!K44=6, 'Items sous domaines Maths '!K44&gt;0),'Items sous domaines Maths '!D44,0)</f>
        <v>0</v>
      </c>
      <c r="E40" s="8">
        <f>IF(AND('Items sous domaines Maths '!K44=6, 'Items sous domaines Maths '!K44&gt;0),'Items sous domaines Maths '!E44,0)</f>
        <v>0</v>
      </c>
      <c r="F40" s="9">
        <f>IF(AND('Items sous domaines Maths '!K44=6, 'Items sous domaines Maths '!K44&gt;0),'Items sous domaines Maths '!F44,0)</f>
        <v>0</v>
      </c>
      <c r="G40" s="647"/>
    </row>
    <row r="41" spans="1:7" customFormat="1" ht="17.399999999999999" hidden="1" customHeight="1" thickBot="1" x14ac:dyDescent="0.3">
      <c r="A41" s="750"/>
      <c r="B41" s="8">
        <f>IF(AND('Items sous domaines Maths '!K45=6, 'Items sous domaines Maths '!K45&gt;0),'Items sous domaines Maths '!B45,0)</f>
        <v>0</v>
      </c>
      <c r="C41" s="8" t="b">
        <f>IF(AND('Items sous domaines Maths '!K45=6, 'Items sous domaines Maths '!K45&gt;0),'Items sous domaines Maths '!C45)</f>
        <v>0</v>
      </c>
      <c r="D41" s="8">
        <f>IF(AND('Items sous domaines Maths '!K45=6, 'Items sous domaines Maths '!K45&gt;0),'Items sous domaines Maths '!D45,0)</f>
        <v>0</v>
      </c>
      <c r="E41" s="8">
        <f>IF(AND('Items sous domaines Maths '!K45=6, 'Items sous domaines Maths '!K45&gt;0),'Items sous domaines Maths '!E45,0)</f>
        <v>0</v>
      </c>
      <c r="F41" s="9">
        <f>IF(AND('Items sous domaines Maths '!K45=6, 'Items sous domaines Maths '!K45&gt;0),'Items sous domaines Maths '!F45,0)</f>
        <v>0</v>
      </c>
      <c r="G41" s="647"/>
    </row>
    <row r="42" spans="1:7" customFormat="1" ht="27.6" hidden="1" customHeight="1" thickBot="1" x14ac:dyDescent="0.3">
      <c r="A42" s="750"/>
      <c r="B42" s="8">
        <f>IF(AND('Items sous domaines Maths '!K46=6, 'Items sous domaines Maths '!K46&gt;0),'Items sous domaines Maths '!B46,0)</f>
        <v>0</v>
      </c>
      <c r="C42" s="8" t="b">
        <f>IF(AND('Items sous domaines Maths '!K46=6, 'Items sous domaines Maths '!K46&gt;0),'Items sous domaines Maths '!C46)</f>
        <v>0</v>
      </c>
      <c r="D42" s="8">
        <f>IF(AND('Items sous domaines Maths '!K46=6, 'Items sous domaines Maths '!K46&gt;0),'Items sous domaines Maths '!D46,0)</f>
        <v>0</v>
      </c>
      <c r="E42" s="8">
        <f>IF(AND('Items sous domaines Maths '!K46=6, 'Items sous domaines Maths '!K46&gt;0),'Items sous domaines Maths '!E46,0)</f>
        <v>0</v>
      </c>
      <c r="F42" s="9">
        <f>IF(AND('Items sous domaines Maths '!K46=6, 'Items sous domaines Maths '!K46&gt;0),'Items sous domaines Maths '!F46,0)</f>
        <v>0</v>
      </c>
      <c r="G42" s="647"/>
    </row>
    <row r="43" spans="1:7" customFormat="1" ht="17.399999999999999" hidden="1" customHeight="1" thickBot="1" x14ac:dyDescent="0.3">
      <c r="A43" s="750"/>
      <c r="B43" s="8">
        <f>IF(AND('Items sous domaines Maths '!K47=6, 'Items sous domaines Maths '!K47&gt;0),'Items sous domaines Maths '!B47,0)</f>
        <v>0</v>
      </c>
      <c r="C43" s="8" t="b">
        <f>IF(AND('Items sous domaines Maths '!K47=6, 'Items sous domaines Maths '!K47&gt;0),'Items sous domaines Maths '!C47)</f>
        <v>0</v>
      </c>
      <c r="D43" s="8">
        <f>IF(AND('Items sous domaines Maths '!K47=6, 'Items sous domaines Maths '!K47&gt;0),'Items sous domaines Maths '!D47,0)</f>
        <v>0</v>
      </c>
      <c r="E43" s="8">
        <f>IF(AND('Items sous domaines Maths '!K47=6, 'Items sous domaines Maths '!K47&gt;0),'Items sous domaines Maths '!E47,0)</f>
        <v>0</v>
      </c>
      <c r="F43" s="9">
        <f>IF(AND('Items sous domaines Maths '!K47=6, 'Items sous domaines Maths '!K47&gt;0),'Items sous domaines Maths '!F47,0)</f>
        <v>0</v>
      </c>
      <c r="G43" s="647"/>
    </row>
    <row r="44" spans="1:7" customFormat="1" ht="17.399999999999999" hidden="1" customHeight="1" thickBot="1" x14ac:dyDescent="0.3">
      <c r="A44" s="750"/>
      <c r="B44" s="8">
        <f>IF(AND('Items sous domaines Maths '!K48=6, 'Items sous domaines Maths '!K48&gt;0),'Items sous domaines Maths '!B48,0)</f>
        <v>0</v>
      </c>
      <c r="C44" s="8" t="b">
        <f>IF(AND('Items sous domaines Maths '!K48=6, 'Items sous domaines Maths '!K48&gt;0),'Items sous domaines Maths '!C48)</f>
        <v>0</v>
      </c>
      <c r="D44" s="8">
        <f>IF(AND('Items sous domaines Maths '!K48=6, 'Items sous domaines Maths '!K48&gt;0),'Items sous domaines Maths '!D48,0)</f>
        <v>0</v>
      </c>
      <c r="E44" s="8">
        <f>IF(AND('Items sous domaines Maths '!K48=6, 'Items sous domaines Maths '!K48&gt;0),'Items sous domaines Maths '!E48,0)</f>
        <v>0</v>
      </c>
      <c r="F44" s="9">
        <f>IF(AND('Items sous domaines Maths '!K48=6, 'Items sous domaines Maths '!K48&gt;0),'Items sous domaines Maths '!F48,0)</f>
        <v>0</v>
      </c>
      <c r="G44" s="647"/>
    </row>
    <row r="45" spans="1:7" customFormat="1" ht="17.399999999999999" hidden="1" customHeight="1" thickBot="1" x14ac:dyDescent="0.3">
      <c r="A45" s="750"/>
      <c r="B45" s="8">
        <f>IF(AND('Items sous domaines Maths '!K49=6, 'Items sous domaines Maths '!K49&gt;0),'Items sous domaines Maths '!B49,0)</f>
        <v>0</v>
      </c>
      <c r="C45" s="8" t="b">
        <f>IF(AND('Items sous domaines Maths '!K49=6, 'Items sous domaines Maths '!K49&gt;0),'Items sous domaines Maths '!C49)</f>
        <v>0</v>
      </c>
      <c r="D45" s="8">
        <f>IF(AND('Items sous domaines Maths '!K49=6, 'Items sous domaines Maths '!K49&gt;0),'Items sous domaines Maths '!D49,0)</f>
        <v>0</v>
      </c>
      <c r="E45" s="8">
        <f>IF(AND('Items sous domaines Maths '!K49=6, 'Items sous domaines Maths '!K49&gt;0),'Items sous domaines Maths '!E49,0)</f>
        <v>0</v>
      </c>
      <c r="F45" s="9">
        <f>IF(AND('Items sous domaines Maths '!K49=6, 'Items sous domaines Maths '!K49&gt;0),'Items sous domaines Maths '!F49,0)</f>
        <v>0</v>
      </c>
      <c r="G45" s="647"/>
    </row>
    <row r="46" spans="1:7" customFormat="1" ht="17.399999999999999" hidden="1" customHeight="1" thickBot="1" x14ac:dyDescent="0.3">
      <c r="A46" s="750"/>
      <c r="B46" s="8">
        <f>IF(AND('Items sous domaines Maths '!K50=6, 'Items sous domaines Maths '!K50&gt;0),'Items sous domaines Maths '!B50,0)</f>
        <v>0</v>
      </c>
      <c r="C46" s="8" t="b">
        <f>IF(AND('Items sous domaines Maths '!K50=6, 'Items sous domaines Maths '!K50&gt;0),'Items sous domaines Maths '!C50)</f>
        <v>0</v>
      </c>
      <c r="D46" s="8">
        <f>IF(AND('Items sous domaines Maths '!K50=6, 'Items sous domaines Maths '!K50&gt;0),'Items sous domaines Maths '!D50,0)</f>
        <v>0</v>
      </c>
      <c r="E46" s="8">
        <f>IF(AND('Items sous domaines Maths '!K50=6, 'Items sous domaines Maths '!K50&gt;0),'Items sous domaines Maths '!E50,0)</f>
        <v>0</v>
      </c>
      <c r="F46" s="9">
        <f>IF(AND('Items sous domaines Maths '!K50=6, 'Items sous domaines Maths '!K50&gt;0),'Items sous domaines Maths '!F50,0)</f>
        <v>0</v>
      </c>
      <c r="G46" s="647"/>
    </row>
    <row r="47" spans="1:7" customFormat="1" ht="17.399999999999999" hidden="1" customHeight="1" thickBot="1" x14ac:dyDescent="0.3">
      <c r="A47" s="750"/>
      <c r="B47" s="8">
        <f>IF(AND('Items sous domaines Maths '!K51=6, 'Items sous domaines Maths '!K51&gt;0),'Items sous domaines Maths '!B51,0)</f>
        <v>0</v>
      </c>
      <c r="C47" s="8" t="b">
        <f>IF(AND('Items sous domaines Maths '!K51=6, 'Items sous domaines Maths '!K51&gt;0),'Items sous domaines Maths '!C51)</f>
        <v>0</v>
      </c>
      <c r="D47" s="8">
        <f>IF(AND('Items sous domaines Maths '!K51=6, 'Items sous domaines Maths '!K51&gt;0),'Items sous domaines Maths '!D51,0)</f>
        <v>0</v>
      </c>
      <c r="E47" s="8">
        <f>IF(AND('Items sous domaines Maths '!K51=6, 'Items sous domaines Maths '!K51&gt;0),'Items sous domaines Maths '!E51,0)</f>
        <v>0</v>
      </c>
      <c r="F47" s="9">
        <f>IF(AND('Items sous domaines Maths '!K51=6, 'Items sous domaines Maths '!K51&gt;0),'Items sous domaines Maths '!F51,0)</f>
        <v>0</v>
      </c>
      <c r="G47" s="647"/>
    </row>
    <row r="48" spans="1:7" customFormat="1" ht="27.6" hidden="1" customHeight="1" thickBot="1" x14ac:dyDescent="0.3">
      <c r="A48" s="750"/>
      <c r="B48" s="8">
        <f>IF(AND('Items sous domaines Maths '!K52=6, 'Items sous domaines Maths '!K52&gt;0),'Items sous domaines Maths '!B52,0)</f>
        <v>0</v>
      </c>
      <c r="C48" s="8" t="b">
        <f>IF(AND('Items sous domaines Maths '!K52=6, 'Items sous domaines Maths '!K52&gt;0),'Items sous domaines Maths '!C52)</f>
        <v>0</v>
      </c>
      <c r="D48" s="8">
        <f>IF(AND('Items sous domaines Maths '!K52=6, 'Items sous domaines Maths '!K52&gt;0),'Items sous domaines Maths '!D52,0)</f>
        <v>0</v>
      </c>
      <c r="E48" s="8">
        <f>IF(AND('Items sous domaines Maths '!K52=6, 'Items sous domaines Maths '!K52&gt;0),'Items sous domaines Maths '!E52,0)</f>
        <v>0</v>
      </c>
      <c r="F48" s="9">
        <f>IF(AND('Items sous domaines Maths '!K52=6, 'Items sous domaines Maths '!K52&gt;0),'Items sous domaines Maths '!F52,0)</f>
        <v>0</v>
      </c>
      <c r="G48" s="647"/>
    </row>
    <row r="49" spans="1:9" customFormat="1" ht="22.2" hidden="1" customHeight="1" thickBot="1" x14ac:dyDescent="0.3">
      <c r="A49" s="750"/>
      <c r="B49" s="8">
        <f>IF(AND('Items sous domaines Maths '!K53=6, 'Items sous domaines Maths '!K53&gt;0),'Items sous domaines Maths '!B53,0)</f>
        <v>0</v>
      </c>
      <c r="C49" s="8" t="b">
        <f>IF(AND('Items sous domaines Maths '!K53=6, 'Items sous domaines Maths '!K53&gt;0),'Items sous domaines Maths '!C53)</f>
        <v>0</v>
      </c>
      <c r="D49" s="8">
        <f>IF(AND('Items sous domaines Maths '!K53=6, 'Items sous domaines Maths '!K53&gt;0),'Items sous domaines Maths '!D53,0)</f>
        <v>0</v>
      </c>
      <c r="E49" s="8">
        <f>IF(AND('Items sous domaines Maths '!K53=6, 'Items sous domaines Maths '!K53&gt;0),'Items sous domaines Maths '!E53,0)</f>
        <v>0</v>
      </c>
      <c r="F49" s="9">
        <f>IF(AND('Items sous domaines Maths '!K53=6, 'Items sous domaines Maths '!K53&gt;0),'Items sous domaines Maths '!F53,0)</f>
        <v>0</v>
      </c>
      <c r="G49" s="647"/>
    </row>
    <row r="50" spans="1:9" s="3" customFormat="1" ht="27.6" hidden="1" customHeight="1" thickBot="1" x14ac:dyDescent="0.3">
      <c r="A50" s="750"/>
      <c r="B50" s="8">
        <f>IF(AND('Items sous domaines Maths '!K54=6, 'Items sous domaines Maths '!K54&gt;0),'Items sous domaines Maths '!B54,0)</f>
        <v>0</v>
      </c>
      <c r="C50" s="8" t="b">
        <f>IF(AND('Items sous domaines Maths '!K54=6, 'Items sous domaines Maths '!K54&gt;0),'Items sous domaines Maths '!C54)</f>
        <v>0</v>
      </c>
      <c r="D50" s="8">
        <f>IF(AND('Items sous domaines Maths '!K54=6, 'Items sous domaines Maths '!K54&gt;0),'Items sous domaines Maths '!D54,0)</f>
        <v>0</v>
      </c>
      <c r="E50" s="8">
        <f>IF(AND('Items sous domaines Maths '!K54=6, 'Items sous domaines Maths '!K54&gt;0),'Items sous domaines Maths '!E54,0)</f>
        <v>0</v>
      </c>
      <c r="F50" s="9">
        <f>IF(AND('Items sous domaines Maths '!K54=6, 'Items sous domaines Maths '!K54&gt;0),'Items sous domaines Maths '!F54,0)</f>
        <v>0</v>
      </c>
      <c r="G50" s="647"/>
    </row>
    <row r="51" spans="1:9" customFormat="1" ht="17.399999999999999" hidden="1" customHeight="1" thickBot="1" x14ac:dyDescent="0.3">
      <c r="A51" s="750"/>
      <c r="B51" s="8">
        <f>IF(AND('Items sous domaines Maths '!K55=6, 'Items sous domaines Maths '!K55&gt;0),'Items sous domaines Maths '!B55,0)</f>
        <v>0</v>
      </c>
      <c r="C51" s="8" t="b">
        <f>IF(AND('Items sous domaines Maths '!K55=6, 'Items sous domaines Maths '!K55&gt;0),'Items sous domaines Maths '!C55)</f>
        <v>0</v>
      </c>
      <c r="D51" s="8">
        <f>IF(AND('Items sous domaines Maths '!K55=6, 'Items sous domaines Maths '!K55&gt;0),'Items sous domaines Maths '!D55,0)</f>
        <v>0</v>
      </c>
      <c r="E51" s="8">
        <f>IF(AND('Items sous domaines Maths '!K55=6, 'Items sous domaines Maths '!K55&gt;0),'Items sous domaines Maths '!E55,0)</f>
        <v>0</v>
      </c>
      <c r="F51" s="9">
        <f>IF(AND('Items sous domaines Maths '!K55=6, 'Items sous domaines Maths '!K55&gt;0),'Items sous domaines Maths '!F55,0)</f>
        <v>0</v>
      </c>
      <c r="G51" s="647"/>
    </row>
    <row r="52" spans="1:9" customFormat="1" ht="17.399999999999999" hidden="1" customHeight="1" thickBot="1" x14ac:dyDescent="0.3">
      <c r="A52" s="750"/>
      <c r="B52" s="8">
        <f>IF(AND('Items sous domaines Maths '!K56=6, 'Items sous domaines Maths '!K56&gt;0),'Items sous domaines Maths '!B56,0)</f>
        <v>0</v>
      </c>
      <c r="C52" s="8" t="b">
        <f>IF(AND('Items sous domaines Maths '!K56=6, 'Items sous domaines Maths '!K56&gt;0),'Items sous domaines Maths '!C56)</f>
        <v>0</v>
      </c>
      <c r="D52" s="8">
        <f>IF(AND('Items sous domaines Maths '!K56=6, 'Items sous domaines Maths '!K56&gt;0),'Items sous domaines Maths '!D56,0)</f>
        <v>0</v>
      </c>
      <c r="E52" s="8">
        <f>IF(AND('Items sous domaines Maths '!K56=6, 'Items sous domaines Maths '!K56&gt;0),'Items sous domaines Maths '!E56,0)</f>
        <v>0</v>
      </c>
      <c r="F52" s="9">
        <f>IF(AND('Items sous domaines Maths '!K56=6, 'Items sous domaines Maths '!K56&gt;0),'Items sous domaines Maths '!F56,0)</f>
        <v>0</v>
      </c>
      <c r="G52" s="647"/>
    </row>
    <row r="53" spans="1:9" s="61" customFormat="1" ht="19.95" customHeight="1" thickTop="1" x14ac:dyDescent="0.25">
      <c r="A53" s="665"/>
      <c r="B53" s="271" t="str">
        <f>IF(AND('Items sous domaines Maths '!K57=6, 'Items sous domaines Maths '!K57&gt;0),'Items sous domaines Maths '!B57,0)</f>
        <v>Algèbre</v>
      </c>
      <c r="C53" s="182" t="str">
        <f>IF(AND('Items sous domaines Maths '!K57=6, 'Items sous domaines Maths '!K57&gt;0),'Items sous domaines Maths '!C57)</f>
        <v>Les nombres complexes</v>
      </c>
      <c r="D53" s="182">
        <f>IF(AND('Items sous domaines Maths '!K57=6, 'Items sous domaines Maths '!K57&gt;0),'Items sous domaines Maths '!D57,0)</f>
        <v>0</v>
      </c>
      <c r="E53" s="182">
        <f>IF(AND('Items sous domaines Maths '!K57=6, 'Items sous domaines Maths '!K57&gt;0),'Items sous domaines Maths '!E57,0)</f>
        <v>0</v>
      </c>
      <c r="F53" s="183" t="str">
        <f>IF(AND('Items sous domaines Maths '!K57=6, 'Items sous domaines Maths '!K57&gt;0),'Items sous domaines Maths '!F57,0)</f>
        <v>Savoir résudre les équations du second degré à coefficients complexes (discriminant complexe)</v>
      </c>
      <c r="G53" s="648"/>
      <c r="H53" s="190"/>
      <c r="I53" s="178"/>
    </row>
    <row r="54" spans="1:9" s="61" customFormat="1" ht="19.95" customHeight="1" x14ac:dyDescent="0.25">
      <c r="A54" s="666"/>
      <c r="B54" s="169" t="str">
        <f>IF(AND('Items sous domaines Maths '!K58=6, 'Items sous domaines Maths '!K58&gt;0),'Items sous domaines Maths '!B58,0)</f>
        <v>Algèbre</v>
      </c>
      <c r="C54" s="142" t="str">
        <f>IF(AND('Items sous domaines Maths '!K58=6, 'Items sous domaines Maths '!K58&gt;0),'Items sous domaines Maths '!C58)</f>
        <v>Les nombres complexes</v>
      </c>
      <c r="D54" s="142">
        <f>IF(AND('Items sous domaines Maths '!K58=6, 'Items sous domaines Maths '!K58&gt;0),'Items sous domaines Maths '!D58,0)</f>
        <v>0</v>
      </c>
      <c r="E54" s="142" t="str">
        <f>IF(AND('Items sous domaines Maths '!K58=6, 'Items sous domaines Maths '!K58&gt;0),'Items sous domaines Maths '!E58,0)</f>
        <v>Racines n-ièmes</v>
      </c>
      <c r="F54" s="143" t="str">
        <f>IF(AND('Items sous domaines Maths '!K58=6, 'Items sous domaines Maths '!K58&gt;0),'Items sous domaines Maths '!F58,0)</f>
        <v>Connaître la description des racines n-ièmes de l’unité et la représentation géometrique des solutions.</v>
      </c>
      <c r="G54" s="649"/>
      <c r="H54" s="114"/>
      <c r="I54" s="199"/>
    </row>
    <row r="55" spans="1:9" s="61" customFormat="1" ht="19.95" customHeight="1" x14ac:dyDescent="0.25">
      <c r="A55" s="666"/>
      <c r="B55" s="172" t="str">
        <f>IF(AND('Items sous domaines Maths '!K59=6, 'Items sous domaines Maths '!K59&gt;0),'Items sous domaines Maths '!B59,0)</f>
        <v>Algèbre</v>
      </c>
      <c r="C55" s="145" t="str">
        <f>IF(AND('Items sous domaines Maths '!K59=6, 'Items sous domaines Maths '!K59&gt;0),'Items sous domaines Maths '!C59)</f>
        <v>Les nombres complexes</v>
      </c>
      <c r="D55" s="145">
        <f>IF(AND('Items sous domaines Maths '!K59=6, 'Items sous domaines Maths '!K59&gt;0),'Items sous domaines Maths '!D59,0)</f>
        <v>0</v>
      </c>
      <c r="E55" s="145">
        <f>IF(AND('Items sous domaines Maths '!K59=6, 'Items sous domaines Maths '!K59&gt;0),'Items sous domaines Maths '!E59,0)</f>
        <v>0</v>
      </c>
      <c r="F55" s="146" t="str">
        <f>IF(AND('Items sous domaines Maths '!K59=6, 'Items sous domaines Maths '!K59&gt;0),'Items sous domaines Maths '!F59,0)</f>
        <v>Savoir résoudre les équations du type quation z ^n = a avec a complexe.</v>
      </c>
      <c r="G55" s="649"/>
      <c r="H55" s="114"/>
      <c r="I55" s="199"/>
    </row>
    <row r="56" spans="1:9" s="61" customFormat="1" ht="19.95" customHeight="1" x14ac:dyDescent="0.25">
      <c r="A56" s="666"/>
      <c r="B56" s="169" t="str">
        <f>IF(AND('Items sous domaines Maths '!K60=6, 'Items sous domaines Maths '!K60&gt;0),'Items sous domaines Maths '!B60,0)</f>
        <v>Algèbre</v>
      </c>
      <c r="C56" s="142" t="str">
        <f>IF(AND('Items sous domaines Maths '!K60=6, 'Items sous domaines Maths '!K60&gt;0),'Items sous domaines Maths '!C60)</f>
        <v>Les nombres complexes</v>
      </c>
      <c r="D56" s="142" t="str">
        <f>IF(AND('Items sous domaines Maths '!K60=6, 'Items sous domaines Maths '!K60&gt;0),'Items sous domaines Maths '!D60,0)</f>
        <v>Nombre complexes et géometrie plane</v>
      </c>
      <c r="E56" s="142" t="str">
        <f>IF(AND('Items sous domaines Maths '!K60=6, 'Items sous domaines Maths '!K60&gt;0),'Items sous domaines Maths '!E60,0)</f>
        <v>Traduction de l'aligenment et de l'orthogonlité. Transformations z→ ̅z et interpretation géometrique.</v>
      </c>
      <c r="F56" s="143" t="str">
        <f>IF(AND('Items sous domaines Maths '!K60=6, 'Items sous domaines Maths '!K60&gt;0),'Items sous domaines Maths '!F60,0)</f>
        <v>Savoir traduite l'alignement et l'orthogonalité à l'aide de l'argument</v>
      </c>
      <c r="G56" s="649"/>
      <c r="H56" s="272" t="s">
        <v>63</v>
      </c>
      <c r="I56" s="199"/>
    </row>
    <row r="57" spans="1:9" s="61" customFormat="1" ht="19.95" customHeight="1" thickBot="1" x14ac:dyDescent="0.3">
      <c r="A57" s="751"/>
      <c r="B57" s="274" t="str">
        <f>IF(AND('Items sous domaines Maths '!K61=6, 'Items sous domaines Maths '!K61&gt;0),'Items sous domaines Maths '!B61,0)</f>
        <v>Algèbre</v>
      </c>
      <c r="C57" s="193" t="str">
        <f>IF(AND('Items sous domaines Maths '!K61=6, 'Items sous domaines Maths '!K61&gt;0),'Items sous domaines Maths '!C61)</f>
        <v>Les nombres complexes</v>
      </c>
      <c r="D57" s="193">
        <f>IF(AND('Items sous domaines Maths '!K61=6, 'Items sous domaines Maths '!K61&gt;0),'Items sous domaines Maths '!D61,0)</f>
        <v>0</v>
      </c>
      <c r="E57" s="193" t="str">
        <f>IF(AND('Items sous domaines Maths '!K61=6, 'Items sous domaines Maths '!K61&gt;0),'Items sous domaines Maths '!E61,0)</f>
        <v xml:space="preserve"> Transformations classiques du plan : translation, rotation homothetie, similitude.</v>
      </c>
      <c r="F57" s="194" t="str">
        <f>IF(AND('Items sous domaines Maths '!K61=6, 'Items sous domaines Maths '!K61&gt;0),'Items sous domaines Maths '!F61,0)</f>
        <v>Savoir résoudre les équations du type quation z ^n = a avec a complexe.</v>
      </c>
      <c r="G57" s="650"/>
      <c r="H57" s="191"/>
      <c r="I57" s="189"/>
    </row>
    <row r="58" spans="1:9" customFormat="1" ht="30" hidden="1" customHeight="1" thickTop="1" thickBot="1" x14ac:dyDescent="0.3">
      <c r="A58" s="750"/>
      <c r="B58">
        <f>IF(AND('Items sous domaines Maths '!K62=6, 'Items sous domaines Maths '!K62&gt;0),'Items sous domaines Maths '!B62,0)</f>
        <v>0</v>
      </c>
      <c r="C58" t="b">
        <f>IF(AND('Items sous domaines Maths '!K62=6, 'Items sous domaines Maths '!K62&gt;0),'Items sous domaines Maths '!C62)</f>
        <v>0</v>
      </c>
      <c r="D58">
        <f>IF(AND('Items sous domaines Maths '!K62=6, 'Items sous domaines Maths '!K62&gt;0),'Items sous domaines Maths '!D62,0)</f>
        <v>0</v>
      </c>
      <c r="E58">
        <f>IF(AND('Items sous domaines Maths '!K62=6, 'Items sous domaines Maths '!K62&gt;0),'Items sous domaines Maths '!E62,0)</f>
        <v>0</v>
      </c>
      <c r="F58" s="10">
        <f>IF(AND('Items sous domaines Maths '!K62=6, 'Items sous domaines Maths '!K62&gt;0),'Items sous domaines Maths '!F62,0)</f>
        <v>0</v>
      </c>
      <c r="G58" s="647"/>
    </row>
    <row r="59" spans="1:9" customFormat="1" ht="17.399999999999999" hidden="1" customHeight="1" thickBot="1" x14ac:dyDescent="0.3">
      <c r="A59" s="750"/>
      <c r="B59" s="8">
        <f>IF(AND('Items sous domaines Maths '!K63=6, 'Items sous domaines Maths '!K63&gt;0),'Items sous domaines Maths '!B63,0)</f>
        <v>0</v>
      </c>
      <c r="C59" s="8" t="b">
        <f>IF(AND('Items sous domaines Maths '!K63=6, 'Items sous domaines Maths '!K63&gt;0),'Items sous domaines Maths '!C63)</f>
        <v>0</v>
      </c>
      <c r="D59" s="8">
        <f>IF(AND('Items sous domaines Maths '!K63=6, 'Items sous domaines Maths '!K63&gt;0),'Items sous domaines Maths '!D63,0)</f>
        <v>0</v>
      </c>
      <c r="E59" s="8">
        <f>IF(AND('Items sous domaines Maths '!K63=6, 'Items sous domaines Maths '!K63&gt;0),'Items sous domaines Maths '!E63,0)</f>
        <v>0</v>
      </c>
      <c r="F59" s="9">
        <f>IF(AND('Items sous domaines Maths '!K63=6, 'Items sous domaines Maths '!K63&gt;0),'Items sous domaines Maths '!F63,0)</f>
        <v>0</v>
      </c>
      <c r="G59" s="647"/>
    </row>
    <row r="60" spans="1:9" customFormat="1" ht="17.399999999999999" hidden="1" customHeight="1" thickBot="1" x14ac:dyDescent="0.3">
      <c r="A60" s="750"/>
      <c r="B60" s="8">
        <f>IF(AND('Items sous domaines Maths '!K64=6, 'Items sous domaines Maths '!K64&gt;0),'Items sous domaines Maths '!B64,0)</f>
        <v>0</v>
      </c>
      <c r="C60" s="8" t="b">
        <f>IF(AND('Items sous domaines Maths '!K64=6, 'Items sous domaines Maths '!K64&gt;0),'Items sous domaines Maths '!C64)</f>
        <v>0</v>
      </c>
      <c r="D60" s="8">
        <f>IF(AND('Items sous domaines Maths '!K64=6, 'Items sous domaines Maths '!K64&gt;0),'Items sous domaines Maths '!D64,0)</f>
        <v>0</v>
      </c>
      <c r="E60" s="8">
        <f>IF(AND('Items sous domaines Maths '!K64=6, 'Items sous domaines Maths '!K64&gt;0),'Items sous domaines Maths '!E64,0)</f>
        <v>0</v>
      </c>
      <c r="F60" s="9">
        <f>IF(AND('Items sous domaines Maths '!K64=6, 'Items sous domaines Maths '!K64&gt;0),'Items sous domaines Maths '!F64,0)</f>
        <v>0</v>
      </c>
      <c r="G60" s="647"/>
    </row>
    <row r="61" spans="1:9" customFormat="1" ht="17.399999999999999" hidden="1" customHeight="1" thickBot="1" x14ac:dyDescent="0.3">
      <c r="A61" s="750"/>
      <c r="B61" s="8">
        <f>IF(AND('Items sous domaines Maths '!K65=6, 'Items sous domaines Maths '!K65&gt;0),'Items sous domaines Maths '!B65,0)</f>
        <v>0</v>
      </c>
      <c r="C61" s="8" t="b">
        <f>IF(AND('Items sous domaines Maths '!K65=6, 'Items sous domaines Maths '!K65&gt;0),'Items sous domaines Maths '!C65)</f>
        <v>0</v>
      </c>
      <c r="D61" s="8">
        <f>IF(AND('Items sous domaines Maths '!K65=6, 'Items sous domaines Maths '!K65&gt;0),'Items sous domaines Maths '!D65,0)</f>
        <v>0</v>
      </c>
      <c r="E61" s="8">
        <f>IF(AND('Items sous domaines Maths '!K65=6, 'Items sous domaines Maths '!K65&gt;0),'Items sous domaines Maths '!E65,0)</f>
        <v>0</v>
      </c>
      <c r="F61" s="9">
        <f>IF(AND('Items sous domaines Maths '!K65=6, 'Items sous domaines Maths '!K65&gt;0),'Items sous domaines Maths '!F65,0)</f>
        <v>0</v>
      </c>
      <c r="G61" s="647"/>
    </row>
    <row r="62" spans="1:9" customFormat="1" ht="17.399999999999999" hidden="1" customHeight="1" thickBot="1" x14ac:dyDescent="0.3">
      <c r="A62" s="750"/>
      <c r="B62" s="8">
        <f>IF(AND('Items sous domaines Maths '!K66=6, 'Items sous domaines Maths '!K66&gt;0),'Items sous domaines Maths '!B66,0)</f>
        <v>0</v>
      </c>
      <c r="C62" s="8" t="b">
        <f>IF(AND('Items sous domaines Maths '!K66=6, 'Items sous domaines Maths '!K66&gt;0),'Items sous domaines Maths '!C66)</f>
        <v>0</v>
      </c>
      <c r="D62" s="8">
        <f>IF(AND('Items sous domaines Maths '!K66=6, 'Items sous domaines Maths '!K66&gt;0),'Items sous domaines Maths '!D66,0)</f>
        <v>0</v>
      </c>
      <c r="E62" s="8">
        <f>IF(AND('Items sous domaines Maths '!K66=6, 'Items sous domaines Maths '!K66&gt;0),'Items sous domaines Maths '!E66,0)</f>
        <v>0</v>
      </c>
      <c r="F62" s="9">
        <f>IF(AND('Items sous domaines Maths '!K66=6, 'Items sous domaines Maths '!K66&gt;0),'Items sous domaines Maths '!F66,0)</f>
        <v>0</v>
      </c>
      <c r="G62" s="647"/>
    </row>
    <row r="63" spans="1:9" customFormat="1" ht="17.399999999999999" hidden="1" customHeight="1" thickBot="1" x14ac:dyDescent="0.3">
      <c r="A63" s="750"/>
      <c r="B63" s="8">
        <f>IF(AND('Items sous domaines Maths '!K67=6, 'Items sous domaines Maths '!K67&gt;0),'Items sous domaines Maths '!B67,0)</f>
        <v>0</v>
      </c>
      <c r="C63" s="8" t="b">
        <f>IF(AND('Items sous domaines Maths '!K67=6, 'Items sous domaines Maths '!K67&gt;0),'Items sous domaines Maths '!C67)</f>
        <v>0</v>
      </c>
      <c r="D63" s="8">
        <f>IF(AND('Items sous domaines Maths '!K67=6, 'Items sous domaines Maths '!K67&gt;0),'Items sous domaines Maths '!D67,0)</f>
        <v>0</v>
      </c>
      <c r="E63" s="8">
        <f>IF(AND('Items sous domaines Maths '!K67=6, 'Items sous domaines Maths '!K67&gt;0),'Items sous domaines Maths '!E67,0)</f>
        <v>0</v>
      </c>
      <c r="F63" s="9">
        <f>IF(AND('Items sous domaines Maths '!K67=6, 'Items sous domaines Maths '!K67&gt;0),'Items sous domaines Maths '!F67,0)</f>
        <v>0</v>
      </c>
      <c r="G63" s="647"/>
    </row>
    <row r="64" spans="1:9" customFormat="1" ht="17.399999999999999" hidden="1" customHeight="1" thickBot="1" x14ac:dyDescent="0.3">
      <c r="A64" s="750"/>
      <c r="B64" s="8">
        <f>IF(AND('Items sous domaines Maths '!K68=6, 'Items sous domaines Maths '!K68&gt;0),'Items sous domaines Maths '!B68,0)</f>
        <v>0</v>
      </c>
      <c r="C64" s="8" t="b">
        <f>IF(AND('Items sous domaines Maths '!K68=6, 'Items sous domaines Maths '!K68&gt;0),'Items sous domaines Maths '!C68)</f>
        <v>0</v>
      </c>
      <c r="D64" s="8">
        <f>IF(AND('Items sous domaines Maths '!K68=6, 'Items sous domaines Maths '!K68&gt;0),'Items sous domaines Maths '!D68,0)</f>
        <v>0</v>
      </c>
      <c r="E64" s="8">
        <f>IF(AND('Items sous domaines Maths '!K68=6, 'Items sous domaines Maths '!K68&gt;0),'Items sous domaines Maths '!E68,0)</f>
        <v>0</v>
      </c>
      <c r="F64" s="9">
        <f>IF(AND('Items sous domaines Maths '!K68=6, 'Items sous domaines Maths '!K68&gt;0),'Items sous domaines Maths '!F68,0)</f>
        <v>0</v>
      </c>
      <c r="G64" s="647"/>
    </row>
    <row r="65" spans="1:7" customFormat="1" ht="22.2" hidden="1" customHeight="1" thickBot="1" x14ac:dyDescent="0.3">
      <c r="A65" s="750"/>
      <c r="B65" s="8">
        <f>IF(AND('Items sous domaines Maths '!K69=6, 'Items sous domaines Maths '!K69&gt;0),'Items sous domaines Maths '!B69,0)</f>
        <v>0</v>
      </c>
      <c r="C65" s="8" t="b">
        <f>IF(AND('Items sous domaines Maths '!K69=6, 'Items sous domaines Maths '!K69&gt;0),'Items sous domaines Maths '!C69)</f>
        <v>0</v>
      </c>
      <c r="D65" s="8">
        <f>IF(AND('Items sous domaines Maths '!K69=6, 'Items sous domaines Maths '!K69&gt;0),'Items sous domaines Maths '!D69,0)</f>
        <v>0</v>
      </c>
      <c r="E65" s="8">
        <f>IF(AND('Items sous domaines Maths '!K69=6, 'Items sous domaines Maths '!K69&gt;0),'Items sous domaines Maths '!E69,0)</f>
        <v>0</v>
      </c>
      <c r="F65" s="9">
        <f>IF(AND('Items sous domaines Maths '!K69=6, 'Items sous domaines Maths '!K69&gt;0),'Items sous domaines Maths '!F69,0)</f>
        <v>0</v>
      </c>
      <c r="G65" s="647"/>
    </row>
    <row r="66" spans="1:7" customFormat="1" ht="17.399999999999999" hidden="1" customHeight="1" thickBot="1" x14ac:dyDescent="0.3">
      <c r="A66" s="750"/>
      <c r="B66" s="8">
        <f>IF(AND('Items sous domaines Maths '!K70=6, 'Items sous domaines Maths '!K70&gt;0),'Items sous domaines Maths '!B70,0)</f>
        <v>0</v>
      </c>
      <c r="C66" s="8" t="b">
        <f>IF(AND('Items sous domaines Maths '!K70=6, 'Items sous domaines Maths '!K70&gt;0),'Items sous domaines Maths '!C70)</f>
        <v>0</v>
      </c>
      <c r="D66" s="8">
        <f>IF(AND('Items sous domaines Maths '!K70=6, 'Items sous domaines Maths '!K70&gt;0),'Items sous domaines Maths '!D70,0)</f>
        <v>0</v>
      </c>
      <c r="E66" s="8">
        <f>IF(AND('Items sous domaines Maths '!K70=6, 'Items sous domaines Maths '!K70&gt;0),'Items sous domaines Maths '!E70,0)</f>
        <v>0</v>
      </c>
      <c r="F66" s="9">
        <f>IF(AND('Items sous domaines Maths '!K70=6, 'Items sous domaines Maths '!K70&gt;0),'Items sous domaines Maths '!F70,0)</f>
        <v>0</v>
      </c>
      <c r="G66" s="647"/>
    </row>
    <row r="67" spans="1:7" customFormat="1" ht="27.6" hidden="1" customHeight="1" thickBot="1" x14ac:dyDescent="0.3">
      <c r="A67" s="750"/>
      <c r="B67" s="8">
        <f>IF(AND('Items sous domaines Maths '!K71=6, 'Items sous domaines Maths '!K71&gt;0),'Items sous domaines Maths '!B71,0)</f>
        <v>0</v>
      </c>
      <c r="C67" s="8" t="b">
        <f>IF(AND('Items sous domaines Maths '!K71=6, 'Items sous domaines Maths '!K71&gt;0),'Items sous domaines Maths '!C71)</f>
        <v>0</v>
      </c>
      <c r="D67" s="8">
        <f>IF(AND('Items sous domaines Maths '!K71=6, 'Items sous domaines Maths '!K71&gt;0),'Items sous domaines Maths '!D71,0)</f>
        <v>0</v>
      </c>
      <c r="E67" s="8">
        <f>IF(AND('Items sous domaines Maths '!K71=6, 'Items sous domaines Maths '!K71&gt;0),'Items sous domaines Maths '!E71,0)</f>
        <v>0</v>
      </c>
      <c r="F67" s="9">
        <f>IF(AND('Items sous domaines Maths '!K71=6, 'Items sous domaines Maths '!K71&gt;0),'Items sous domaines Maths '!F71,0)</f>
        <v>0</v>
      </c>
      <c r="G67" s="647"/>
    </row>
    <row r="68" spans="1:7" customFormat="1" ht="17.399999999999999" hidden="1" customHeight="1" thickBot="1" x14ac:dyDescent="0.3">
      <c r="A68" s="750"/>
      <c r="B68" s="8">
        <f>IF(AND('Items sous domaines Maths '!K72=6, 'Items sous domaines Maths '!K72&gt;0),'Items sous domaines Maths '!B72,0)</f>
        <v>0</v>
      </c>
      <c r="C68" s="8" t="b">
        <f>IF(AND('Items sous domaines Maths '!K72=6, 'Items sous domaines Maths '!K72&gt;0),'Items sous domaines Maths '!C72)</f>
        <v>0</v>
      </c>
      <c r="D68" s="8">
        <f>IF(AND('Items sous domaines Maths '!K72=6, 'Items sous domaines Maths '!K72&gt;0),'Items sous domaines Maths '!D72,0)</f>
        <v>0</v>
      </c>
      <c r="E68" s="8">
        <f>IF(AND('Items sous domaines Maths '!K72=6, 'Items sous domaines Maths '!K72&gt;0),'Items sous domaines Maths '!E72,0)</f>
        <v>0</v>
      </c>
      <c r="F68" s="9">
        <f>IF(AND('Items sous domaines Maths '!K72=6, 'Items sous domaines Maths '!K72&gt;0),'Items sous domaines Maths '!F72,0)</f>
        <v>0</v>
      </c>
      <c r="G68" s="647"/>
    </row>
    <row r="69" spans="1:7" customFormat="1" ht="17.399999999999999" hidden="1" customHeight="1" thickBot="1" x14ac:dyDescent="0.3">
      <c r="A69" s="750"/>
      <c r="B69" s="8">
        <f>IF(AND('Items sous domaines Maths '!K73=6, 'Items sous domaines Maths '!K73&gt;0),'Items sous domaines Maths '!B73,0)</f>
        <v>0</v>
      </c>
      <c r="C69" s="8" t="b">
        <f>IF(AND('Items sous domaines Maths '!K73=6, 'Items sous domaines Maths '!K73&gt;0),'Items sous domaines Maths '!C73)</f>
        <v>0</v>
      </c>
      <c r="D69" s="8">
        <f>IF(AND('Items sous domaines Maths '!K73=6, 'Items sous domaines Maths '!K73&gt;0),'Items sous domaines Maths '!D73,0)</f>
        <v>0</v>
      </c>
      <c r="E69" s="8">
        <f>IF(AND('Items sous domaines Maths '!K73=6, 'Items sous domaines Maths '!K73&gt;0),'Items sous domaines Maths '!E73,0)</f>
        <v>0</v>
      </c>
      <c r="F69" s="9">
        <f>IF(AND('Items sous domaines Maths '!K73=6, 'Items sous domaines Maths '!K73&gt;0),'Items sous domaines Maths '!F73,0)</f>
        <v>0</v>
      </c>
      <c r="G69" s="647"/>
    </row>
    <row r="70" spans="1:7" customFormat="1" ht="17.399999999999999" hidden="1" customHeight="1" thickBot="1" x14ac:dyDescent="0.3">
      <c r="A70" s="750"/>
      <c r="B70" s="8">
        <f>IF(AND('Items sous domaines Maths '!K74=6, 'Items sous domaines Maths '!K74&gt;0),'Items sous domaines Maths '!B74,0)</f>
        <v>0</v>
      </c>
      <c r="C70" s="8" t="b">
        <f>IF(AND('Items sous domaines Maths '!K74=6, 'Items sous domaines Maths '!K74&gt;0),'Items sous domaines Maths '!C74)</f>
        <v>0</v>
      </c>
      <c r="D70" s="8">
        <f>IF(AND('Items sous domaines Maths '!K74=6, 'Items sous domaines Maths '!K74&gt;0),'Items sous domaines Maths '!D74,0)</f>
        <v>0</v>
      </c>
      <c r="E70" s="8">
        <f>IF(AND('Items sous domaines Maths '!K74=6, 'Items sous domaines Maths '!K74&gt;0),'Items sous domaines Maths '!E74,0)</f>
        <v>0</v>
      </c>
      <c r="F70" s="9">
        <f>IF(AND('Items sous domaines Maths '!K74=6, 'Items sous domaines Maths '!K74&gt;0),'Items sous domaines Maths '!F74,0)</f>
        <v>0</v>
      </c>
      <c r="G70" s="647"/>
    </row>
    <row r="71" spans="1:7" customFormat="1" ht="17.399999999999999" hidden="1" customHeight="1" thickBot="1" x14ac:dyDescent="0.3">
      <c r="A71" s="750"/>
      <c r="B71" s="8">
        <f>IF(AND('Items sous domaines Maths '!K75=6, 'Items sous domaines Maths '!K75&gt;0),'Items sous domaines Maths '!B75,0)</f>
        <v>0</v>
      </c>
      <c r="C71" s="8" t="b">
        <f>IF(AND('Items sous domaines Maths '!K75=6, 'Items sous domaines Maths '!K75&gt;0),'Items sous domaines Maths '!C75)</f>
        <v>0</v>
      </c>
      <c r="D71" s="8">
        <f>IF(AND('Items sous domaines Maths '!K75=6, 'Items sous domaines Maths '!K75&gt;0),'Items sous domaines Maths '!D75,0)</f>
        <v>0</v>
      </c>
      <c r="E71" s="8">
        <f>IF(AND('Items sous domaines Maths '!K75=6, 'Items sous domaines Maths '!K75&gt;0),'Items sous domaines Maths '!E75,0)</f>
        <v>0</v>
      </c>
      <c r="F71" s="9">
        <f>IF(AND('Items sous domaines Maths '!K75=6, 'Items sous domaines Maths '!K75&gt;0),'Items sous domaines Maths '!F75,0)</f>
        <v>0</v>
      </c>
      <c r="G71" s="647"/>
    </row>
    <row r="72" spans="1:7" customFormat="1" ht="17.399999999999999" hidden="1" customHeight="1" thickBot="1" x14ac:dyDescent="0.3">
      <c r="A72" s="750"/>
      <c r="B72" s="8">
        <f>IF(AND('Items sous domaines Maths '!K76=6, 'Items sous domaines Maths '!K76&gt;0),'Items sous domaines Maths '!B76,0)</f>
        <v>0</v>
      </c>
      <c r="C72" s="8" t="b">
        <f>IF(AND('Items sous domaines Maths '!K76=6, 'Items sous domaines Maths '!K76&gt;0),'Items sous domaines Maths '!C76)</f>
        <v>0</v>
      </c>
      <c r="D72" s="8">
        <f>IF(AND('Items sous domaines Maths '!K76=6, 'Items sous domaines Maths '!K76&gt;0),'Items sous domaines Maths '!D76,0)</f>
        <v>0</v>
      </c>
      <c r="E72" s="8">
        <f>IF(AND('Items sous domaines Maths '!K76=6, 'Items sous domaines Maths '!K76&gt;0),'Items sous domaines Maths '!E76,0)</f>
        <v>0</v>
      </c>
      <c r="F72" s="9">
        <f>IF(AND('Items sous domaines Maths '!K76=6, 'Items sous domaines Maths '!K76&gt;0),'Items sous domaines Maths '!F76,0)</f>
        <v>0</v>
      </c>
      <c r="G72" s="647"/>
    </row>
    <row r="73" spans="1:7" customFormat="1" ht="17.399999999999999" hidden="1" customHeight="1" thickBot="1" x14ac:dyDescent="0.3">
      <c r="A73" s="750"/>
      <c r="B73" s="8">
        <f>IF(AND('Items sous domaines Maths '!K77=6, 'Items sous domaines Maths '!K77&gt;0),'Items sous domaines Maths '!B77,0)</f>
        <v>0</v>
      </c>
      <c r="C73" s="8" t="b">
        <f>IF(AND('Items sous domaines Maths '!K77=6, 'Items sous domaines Maths '!K77&gt;0),'Items sous domaines Maths '!C77)</f>
        <v>0</v>
      </c>
      <c r="D73" s="8">
        <f>IF(AND('Items sous domaines Maths '!K77=6, 'Items sous domaines Maths '!K77&gt;0),'Items sous domaines Maths '!D77,0)</f>
        <v>0</v>
      </c>
      <c r="E73" s="8">
        <f>IF(AND('Items sous domaines Maths '!K77=6, 'Items sous domaines Maths '!K77&gt;0),'Items sous domaines Maths '!E77,0)</f>
        <v>0</v>
      </c>
      <c r="F73" s="9">
        <f>IF(AND('Items sous domaines Maths '!K77=6, 'Items sous domaines Maths '!K77&gt;0),'Items sous domaines Maths '!F77,0)</f>
        <v>0</v>
      </c>
      <c r="G73" s="647"/>
    </row>
    <row r="74" spans="1:7" customFormat="1" ht="17.399999999999999" hidden="1" customHeight="1" thickBot="1" x14ac:dyDescent="0.3">
      <c r="A74" s="750"/>
      <c r="B74" s="8">
        <f>IF(AND('Items sous domaines Maths '!K78=6, 'Items sous domaines Maths '!K78&gt;0),'Items sous domaines Maths '!B78,0)</f>
        <v>0</v>
      </c>
      <c r="C74" s="8" t="b">
        <f>IF(AND('Items sous domaines Maths '!K78=6, 'Items sous domaines Maths '!K78&gt;0),'Items sous domaines Maths '!C78)</f>
        <v>0</v>
      </c>
      <c r="D74" s="8">
        <f>IF(AND('Items sous domaines Maths '!K78=6, 'Items sous domaines Maths '!K78&gt;0),'Items sous domaines Maths '!D78,0)</f>
        <v>0</v>
      </c>
      <c r="E74" s="8">
        <f>IF(AND('Items sous domaines Maths '!K78=6, 'Items sous domaines Maths '!K78&gt;0),'Items sous domaines Maths '!E78,0)</f>
        <v>0</v>
      </c>
      <c r="F74" s="9">
        <f>IF(AND('Items sous domaines Maths '!K78=6, 'Items sous domaines Maths '!K78&gt;0),'Items sous domaines Maths '!F78,0)</f>
        <v>0</v>
      </c>
      <c r="G74" s="647"/>
    </row>
    <row r="75" spans="1:7" customFormat="1" ht="17.399999999999999" hidden="1" customHeight="1" thickBot="1" x14ac:dyDescent="0.3">
      <c r="A75" s="750"/>
      <c r="B75" s="8">
        <f>IF(AND('Items sous domaines Maths '!K79=6, 'Items sous domaines Maths '!K79&gt;0),'Items sous domaines Maths '!B79,0)</f>
        <v>0</v>
      </c>
      <c r="C75" s="8" t="b">
        <f>IF(AND('Items sous domaines Maths '!K79=6, 'Items sous domaines Maths '!K79&gt;0),'Items sous domaines Maths '!C79)</f>
        <v>0</v>
      </c>
      <c r="D75" s="8">
        <f>IF(AND('Items sous domaines Maths '!K79=6, 'Items sous domaines Maths '!K79&gt;0),'Items sous domaines Maths '!D79,0)</f>
        <v>0</v>
      </c>
      <c r="E75" s="8">
        <f>IF(AND('Items sous domaines Maths '!K79=6, 'Items sous domaines Maths '!K79&gt;0),'Items sous domaines Maths '!E79,0)</f>
        <v>0</v>
      </c>
      <c r="F75" s="9">
        <f>IF(AND('Items sous domaines Maths '!K79=6, 'Items sous domaines Maths '!K79&gt;0),'Items sous domaines Maths '!F79,0)</f>
        <v>0</v>
      </c>
      <c r="G75" s="647"/>
    </row>
    <row r="76" spans="1:7" customFormat="1" ht="17.399999999999999" hidden="1" customHeight="1" thickBot="1" x14ac:dyDescent="0.3">
      <c r="A76" s="750"/>
      <c r="B76" s="8">
        <f>IF(AND('Items sous domaines Maths '!K80=6, 'Items sous domaines Maths '!K80&gt;0),'Items sous domaines Maths '!B80,0)</f>
        <v>0</v>
      </c>
      <c r="C76" s="8" t="b">
        <f>IF(AND('Items sous domaines Maths '!K80=6, 'Items sous domaines Maths '!K80&gt;0),'Items sous domaines Maths '!C80)</f>
        <v>0</v>
      </c>
      <c r="D76" s="8">
        <f>IF(AND('Items sous domaines Maths '!K80=6, 'Items sous domaines Maths '!K80&gt;0),'Items sous domaines Maths '!D80,0)</f>
        <v>0</v>
      </c>
      <c r="E76" s="8">
        <f>IF(AND('Items sous domaines Maths '!K80=6, 'Items sous domaines Maths '!K80&gt;0),'Items sous domaines Maths '!E80,0)</f>
        <v>0</v>
      </c>
      <c r="F76" s="9">
        <f>IF(AND('Items sous domaines Maths '!K80=6, 'Items sous domaines Maths '!K80&gt;0),'Items sous domaines Maths '!F80,0)</f>
        <v>0</v>
      </c>
      <c r="G76" s="647"/>
    </row>
    <row r="77" spans="1:7" customFormat="1" ht="17.399999999999999" hidden="1" customHeight="1" thickBot="1" x14ac:dyDescent="0.3">
      <c r="A77" s="750"/>
      <c r="B77" s="8">
        <f>IF(AND('Items sous domaines Maths '!K81=6, 'Items sous domaines Maths '!K81&gt;0),'Items sous domaines Maths '!B81,0)</f>
        <v>0</v>
      </c>
      <c r="C77" s="8" t="b">
        <f>IF(AND('Items sous domaines Maths '!K81=6, 'Items sous domaines Maths '!K81&gt;0),'Items sous domaines Maths '!C81)</f>
        <v>0</v>
      </c>
      <c r="D77" s="8">
        <f>IF(AND('Items sous domaines Maths '!K81=6, 'Items sous domaines Maths '!K81&gt;0),'Items sous domaines Maths '!D81,0)</f>
        <v>0</v>
      </c>
      <c r="E77" s="8">
        <f>IF(AND('Items sous domaines Maths '!K81=6, 'Items sous domaines Maths '!K81&gt;0),'Items sous domaines Maths '!E81,0)</f>
        <v>0</v>
      </c>
      <c r="F77" s="9">
        <f>IF(AND('Items sous domaines Maths '!K81=6, 'Items sous domaines Maths '!K81&gt;0),'Items sous domaines Maths '!F81,0)</f>
        <v>0</v>
      </c>
      <c r="G77" s="647"/>
    </row>
    <row r="78" spans="1:7" customFormat="1" ht="17.399999999999999" hidden="1" customHeight="1" thickBot="1" x14ac:dyDescent="0.3">
      <c r="A78" s="750"/>
      <c r="B78" s="8">
        <f>IF(AND('Items sous domaines Maths '!K82=6, 'Items sous domaines Maths '!K82&gt;0),'Items sous domaines Maths '!B82,0)</f>
        <v>0</v>
      </c>
      <c r="C78" s="8" t="b">
        <f>IF(AND('Items sous domaines Maths '!K82=6, 'Items sous domaines Maths '!K82&gt;0),'Items sous domaines Maths '!C82)</f>
        <v>0</v>
      </c>
      <c r="D78" s="8">
        <f>IF(AND('Items sous domaines Maths '!K82=6, 'Items sous domaines Maths '!K82&gt;0),'Items sous domaines Maths '!D82,0)</f>
        <v>0</v>
      </c>
      <c r="E78" s="8">
        <f>IF(AND('Items sous domaines Maths '!K82=6, 'Items sous domaines Maths '!K82&gt;0),'Items sous domaines Maths '!E82,0)</f>
        <v>0</v>
      </c>
      <c r="F78" s="9">
        <f>IF(AND('Items sous domaines Maths '!K82=6, 'Items sous domaines Maths '!K82&gt;0),'Items sous domaines Maths '!F82,0)</f>
        <v>0</v>
      </c>
      <c r="G78" s="647"/>
    </row>
    <row r="79" spans="1:7" customFormat="1" ht="17.399999999999999" hidden="1" customHeight="1" thickBot="1" x14ac:dyDescent="0.3">
      <c r="A79" s="750"/>
      <c r="B79" s="8">
        <f>IF(AND('Items sous domaines Maths '!K83=6, 'Items sous domaines Maths '!K83&gt;0),'Items sous domaines Maths '!B83,0)</f>
        <v>0</v>
      </c>
      <c r="C79" s="8" t="b">
        <f>IF(AND('Items sous domaines Maths '!K83=6, 'Items sous domaines Maths '!K83&gt;0),'Items sous domaines Maths '!C83)</f>
        <v>0</v>
      </c>
      <c r="D79" s="8">
        <f>IF(AND('Items sous domaines Maths '!K83=6, 'Items sous domaines Maths '!K83&gt;0),'Items sous domaines Maths '!D83,0)</f>
        <v>0</v>
      </c>
      <c r="E79" s="8">
        <f>IF(AND('Items sous domaines Maths '!K83=6, 'Items sous domaines Maths '!K83&gt;0),'Items sous domaines Maths '!E83,0)</f>
        <v>0</v>
      </c>
      <c r="F79" s="9">
        <f>IF(AND('Items sous domaines Maths '!K83=6, 'Items sous domaines Maths '!K83&gt;0),'Items sous domaines Maths '!F83,0)</f>
        <v>0</v>
      </c>
      <c r="G79" s="647"/>
    </row>
    <row r="80" spans="1:7" customFormat="1" ht="17.399999999999999" hidden="1" customHeight="1" thickBot="1" x14ac:dyDescent="0.3">
      <c r="A80" s="750"/>
      <c r="B80" s="8">
        <f>IF(AND('Items sous domaines Maths '!K84=6, 'Items sous domaines Maths '!K84&gt;0),'Items sous domaines Maths '!B84,0)</f>
        <v>0</v>
      </c>
      <c r="C80" s="8" t="b">
        <f>IF(AND('Items sous domaines Maths '!K84=6, 'Items sous domaines Maths '!K84&gt;0),'Items sous domaines Maths '!C84)</f>
        <v>0</v>
      </c>
      <c r="D80" s="8">
        <f>IF(AND('Items sous domaines Maths '!K84=6, 'Items sous domaines Maths '!K84&gt;0),'Items sous domaines Maths '!D84,0)</f>
        <v>0</v>
      </c>
      <c r="E80" s="8">
        <f>IF(AND('Items sous domaines Maths '!K84=6, 'Items sous domaines Maths '!K84&gt;0),'Items sous domaines Maths '!E84,0)</f>
        <v>0</v>
      </c>
      <c r="F80" s="9">
        <f>IF(AND('Items sous domaines Maths '!K84=6, 'Items sous domaines Maths '!K84&gt;0),'Items sous domaines Maths '!F84,0)</f>
        <v>0</v>
      </c>
      <c r="G80" s="647"/>
    </row>
    <row r="81" spans="1:9" customFormat="1" ht="17.399999999999999" hidden="1" customHeight="1" thickBot="1" x14ac:dyDescent="0.3">
      <c r="A81" s="750"/>
      <c r="B81" s="8">
        <f>IF(AND('Items sous domaines Maths '!K85=6, 'Items sous domaines Maths '!K85&gt;0),'Items sous domaines Maths '!B85,0)</f>
        <v>0</v>
      </c>
      <c r="C81" s="8" t="b">
        <f>IF(AND('Items sous domaines Maths '!K85=6, 'Items sous domaines Maths '!K85&gt;0),'Items sous domaines Maths '!C85)</f>
        <v>0</v>
      </c>
      <c r="D81" s="8">
        <f>IF(AND('Items sous domaines Maths '!K85=6, 'Items sous domaines Maths '!K85&gt;0),'Items sous domaines Maths '!D85,0)</f>
        <v>0</v>
      </c>
      <c r="E81" s="8">
        <f>IF(AND('Items sous domaines Maths '!K85=6, 'Items sous domaines Maths '!K85&gt;0),'Items sous domaines Maths '!E85,0)</f>
        <v>0</v>
      </c>
      <c r="F81" s="9">
        <f>IF(AND('Items sous domaines Maths '!K85=6, 'Items sous domaines Maths '!K85&gt;0),'Items sous domaines Maths '!F85,0)</f>
        <v>0</v>
      </c>
      <c r="G81" s="647"/>
    </row>
    <row r="82" spans="1:9" customFormat="1" ht="17.399999999999999" hidden="1" customHeight="1" thickBot="1" x14ac:dyDescent="0.3">
      <c r="A82" s="750"/>
      <c r="B82" s="8">
        <f>IF(AND('Items sous domaines Maths '!K86=6, 'Items sous domaines Maths '!K86&gt;0),'Items sous domaines Maths '!B86,0)</f>
        <v>0</v>
      </c>
      <c r="C82" s="8" t="b">
        <f>IF(AND('Items sous domaines Maths '!K86=6, 'Items sous domaines Maths '!K86&gt;0),'Items sous domaines Maths '!C86)</f>
        <v>0</v>
      </c>
      <c r="D82" s="8">
        <f>IF(AND('Items sous domaines Maths '!K86=6, 'Items sous domaines Maths '!K86&gt;0),'Items sous domaines Maths '!D86,0)</f>
        <v>0</v>
      </c>
      <c r="E82" s="8">
        <f>IF(AND('Items sous domaines Maths '!K86=6, 'Items sous domaines Maths '!K86&gt;0),'Items sous domaines Maths '!E86,0)</f>
        <v>0</v>
      </c>
      <c r="F82" s="9">
        <f>IF(AND('Items sous domaines Maths '!K86=6, 'Items sous domaines Maths '!K86&gt;0),'Items sous domaines Maths '!F86,0)</f>
        <v>0</v>
      </c>
      <c r="G82" s="647"/>
    </row>
    <row r="83" spans="1:9" customFormat="1" ht="17.399999999999999" hidden="1" customHeight="1" thickBot="1" x14ac:dyDescent="0.3">
      <c r="A83" s="750"/>
      <c r="B83" s="8">
        <f>IF(AND('Items sous domaines Maths '!K87=6, 'Items sous domaines Maths '!K87&gt;0),'Items sous domaines Maths '!B87,0)</f>
        <v>0</v>
      </c>
      <c r="C83" s="8" t="b">
        <f>IF(AND('Items sous domaines Maths '!K87=6, 'Items sous domaines Maths '!K87&gt;0),'Items sous domaines Maths '!C87)</f>
        <v>0</v>
      </c>
      <c r="D83" s="8">
        <f>IF(AND('Items sous domaines Maths '!K87=6, 'Items sous domaines Maths '!K87&gt;0),'Items sous domaines Maths '!D87,0)</f>
        <v>0</v>
      </c>
      <c r="E83" s="8">
        <f>IF(AND('Items sous domaines Maths '!K87=6, 'Items sous domaines Maths '!K87&gt;0),'Items sous domaines Maths '!E87,0)</f>
        <v>0</v>
      </c>
      <c r="F83" s="9">
        <f>IF(AND('Items sous domaines Maths '!K87=6, 'Items sous domaines Maths '!K87&gt;0),'Items sous domaines Maths '!F87,0)</f>
        <v>0</v>
      </c>
      <c r="G83" s="647"/>
    </row>
    <row r="84" spans="1:9" customFormat="1" ht="17.399999999999999" hidden="1" customHeight="1" thickBot="1" x14ac:dyDescent="0.3">
      <c r="A84" s="750"/>
      <c r="B84" s="8">
        <f>IF(AND('Items sous domaines Maths '!K88=6, 'Items sous domaines Maths '!K88&gt;0),'Items sous domaines Maths '!B88,0)</f>
        <v>0</v>
      </c>
      <c r="C84" s="8" t="b">
        <f>IF(AND('Items sous domaines Maths '!K88=6, 'Items sous domaines Maths '!K88&gt;0),'Items sous domaines Maths '!C88)</f>
        <v>0</v>
      </c>
      <c r="D84" s="8">
        <f>IF(AND('Items sous domaines Maths '!K88=6, 'Items sous domaines Maths '!K88&gt;0),'Items sous domaines Maths '!D88,0)</f>
        <v>0</v>
      </c>
      <c r="E84" s="8">
        <f>IF(AND('Items sous domaines Maths '!K88=6, 'Items sous domaines Maths '!K88&gt;0),'Items sous domaines Maths '!E88,0)</f>
        <v>0</v>
      </c>
      <c r="F84" s="9">
        <f>IF(AND('Items sous domaines Maths '!K88=6, 'Items sous domaines Maths '!K88&gt;0),'Items sous domaines Maths '!F88,0)</f>
        <v>0</v>
      </c>
      <c r="G84" s="647"/>
    </row>
    <row r="85" spans="1:9" customFormat="1" ht="17.399999999999999" hidden="1" customHeight="1" thickBot="1" x14ac:dyDescent="0.3">
      <c r="A85" s="750"/>
      <c r="B85" s="8">
        <f>IF(AND('Items sous domaines Maths '!K89=6, 'Items sous domaines Maths '!K89&gt;0),'Items sous domaines Maths '!B89,0)</f>
        <v>0</v>
      </c>
      <c r="C85" s="8" t="b">
        <f>IF(AND('Items sous domaines Maths '!K89=6, 'Items sous domaines Maths '!K89&gt;0),'Items sous domaines Maths '!C89)</f>
        <v>0</v>
      </c>
      <c r="D85" s="8">
        <f>IF(AND('Items sous domaines Maths '!K89=6, 'Items sous domaines Maths '!K89&gt;0),'Items sous domaines Maths '!D89,0)</f>
        <v>0</v>
      </c>
      <c r="E85" s="8">
        <f>IF(AND('Items sous domaines Maths '!K89=6, 'Items sous domaines Maths '!K89&gt;0),'Items sous domaines Maths '!E89,0)</f>
        <v>0</v>
      </c>
      <c r="F85" s="9">
        <f>IF(AND('Items sous domaines Maths '!K89=6, 'Items sous domaines Maths '!K89&gt;0),'Items sous domaines Maths '!F89,0)</f>
        <v>0</v>
      </c>
      <c r="G85" s="647"/>
    </row>
    <row r="86" spans="1:9" s="61" customFormat="1" ht="19.95" customHeight="1" thickTop="1" x14ac:dyDescent="0.25">
      <c r="A86" s="665"/>
      <c r="B86" s="275" t="str">
        <f>IF(AND('Items sous domaines Maths '!K90=6, 'Items sous domaines Maths '!K90&gt;0),'Items sous domaines Maths '!B90,0)</f>
        <v>Algèbre</v>
      </c>
      <c r="C86" s="205" t="str">
        <f>IF(AND('Items sous domaines Maths '!K90=6, 'Items sous domaines Maths '!K90&gt;0),'Items sous domaines Maths '!C90)</f>
        <v>Les Matrices</v>
      </c>
      <c r="D86" s="205" t="str">
        <f>IF(AND('Items sous domaines Maths '!K90=6, 'Items sous domaines Maths '!K90&gt;0),'Items sous domaines Maths '!D90,0)</f>
        <v>Ensemble des matrices carrées Mn(K).</v>
      </c>
      <c r="E86" s="205" t="str">
        <f>IF(AND('Items sous domaines Maths '!K90=6, 'Items sous domaines Maths '!K90&gt;0),'Items sous domaines Maths '!E90,0)</f>
        <v>Définition, notation</v>
      </c>
      <c r="F86" s="206" t="str">
        <f>IF(AND('Items sous domaines Maths '!K90=6, 'Items sous domaines Maths '!K90&gt;0),'Items sous domaines Maths '!F90,0)</f>
        <v>Définition, vocabulaire. Trace d'une matrice. Savoir calculer les premières puissances d’une matrice carrée. Exemple de matrices nilpotentes.</v>
      </c>
      <c r="G86" s="648"/>
      <c r="H86" s="190"/>
      <c r="I86" s="178"/>
    </row>
    <row r="87" spans="1:9" s="61" customFormat="1" ht="19.95" customHeight="1" x14ac:dyDescent="0.25">
      <c r="A87" s="666"/>
      <c r="B87" s="172" t="str">
        <f>IF(AND('Items sous domaines Maths '!K91=6, 'Items sous domaines Maths '!K91&gt;0),'Items sous domaines Maths '!B91,0)</f>
        <v>Algèbre</v>
      </c>
      <c r="C87" s="145" t="str">
        <f>IF(AND('Items sous domaines Maths '!K91=6, 'Items sous domaines Maths '!K91&gt;0),'Items sous domaines Maths '!C91)</f>
        <v>Les Matrices</v>
      </c>
      <c r="D87" s="145">
        <f>IF(AND('Items sous domaines Maths '!K91=6, 'Items sous domaines Maths '!K91&gt;0),'Items sous domaines Maths '!D91,0)</f>
        <v>0</v>
      </c>
      <c r="E87" s="145" t="str">
        <f>IF(AND('Items sous domaines Maths '!K91=6, 'Items sous domaines Maths '!K91&gt;0),'Items sous domaines Maths '!E91,0)</f>
        <v>Matrices diagonales, triangulaires</v>
      </c>
      <c r="F87" s="146" t="str">
        <f>IF(AND('Items sous domaines Maths '!K91=6, 'Items sous domaines Maths '!K91&gt;0),'Items sous domaines Maths '!F91,0)</f>
        <v>Connaître la dénomination de matrices triangulaires supérieures et inférieures. Notation In pour la matrice identité. Exemple de matrices nilpotentes.</v>
      </c>
      <c r="G87" s="649"/>
      <c r="H87" s="272" t="s">
        <v>479</v>
      </c>
      <c r="I87" s="199"/>
    </row>
    <row r="88" spans="1:9" s="61" customFormat="1" ht="19.95" customHeight="1" x14ac:dyDescent="0.25">
      <c r="A88" s="666"/>
      <c r="B88" s="169" t="str">
        <f>IF(AND('Items sous domaines Maths '!K92=6, 'Items sous domaines Maths '!K92&gt;0),'Items sous domaines Maths '!B92,0)</f>
        <v>Algèbre</v>
      </c>
      <c r="C88" s="142" t="str">
        <f>IF(AND('Items sous domaines Maths '!K92=6, 'Items sous domaines Maths '!K92&gt;0),'Items sous domaines Maths '!C92)</f>
        <v>Les Matrices</v>
      </c>
      <c r="D88" s="142">
        <f>IF(AND('Items sous domaines Maths '!K92=6, 'Items sous domaines Maths '!K92&gt;0),'Items sous domaines Maths '!D92,0)</f>
        <v>0</v>
      </c>
      <c r="E88" s="142" t="str">
        <f>IF(AND('Items sous domaines Maths '!K92=6, 'Items sous domaines Maths '!K92&gt;0),'Items sous domaines Maths '!E92,0)</f>
        <v>Opérations sur les matrices carrées</v>
      </c>
      <c r="F88" s="143" t="str">
        <f>IF(AND('Items sous domaines Maths '!K92=6, 'Items sous domaines Maths '!K92&gt;0),'Items sous domaines Maths '!F92,0)</f>
        <v>Commutativité des matrices. Formule du Binôme.</v>
      </c>
      <c r="G88" s="649"/>
      <c r="H88" s="114"/>
      <c r="I88" s="199"/>
    </row>
    <row r="89" spans="1:9" s="61" customFormat="1" ht="19.95" customHeight="1" x14ac:dyDescent="0.25">
      <c r="A89" s="666"/>
      <c r="B89" s="172" t="str">
        <f>IF(AND('Items sous domaines Maths '!K93=6, 'Items sous domaines Maths '!K93&gt;0),'Items sous domaines Maths '!B93,0)</f>
        <v>Algèbre</v>
      </c>
      <c r="C89" s="145" t="str">
        <f>IF(AND('Items sous domaines Maths '!K93=6, 'Items sous domaines Maths '!K93&gt;0),'Items sous domaines Maths '!C93)</f>
        <v>Les Matrices</v>
      </c>
      <c r="D89" s="145">
        <f>IF(AND('Items sous domaines Maths '!K93=6, 'Items sous domaines Maths '!K93&gt;0),'Items sous domaines Maths '!D93,0)</f>
        <v>0</v>
      </c>
      <c r="E89" s="145" t="str">
        <f>IF(AND('Items sous domaines Maths '!K93=6, 'Items sous domaines Maths '!K93&gt;0),'Items sous domaines Maths '!E93,0)</f>
        <v>Transposée</v>
      </c>
      <c r="F89" s="146" t="str">
        <f>IF(AND('Items sous domaines Maths '!K93=6, 'Items sous domaines Maths '!K93&gt;0),'Items sous domaines Maths '!F93,0)</f>
        <v>Notations, Matrices symétriques et antisymétriques.Transposée d’une somme, d’un produit de matrices.</v>
      </c>
      <c r="G89" s="649"/>
      <c r="H89" s="114"/>
      <c r="I89" s="199"/>
    </row>
    <row r="90" spans="1:9" s="61" customFormat="1" ht="19.95" customHeight="1" thickBot="1" x14ac:dyDescent="0.3">
      <c r="A90" s="751"/>
      <c r="B90" s="273" t="str">
        <f>IF(AND('Items sous domaines Maths '!K94=6, 'Items sous domaines Maths '!K94&gt;0),'Items sous domaines Maths '!B94,0)</f>
        <v>Algèbre</v>
      </c>
      <c r="C90" s="187" t="str">
        <f>IF(AND('Items sous domaines Maths '!K94=6, 'Items sous domaines Maths '!K94&gt;0),'Items sous domaines Maths '!C94)</f>
        <v>Les Matrices</v>
      </c>
      <c r="D90" s="187">
        <f>IF(AND('Items sous domaines Maths '!K94=6, 'Items sous domaines Maths '!K94&gt;0),'Items sous domaines Maths '!D94,0)</f>
        <v>0</v>
      </c>
      <c r="E90" s="187" t="str">
        <f>IF(AND('Items sous domaines Maths '!K94=6, 'Items sous domaines Maths '!K94&gt;0),'Items sous domaines Maths '!E94,0)</f>
        <v>Trace d'une matrice</v>
      </c>
      <c r="F90" s="188" t="str">
        <f>IF(AND('Items sous domaines Maths '!K94=6, 'Items sous domaines Maths '!K94&gt;0),'Items sous domaines Maths '!F94,0)</f>
        <v>Définition et exemple de calcul.</v>
      </c>
      <c r="G90" s="650"/>
      <c r="H90" s="191"/>
      <c r="I90" s="189"/>
    </row>
    <row r="91" spans="1:9" customFormat="1" ht="17.7" hidden="1" customHeight="1" thickTop="1" thickBot="1" x14ac:dyDescent="0.3">
      <c r="A91" s="750"/>
      <c r="B91">
        <f>IF(AND('Items sous domaines Maths '!K95=6, 'Items sous domaines Maths '!K95&gt;0),'Items sous domaines Maths '!B95,0)</f>
        <v>0</v>
      </c>
      <c r="C91" t="b">
        <f>IF(AND('Items sous domaines Maths '!K95=6, 'Items sous domaines Maths '!K95&gt;0),'Items sous domaines Maths '!C95)</f>
        <v>0</v>
      </c>
      <c r="D91">
        <f>IF(AND('Items sous domaines Maths '!K95=6, 'Items sous domaines Maths '!K95&gt;0),'Items sous domaines Maths '!D95,0)</f>
        <v>0</v>
      </c>
      <c r="E91">
        <f>IF(AND('Items sous domaines Maths '!K95=6, 'Items sous domaines Maths '!K95&gt;0),'Items sous domaines Maths '!E95,0)</f>
        <v>0</v>
      </c>
      <c r="F91" s="10">
        <f>IF(AND('Items sous domaines Maths '!K95=6, 'Items sous domaines Maths '!K95&gt;0),'Items sous domaines Maths '!F95,0)</f>
        <v>0</v>
      </c>
      <c r="G91" s="647"/>
    </row>
    <row r="92" spans="1:9" customFormat="1" ht="17.7" hidden="1" customHeight="1" thickBot="1" x14ac:dyDescent="0.3">
      <c r="A92" s="750"/>
      <c r="B92" s="8">
        <f>IF(AND('Items sous domaines Maths '!K96=6, 'Items sous domaines Maths '!K96&gt;0),'Items sous domaines Maths '!B96,0)</f>
        <v>0</v>
      </c>
      <c r="C92" s="8" t="b">
        <f>IF(AND('Items sous domaines Maths '!K96=6, 'Items sous domaines Maths '!K96&gt;0),'Items sous domaines Maths '!C96)</f>
        <v>0</v>
      </c>
      <c r="D92" s="8">
        <f>IF(AND('Items sous domaines Maths '!K96=6, 'Items sous domaines Maths '!K96&gt;0),'Items sous domaines Maths '!D96,0)</f>
        <v>0</v>
      </c>
      <c r="E92" s="8">
        <f>IF(AND('Items sous domaines Maths '!K96=6, 'Items sous domaines Maths '!K96&gt;0),'Items sous domaines Maths '!E96,0)</f>
        <v>0</v>
      </c>
      <c r="F92" s="9">
        <f>IF(AND('Items sous domaines Maths '!K96=6, 'Items sous domaines Maths '!K96&gt;0),'Items sous domaines Maths '!F96,0)</f>
        <v>0</v>
      </c>
      <c r="G92" s="647"/>
    </row>
    <row r="93" spans="1:9" s="61" customFormat="1" ht="19.95" customHeight="1" thickTop="1" thickBot="1" x14ac:dyDescent="0.3">
      <c r="A93" s="752"/>
      <c r="B93" s="276" t="str">
        <f>IF(AND('Items sous domaines Maths '!K97=6, 'Items sous domaines Maths '!K97&gt;0),'Items sous domaines Maths '!B97,0)</f>
        <v>Algèbre</v>
      </c>
      <c r="C93" s="201" t="str">
        <f>IF(AND('Items sous domaines Maths '!K97=6, 'Items sous domaines Maths '!K97&gt;0),'Items sous domaines Maths '!C97)</f>
        <v>Les Matrices</v>
      </c>
      <c r="D93" s="201">
        <f>IF(AND('Items sous domaines Maths '!K97=6, 'Items sous domaines Maths '!K97&gt;0),'Items sous domaines Maths '!D97,0)</f>
        <v>0</v>
      </c>
      <c r="E93" s="201">
        <f>IF(AND('Items sous domaines Maths '!K97=6, 'Items sous domaines Maths '!K97&gt;0),'Items sous domaines Maths '!E97,0)</f>
        <v>0</v>
      </c>
      <c r="F93" s="202" t="str">
        <f>IF(AND('Items sous domaines Maths '!K97=6, 'Items sous domaines Maths '!K97&gt;0),'Items sous domaines Maths '!F97,0)</f>
        <v>Déterminant de la transposée.</v>
      </c>
      <c r="G93" s="748"/>
      <c r="H93" s="277"/>
      <c r="I93" s="198"/>
    </row>
    <row r="94" spans="1:9" customFormat="1" ht="17.7" hidden="1" customHeight="1" thickTop="1" thickBot="1" x14ac:dyDescent="0.3">
      <c r="A94" s="750"/>
      <c r="B94">
        <f>IF(AND('Items sous domaines Maths '!K98=6, 'Items sous domaines Maths '!K98&gt;0),'Items sous domaines Maths '!B98,0)</f>
        <v>0</v>
      </c>
      <c r="C94" t="b">
        <f>IF(AND('Items sous domaines Maths '!K98=6, 'Items sous domaines Maths '!K98&gt;0),'Items sous domaines Maths '!C98)</f>
        <v>0</v>
      </c>
      <c r="D94">
        <f>IF(AND('Items sous domaines Maths '!K98=6, 'Items sous domaines Maths '!K98&gt;0),'Items sous domaines Maths '!D98,0)</f>
        <v>0</v>
      </c>
      <c r="E94">
        <f>IF(AND('Items sous domaines Maths '!K98=6, 'Items sous domaines Maths '!K98&gt;0),'Items sous domaines Maths '!E98,0)</f>
        <v>0</v>
      </c>
      <c r="F94" s="10">
        <f>IF(AND('Items sous domaines Maths '!K98=6, 'Items sous domaines Maths '!K98&gt;0),'Items sous domaines Maths '!F98,0)</f>
        <v>0</v>
      </c>
      <c r="G94" s="647"/>
    </row>
    <row r="95" spans="1:9" customFormat="1" ht="17.7" hidden="1" customHeight="1" thickBot="1" x14ac:dyDescent="0.3">
      <c r="A95" s="750"/>
      <c r="B95" s="8">
        <f>IF(AND('Items sous domaines Maths '!K99=6, 'Items sous domaines Maths '!K99&gt;0),'Items sous domaines Maths '!B99,0)</f>
        <v>0</v>
      </c>
      <c r="C95" s="8" t="b">
        <f>IF(AND('Items sous domaines Maths '!K99=6, 'Items sous domaines Maths '!K99&gt;0),'Items sous domaines Maths '!C99)</f>
        <v>0</v>
      </c>
      <c r="D95" s="8">
        <f>IF(AND('Items sous domaines Maths '!K99=6, 'Items sous domaines Maths '!K99&gt;0),'Items sous domaines Maths '!D99,0)</f>
        <v>0</v>
      </c>
      <c r="E95" s="8">
        <f>IF(AND('Items sous domaines Maths '!K99=6, 'Items sous domaines Maths '!K99&gt;0),'Items sous domaines Maths '!E99,0)</f>
        <v>0</v>
      </c>
      <c r="F95" s="9">
        <f>IF(AND('Items sous domaines Maths '!K99=6, 'Items sous domaines Maths '!K99&gt;0),'Items sous domaines Maths '!F99,0)</f>
        <v>0</v>
      </c>
      <c r="G95" s="647"/>
    </row>
    <row r="96" spans="1:9" customFormat="1" ht="17.7" hidden="1" customHeight="1" thickBot="1" x14ac:dyDescent="0.3">
      <c r="A96" s="750"/>
      <c r="B96" s="8">
        <f>IF(AND('Items sous domaines Maths '!K100=6, 'Items sous domaines Maths '!K100&gt;0),'Items sous domaines Maths '!B100,0)</f>
        <v>0</v>
      </c>
      <c r="C96" s="8" t="b">
        <f>IF(AND('Items sous domaines Maths '!K100=6, 'Items sous domaines Maths '!K100&gt;0),'Items sous domaines Maths '!C100)</f>
        <v>0</v>
      </c>
      <c r="D96" s="8">
        <f>IF(AND('Items sous domaines Maths '!K100=6, 'Items sous domaines Maths '!K100&gt;0),'Items sous domaines Maths '!D100,0)</f>
        <v>0</v>
      </c>
      <c r="E96" s="8">
        <f>IF(AND('Items sous domaines Maths '!K100=6, 'Items sous domaines Maths '!K100&gt;0),'Items sous domaines Maths '!E100,0)</f>
        <v>0</v>
      </c>
      <c r="F96" s="9">
        <f>IF(AND('Items sous domaines Maths '!K100=6, 'Items sous domaines Maths '!K100&gt;0),'Items sous domaines Maths '!F100,0)</f>
        <v>0</v>
      </c>
      <c r="G96" s="647"/>
    </row>
    <row r="97" spans="1:7" customFormat="1" ht="17.7" hidden="1" customHeight="1" thickBot="1" x14ac:dyDescent="0.3">
      <c r="A97" s="750"/>
      <c r="B97" s="8">
        <f>IF(AND('Items sous domaines Maths '!K101=6, 'Items sous domaines Maths '!K101&gt;0),'Items sous domaines Maths '!B101,0)</f>
        <v>0</v>
      </c>
      <c r="C97" s="8" t="b">
        <f>IF(AND('Items sous domaines Maths '!K101=6, 'Items sous domaines Maths '!K101&gt;0),'Items sous domaines Maths '!C101)</f>
        <v>0</v>
      </c>
      <c r="D97" s="8">
        <f>IF(AND('Items sous domaines Maths '!K101=6, 'Items sous domaines Maths '!K101&gt;0),'Items sous domaines Maths '!D101,0)</f>
        <v>0</v>
      </c>
      <c r="E97" s="8">
        <f>IF(AND('Items sous domaines Maths '!K101=6, 'Items sous domaines Maths '!K101&gt;0),'Items sous domaines Maths '!E101,0)</f>
        <v>0</v>
      </c>
      <c r="F97" s="9">
        <f>IF(AND('Items sous domaines Maths '!K101=6, 'Items sous domaines Maths '!K101&gt;0),'Items sous domaines Maths '!F101,0)</f>
        <v>0</v>
      </c>
      <c r="G97" s="647"/>
    </row>
    <row r="98" spans="1:7" customFormat="1" ht="17.7" hidden="1" customHeight="1" thickBot="1" x14ac:dyDescent="0.3">
      <c r="A98" s="750"/>
      <c r="B98" s="8">
        <f>IF(AND('Items sous domaines Maths '!K102=6, 'Items sous domaines Maths '!K102&gt;0),'Items sous domaines Maths '!B102,0)</f>
        <v>0</v>
      </c>
      <c r="C98" s="8" t="b">
        <f>IF(AND('Items sous domaines Maths '!K102=6, 'Items sous domaines Maths '!K102&gt;0),'Items sous domaines Maths '!C102)</f>
        <v>0</v>
      </c>
      <c r="D98" s="8">
        <f>IF(AND('Items sous domaines Maths '!K102=6, 'Items sous domaines Maths '!K102&gt;0),'Items sous domaines Maths '!D102,0)</f>
        <v>0</v>
      </c>
      <c r="E98" s="8">
        <f>IF(AND('Items sous domaines Maths '!K102=6, 'Items sous domaines Maths '!K102&gt;0),'Items sous domaines Maths '!E102,0)</f>
        <v>0</v>
      </c>
      <c r="F98" s="9">
        <f>IF(AND('Items sous domaines Maths '!K102=6, 'Items sous domaines Maths '!K102&gt;0),'Items sous domaines Maths '!F102,0)</f>
        <v>0</v>
      </c>
      <c r="G98" s="647"/>
    </row>
    <row r="99" spans="1:7" customFormat="1" ht="17.7" hidden="1" customHeight="1" thickBot="1" x14ac:dyDescent="0.3">
      <c r="A99" s="750"/>
      <c r="B99" s="8">
        <f>IF(AND('Items sous domaines Maths '!K103=6, 'Items sous domaines Maths '!K103&gt;0),'Items sous domaines Maths '!B103,0)</f>
        <v>0</v>
      </c>
      <c r="C99" s="8" t="b">
        <f>IF(AND('Items sous domaines Maths '!K103=6, 'Items sous domaines Maths '!K103&gt;0),'Items sous domaines Maths '!C103)</f>
        <v>0</v>
      </c>
      <c r="D99" s="8">
        <f>IF(AND('Items sous domaines Maths '!K103=6, 'Items sous domaines Maths '!K103&gt;0),'Items sous domaines Maths '!D103,0)</f>
        <v>0</v>
      </c>
      <c r="E99" s="8">
        <f>IF(AND('Items sous domaines Maths '!K103=6, 'Items sous domaines Maths '!K103&gt;0),'Items sous domaines Maths '!E103,0)</f>
        <v>0</v>
      </c>
      <c r="F99" s="9">
        <f>IF(AND('Items sous domaines Maths '!K103=6, 'Items sous domaines Maths '!K103&gt;0),'Items sous domaines Maths '!F103,0)</f>
        <v>0</v>
      </c>
      <c r="G99" s="647"/>
    </row>
    <row r="100" spans="1:7" customFormat="1" ht="17.7" hidden="1" customHeight="1" thickBot="1" x14ac:dyDescent="0.3">
      <c r="A100" s="750"/>
      <c r="B100" s="8">
        <f>IF(AND('Items sous domaines Maths '!K104=6, 'Items sous domaines Maths '!K104&gt;0),'Items sous domaines Maths '!B104,0)</f>
        <v>0</v>
      </c>
      <c r="C100" s="8" t="b">
        <f>IF(AND('Items sous domaines Maths '!K104=6, 'Items sous domaines Maths '!K104&gt;0),'Items sous domaines Maths '!C104)</f>
        <v>0</v>
      </c>
      <c r="D100" s="8">
        <f>IF(AND('Items sous domaines Maths '!K104=6, 'Items sous domaines Maths '!K104&gt;0),'Items sous domaines Maths '!D104,0)</f>
        <v>0</v>
      </c>
      <c r="E100" s="8">
        <f>IF(AND('Items sous domaines Maths '!K104=6, 'Items sous domaines Maths '!K104&gt;0),'Items sous domaines Maths '!E104,0)</f>
        <v>0</v>
      </c>
      <c r="F100" s="9">
        <f>IF(AND('Items sous domaines Maths '!K104=6, 'Items sous domaines Maths '!K104&gt;0),'Items sous domaines Maths '!F104,0)</f>
        <v>0</v>
      </c>
      <c r="G100" s="647"/>
    </row>
    <row r="101" spans="1:7" customFormat="1" ht="17.7" hidden="1" customHeight="1" thickBot="1" x14ac:dyDescent="0.3">
      <c r="A101" s="750"/>
      <c r="B101" s="8">
        <f>IF(AND('Items sous domaines Maths '!K105=6, 'Items sous domaines Maths '!K105&gt;0),'Items sous domaines Maths '!B105,0)</f>
        <v>0</v>
      </c>
      <c r="C101" s="8" t="b">
        <f>IF(AND('Items sous domaines Maths '!K105=6, 'Items sous domaines Maths '!K105&gt;0),'Items sous domaines Maths '!C105)</f>
        <v>0</v>
      </c>
      <c r="D101" s="8">
        <f>IF(AND('Items sous domaines Maths '!K105=6, 'Items sous domaines Maths '!K105&gt;0),'Items sous domaines Maths '!D105,0)</f>
        <v>0</v>
      </c>
      <c r="E101" s="8">
        <f>IF(AND('Items sous domaines Maths '!K105=6, 'Items sous domaines Maths '!K105&gt;0),'Items sous domaines Maths '!E105,0)</f>
        <v>0</v>
      </c>
      <c r="F101" s="9">
        <f>IF(AND('Items sous domaines Maths '!K105=6, 'Items sous domaines Maths '!K105&gt;0),'Items sous domaines Maths '!F105,0)</f>
        <v>0</v>
      </c>
      <c r="G101" s="647"/>
    </row>
    <row r="102" spans="1:7" customFormat="1" ht="17.7" hidden="1" customHeight="1" thickBot="1" x14ac:dyDescent="0.3">
      <c r="A102" s="750"/>
      <c r="B102" s="8">
        <f>IF(AND('Items sous domaines Maths '!K106=6, 'Items sous domaines Maths '!K106&gt;0),'Items sous domaines Maths '!B106,0)</f>
        <v>0</v>
      </c>
      <c r="C102" s="8" t="b">
        <f>IF(AND('Items sous domaines Maths '!K106=6, 'Items sous domaines Maths '!K106&gt;0),'Items sous domaines Maths '!C106)</f>
        <v>0</v>
      </c>
      <c r="D102" s="8">
        <f>IF(AND('Items sous domaines Maths '!K106=6, 'Items sous domaines Maths '!K106&gt;0),'Items sous domaines Maths '!D106,0)</f>
        <v>0</v>
      </c>
      <c r="E102" s="8">
        <f>IF(AND('Items sous domaines Maths '!K106=6, 'Items sous domaines Maths '!K106&gt;0),'Items sous domaines Maths '!E106,0)</f>
        <v>0</v>
      </c>
      <c r="F102" s="9">
        <f>IF(AND('Items sous domaines Maths '!K106=6, 'Items sous domaines Maths '!K106&gt;0),'Items sous domaines Maths '!F106,0)</f>
        <v>0</v>
      </c>
      <c r="G102" s="647"/>
    </row>
    <row r="103" spans="1:7" customFormat="1" ht="17.7" hidden="1" customHeight="1" thickBot="1" x14ac:dyDescent="0.3">
      <c r="A103" s="750"/>
      <c r="B103" s="8">
        <f>IF(AND('Items sous domaines Maths '!K107=6, 'Items sous domaines Maths '!K107&gt;0),'Items sous domaines Maths '!B107,0)</f>
        <v>0</v>
      </c>
      <c r="C103" s="8" t="b">
        <f>IF(AND('Items sous domaines Maths '!K107=6, 'Items sous domaines Maths '!K107&gt;0),'Items sous domaines Maths '!C107)</f>
        <v>0</v>
      </c>
      <c r="D103" s="8">
        <f>IF(AND('Items sous domaines Maths '!K107=6, 'Items sous domaines Maths '!K107&gt;0),'Items sous domaines Maths '!D107,0)</f>
        <v>0</v>
      </c>
      <c r="E103" s="8">
        <f>IF(AND('Items sous domaines Maths '!K107=6, 'Items sous domaines Maths '!K107&gt;0),'Items sous domaines Maths '!E107,0)</f>
        <v>0</v>
      </c>
      <c r="F103" s="9">
        <f>IF(AND('Items sous domaines Maths '!K107=6, 'Items sous domaines Maths '!K107&gt;0),'Items sous domaines Maths '!F107,0)</f>
        <v>0</v>
      </c>
      <c r="G103" s="647"/>
    </row>
    <row r="104" spans="1:7" customFormat="1" ht="22.2" hidden="1" customHeight="1" thickBot="1" x14ac:dyDescent="0.3">
      <c r="A104" s="750"/>
      <c r="B104" s="8">
        <f>IF(AND('Items sous domaines Maths '!K108=6, 'Items sous domaines Maths '!K108&gt;0),'Items sous domaines Maths '!B108,0)</f>
        <v>0</v>
      </c>
      <c r="C104" s="8" t="b">
        <f>IF(AND('Items sous domaines Maths '!K108=6, 'Items sous domaines Maths '!K108&gt;0),'Items sous domaines Maths '!C108)</f>
        <v>0</v>
      </c>
      <c r="D104" s="8">
        <f>IF(AND('Items sous domaines Maths '!K108=6, 'Items sous domaines Maths '!K108&gt;0),'Items sous domaines Maths '!D108,0)</f>
        <v>0</v>
      </c>
      <c r="E104" s="8">
        <f>IF(AND('Items sous domaines Maths '!K108=6, 'Items sous domaines Maths '!K108&gt;0),'Items sous domaines Maths '!E108,0)</f>
        <v>0</v>
      </c>
      <c r="F104" s="9">
        <f>IF(AND('Items sous domaines Maths '!K108=6, 'Items sous domaines Maths '!K108&gt;0),'Items sous domaines Maths '!F108,0)</f>
        <v>0</v>
      </c>
      <c r="G104" s="647"/>
    </row>
    <row r="105" spans="1:7" customFormat="1" ht="17.7" hidden="1" customHeight="1" thickBot="1" x14ac:dyDescent="0.3">
      <c r="A105" s="750"/>
      <c r="B105" s="8">
        <f>IF(AND('Items sous domaines Maths '!K109=6, 'Items sous domaines Maths '!K109&gt;0),'Items sous domaines Maths '!B109,0)</f>
        <v>0</v>
      </c>
      <c r="C105" s="8" t="b">
        <f>IF(AND('Items sous domaines Maths '!K109=6, 'Items sous domaines Maths '!K109&gt;0),'Items sous domaines Maths '!C109)</f>
        <v>0</v>
      </c>
      <c r="D105" s="8">
        <f>IF(AND('Items sous domaines Maths '!K109=6, 'Items sous domaines Maths '!K109&gt;0),'Items sous domaines Maths '!D109,0)</f>
        <v>0</v>
      </c>
      <c r="E105" s="8">
        <f>IF(AND('Items sous domaines Maths '!K109=6, 'Items sous domaines Maths '!K109&gt;0),'Items sous domaines Maths '!E109,0)</f>
        <v>0</v>
      </c>
      <c r="F105" s="9">
        <f>IF(AND('Items sous domaines Maths '!K109=6, 'Items sous domaines Maths '!K109&gt;0),'Items sous domaines Maths '!F109,0)</f>
        <v>0</v>
      </c>
      <c r="G105" s="647"/>
    </row>
    <row r="106" spans="1:7" customFormat="1" ht="17.7" hidden="1" customHeight="1" thickBot="1" x14ac:dyDescent="0.3">
      <c r="A106" s="750"/>
      <c r="B106" s="8">
        <f>IF(AND('Items sous domaines Maths '!K110=6, 'Items sous domaines Maths '!K110&gt;0),'Items sous domaines Maths '!B110,0)</f>
        <v>0</v>
      </c>
      <c r="C106" s="8" t="b">
        <f>IF(AND('Items sous domaines Maths '!K110=6, 'Items sous domaines Maths '!K110&gt;0),'Items sous domaines Maths '!C110)</f>
        <v>0</v>
      </c>
      <c r="D106" s="8">
        <f>IF(AND('Items sous domaines Maths '!K110=6, 'Items sous domaines Maths '!K110&gt;0),'Items sous domaines Maths '!D110,0)</f>
        <v>0</v>
      </c>
      <c r="E106" s="8">
        <f>IF(AND('Items sous domaines Maths '!K110=6, 'Items sous domaines Maths '!K110&gt;0),'Items sous domaines Maths '!E110,0)</f>
        <v>0</v>
      </c>
      <c r="F106" s="9">
        <f>IF(AND('Items sous domaines Maths '!K110=6, 'Items sous domaines Maths '!K110&gt;0),'Items sous domaines Maths '!F110,0)</f>
        <v>0</v>
      </c>
      <c r="G106" s="647"/>
    </row>
    <row r="107" spans="1:7" customFormat="1" ht="17.7" hidden="1" customHeight="1" thickBot="1" x14ac:dyDescent="0.3">
      <c r="A107" s="750"/>
      <c r="B107" s="8">
        <f>IF(AND('Items sous domaines Maths '!K111=6, 'Items sous domaines Maths '!K111&gt;0),'Items sous domaines Maths '!B111,0)</f>
        <v>0</v>
      </c>
      <c r="C107" s="8" t="b">
        <f>IF(AND('Items sous domaines Maths '!K111=6, 'Items sous domaines Maths '!K111&gt;0),'Items sous domaines Maths '!C111)</f>
        <v>0</v>
      </c>
      <c r="D107" s="8">
        <f>IF(AND('Items sous domaines Maths '!K111=6, 'Items sous domaines Maths '!K111&gt;0),'Items sous domaines Maths '!D111,0)</f>
        <v>0</v>
      </c>
      <c r="E107" s="8">
        <f>IF(AND('Items sous domaines Maths '!K111=6, 'Items sous domaines Maths '!K111&gt;0),'Items sous domaines Maths '!E111,0)</f>
        <v>0</v>
      </c>
      <c r="F107" s="9">
        <f>IF(AND('Items sous domaines Maths '!K111=6, 'Items sous domaines Maths '!K111&gt;0),'Items sous domaines Maths '!F111,0)</f>
        <v>0</v>
      </c>
      <c r="G107" s="647"/>
    </row>
    <row r="108" spans="1:7" customFormat="1" ht="17.7" hidden="1" customHeight="1" thickBot="1" x14ac:dyDescent="0.3">
      <c r="A108" s="750"/>
      <c r="B108" s="8">
        <f>IF(AND('Items sous domaines Maths '!K112=6, 'Items sous domaines Maths '!K112&gt;0),'Items sous domaines Maths '!B112,0)</f>
        <v>0</v>
      </c>
      <c r="C108" s="8" t="b">
        <f>IF(AND('Items sous domaines Maths '!K112=6, 'Items sous domaines Maths '!K112&gt;0),'Items sous domaines Maths '!C112)</f>
        <v>0</v>
      </c>
      <c r="D108" s="8">
        <f>IF(AND('Items sous domaines Maths '!K112=6, 'Items sous domaines Maths '!K112&gt;0),'Items sous domaines Maths '!D112,0)</f>
        <v>0</v>
      </c>
      <c r="E108" s="8">
        <f>IF(AND('Items sous domaines Maths '!K112=6, 'Items sous domaines Maths '!K112&gt;0),'Items sous domaines Maths '!E112,0)</f>
        <v>0</v>
      </c>
      <c r="F108" s="9">
        <f>IF(AND('Items sous domaines Maths '!K112=6, 'Items sous domaines Maths '!K112&gt;0),'Items sous domaines Maths '!F112,0)</f>
        <v>0</v>
      </c>
      <c r="G108" s="647"/>
    </row>
    <row r="109" spans="1:7" customFormat="1" ht="17.7" hidden="1" customHeight="1" thickBot="1" x14ac:dyDescent="0.3">
      <c r="A109" s="750"/>
      <c r="B109" s="8">
        <f>IF(AND('Items sous domaines Maths '!K113=6, 'Items sous domaines Maths '!K113&gt;0),'Items sous domaines Maths '!B113,0)</f>
        <v>0</v>
      </c>
      <c r="C109" s="8" t="b">
        <f>IF(AND('Items sous domaines Maths '!K113=6, 'Items sous domaines Maths '!K113&gt;0),'Items sous domaines Maths '!C113)</f>
        <v>0</v>
      </c>
      <c r="D109" s="8">
        <f>IF(AND('Items sous domaines Maths '!K113=6, 'Items sous domaines Maths '!K113&gt;0),'Items sous domaines Maths '!D113,0)</f>
        <v>0</v>
      </c>
      <c r="E109" s="8">
        <f>IF(AND('Items sous domaines Maths '!K113=6, 'Items sous domaines Maths '!K113&gt;0),'Items sous domaines Maths '!E113,0)</f>
        <v>0</v>
      </c>
      <c r="F109" s="9">
        <f>IF(AND('Items sous domaines Maths '!K113=6, 'Items sous domaines Maths '!K113&gt;0),'Items sous domaines Maths '!F113,0)</f>
        <v>0</v>
      </c>
      <c r="G109" s="647"/>
    </row>
    <row r="110" spans="1:7" customFormat="1" ht="17.7" hidden="1" customHeight="1" thickBot="1" x14ac:dyDescent="0.3">
      <c r="A110" s="750"/>
      <c r="B110" s="8">
        <f>IF(AND('Items sous domaines Maths '!K114=6, 'Items sous domaines Maths '!K114&gt;0),'Items sous domaines Maths '!B114,0)</f>
        <v>0</v>
      </c>
      <c r="C110" s="8" t="b">
        <f>IF(AND('Items sous domaines Maths '!K114=6, 'Items sous domaines Maths '!K114&gt;0),'Items sous domaines Maths '!C114)</f>
        <v>0</v>
      </c>
      <c r="D110" s="8">
        <f>IF(AND('Items sous domaines Maths '!K114=6, 'Items sous domaines Maths '!K114&gt;0),'Items sous domaines Maths '!D114,0)</f>
        <v>0</v>
      </c>
      <c r="E110" s="8">
        <f>IF(AND('Items sous domaines Maths '!K114=6, 'Items sous domaines Maths '!K114&gt;0),'Items sous domaines Maths '!E114,0)</f>
        <v>0</v>
      </c>
      <c r="F110" s="9">
        <f>IF(AND('Items sous domaines Maths '!K114=6, 'Items sous domaines Maths '!K114&gt;0),'Items sous domaines Maths '!F114,0)</f>
        <v>0</v>
      </c>
      <c r="G110" s="647"/>
    </row>
    <row r="111" spans="1:7" customFormat="1" ht="26.25" hidden="1" customHeight="1" thickBot="1" x14ac:dyDescent="0.3">
      <c r="A111" s="750"/>
      <c r="B111" s="8">
        <f>IF(AND('Items sous domaines Maths '!K115=6, 'Items sous domaines Maths '!K115&gt;0),'Items sous domaines Maths '!B115,0)</f>
        <v>0</v>
      </c>
      <c r="C111" s="8" t="b">
        <f>IF(AND('Items sous domaines Maths '!K115=6, 'Items sous domaines Maths '!K115&gt;0),'Items sous domaines Maths '!C115)</f>
        <v>0</v>
      </c>
      <c r="D111" s="8">
        <f>IF(AND('Items sous domaines Maths '!K115=6, 'Items sous domaines Maths '!K115&gt;0),'Items sous domaines Maths '!D115,0)</f>
        <v>0</v>
      </c>
      <c r="E111" s="8">
        <f>IF(AND('Items sous domaines Maths '!K115=6, 'Items sous domaines Maths '!K115&gt;0),'Items sous domaines Maths '!E115,0)</f>
        <v>0</v>
      </c>
      <c r="F111" s="9">
        <f>IF(AND('Items sous domaines Maths '!K115=6, 'Items sous domaines Maths '!K115&gt;0),'Items sous domaines Maths '!F115,0)</f>
        <v>0</v>
      </c>
      <c r="G111" s="647"/>
    </row>
    <row r="112" spans="1:7" customFormat="1" ht="17.7" hidden="1" customHeight="1" thickBot="1" x14ac:dyDescent="0.3">
      <c r="A112" s="750"/>
      <c r="B112" s="8">
        <f>IF(AND('Items sous domaines Maths '!K116=6, 'Items sous domaines Maths '!K116&gt;0),'Items sous domaines Maths '!B116,0)</f>
        <v>0</v>
      </c>
      <c r="C112" s="8" t="b">
        <f>IF(AND('Items sous domaines Maths '!K116=6, 'Items sous domaines Maths '!K116&gt;0),'Items sous domaines Maths '!C116)</f>
        <v>0</v>
      </c>
      <c r="D112" s="8">
        <f>IF(AND('Items sous domaines Maths '!K116=6, 'Items sous domaines Maths '!K116&gt;0),'Items sous domaines Maths '!D116,0)</f>
        <v>0</v>
      </c>
      <c r="E112" s="8">
        <f>IF(AND('Items sous domaines Maths '!K116=6, 'Items sous domaines Maths '!K116&gt;0),'Items sous domaines Maths '!E116,0)</f>
        <v>0</v>
      </c>
      <c r="F112" s="9">
        <f>IF(AND('Items sous domaines Maths '!K116=6, 'Items sous domaines Maths '!K116&gt;0),'Items sous domaines Maths '!F116,0)</f>
        <v>0</v>
      </c>
      <c r="G112" s="647"/>
    </row>
    <row r="113" spans="1:9" customFormat="1" ht="17.7" hidden="1" customHeight="1" thickBot="1" x14ac:dyDescent="0.3">
      <c r="A113" s="750"/>
      <c r="B113" s="8">
        <f>IF(AND('Items sous domaines Maths '!K117=6, 'Items sous domaines Maths '!K117&gt;0),'Items sous domaines Maths '!B117,0)</f>
        <v>0</v>
      </c>
      <c r="C113" s="8" t="b">
        <f>IF(AND('Items sous domaines Maths '!K117=6, 'Items sous domaines Maths '!K117&gt;0),'Items sous domaines Maths '!C117)</f>
        <v>0</v>
      </c>
      <c r="D113" s="8">
        <f>IF(AND('Items sous domaines Maths '!K117=6, 'Items sous domaines Maths '!K117&gt;0),'Items sous domaines Maths '!D117,0)</f>
        <v>0</v>
      </c>
      <c r="E113" s="8">
        <f>IF(AND('Items sous domaines Maths '!K117=6, 'Items sous domaines Maths '!K117&gt;0),'Items sous domaines Maths '!E117,0)</f>
        <v>0</v>
      </c>
      <c r="F113" s="9">
        <f>IF(AND('Items sous domaines Maths '!K117=6, 'Items sous domaines Maths '!K117&gt;0),'Items sous domaines Maths '!F117,0)</f>
        <v>0</v>
      </c>
      <c r="G113" s="647"/>
    </row>
    <row r="114" spans="1:9" s="61" customFormat="1" ht="19.95" customHeight="1" thickTop="1" x14ac:dyDescent="0.25">
      <c r="A114" s="665"/>
      <c r="B114" s="275" t="str">
        <f>IF(AND('Items sous domaines Maths '!K118=6, 'Items sous domaines Maths '!K118&gt;0),'Items sous domaines Maths '!B118,0)</f>
        <v>Algèbre</v>
      </c>
      <c r="C114" s="205" t="str">
        <f>IF(AND('Items sous domaines Maths '!K118=6, 'Items sous domaines Maths '!K118&gt;0),'Items sous domaines Maths '!C118)</f>
        <v>La Théorie des graphes</v>
      </c>
      <c r="D114" s="205">
        <f>IF(AND('Items sous domaines Maths '!K118=6, 'Items sous domaines Maths '!K118&gt;0),'Items sous domaines Maths '!D118,0)</f>
        <v>0</v>
      </c>
      <c r="E114" s="205" t="str">
        <f>IF(AND('Items sous domaines Maths '!K118=6, 'Items sous domaines Maths '!K118&gt;0),'Items sous domaines Maths '!E118,0)</f>
        <v>Chaines et Cycles eulériens</v>
      </c>
      <c r="F114" s="206" t="str">
        <f>IF(AND('Items sous domaines Maths '!K118=6, 'Items sous domaines Maths '!K118&gt;0),'Items sous domaines Maths '!F118,0)</f>
        <v>Savoir qu'un graphe connexe admet une chaîne eulérienne entre les sommets A et B si et seulement si A et B sont les seuls sommets de degré impair. Savoir qu'un graphe connexe admet un cycle eulérien si et seulement si tous les sommets sont de degré pair. Application à la "promenade de Königsberg"</v>
      </c>
      <c r="G114" s="648"/>
      <c r="H114" s="190"/>
      <c r="I114" s="178"/>
    </row>
    <row r="115" spans="1:9" s="61" customFormat="1" ht="19.95" customHeight="1" x14ac:dyDescent="0.25">
      <c r="A115" s="666"/>
      <c r="B115" s="172" t="str">
        <f>IF(AND('Items sous domaines Maths '!K119=6, 'Items sous domaines Maths '!K119&gt;0),'Items sous domaines Maths '!B119,0)</f>
        <v>Algèbre</v>
      </c>
      <c r="C115" s="145" t="str">
        <f>IF(AND('Items sous domaines Maths '!K119=6, 'Items sous domaines Maths '!K119&gt;0),'Items sous domaines Maths '!C119)</f>
        <v>La Théorie des graphes</v>
      </c>
      <c r="D115" s="145">
        <f>IF(AND('Items sous domaines Maths '!K119=6, 'Items sous domaines Maths '!K119&gt;0),'Items sous domaines Maths '!D119,0)</f>
        <v>0</v>
      </c>
      <c r="E115" s="145">
        <f>IF(AND('Items sous domaines Maths '!K119=6, 'Items sous domaines Maths '!K119&gt;0),'Items sous domaines Maths '!E119,0)</f>
        <v>0</v>
      </c>
      <c r="F115" s="146" t="str">
        <f>IF(AND('Items sous domaines Maths '!K119=6, 'Items sous domaines Maths '!K119&gt;0),'Items sous domaines Maths '!F119,0)</f>
        <v>Savoir trouver le nombre de chaînes de longueur k entre 2 sommets on regarde M^k où M est la matrice d'adjacence du graphe.</v>
      </c>
      <c r="G115" s="649"/>
      <c r="H115" s="114"/>
      <c r="I115" s="199"/>
    </row>
    <row r="116" spans="1:9" s="61" customFormat="1" ht="19.95" customHeight="1" x14ac:dyDescent="0.25">
      <c r="A116" s="666"/>
      <c r="B116" s="169" t="str">
        <f>IF(AND('Items sous domaines Maths '!K120=6, 'Items sous domaines Maths '!K120&gt;0),'Items sous domaines Maths '!B120,0)</f>
        <v>Algèbre</v>
      </c>
      <c r="C116" s="142" t="str">
        <f>IF(AND('Items sous domaines Maths '!K120=6, 'Items sous domaines Maths '!K120&gt;0),'Items sous domaines Maths '!C120)</f>
        <v>La Théorie des graphes</v>
      </c>
      <c r="D116" s="142">
        <f>IF(AND('Items sous domaines Maths '!K120=6, 'Items sous domaines Maths '!K120&gt;0),'Items sous domaines Maths '!D120,0)</f>
        <v>0</v>
      </c>
      <c r="E116" s="142" t="str">
        <f>IF(AND('Items sous domaines Maths '!K120=6, 'Items sous domaines Maths '!K120&gt;0),'Items sous domaines Maths '!E120,0)</f>
        <v>Chaines et Cycles hamiltoniens</v>
      </c>
      <c r="F116" s="143" t="str">
        <f>IF(AND('Items sous domaines Maths '!K120=6, 'Items sous domaines Maths '!K120&gt;0),'Items sous domaines Maths '!F120,0)</f>
        <v>Savoir qu'un chemin hamiltonien d'un graphe orienté ou non orienté est un chemin qui passe par tous les sommets une fois et une seule. Un cycle hamiltonien est un chemin hamiltonien qui est un cycle. Un graphe hamiltonien est un graphe qui possède un cycle hamiltonien.</v>
      </c>
      <c r="G116" s="649"/>
      <c r="H116" s="114"/>
      <c r="I116" s="199"/>
    </row>
    <row r="117" spans="1:9" s="61" customFormat="1" ht="19.95" customHeight="1" x14ac:dyDescent="0.25">
      <c r="A117" s="666"/>
      <c r="B117" s="172" t="str">
        <f>IF(AND('Items sous domaines Maths '!K121=6, 'Items sous domaines Maths '!K121&gt;0),'Items sous domaines Maths '!B121,0)</f>
        <v>Algèbre</v>
      </c>
      <c r="C117" s="145" t="str">
        <f>IF(AND('Items sous domaines Maths '!K121=6, 'Items sous domaines Maths '!K121&gt;0),'Items sous domaines Maths '!C121)</f>
        <v>La Théorie des graphes</v>
      </c>
      <c r="D117" s="145" t="str">
        <f>IF(AND('Items sous domaines Maths '!K121=6, 'Items sous domaines Maths '!K121&gt;0),'Items sous domaines Maths '!D121,0)</f>
        <v>Application</v>
      </c>
      <c r="E117" s="145" t="str">
        <f>IF(AND('Items sous domaines Maths '!K121=6, 'Items sous domaines Maths '!K121&gt;0),'Items sous domaines Maths '!E121,0)</f>
        <v>Coloration d'un graphe</v>
      </c>
      <c r="F117" s="146" t="str">
        <f>IF(AND('Items sous domaines Maths '!K121=6, 'Items sous domaines Maths '!K121&gt;0),'Items sous domaines Maths '!F121,0)</f>
        <v>Comprendre le principe de coloration des graphes dans le but d'utiliser le nombre minimal de couleurs (coloration minimale). Comprendre le champ d'applications de la coloration de graphe.</v>
      </c>
      <c r="G117" s="649"/>
      <c r="H117" s="114"/>
      <c r="I117" s="199"/>
    </row>
    <row r="118" spans="1:9" s="61" customFormat="1" ht="19.95" customHeight="1" thickBot="1" x14ac:dyDescent="0.3">
      <c r="A118" s="751"/>
      <c r="B118" s="273" t="str">
        <f>IF(AND('Items sous domaines Maths '!K122=6, 'Items sous domaines Maths '!K122&gt;0),'Items sous domaines Maths '!B122,0)</f>
        <v>Algèbre</v>
      </c>
      <c r="C118" s="187" t="str">
        <f>IF(AND('Items sous domaines Maths '!K122=6, 'Items sous domaines Maths '!K122&gt;0),'Items sous domaines Maths '!C122)</f>
        <v>La Théorie des graphes</v>
      </c>
      <c r="D118" s="187">
        <f>IF(AND('Items sous domaines Maths '!K122=6, 'Items sous domaines Maths '!K122&gt;0),'Items sous domaines Maths '!D122,0)</f>
        <v>0</v>
      </c>
      <c r="E118" s="187">
        <f>IF(AND('Items sous domaines Maths '!K122=6, 'Items sous domaines Maths '!K122&gt;0),'Items sous domaines Maths '!E122,0)</f>
        <v>0</v>
      </c>
      <c r="F118" s="188" t="str">
        <f>IF(AND('Items sous domaines Maths '!K122=6, 'Items sous domaines Maths '!K122&gt;0),'Items sous domaines Maths '!F122,0)</f>
        <v>Savoir appliquer l'algorithme de coloration de Welsh et Powell.</v>
      </c>
      <c r="G118" s="650"/>
      <c r="H118" s="191"/>
      <c r="I118" s="189"/>
    </row>
    <row r="119" spans="1:9" customFormat="1" ht="17.7" hidden="1" customHeight="1" thickTop="1" thickBot="1" x14ac:dyDescent="0.3">
      <c r="A119" s="750"/>
      <c r="B119">
        <f>IF(AND('Items sous domaines Maths '!K123=6, 'Items sous domaines Maths '!K123&gt;0),'Items sous domaines Maths '!B123,0)</f>
        <v>0</v>
      </c>
      <c r="C119" t="b">
        <f>IF(AND('Items sous domaines Maths '!K123=6, 'Items sous domaines Maths '!K123&gt;0),'Items sous domaines Maths '!C123)</f>
        <v>0</v>
      </c>
      <c r="D119">
        <f>IF(AND('Items sous domaines Maths '!K123=6, 'Items sous domaines Maths '!K123&gt;0),'Items sous domaines Maths '!D123,0)</f>
        <v>0</v>
      </c>
      <c r="E119">
        <f>IF(AND('Items sous domaines Maths '!K123=6, 'Items sous domaines Maths '!K123&gt;0),'Items sous domaines Maths '!E123,0)</f>
        <v>0</v>
      </c>
      <c r="F119" s="10">
        <f>IF(AND('Items sous domaines Maths '!K123=6, 'Items sous domaines Maths '!K123&gt;0),'Items sous domaines Maths '!F123,0)</f>
        <v>0</v>
      </c>
      <c r="G119" s="647"/>
    </row>
    <row r="120" spans="1:9" customFormat="1" ht="17.7" hidden="1" customHeight="1" thickBot="1" x14ac:dyDescent="0.3">
      <c r="A120" s="750"/>
      <c r="B120" s="8">
        <f>IF(AND('Items sous domaines Maths '!K124=6, 'Items sous domaines Maths '!K124&gt;0),'Items sous domaines Maths '!B124,0)</f>
        <v>0</v>
      </c>
      <c r="C120" s="8" t="b">
        <f>IF(AND('Items sous domaines Maths '!K124=6, 'Items sous domaines Maths '!K124&gt;0),'Items sous domaines Maths '!C124)</f>
        <v>0</v>
      </c>
      <c r="D120" s="8">
        <f>IF(AND('Items sous domaines Maths '!K124=6, 'Items sous domaines Maths '!K124&gt;0),'Items sous domaines Maths '!D124,0)</f>
        <v>0</v>
      </c>
      <c r="E120" s="8">
        <f>IF(AND('Items sous domaines Maths '!K124=6, 'Items sous domaines Maths '!K124&gt;0),'Items sous domaines Maths '!E124,0)</f>
        <v>0</v>
      </c>
      <c r="F120" s="9">
        <f>IF(AND('Items sous domaines Maths '!K124=6, 'Items sous domaines Maths '!K124&gt;0),'Items sous domaines Maths '!F124,0)</f>
        <v>0</v>
      </c>
      <c r="G120" s="647"/>
    </row>
    <row r="121" spans="1:9" s="61" customFormat="1" ht="19.95" customHeight="1" thickTop="1" x14ac:dyDescent="0.25">
      <c r="A121" s="665"/>
      <c r="B121" s="271" t="str">
        <f>IF(AND('Items sous domaines Maths '!K125=6, 'Items sous domaines Maths '!K125&gt;0),'Items sous domaines Maths '!B125,0)</f>
        <v>Algèbre</v>
      </c>
      <c r="C121" s="182" t="str">
        <f>IF(AND('Items sous domaines Maths '!K125=6, 'Items sous domaines Maths '!K125&gt;0),'Items sous domaines Maths '!C125)</f>
        <v>La Théorie des graphes</v>
      </c>
      <c r="D121" s="182">
        <f>IF(AND('Items sous domaines Maths '!K125=6, 'Items sous domaines Maths '!K125&gt;0),'Items sous domaines Maths '!D125,0)</f>
        <v>0</v>
      </c>
      <c r="E121" s="182" t="str">
        <f>IF(AND('Items sous domaines Maths '!K125=6, 'Items sous domaines Maths '!K125&gt;0),'Items sous domaines Maths '!E125,0)</f>
        <v>Graphes probabilistes</v>
      </c>
      <c r="F121" s="183" t="str">
        <f>IF(AND('Items sous domaines Maths '!K125=6, 'Items sous domaines Maths '!K125&gt;0),'Items sous domaines Maths '!F125,0)</f>
        <v>Savoir traduire une situation probabiliste en graphe et obtenir la matrice de transition. Savoir ce qu'est un état stable.</v>
      </c>
      <c r="G121" s="648"/>
      <c r="H121" s="190"/>
      <c r="I121" s="178"/>
    </row>
    <row r="122" spans="1:9" s="61" customFormat="1" ht="19.95" customHeight="1" x14ac:dyDescent="0.25">
      <c r="A122" s="666"/>
      <c r="B122" s="169" t="str">
        <f>IF(AND('Items sous domaines Maths '!K126=6, 'Items sous domaines Maths '!K126&gt;0),'Items sous domaines Maths '!B126,0)</f>
        <v>Algèbre</v>
      </c>
      <c r="C122" s="142" t="str">
        <f>IF(AND('Items sous domaines Maths '!K126=6, 'Items sous domaines Maths '!K126&gt;0),'Items sous domaines Maths '!C126)</f>
        <v>La Théorie des graphes</v>
      </c>
      <c r="D122" s="142">
        <f>IF(AND('Items sous domaines Maths '!K126=6, 'Items sous domaines Maths '!K126&gt;0),'Items sous domaines Maths '!D126,0)</f>
        <v>0</v>
      </c>
      <c r="E122" s="142">
        <f>IF(AND('Items sous domaines Maths '!K126=6, 'Items sous domaines Maths '!K126&gt;0),'Items sous domaines Maths '!E126,0)</f>
        <v>0</v>
      </c>
      <c r="F122" s="143" t="str">
        <f>IF(AND('Items sous domaines Maths '!K126=6, 'Items sous domaines Maths '!K126&gt;0),'Items sous domaines Maths '!F126,0)</f>
        <v>Connaître les chaînes de Markov.</v>
      </c>
      <c r="G122" s="649"/>
      <c r="H122" s="114"/>
      <c r="I122" s="199"/>
    </row>
    <row r="123" spans="1:9" s="61" customFormat="1" ht="19.95" customHeight="1" thickBot="1" x14ac:dyDescent="0.3">
      <c r="A123" s="751"/>
      <c r="B123" s="274" t="str">
        <f>IF(AND('Items sous domaines Maths '!K127=6, 'Items sous domaines Maths '!K127&gt;0),'Items sous domaines Maths '!B127,0)</f>
        <v>Algèbre</v>
      </c>
      <c r="C123" s="193" t="str">
        <f>IF(AND('Items sous domaines Maths '!K127=6, 'Items sous domaines Maths '!K127&gt;0),'Items sous domaines Maths '!C127)</f>
        <v>La Théorie des graphes</v>
      </c>
      <c r="D123" s="193">
        <f>IF(AND('Items sous domaines Maths '!K127=6, 'Items sous domaines Maths '!K127&gt;0),'Items sous domaines Maths '!D127,0)</f>
        <v>0</v>
      </c>
      <c r="E123" s="193" t="str">
        <f>IF(AND('Items sous domaines Maths '!K127=6, 'Items sous domaines Maths '!K127&gt;0),'Items sous domaines Maths '!E127,0)</f>
        <v>Modélisation de situations par un graphe</v>
      </c>
      <c r="F123" s="194" t="str">
        <f>IF(AND('Items sous domaines Maths '!K127=6, 'Items sous domaines Maths '!K127&gt;0),'Items sous domaines Maths '!F127,0)</f>
        <v>Connaître les applications les plus classiques de l'utilisation de la théorie des graphes.</v>
      </c>
      <c r="G123" s="650"/>
      <c r="H123" s="191"/>
      <c r="I123" s="189"/>
    </row>
    <row r="124" spans="1:9" customFormat="1" ht="17.7" hidden="1" customHeight="1" thickTop="1" thickBot="1" x14ac:dyDescent="0.3">
      <c r="A124" s="750"/>
      <c r="B124">
        <f>IF(AND('Items sous domaines Maths '!K128=6, 'Items sous domaines Maths '!K128&gt;0),'Items sous domaines Maths '!B128,0)</f>
        <v>0</v>
      </c>
      <c r="C124" t="b">
        <f>IF(AND('Items sous domaines Maths '!K128=6, 'Items sous domaines Maths '!K128&gt;0),'Items sous domaines Maths '!C128)</f>
        <v>0</v>
      </c>
      <c r="D124">
        <f>IF(AND('Items sous domaines Maths '!K128=6, 'Items sous domaines Maths '!K128&gt;0),'Items sous domaines Maths '!D128,0)</f>
        <v>0</v>
      </c>
      <c r="E124">
        <f>IF(AND('Items sous domaines Maths '!K128=6, 'Items sous domaines Maths '!K128&gt;0),'Items sous domaines Maths '!E128,0)</f>
        <v>0</v>
      </c>
      <c r="F124" s="10">
        <f>IF(AND('Items sous domaines Maths '!K128=6, 'Items sous domaines Maths '!K128&gt;0),'Items sous domaines Maths '!F128,0)</f>
        <v>0</v>
      </c>
      <c r="G124" s="647"/>
    </row>
    <row r="125" spans="1:9" customFormat="1" ht="17.7" hidden="1" customHeight="1" thickBot="1" x14ac:dyDescent="0.3">
      <c r="A125" s="750"/>
      <c r="B125" s="8">
        <f>IF(AND('Items sous domaines Maths '!K129=6, 'Items sous domaines Maths '!K129&gt;0),'Items sous domaines Maths '!B129,0)</f>
        <v>0</v>
      </c>
      <c r="C125" s="8" t="b">
        <f>IF(AND('Items sous domaines Maths '!K129=6, 'Items sous domaines Maths '!K129&gt;0),'Items sous domaines Maths '!C129)</f>
        <v>0</v>
      </c>
      <c r="D125" s="8">
        <f>IF(AND('Items sous domaines Maths '!K129=6, 'Items sous domaines Maths '!K129&gt;0),'Items sous domaines Maths '!D129,0)</f>
        <v>0</v>
      </c>
      <c r="E125" s="8">
        <f>IF(AND('Items sous domaines Maths '!K129=6, 'Items sous domaines Maths '!K129&gt;0),'Items sous domaines Maths '!E129,0)</f>
        <v>0</v>
      </c>
      <c r="F125" s="9">
        <f>IF(AND('Items sous domaines Maths '!K129=6, 'Items sous domaines Maths '!K129&gt;0),'Items sous domaines Maths '!F129,0)</f>
        <v>0</v>
      </c>
      <c r="G125" s="647"/>
    </row>
    <row r="126" spans="1:9" customFormat="1" ht="17.7" hidden="1" customHeight="1" thickBot="1" x14ac:dyDescent="0.3">
      <c r="A126" s="750"/>
      <c r="B126" s="8">
        <f>IF(AND('Items sous domaines Maths '!K130=6, 'Items sous domaines Maths '!K130&gt;0),'Items sous domaines Maths '!B130,0)</f>
        <v>0</v>
      </c>
      <c r="C126" s="8" t="b">
        <f>IF(AND('Items sous domaines Maths '!K130=6, 'Items sous domaines Maths '!K130&gt;0),'Items sous domaines Maths '!C130)</f>
        <v>0</v>
      </c>
      <c r="D126" s="8">
        <f>IF(AND('Items sous domaines Maths '!K130=6, 'Items sous domaines Maths '!K130&gt;0),'Items sous domaines Maths '!D130,0)</f>
        <v>0</v>
      </c>
      <c r="E126" s="8">
        <f>IF(AND('Items sous domaines Maths '!K130=6, 'Items sous domaines Maths '!K130&gt;0),'Items sous domaines Maths '!E130,0)</f>
        <v>0</v>
      </c>
      <c r="F126" s="9">
        <f>IF(AND('Items sous domaines Maths '!K130=6, 'Items sous domaines Maths '!K130&gt;0),'Items sous domaines Maths '!F130,0)</f>
        <v>0</v>
      </c>
      <c r="G126" s="647"/>
    </row>
    <row r="127" spans="1:9" customFormat="1" ht="17.7" hidden="1" customHeight="1" thickBot="1" x14ac:dyDescent="0.3">
      <c r="A127" s="750"/>
      <c r="B127" s="8">
        <f>IF(AND('Items sous domaines Maths '!K131=6, 'Items sous domaines Maths '!K131&gt;0),'Items sous domaines Maths '!B131,0)</f>
        <v>0</v>
      </c>
      <c r="C127" s="8" t="b">
        <f>IF(AND('Items sous domaines Maths '!K131=6, 'Items sous domaines Maths '!K131&gt;0),'Items sous domaines Maths '!C131)</f>
        <v>0</v>
      </c>
      <c r="D127" s="8">
        <f>IF(AND('Items sous domaines Maths '!K131=6, 'Items sous domaines Maths '!K131&gt;0),'Items sous domaines Maths '!D131,0)</f>
        <v>0</v>
      </c>
      <c r="E127" s="8">
        <f>IF(AND('Items sous domaines Maths '!K131=6, 'Items sous domaines Maths '!K131&gt;0),'Items sous domaines Maths '!E131,0)</f>
        <v>0</v>
      </c>
      <c r="F127" s="9">
        <f>IF(AND('Items sous domaines Maths '!K131=6, 'Items sous domaines Maths '!K131&gt;0),'Items sous domaines Maths '!F131,0)</f>
        <v>0</v>
      </c>
      <c r="G127" s="647"/>
    </row>
    <row r="128" spans="1:9" customFormat="1" ht="17.7" hidden="1" customHeight="1" thickBot="1" x14ac:dyDescent="0.3">
      <c r="A128" s="750"/>
      <c r="B128" s="8">
        <f>IF(AND('Items sous domaines Maths '!K132=6, 'Items sous domaines Maths '!K132&gt;0),'Items sous domaines Maths '!B132,0)</f>
        <v>0</v>
      </c>
      <c r="C128" s="8" t="b">
        <f>IF(AND('Items sous domaines Maths '!K132=6, 'Items sous domaines Maths '!K132&gt;0),'Items sous domaines Maths '!C132)</f>
        <v>0</v>
      </c>
      <c r="D128" s="8">
        <f>IF(AND('Items sous domaines Maths '!K132=6, 'Items sous domaines Maths '!K132&gt;0),'Items sous domaines Maths '!D132,0)</f>
        <v>0</v>
      </c>
      <c r="E128" s="8">
        <f>IF(AND('Items sous domaines Maths '!K132=6, 'Items sous domaines Maths '!K132&gt;0),'Items sous domaines Maths '!E132,0)</f>
        <v>0</v>
      </c>
      <c r="F128" s="9">
        <f>IF(AND('Items sous domaines Maths '!K132=6, 'Items sous domaines Maths '!K132&gt;0),'Items sous domaines Maths '!F132,0)</f>
        <v>0</v>
      </c>
      <c r="G128" s="647"/>
    </row>
    <row r="129" spans="1:7" customFormat="1" ht="17.7" hidden="1" customHeight="1" thickBot="1" x14ac:dyDescent="0.3">
      <c r="A129" s="750"/>
      <c r="B129" s="8">
        <f>IF(AND('Items sous domaines Maths '!K133=6, 'Items sous domaines Maths '!K133&gt;0),'Items sous domaines Maths '!B133,0)</f>
        <v>0</v>
      </c>
      <c r="C129" s="8" t="b">
        <f>IF(AND('Items sous domaines Maths '!K133=6, 'Items sous domaines Maths '!K133&gt;0),'Items sous domaines Maths '!C133)</f>
        <v>0</v>
      </c>
      <c r="D129" s="8">
        <f>IF(AND('Items sous domaines Maths '!K133=6, 'Items sous domaines Maths '!K133&gt;0),'Items sous domaines Maths '!D133,0)</f>
        <v>0</v>
      </c>
      <c r="E129" s="8">
        <f>IF(AND('Items sous domaines Maths '!K133=6, 'Items sous domaines Maths '!K133&gt;0),'Items sous domaines Maths '!E133,0)</f>
        <v>0</v>
      </c>
      <c r="F129" s="9">
        <f>IF(AND('Items sous domaines Maths '!K133=6, 'Items sous domaines Maths '!K133&gt;0),'Items sous domaines Maths '!F133,0)</f>
        <v>0</v>
      </c>
      <c r="G129" s="647"/>
    </row>
    <row r="130" spans="1:7" customFormat="1" ht="17.7" hidden="1" customHeight="1" thickBot="1" x14ac:dyDescent="0.3">
      <c r="A130" s="750"/>
      <c r="B130" s="8">
        <f>IF(AND('Items sous domaines Maths '!K134=6, 'Items sous domaines Maths '!K134&gt;0),'Items sous domaines Maths '!B134,0)</f>
        <v>0</v>
      </c>
      <c r="C130" s="8" t="b">
        <f>IF(AND('Items sous domaines Maths '!K134=6, 'Items sous domaines Maths '!K134&gt;0),'Items sous domaines Maths '!C134)</f>
        <v>0</v>
      </c>
      <c r="D130" s="8">
        <f>IF(AND('Items sous domaines Maths '!K134=6, 'Items sous domaines Maths '!K134&gt;0),'Items sous domaines Maths '!D134,0)</f>
        <v>0</v>
      </c>
      <c r="E130" s="8">
        <f>IF(AND('Items sous domaines Maths '!K134=6, 'Items sous domaines Maths '!K134&gt;0),'Items sous domaines Maths '!E134,0)</f>
        <v>0</v>
      </c>
      <c r="F130" s="9">
        <f>IF(AND('Items sous domaines Maths '!K134=6, 'Items sous domaines Maths '!K134&gt;0),'Items sous domaines Maths '!F134,0)</f>
        <v>0</v>
      </c>
      <c r="G130" s="647"/>
    </row>
    <row r="131" spans="1:7" customFormat="1" ht="17.7" hidden="1" customHeight="1" thickBot="1" x14ac:dyDescent="0.3">
      <c r="A131" s="750"/>
      <c r="B131" s="8">
        <f>IF(AND('Items sous domaines Maths '!K135=6, 'Items sous domaines Maths '!K135&gt;0),'Items sous domaines Maths '!B135,0)</f>
        <v>0</v>
      </c>
      <c r="C131" s="8" t="b">
        <f>IF(AND('Items sous domaines Maths '!K135=6, 'Items sous domaines Maths '!K135&gt;0),'Items sous domaines Maths '!C135)</f>
        <v>0</v>
      </c>
      <c r="D131" s="8">
        <f>IF(AND('Items sous domaines Maths '!K135=6, 'Items sous domaines Maths '!K135&gt;0),'Items sous domaines Maths '!D135,0)</f>
        <v>0</v>
      </c>
      <c r="E131" s="8">
        <f>IF(AND('Items sous domaines Maths '!K135=6, 'Items sous domaines Maths '!K135&gt;0),'Items sous domaines Maths '!E135,0)</f>
        <v>0</v>
      </c>
      <c r="F131" s="9">
        <f>IF(AND('Items sous domaines Maths '!K135=6, 'Items sous domaines Maths '!K135&gt;0),'Items sous domaines Maths '!F135,0)</f>
        <v>0</v>
      </c>
      <c r="G131" s="647"/>
    </row>
    <row r="132" spans="1:7" customFormat="1" ht="17.7" hidden="1" customHeight="1" thickBot="1" x14ac:dyDescent="0.3">
      <c r="A132" s="750"/>
      <c r="B132" s="8">
        <f>IF(AND('Items sous domaines Maths '!K136=6, 'Items sous domaines Maths '!K136&gt;0),'Items sous domaines Maths '!B136,0)</f>
        <v>0</v>
      </c>
      <c r="C132" s="8" t="b">
        <f>IF(AND('Items sous domaines Maths '!K136=6, 'Items sous domaines Maths '!K136&gt;0),'Items sous domaines Maths '!C136)</f>
        <v>0</v>
      </c>
      <c r="D132" s="8">
        <f>IF(AND('Items sous domaines Maths '!K136=6, 'Items sous domaines Maths '!K136&gt;0),'Items sous domaines Maths '!D136,0)</f>
        <v>0</v>
      </c>
      <c r="E132" s="8">
        <f>IF(AND('Items sous domaines Maths '!K136=6, 'Items sous domaines Maths '!K136&gt;0),'Items sous domaines Maths '!E136,0)</f>
        <v>0</v>
      </c>
      <c r="F132" s="9">
        <f>IF(AND('Items sous domaines Maths '!K136=6, 'Items sous domaines Maths '!K136&gt;0),'Items sous domaines Maths '!F136,0)</f>
        <v>0</v>
      </c>
      <c r="G132" s="647"/>
    </row>
    <row r="133" spans="1:7" customFormat="1" ht="17.7" hidden="1" customHeight="1" thickBot="1" x14ac:dyDescent="0.3">
      <c r="A133" s="750"/>
      <c r="B133" s="8">
        <f>IF(AND('Items sous domaines Maths '!K137=6, 'Items sous domaines Maths '!K137&gt;0),'Items sous domaines Maths '!B137,0)</f>
        <v>0</v>
      </c>
      <c r="C133" s="8" t="b">
        <f>IF(AND('Items sous domaines Maths '!K137=6, 'Items sous domaines Maths '!K137&gt;0),'Items sous domaines Maths '!C137)</f>
        <v>0</v>
      </c>
      <c r="D133" s="8">
        <f>IF(AND('Items sous domaines Maths '!K137=6, 'Items sous domaines Maths '!K137&gt;0),'Items sous domaines Maths '!D137,0)</f>
        <v>0</v>
      </c>
      <c r="E133" s="8">
        <f>IF(AND('Items sous domaines Maths '!K137=6, 'Items sous domaines Maths '!K137&gt;0),'Items sous domaines Maths '!E137,0)</f>
        <v>0</v>
      </c>
      <c r="F133" s="9">
        <f>IF(AND('Items sous domaines Maths '!K137=6, 'Items sous domaines Maths '!K137&gt;0),'Items sous domaines Maths '!F137,0)</f>
        <v>0</v>
      </c>
      <c r="G133" s="647"/>
    </row>
    <row r="134" spans="1:7" customFormat="1" ht="17.7" hidden="1" customHeight="1" thickBot="1" x14ac:dyDescent="0.3">
      <c r="A134" s="750"/>
      <c r="B134" s="8">
        <f>IF(AND('Items sous domaines Maths '!K138=6, 'Items sous domaines Maths '!K138&gt;0),'Items sous domaines Maths '!B138,0)</f>
        <v>0</v>
      </c>
      <c r="C134" s="8" t="b">
        <f>IF(AND('Items sous domaines Maths '!K138=6, 'Items sous domaines Maths '!K138&gt;0),'Items sous domaines Maths '!C138)</f>
        <v>0</v>
      </c>
      <c r="D134" s="8">
        <f>IF(AND('Items sous domaines Maths '!K138=6, 'Items sous domaines Maths '!K138&gt;0),'Items sous domaines Maths '!D138,0)</f>
        <v>0</v>
      </c>
      <c r="E134" s="8">
        <f>IF(AND('Items sous domaines Maths '!K138=6, 'Items sous domaines Maths '!K138&gt;0),'Items sous domaines Maths '!E138,0)</f>
        <v>0</v>
      </c>
      <c r="F134" s="9">
        <f>IF(AND('Items sous domaines Maths '!K138=6, 'Items sous domaines Maths '!K138&gt;0),'Items sous domaines Maths '!F138,0)</f>
        <v>0</v>
      </c>
      <c r="G134" s="647"/>
    </row>
    <row r="135" spans="1:7" customFormat="1" ht="17.7" hidden="1" customHeight="1" thickBot="1" x14ac:dyDescent="0.3">
      <c r="A135" s="750"/>
      <c r="B135" s="8">
        <f>IF(AND('Items sous domaines Maths '!K139=6, 'Items sous domaines Maths '!K139&gt;0),'Items sous domaines Maths '!B139,0)</f>
        <v>0</v>
      </c>
      <c r="C135" s="8" t="b">
        <f>IF(AND('Items sous domaines Maths '!K139=6, 'Items sous domaines Maths '!K139&gt;0),'Items sous domaines Maths '!C139)</f>
        <v>0</v>
      </c>
      <c r="D135" s="8">
        <f>IF(AND('Items sous domaines Maths '!K139=6, 'Items sous domaines Maths '!K139&gt;0),'Items sous domaines Maths '!D139,0)</f>
        <v>0</v>
      </c>
      <c r="E135" s="8">
        <f>IF(AND('Items sous domaines Maths '!K139=6, 'Items sous domaines Maths '!K139&gt;0),'Items sous domaines Maths '!E139,0)</f>
        <v>0</v>
      </c>
      <c r="F135" s="9">
        <f>IF(AND('Items sous domaines Maths '!K139=6, 'Items sous domaines Maths '!K139&gt;0),'Items sous domaines Maths '!F139,0)</f>
        <v>0</v>
      </c>
      <c r="G135" s="647"/>
    </row>
    <row r="136" spans="1:7" customFormat="1" ht="17.7" hidden="1" customHeight="1" thickBot="1" x14ac:dyDescent="0.3">
      <c r="A136" s="750"/>
      <c r="B136" s="8">
        <f>IF(AND('Items sous domaines Maths '!K140=6, 'Items sous domaines Maths '!K140&gt;0),'Items sous domaines Maths '!B140,0)</f>
        <v>0</v>
      </c>
      <c r="C136" s="8" t="b">
        <f>IF(AND('Items sous domaines Maths '!K140=6, 'Items sous domaines Maths '!K140&gt;0),'Items sous domaines Maths '!C140)</f>
        <v>0</v>
      </c>
      <c r="D136" s="8">
        <f>IF(AND('Items sous domaines Maths '!K140=6, 'Items sous domaines Maths '!K140&gt;0),'Items sous domaines Maths '!D140,0)</f>
        <v>0</v>
      </c>
      <c r="E136" s="8">
        <f>IF(AND('Items sous domaines Maths '!K140=6, 'Items sous domaines Maths '!K140&gt;0),'Items sous domaines Maths '!E140,0)</f>
        <v>0</v>
      </c>
      <c r="F136" s="9">
        <f>IF(AND('Items sous domaines Maths '!K140=6, 'Items sous domaines Maths '!K140&gt;0),'Items sous domaines Maths '!F140,0)</f>
        <v>0</v>
      </c>
      <c r="G136" s="647"/>
    </row>
    <row r="137" spans="1:7" customFormat="1" ht="17.7" hidden="1" customHeight="1" thickBot="1" x14ac:dyDescent="0.3">
      <c r="A137" s="750"/>
      <c r="B137" s="8">
        <f>IF(AND('Items sous domaines Maths '!K141=6, 'Items sous domaines Maths '!K141&gt;0),'Items sous domaines Maths '!B141,0)</f>
        <v>0</v>
      </c>
      <c r="C137" s="8" t="b">
        <f>IF(AND('Items sous domaines Maths '!K141=6, 'Items sous domaines Maths '!K141&gt;0),'Items sous domaines Maths '!C141)</f>
        <v>0</v>
      </c>
      <c r="D137" s="8">
        <f>IF(AND('Items sous domaines Maths '!K141=6, 'Items sous domaines Maths '!K141&gt;0),'Items sous domaines Maths '!D141,0)</f>
        <v>0</v>
      </c>
      <c r="E137" s="8">
        <f>IF(AND('Items sous domaines Maths '!K141=6, 'Items sous domaines Maths '!K141&gt;0),'Items sous domaines Maths '!E141,0)</f>
        <v>0</v>
      </c>
      <c r="F137" s="9">
        <f>IF(AND('Items sous domaines Maths '!K141=6, 'Items sous domaines Maths '!K141&gt;0),'Items sous domaines Maths '!F141,0)</f>
        <v>0</v>
      </c>
      <c r="G137" s="647"/>
    </row>
    <row r="138" spans="1:7" customFormat="1" ht="17.7" hidden="1" customHeight="1" thickBot="1" x14ac:dyDescent="0.3">
      <c r="A138" s="750"/>
      <c r="B138" s="8">
        <f>IF(AND('Items sous domaines Maths '!K142=6, 'Items sous domaines Maths '!K142&gt;0),'Items sous domaines Maths '!B142,0)</f>
        <v>0</v>
      </c>
      <c r="C138" s="8" t="b">
        <f>IF(AND('Items sous domaines Maths '!K142=6, 'Items sous domaines Maths '!K142&gt;0),'Items sous domaines Maths '!C142)</f>
        <v>0</v>
      </c>
      <c r="D138" s="8">
        <f>IF(AND('Items sous domaines Maths '!K142=6, 'Items sous domaines Maths '!K142&gt;0),'Items sous domaines Maths '!D142,0)</f>
        <v>0</v>
      </c>
      <c r="E138" s="8">
        <f>IF(AND('Items sous domaines Maths '!K142=6, 'Items sous domaines Maths '!K142&gt;0),'Items sous domaines Maths '!E142,0)</f>
        <v>0</v>
      </c>
      <c r="F138" s="9">
        <f>IF(AND('Items sous domaines Maths '!K142=6, 'Items sous domaines Maths '!K142&gt;0),'Items sous domaines Maths '!F142,0)</f>
        <v>0</v>
      </c>
      <c r="G138" s="647"/>
    </row>
    <row r="139" spans="1:7" customFormat="1" ht="17.7" hidden="1" customHeight="1" thickBot="1" x14ac:dyDescent="0.3">
      <c r="A139" s="750"/>
      <c r="B139" s="8">
        <f>IF(AND('Items sous domaines Maths '!K143=6, 'Items sous domaines Maths '!K143&gt;0),'Items sous domaines Maths '!B143,0)</f>
        <v>0</v>
      </c>
      <c r="C139" s="8" t="b">
        <f>IF(AND('Items sous domaines Maths '!K143=6, 'Items sous domaines Maths '!K143&gt;0),'Items sous domaines Maths '!C143)</f>
        <v>0</v>
      </c>
      <c r="D139" s="8">
        <f>IF(AND('Items sous domaines Maths '!K143=6, 'Items sous domaines Maths '!K143&gt;0),'Items sous domaines Maths '!D143,0)</f>
        <v>0</v>
      </c>
      <c r="E139" s="8">
        <f>IF(AND('Items sous domaines Maths '!K143=6, 'Items sous domaines Maths '!K143&gt;0),'Items sous domaines Maths '!E143,0)</f>
        <v>0</v>
      </c>
      <c r="F139" s="9">
        <f>IF(AND('Items sous domaines Maths '!K143=6, 'Items sous domaines Maths '!K143&gt;0),'Items sous domaines Maths '!F143,0)</f>
        <v>0</v>
      </c>
      <c r="G139" s="647"/>
    </row>
    <row r="140" spans="1:7" customFormat="1" ht="17.7" hidden="1" customHeight="1" thickBot="1" x14ac:dyDescent="0.3">
      <c r="A140" s="750"/>
      <c r="B140" s="8">
        <f>IF(AND('Items sous domaines Maths '!K144=6, 'Items sous domaines Maths '!K144&gt;0),'Items sous domaines Maths '!B144,0)</f>
        <v>0</v>
      </c>
      <c r="C140" s="8" t="b">
        <f>IF(AND('Items sous domaines Maths '!K144=6, 'Items sous domaines Maths '!K144&gt;0),'Items sous domaines Maths '!C144)</f>
        <v>0</v>
      </c>
      <c r="D140" s="8">
        <f>IF(AND('Items sous domaines Maths '!K144=6, 'Items sous domaines Maths '!K144&gt;0),'Items sous domaines Maths '!D144,0)</f>
        <v>0</v>
      </c>
      <c r="E140" s="8">
        <f>IF(AND('Items sous domaines Maths '!K144=6, 'Items sous domaines Maths '!K144&gt;0),'Items sous domaines Maths '!E144,0)</f>
        <v>0</v>
      </c>
      <c r="F140" s="9">
        <f>IF(AND('Items sous domaines Maths '!K144=6, 'Items sous domaines Maths '!K144&gt;0),'Items sous domaines Maths '!F144,0)</f>
        <v>0</v>
      </c>
      <c r="G140" s="647"/>
    </row>
    <row r="141" spans="1:7" customFormat="1" ht="17.7" hidden="1" customHeight="1" thickBot="1" x14ac:dyDescent="0.3">
      <c r="A141" s="750"/>
      <c r="B141" s="8">
        <f>IF(AND('Items sous domaines Maths '!K145=6, 'Items sous domaines Maths '!K145&gt;0),'Items sous domaines Maths '!B145,0)</f>
        <v>0</v>
      </c>
      <c r="C141" s="8" t="b">
        <f>IF(AND('Items sous domaines Maths '!K145=6, 'Items sous domaines Maths '!K145&gt;0),'Items sous domaines Maths '!C145)</f>
        <v>0</v>
      </c>
      <c r="D141" s="8">
        <f>IF(AND('Items sous domaines Maths '!K145=6, 'Items sous domaines Maths '!K145&gt;0),'Items sous domaines Maths '!D145,0)</f>
        <v>0</v>
      </c>
      <c r="E141" s="8">
        <f>IF(AND('Items sous domaines Maths '!K145=6, 'Items sous domaines Maths '!K145&gt;0),'Items sous domaines Maths '!E145,0)</f>
        <v>0</v>
      </c>
      <c r="F141" s="9">
        <f>IF(AND('Items sous domaines Maths '!K145=6, 'Items sous domaines Maths '!K145&gt;0),'Items sous domaines Maths '!F145,0)</f>
        <v>0</v>
      </c>
      <c r="G141" s="647"/>
    </row>
    <row r="142" spans="1:7" customFormat="1" ht="17.7" hidden="1" customHeight="1" thickBot="1" x14ac:dyDescent="0.3">
      <c r="A142" s="750"/>
      <c r="B142" s="8">
        <f>IF(AND('Items sous domaines Maths '!K146=6, 'Items sous domaines Maths '!K146&gt;0),'Items sous domaines Maths '!B146,0)</f>
        <v>0</v>
      </c>
      <c r="C142" s="8" t="b">
        <f>IF(AND('Items sous domaines Maths '!K146=6, 'Items sous domaines Maths '!K146&gt;0),'Items sous domaines Maths '!C146)</f>
        <v>0</v>
      </c>
      <c r="D142" s="8">
        <f>IF(AND('Items sous domaines Maths '!K146=6, 'Items sous domaines Maths '!K146&gt;0),'Items sous domaines Maths '!D146,0)</f>
        <v>0</v>
      </c>
      <c r="E142" s="8">
        <f>IF(AND('Items sous domaines Maths '!K146=6, 'Items sous domaines Maths '!K146&gt;0),'Items sous domaines Maths '!E146,0)</f>
        <v>0</v>
      </c>
      <c r="F142" s="9">
        <f>IF(AND('Items sous domaines Maths '!K146=6, 'Items sous domaines Maths '!K146&gt;0),'Items sous domaines Maths '!F146,0)</f>
        <v>0</v>
      </c>
      <c r="G142" s="647"/>
    </row>
    <row r="143" spans="1:7" customFormat="1" ht="17.7" hidden="1" customHeight="1" thickBot="1" x14ac:dyDescent="0.3">
      <c r="A143" s="750"/>
      <c r="B143" s="8">
        <f>IF(AND('Items sous domaines Maths '!K147=6, 'Items sous domaines Maths '!K147&gt;0),'Items sous domaines Maths '!B147,0)</f>
        <v>0</v>
      </c>
      <c r="C143" s="8" t="b">
        <f>IF(AND('Items sous domaines Maths '!K147=6, 'Items sous domaines Maths '!K147&gt;0),'Items sous domaines Maths '!C147)</f>
        <v>0</v>
      </c>
      <c r="D143" s="8">
        <f>IF(AND('Items sous domaines Maths '!K147=6, 'Items sous domaines Maths '!K147&gt;0),'Items sous domaines Maths '!D147,0)</f>
        <v>0</v>
      </c>
      <c r="E143" s="8">
        <f>IF(AND('Items sous domaines Maths '!K147=6, 'Items sous domaines Maths '!K147&gt;0),'Items sous domaines Maths '!E147,0)</f>
        <v>0</v>
      </c>
      <c r="F143" s="9">
        <f>IF(AND('Items sous domaines Maths '!K147=6, 'Items sous domaines Maths '!K147&gt;0),'Items sous domaines Maths '!F147,0)</f>
        <v>0</v>
      </c>
      <c r="G143" s="647"/>
    </row>
    <row r="144" spans="1:7" customFormat="1" ht="17.7" hidden="1" customHeight="1" thickBot="1" x14ac:dyDescent="0.3">
      <c r="A144" s="750"/>
      <c r="B144" s="8">
        <f>IF(AND('Items sous domaines Maths '!K148=6, 'Items sous domaines Maths '!K148&gt;0),'Items sous domaines Maths '!B148,0)</f>
        <v>0</v>
      </c>
      <c r="C144" s="8" t="b">
        <f>IF(AND('Items sous domaines Maths '!K148=6, 'Items sous domaines Maths '!K148&gt;0),'Items sous domaines Maths '!C148)</f>
        <v>0</v>
      </c>
      <c r="D144" s="8">
        <f>IF(AND('Items sous domaines Maths '!K148=6, 'Items sous domaines Maths '!K148&gt;0),'Items sous domaines Maths '!D148,0)</f>
        <v>0</v>
      </c>
      <c r="E144" s="8">
        <f>IF(AND('Items sous domaines Maths '!K148=6, 'Items sous domaines Maths '!K148&gt;0),'Items sous domaines Maths '!E148,0)</f>
        <v>0</v>
      </c>
      <c r="F144" s="9">
        <f>IF(AND('Items sous domaines Maths '!K148=6, 'Items sous domaines Maths '!K148&gt;0),'Items sous domaines Maths '!F148,0)</f>
        <v>0</v>
      </c>
      <c r="G144" s="647"/>
    </row>
    <row r="145" spans="1:7" customFormat="1" ht="17.7" hidden="1" customHeight="1" thickBot="1" x14ac:dyDescent="0.3">
      <c r="A145" s="750"/>
      <c r="B145" s="8">
        <f>IF(AND('Items sous domaines Maths '!K149=6, 'Items sous domaines Maths '!K149&gt;0),'Items sous domaines Maths '!B149,0)</f>
        <v>0</v>
      </c>
      <c r="C145" s="8" t="b">
        <f>IF(AND('Items sous domaines Maths '!K149=6, 'Items sous domaines Maths '!K149&gt;0),'Items sous domaines Maths '!C149)</f>
        <v>0</v>
      </c>
      <c r="D145" s="8">
        <f>IF(AND('Items sous domaines Maths '!K149=6, 'Items sous domaines Maths '!K149&gt;0),'Items sous domaines Maths '!D149,0)</f>
        <v>0</v>
      </c>
      <c r="E145" s="8">
        <f>IF(AND('Items sous domaines Maths '!K149=6, 'Items sous domaines Maths '!K149&gt;0),'Items sous domaines Maths '!E149,0)</f>
        <v>0</v>
      </c>
      <c r="F145" s="9">
        <f>IF(AND('Items sous domaines Maths '!K149=6, 'Items sous domaines Maths '!K149&gt;0),'Items sous domaines Maths '!F149,0)</f>
        <v>0</v>
      </c>
      <c r="G145" s="647"/>
    </row>
    <row r="146" spans="1:7" customFormat="1" ht="17.7" hidden="1" customHeight="1" thickBot="1" x14ac:dyDescent="0.3">
      <c r="A146" s="750"/>
      <c r="B146" s="8">
        <f>IF(AND('Items sous domaines Maths '!K150=6, 'Items sous domaines Maths '!K150&gt;0),'Items sous domaines Maths '!B150,0)</f>
        <v>0</v>
      </c>
      <c r="C146" s="8" t="b">
        <f>IF(AND('Items sous domaines Maths '!K150=6, 'Items sous domaines Maths '!K150&gt;0),'Items sous domaines Maths '!C150)</f>
        <v>0</v>
      </c>
      <c r="D146" s="8">
        <f>IF(AND('Items sous domaines Maths '!K150=6, 'Items sous domaines Maths '!K150&gt;0),'Items sous domaines Maths '!D150,0)</f>
        <v>0</v>
      </c>
      <c r="E146" s="8">
        <f>IF(AND('Items sous domaines Maths '!K150=6, 'Items sous domaines Maths '!K150&gt;0),'Items sous domaines Maths '!E150,0)</f>
        <v>0</v>
      </c>
      <c r="F146" s="9">
        <f>IF(AND('Items sous domaines Maths '!K150=6, 'Items sous domaines Maths '!K150&gt;0),'Items sous domaines Maths '!F150,0)</f>
        <v>0</v>
      </c>
      <c r="G146" s="647"/>
    </row>
    <row r="147" spans="1:7" customFormat="1" ht="17.7" hidden="1" customHeight="1" thickBot="1" x14ac:dyDescent="0.3">
      <c r="A147" s="750"/>
      <c r="B147" s="8">
        <f>IF(AND('Items sous domaines Maths '!K151=6, 'Items sous domaines Maths '!K151&gt;0),'Items sous domaines Maths '!B151,0)</f>
        <v>0</v>
      </c>
      <c r="C147" s="8" t="b">
        <f>IF(AND('Items sous domaines Maths '!K151=6, 'Items sous domaines Maths '!K151&gt;0),'Items sous domaines Maths '!C151)</f>
        <v>0</v>
      </c>
      <c r="D147" s="8">
        <f>IF(AND('Items sous domaines Maths '!K151=6, 'Items sous domaines Maths '!K151&gt;0),'Items sous domaines Maths '!D151,0)</f>
        <v>0</v>
      </c>
      <c r="E147" s="8">
        <f>IF(AND('Items sous domaines Maths '!K151=6, 'Items sous domaines Maths '!K151&gt;0),'Items sous domaines Maths '!E151,0)</f>
        <v>0</v>
      </c>
      <c r="F147" s="9">
        <f>IF(AND('Items sous domaines Maths '!K151=6, 'Items sous domaines Maths '!K151&gt;0),'Items sous domaines Maths '!F151,0)</f>
        <v>0</v>
      </c>
      <c r="G147" s="647"/>
    </row>
    <row r="148" spans="1:7" customFormat="1" ht="17.7" hidden="1" customHeight="1" thickBot="1" x14ac:dyDescent="0.3">
      <c r="A148" s="750"/>
      <c r="B148" s="8">
        <f>IF(AND('Items sous domaines Maths '!K152=6, 'Items sous domaines Maths '!K152&gt;0),'Items sous domaines Maths '!B152,0)</f>
        <v>0</v>
      </c>
      <c r="C148" s="8" t="b">
        <f>IF(AND('Items sous domaines Maths '!K152=6, 'Items sous domaines Maths '!K152&gt;0),'Items sous domaines Maths '!C152)</f>
        <v>0</v>
      </c>
      <c r="D148" s="8">
        <f>IF(AND('Items sous domaines Maths '!K152=6, 'Items sous domaines Maths '!K152&gt;0),'Items sous domaines Maths '!D152,0)</f>
        <v>0</v>
      </c>
      <c r="E148" s="8">
        <f>IF(AND('Items sous domaines Maths '!K152=6, 'Items sous domaines Maths '!K152&gt;0),'Items sous domaines Maths '!E152,0)</f>
        <v>0</v>
      </c>
      <c r="F148" s="9">
        <f>IF(AND('Items sous domaines Maths '!K152=6, 'Items sous domaines Maths '!K152&gt;0),'Items sous domaines Maths '!F152,0)</f>
        <v>0</v>
      </c>
      <c r="G148" s="647"/>
    </row>
    <row r="149" spans="1:7" customFormat="1" ht="17.7" hidden="1" customHeight="1" thickBot="1" x14ac:dyDescent="0.3">
      <c r="A149" s="750"/>
      <c r="B149" s="8">
        <f>IF(AND('Items sous domaines Maths '!K153=6, 'Items sous domaines Maths '!K153&gt;0),'Items sous domaines Maths '!B153,0)</f>
        <v>0</v>
      </c>
      <c r="C149" s="8" t="b">
        <f>IF(AND('Items sous domaines Maths '!K153=6, 'Items sous domaines Maths '!K153&gt;0),'Items sous domaines Maths '!C153)</f>
        <v>0</v>
      </c>
      <c r="D149" s="8">
        <f>IF(AND('Items sous domaines Maths '!K153=6, 'Items sous domaines Maths '!K153&gt;0),'Items sous domaines Maths '!D153,0)</f>
        <v>0</v>
      </c>
      <c r="E149" s="8">
        <f>IF(AND('Items sous domaines Maths '!K153=6, 'Items sous domaines Maths '!K153&gt;0),'Items sous domaines Maths '!E153,0)</f>
        <v>0</v>
      </c>
      <c r="F149" s="9">
        <f>IF(AND('Items sous domaines Maths '!K153=6, 'Items sous domaines Maths '!K153&gt;0),'Items sous domaines Maths '!F153,0)</f>
        <v>0</v>
      </c>
      <c r="G149" s="647"/>
    </row>
    <row r="150" spans="1:7" customFormat="1" ht="17.7" hidden="1" customHeight="1" thickBot="1" x14ac:dyDescent="0.3">
      <c r="A150" s="750"/>
      <c r="B150" s="8">
        <f>IF(AND('Items sous domaines Maths '!K154=6, 'Items sous domaines Maths '!K154&gt;0),'Items sous domaines Maths '!B154,0)</f>
        <v>0</v>
      </c>
      <c r="C150" s="8" t="b">
        <f>IF(AND('Items sous domaines Maths '!K154=6, 'Items sous domaines Maths '!K154&gt;0),'Items sous domaines Maths '!C154)</f>
        <v>0</v>
      </c>
      <c r="D150" s="8">
        <f>IF(AND('Items sous domaines Maths '!K154=6, 'Items sous domaines Maths '!K154&gt;0),'Items sous domaines Maths '!D154,0)</f>
        <v>0</v>
      </c>
      <c r="E150" s="8">
        <f>IF(AND('Items sous domaines Maths '!K154=6, 'Items sous domaines Maths '!K154&gt;0),'Items sous domaines Maths '!E154,0)</f>
        <v>0</v>
      </c>
      <c r="F150" s="9">
        <f>IF(AND('Items sous domaines Maths '!K154=6, 'Items sous domaines Maths '!K154&gt;0),'Items sous domaines Maths '!F154,0)</f>
        <v>0</v>
      </c>
      <c r="G150" s="647"/>
    </row>
    <row r="151" spans="1:7" customFormat="1" ht="17.7" hidden="1" customHeight="1" thickBot="1" x14ac:dyDescent="0.3">
      <c r="A151" s="750"/>
      <c r="B151" s="8">
        <f>IF(AND('Items sous domaines Maths '!K155=6, 'Items sous domaines Maths '!K155&gt;0),'Items sous domaines Maths '!B155,0)</f>
        <v>0</v>
      </c>
      <c r="C151" s="8" t="b">
        <f>IF(AND('Items sous domaines Maths '!K155=6, 'Items sous domaines Maths '!K155&gt;0),'Items sous domaines Maths '!C155)</f>
        <v>0</v>
      </c>
      <c r="D151" s="8">
        <f>IF(AND('Items sous domaines Maths '!K155=6, 'Items sous domaines Maths '!K155&gt;0),'Items sous domaines Maths '!D155,0)</f>
        <v>0</v>
      </c>
      <c r="E151" s="8">
        <f>IF(AND('Items sous domaines Maths '!K155=6, 'Items sous domaines Maths '!K155&gt;0),'Items sous domaines Maths '!E155,0)</f>
        <v>0</v>
      </c>
      <c r="F151" s="9">
        <f>IF(AND('Items sous domaines Maths '!K155=6, 'Items sous domaines Maths '!K155&gt;0),'Items sous domaines Maths '!F155,0)</f>
        <v>0</v>
      </c>
      <c r="G151" s="647"/>
    </row>
    <row r="152" spans="1:7" customFormat="1" ht="17.7" hidden="1" customHeight="1" thickBot="1" x14ac:dyDescent="0.3">
      <c r="A152" s="750"/>
      <c r="B152" s="8">
        <f>IF(AND('Items sous domaines Maths '!K156=6, 'Items sous domaines Maths '!K156&gt;0),'Items sous domaines Maths '!B156,0)</f>
        <v>0</v>
      </c>
      <c r="C152" s="8" t="b">
        <f>IF(AND('Items sous domaines Maths '!K156=6, 'Items sous domaines Maths '!K156&gt;0),'Items sous domaines Maths '!C156)</f>
        <v>0</v>
      </c>
      <c r="D152" s="8">
        <f>IF(AND('Items sous domaines Maths '!K156=6, 'Items sous domaines Maths '!K156&gt;0),'Items sous domaines Maths '!D156,0)</f>
        <v>0</v>
      </c>
      <c r="E152" s="8">
        <f>IF(AND('Items sous domaines Maths '!K156=6, 'Items sous domaines Maths '!K156&gt;0),'Items sous domaines Maths '!E156,0)</f>
        <v>0</v>
      </c>
      <c r="F152" s="9">
        <f>IF(AND('Items sous domaines Maths '!K156=6, 'Items sous domaines Maths '!K156&gt;0),'Items sous domaines Maths '!F156,0)</f>
        <v>0</v>
      </c>
      <c r="G152" s="647"/>
    </row>
    <row r="153" spans="1:7" customFormat="1" ht="17.7" hidden="1" customHeight="1" thickBot="1" x14ac:dyDescent="0.3">
      <c r="A153" s="750"/>
      <c r="B153" s="8">
        <f>IF(AND('Items sous domaines Maths '!K157=6, 'Items sous domaines Maths '!K157&gt;0),'Items sous domaines Maths '!B157,0)</f>
        <v>0</v>
      </c>
      <c r="C153" s="8" t="b">
        <f>IF(AND('Items sous domaines Maths '!K157=6, 'Items sous domaines Maths '!K157&gt;0),'Items sous domaines Maths '!C157)</f>
        <v>0</v>
      </c>
      <c r="D153" s="8">
        <f>IF(AND('Items sous domaines Maths '!K157=6, 'Items sous domaines Maths '!K157&gt;0),'Items sous domaines Maths '!D157,0)</f>
        <v>0</v>
      </c>
      <c r="E153" s="8">
        <f>IF(AND('Items sous domaines Maths '!K157=6, 'Items sous domaines Maths '!K157&gt;0),'Items sous domaines Maths '!E157,0)</f>
        <v>0</v>
      </c>
      <c r="F153" s="9">
        <f>IF(AND('Items sous domaines Maths '!K157=6, 'Items sous domaines Maths '!K157&gt;0),'Items sous domaines Maths '!F157,0)</f>
        <v>0</v>
      </c>
      <c r="G153" s="647"/>
    </row>
    <row r="154" spans="1:7" customFormat="1" ht="17.7" hidden="1" customHeight="1" thickBot="1" x14ac:dyDescent="0.3">
      <c r="A154" s="750"/>
      <c r="B154" s="8">
        <f>IF(AND('Items sous domaines Maths '!K158=6, 'Items sous domaines Maths '!K158&gt;0),'Items sous domaines Maths '!B158,0)</f>
        <v>0</v>
      </c>
      <c r="C154" s="8" t="b">
        <f>IF(AND('Items sous domaines Maths '!K158=6, 'Items sous domaines Maths '!K158&gt;0),'Items sous domaines Maths '!C158)</f>
        <v>0</v>
      </c>
      <c r="D154" s="8">
        <f>IF(AND('Items sous domaines Maths '!K158=6, 'Items sous domaines Maths '!K158&gt;0),'Items sous domaines Maths '!D158,0)</f>
        <v>0</v>
      </c>
      <c r="E154" s="8">
        <f>IF(AND('Items sous domaines Maths '!K158=6, 'Items sous domaines Maths '!K158&gt;0),'Items sous domaines Maths '!E158,0)</f>
        <v>0</v>
      </c>
      <c r="F154" s="9">
        <f>IF(AND('Items sous domaines Maths '!K158=6, 'Items sous domaines Maths '!K158&gt;0),'Items sous domaines Maths '!F158,0)</f>
        <v>0</v>
      </c>
      <c r="G154" s="647"/>
    </row>
    <row r="155" spans="1:7" customFormat="1" ht="17.7" hidden="1" customHeight="1" thickBot="1" x14ac:dyDescent="0.3">
      <c r="A155" s="750"/>
      <c r="B155" s="8">
        <f>IF(AND('Items sous domaines Maths '!K159=6, 'Items sous domaines Maths '!K159&gt;0),'Items sous domaines Maths '!B159,0)</f>
        <v>0</v>
      </c>
      <c r="C155" s="8" t="b">
        <f>IF(AND('Items sous domaines Maths '!K159=6, 'Items sous domaines Maths '!K159&gt;0),'Items sous domaines Maths '!C159)</f>
        <v>0</v>
      </c>
      <c r="D155" s="8">
        <f>IF(AND('Items sous domaines Maths '!K159=6, 'Items sous domaines Maths '!K159&gt;0),'Items sous domaines Maths '!D159,0)</f>
        <v>0</v>
      </c>
      <c r="E155" s="8">
        <f>IF(AND('Items sous domaines Maths '!K159=6, 'Items sous domaines Maths '!K159&gt;0),'Items sous domaines Maths '!E159,0)</f>
        <v>0</v>
      </c>
      <c r="F155" s="9">
        <f>IF(AND('Items sous domaines Maths '!K159=6, 'Items sous domaines Maths '!K159&gt;0),'Items sous domaines Maths '!F159,0)</f>
        <v>0</v>
      </c>
      <c r="G155" s="647"/>
    </row>
    <row r="156" spans="1:7" customFormat="1" ht="17.7" hidden="1" customHeight="1" thickBot="1" x14ac:dyDescent="0.3">
      <c r="A156" s="750"/>
      <c r="B156" s="8">
        <f>IF(AND('Items sous domaines Maths '!K160=6, 'Items sous domaines Maths '!K160&gt;0),'Items sous domaines Maths '!B160,0)</f>
        <v>0</v>
      </c>
      <c r="C156" s="8" t="b">
        <f>IF(AND('Items sous domaines Maths '!K160=6, 'Items sous domaines Maths '!K160&gt;0),'Items sous domaines Maths '!C160)</f>
        <v>0</v>
      </c>
      <c r="D156" s="8">
        <f>IF(AND('Items sous domaines Maths '!K160=6, 'Items sous domaines Maths '!K160&gt;0),'Items sous domaines Maths '!D160,0)</f>
        <v>0</v>
      </c>
      <c r="E156" s="8">
        <f>IF(AND('Items sous domaines Maths '!K160=6, 'Items sous domaines Maths '!K160&gt;0),'Items sous domaines Maths '!E160,0)</f>
        <v>0</v>
      </c>
      <c r="F156" s="9">
        <f>IF(AND('Items sous domaines Maths '!K160=6, 'Items sous domaines Maths '!K160&gt;0),'Items sous domaines Maths '!F160,0)</f>
        <v>0</v>
      </c>
      <c r="G156" s="647"/>
    </row>
    <row r="157" spans="1:7" customFormat="1" ht="17.7" hidden="1" customHeight="1" thickBot="1" x14ac:dyDescent="0.3">
      <c r="A157" s="750"/>
      <c r="B157" s="8">
        <f>IF(AND('Items sous domaines Maths '!K161=6, 'Items sous domaines Maths '!K161&gt;0),'Items sous domaines Maths '!B161,0)</f>
        <v>0</v>
      </c>
      <c r="C157" s="8" t="b">
        <f>IF(AND('Items sous domaines Maths '!K161=6, 'Items sous domaines Maths '!K161&gt;0),'Items sous domaines Maths '!C161)</f>
        <v>0</v>
      </c>
      <c r="D157" s="8">
        <f>IF(AND('Items sous domaines Maths '!K161=6, 'Items sous domaines Maths '!K161&gt;0),'Items sous domaines Maths '!D161,0)</f>
        <v>0</v>
      </c>
      <c r="E157" s="8">
        <f>IF(AND('Items sous domaines Maths '!K161=6, 'Items sous domaines Maths '!K161&gt;0),'Items sous domaines Maths '!E161,0)</f>
        <v>0</v>
      </c>
      <c r="F157" s="9">
        <f>IF(AND('Items sous domaines Maths '!K161=6, 'Items sous domaines Maths '!K161&gt;0),'Items sous domaines Maths '!F161,0)</f>
        <v>0</v>
      </c>
      <c r="G157" s="647"/>
    </row>
    <row r="158" spans="1:7" customFormat="1" ht="17.7" hidden="1" customHeight="1" thickBot="1" x14ac:dyDescent="0.3">
      <c r="A158" s="750"/>
      <c r="B158" s="8">
        <f>IF(AND('Items sous domaines Maths '!K162=6, 'Items sous domaines Maths '!K162&gt;0),'Items sous domaines Maths '!B162,0)</f>
        <v>0</v>
      </c>
      <c r="C158" s="8" t="b">
        <f>IF(AND('Items sous domaines Maths '!K162=6, 'Items sous domaines Maths '!K162&gt;0),'Items sous domaines Maths '!C162)</f>
        <v>0</v>
      </c>
      <c r="D158" s="8">
        <f>IF(AND('Items sous domaines Maths '!K162=6, 'Items sous domaines Maths '!K162&gt;0),'Items sous domaines Maths '!D162,0)</f>
        <v>0</v>
      </c>
      <c r="E158" s="8">
        <f>IF(AND('Items sous domaines Maths '!K162=6, 'Items sous domaines Maths '!K162&gt;0),'Items sous domaines Maths '!E162,0)</f>
        <v>0</v>
      </c>
      <c r="F158" s="9">
        <f>IF(AND('Items sous domaines Maths '!K162=6, 'Items sous domaines Maths '!K162&gt;0),'Items sous domaines Maths '!F162,0)</f>
        <v>0</v>
      </c>
      <c r="G158" s="647"/>
    </row>
    <row r="159" spans="1:7" customFormat="1" ht="17.7" hidden="1" customHeight="1" thickBot="1" x14ac:dyDescent="0.3">
      <c r="A159" s="750"/>
      <c r="B159" s="8">
        <f>IF(AND('Items sous domaines Maths '!K163=6, 'Items sous domaines Maths '!K163&gt;0),'Items sous domaines Maths '!B163,0)</f>
        <v>0</v>
      </c>
      <c r="C159" s="8" t="b">
        <f>IF(AND('Items sous domaines Maths '!K163=6, 'Items sous domaines Maths '!K163&gt;0),'Items sous domaines Maths '!C163)</f>
        <v>0</v>
      </c>
      <c r="D159" s="8">
        <f>IF(AND('Items sous domaines Maths '!K163=6, 'Items sous domaines Maths '!K163&gt;0),'Items sous domaines Maths '!D163,0)</f>
        <v>0</v>
      </c>
      <c r="E159" s="8">
        <f>IF(AND('Items sous domaines Maths '!K163=6, 'Items sous domaines Maths '!K163&gt;0),'Items sous domaines Maths '!E163,0)</f>
        <v>0</v>
      </c>
      <c r="F159" s="9">
        <f>IF(AND('Items sous domaines Maths '!K163=6, 'Items sous domaines Maths '!K163&gt;0),'Items sous domaines Maths '!F163,0)</f>
        <v>0</v>
      </c>
      <c r="G159" s="647"/>
    </row>
    <row r="160" spans="1:7" customFormat="1" ht="17.7" hidden="1" customHeight="1" thickBot="1" x14ac:dyDescent="0.3">
      <c r="A160" s="750"/>
      <c r="B160" s="8">
        <f>IF(AND('Items sous domaines Maths '!K164=6, 'Items sous domaines Maths '!K164&gt;0),'Items sous domaines Maths '!B164,0)</f>
        <v>0</v>
      </c>
      <c r="C160" s="8" t="b">
        <f>IF(AND('Items sous domaines Maths '!K164=6, 'Items sous domaines Maths '!K164&gt;0),'Items sous domaines Maths '!C164)</f>
        <v>0</v>
      </c>
      <c r="D160" s="8">
        <f>IF(AND('Items sous domaines Maths '!K164=6, 'Items sous domaines Maths '!K164&gt;0),'Items sous domaines Maths '!D164,0)</f>
        <v>0</v>
      </c>
      <c r="E160" s="8">
        <f>IF(AND('Items sous domaines Maths '!K164=6, 'Items sous domaines Maths '!K164&gt;0),'Items sous domaines Maths '!E164,0)</f>
        <v>0</v>
      </c>
      <c r="F160" s="9">
        <f>IF(AND('Items sous domaines Maths '!K164=6, 'Items sous domaines Maths '!K164&gt;0),'Items sous domaines Maths '!F164,0)</f>
        <v>0</v>
      </c>
      <c r="G160" s="647"/>
    </row>
    <row r="161" spans="1:9" customFormat="1" ht="17.7" hidden="1" customHeight="1" thickBot="1" x14ac:dyDescent="0.3">
      <c r="A161" s="750"/>
      <c r="B161" s="8">
        <f>IF(AND('Items sous domaines Maths '!K165=6, 'Items sous domaines Maths '!K165&gt;0),'Items sous domaines Maths '!B165,0)</f>
        <v>0</v>
      </c>
      <c r="C161" s="8" t="b">
        <f>IF(AND('Items sous domaines Maths '!K165=6, 'Items sous domaines Maths '!K165&gt;0),'Items sous domaines Maths '!C165)</f>
        <v>0</v>
      </c>
      <c r="D161" s="8">
        <f>IF(AND('Items sous domaines Maths '!K165=6, 'Items sous domaines Maths '!K165&gt;0),'Items sous domaines Maths '!D165,0)</f>
        <v>0</v>
      </c>
      <c r="E161" s="8">
        <f>IF(AND('Items sous domaines Maths '!K165=6, 'Items sous domaines Maths '!K165&gt;0),'Items sous domaines Maths '!E165,0)</f>
        <v>0</v>
      </c>
      <c r="F161" s="9">
        <f>IF(AND('Items sous domaines Maths '!K165=6, 'Items sous domaines Maths '!K165&gt;0),'Items sous domaines Maths '!F165,0)</f>
        <v>0</v>
      </c>
      <c r="G161" s="647"/>
    </row>
    <row r="162" spans="1:9" customFormat="1" ht="17.7" hidden="1" customHeight="1" thickBot="1" x14ac:dyDescent="0.3">
      <c r="A162" s="750"/>
      <c r="B162" s="8">
        <f>IF(AND('Items sous domaines Maths '!K166=6, 'Items sous domaines Maths '!K166&gt;0),'Items sous domaines Maths '!B166,0)</f>
        <v>0</v>
      </c>
      <c r="C162" s="8" t="b">
        <f>IF(AND('Items sous domaines Maths '!K166=6, 'Items sous domaines Maths '!K166&gt;0),'Items sous domaines Maths '!C166)</f>
        <v>0</v>
      </c>
      <c r="D162" s="8">
        <f>IF(AND('Items sous domaines Maths '!K166=6, 'Items sous domaines Maths '!K166&gt;0),'Items sous domaines Maths '!D166,0)</f>
        <v>0</v>
      </c>
      <c r="E162" s="8">
        <f>IF(AND('Items sous domaines Maths '!K166=6, 'Items sous domaines Maths '!K166&gt;0),'Items sous domaines Maths '!E166,0)</f>
        <v>0</v>
      </c>
      <c r="F162" s="9">
        <f>IF(AND('Items sous domaines Maths '!K166=6, 'Items sous domaines Maths '!K166&gt;0),'Items sous domaines Maths '!F166,0)</f>
        <v>0</v>
      </c>
      <c r="G162" s="647"/>
    </row>
    <row r="163" spans="1:9" customFormat="1" ht="17.7" hidden="1" customHeight="1" thickBot="1" x14ac:dyDescent="0.3">
      <c r="A163" s="750"/>
      <c r="B163" s="8">
        <f>IF(AND('Items sous domaines Maths '!K167=6, 'Items sous domaines Maths '!K167&gt;0),'Items sous domaines Maths '!B167,0)</f>
        <v>0</v>
      </c>
      <c r="C163" s="8" t="b">
        <f>IF(AND('Items sous domaines Maths '!K167=6, 'Items sous domaines Maths '!K167&gt;0),'Items sous domaines Maths '!C167)</f>
        <v>0</v>
      </c>
      <c r="D163" s="8">
        <f>IF(AND('Items sous domaines Maths '!K167=6, 'Items sous domaines Maths '!K167&gt;0),'Items sous domaines Maths '!D167,0)</f>
        <v>0</v>
      </c>
      <c r="E163" s="8">
        <f>IF(AND('Items sous domaines Maths '!K167=6, 'Items sous domaines Maths '!K167&gt;0),'Items sous domaines Maths '!E167,0)</f>
        <v>0</v>
      </c>
      <c r="F163" s="9">
        <f>IF(AND('Items sous domaines Maths '!K167=6, 'Items sous domaines Maths '!K167&gt;0),'Items sous domaines Maths '!F167,0)</f>
        <v>0</v>
      </c>
      <c r="G163" s="647"/>
    </row>
    <row r="164" spans="1:9" s="61" customFormat="1" ht="19.95" customHeight="1" thickTop="1" x14ac:dyDescent="0.25">
      <c r="A164" s="665"/>
      <c r="B164" s="275" t="str">
        <f>IF(AND('Items sous domaines Maths '!K168=6, 'Items sous domaines Maths '!K168&gt;0),'Items sous domaines Maths '!B168,0)</f>
        <v>Géométrie</v>
      </c>
      <c r="C164" s="205" t="str">
        <f>IF(AND('Items sous domaines Maths '!K168=6, 'Items sous domaines Maths '!K168&gt;0),'Items sous domaines Maths '!C168)</f>
        <v>Géometrie</v>
      </c>
      <c r="D164" s="205">
        <f>IF(AND('Items sous domaines Maths '!K168=6, 'Items sous domaines Maths '!K168&gt;0),'Items sous domaines Maths '!D168,0)</f>
        <v>0</v>
      </c>
      <c r="E164" s="205">
        <f>IF(AND('Items sous domaines Maths '!K168=6, 'Items sous domaines Maths '!K168&gt;0),'Items sous domaines Maths '!E168,0)</f>
        <v>0</v>
      </c>
      <c r="F164" s="206" t="str">
        <f>IF(AND('Items sous domaines Maths '!K168=6, 'Items sous domaines Maths '!K168&gt;0),'Items sous domaines Maths '!F168,0)</f>
        <v>Équations.</v>
      </c>
      <c r="G164" s="648"/>
      <c r="H164" s="190"/>
      <c r="I164" s="178"/>
    </row>
    <row r="165" spans="1:9" s="61" customFormat="1" ht="19.95" customHeight="1" thickBot="1" x14ac:dyDescent="0.3">
      <c r="A165" s="751"/>
      <c r="B165" s="274" t="str">
        <f>IF(AND('Items sous domaines Maths '!K169=6, 'Items sous domaines Maths '!K169&gt;0),'Items sous domaines Maths '!B169,0)</f>
        <v>Géométrie</v>
      </c>
      <c r="C165" s="193" t="str">
        <f>IF(AND('Items sous domaines Maths '!K169=6, 'Items sous domaines Maths '!K169&gt;0),'Items sous domaines Maths '!C169)</f>
        <v>Géometrie</v>
      </c>
      <c r="D165" s="193">
        <f>IF(AND('Items sous domaines Maths '!K169=6, 'Items sous domaines Maths '!K169&gt;0),'Items sous domaines Maths '!D169,0)</f>
        <v>0</v>
      </c>
      <c r="E165" s="193">
        <f>IF(AND('Items sous domaines Maths '!K169=6, 'Items sous domaines Maths '!K169&gt;0),'Items sous domaines Maths '!E169,0)</f>
        <v>0</v>
      </c>
      <c r="F165" s="194" t="str">
        <f>IF(AND('Items sous domaines Maths '!K169=6, 'Items sous domaines Maths '!K169&gt;0),'Items sous domaines Maths '!F169,0)</f>
        <v>Intersection entre cercles et droites.</v>
      </c>
      <c r="G165" s="650"/>
      <c r="H165" s="191"/>
      <c r="I165" s="189"/>
    </row>
    <row r="166" spans="1:9" customFormat="1" ht="17.7" hidden="1" customHeight="1" thickTop="1" thickBot="1" x14ac:dyDescent="0.3">
      <c r="A166" s="750"/>
      <c r="B166">
        <f>IF(AND('Items sous domaines Maths '!K170=6, 'Items sous domaines Maths '!K170&gt;0),'Items sous domaines Maths '!B170,0)</f>
        <v>0</v>
      </c>
      <c r="C166" t="b">
        <f>IF(AND('Items sous domaines Maths '!K170=6, 'Items sous domaines Maths '!K170&gt;0),'Items sous domaines Maths '!C170)</f>
        <v>0</v>
      </c>
      <c r="D166">
        <f>IF(AND('Items sous domaines Maths '!K170=6, 'Items sous domaines Maths '!K170&gt;0),'Items sous domaines Maths '!D170,0)</f>
        <v>0</v>
      </c>
      <c r="E166">
        <f>IF(AND('Items sous domaines Maths '!K170=6, 'Items sous domaines Maths '!K170&gt;0),'Items sous domaines Maths '!E170,0)</f>
        <v>0</v>
      </c>
      <c r="F166" s="10">
        <f>IF(AND('Items sous domaines Maths '!K170=6, 'Items sous domaines Maths '!K170&gt;0),'Items sous domaines Maths '!F170,0)</f>
        <v>0</v>
      </c>
      <c r="G166" s="647"/>
    </row>
    <row r="167" spans="1:9" customFormat="1" ht="17.7" hidden="1" customHeight="1" thickBot="1" x14ac:dyDescent="0.3">
      <c r="A167" s="750"/>
      <c r="B167" s="8">
        <f>IF(AND('Items sous domaines Maths '!K171=6, 'Items sous domaines Maths '!K171&gt;0),'Items sous domaines Maths '!B171,0)</f>
        <v>0</v>
      </c>
      <c r="C167" s="8" t="b">
        <f>IF(AND('Items sous domaines Maths '!K171=6, 'Items sous domaines Maths '!K171&gt;0),'Items sous domaines Maths '!C171)</f>
        <v>0</v>
      </c>
      <c r="D167" s="8">
        <f>IF(AND('Items sous domaines Maths '!K171=6, 'Items sous domaines Maths '!K171&gt;0),'Items sous domaines Maths '!D171,0)</f>
        <v>0</v>
      </c>
      <c r="E167" s="8">
        <f>IF(AND('Items sous domaines Maths '!K171=6, 'Items sous domaines Maths '!K171&gt;0),'Items sous domaines Maths '!E171,0)</f>
        <v>0</v>
      </c>
      <c r="F167" s="9">
        <f>IF(AND('Items sous domaines Maths '!K171=6, 'Items sous domaines Maths '!K171&gt;0),'Items sous domaines Maths '!F171,0)</f>
        <v>0</v>
      </c>
      <c r="G167" s="647"/>
    </row>
    <row r="168" spans="1:9" customFormat="1" ht="17.7" hidden="1" customHeight="1" thickBot="1" x14ac:dyDescent="0.3">
      <c r="A168" s="750"/>
      <c r="B168" s="8">
        <f>IF(AND('Items sous domaines Maths '!K172=6, 'Items sous domaines Maths '!K172&gt;0),'Items sous domaines Maths '!B172,0)</f>
        <v>0</v>
      </c>
      <c r="C168" s="8" t="b">
        <f>IF(AND('Items sous domaines Maths '!K172=6, 'Items sous domaines Maths '!K172&gt;0),'Items sous domaines Maths '!C172)</f>
        <v>0</v>
      </c>
      <c r="D168" s="8">
        <f>IF(AND('Items sous domaines Maths '!K172=6, 'Items sous domaines Maths '!K172&gt;0),'Items sous domaines Maths '!D172,0)</f>
        <v>0</v>
      </c>
      <c r="E168" s="8">
        <f>IF(AND('Items sous domaines Maths '!K172=6, 'Items sous domaines Maths '!K172&gt;0),'Items sous domaines Maths '!E172,0)</f>
        <v>0</v>
      </c>
      <c r="F168" s="9">
        <f>IF(AND('Items sous domaines Maths '!K172=6, 'Items sous domaines Maths '!K172&gt;0),'Items sous domaines Maths '!F172,0)</f>
        <v>0</v>
      </c>
      <c r="G168" s="647"/>
    </row>
    <row r="169" spans="1:9" customFormat="1" ht="17.7" hidden="1" customHeight="1" thickBot="1" x14ac:dyDescent="0.3">
      <c r="A169" s="750"/>
      <c r="B169" s="8">
        <f>IF(AND('Items sous domaines Maths '!K173=6, 'Items sous domaines Maths '!K173&gt;0),'Items sous domaines Maths '!B173,0)</f>
        <v>0</v>
      </c>
      <c r="C169" s="8" t="b">
        <f>IF(AND('Items sous domaines Maths '!K173=6, 'Items sous domaines Maths '!K173&gt;0),'Items sous domaines Maths '!C173)</f>
        <v>0</v>
      </c>
      <c r="D169" s="8">
        <f>IF(AND('Items sous domaines Maths '!K173=6, 'Items sous domaines Maths '!K173&gt;0),'Items sous domaines Maths '!D173,0)</f>
        <v>0</v>
      </c>
      <c r="E169" s="8">
        <f>IF(AND('Items sous domaines Maths '!K173=6, 'Items sous domaines Maths '!K173&gt;0),'Items sous domaines Maths '!E173,0)</f>
        <v>0</v>
      </c>
      <c r="F169" s="9">
        <f>IF(AND('Items sous domaines Maths '!K173=6, 'Items sous domaines Maths '!K173&gt;0),'Items sous domaines Maths '!F173,0)</f>
        <v>0</v>
      </c>
      <c r="G169" s="647"/>
    </row>
    <row r="170" spans="1:9" customFormat="1" ht="17.7" hidden="1" customHeight="1" thickBot="1" x14ac:dyDescent="0.3">
      <c r="A170" s="750"/>
      <c r="B170" s="8">
        <f>IF(AND('Items sous domaines Maths '!K174=6, 'Items sous domaines Maths '!K174&gt;0),'Items sous domaines Maths '!B174,0)</f>
        <v>0</v>
      </c>
      <c r="C170" s="8" t="b">
        <f>IF(AND('Items sous domaines Maths '!K174=6, 'Items sous domaines Maths '!K174&gt;0),'Items sous domaines Maths '!C174)</f>
        <v>0</v>
      </c>
      <c r="D170" s="8">
        <f>IF(AND('Items sous domaines Maths '!K174=6, 'Items sous domaines Maths '!K174&gt;0),'Items sous domaines Maths '!D174,0)</f>
        <v>0</v>
      </c>
      <c r="E170" s="8">
        <f>IF(AND('Items sous domaines Maths '!K174=6, 'Items sous domaines Maths '!K174&gt;0),'Items sous domaines Maths '!E174,0)</f>
        <v>0</v>
      </c>
      <c r="F170" s="9">
        <f>IF(AND('Items sous domaines Maths '!K174=6, 'Items sous domaines Maths '!K174&gt;0),'Items sous domaines Maths '!F174,0)</f>
        <v>0</v>
      </c>
      <c r="G170" s="647"/>
    </row>
    <row r="171" spans="1:9" customFormat="1" ht="17.7" hidden="1" customHeight="1" thickBot="1" x14ac:dyDescent="0.3">
      <c r="A171" s="750"/>
      <c r="B171" s="8">
        <f>IF(AND('Items sous domaines Maths '!K175=6, 'Items sous domaines Maths '!K175&gt;0),'Items sous domaines Maths '!B175,0)</f>
        <v>0</v>
      </c>
      <c r="C171" s="8" t="b">
        <f>IF(AND('Items sous domaines Maths '!K175=6, 'Items sous domaines Maths '!K175&gt;0),'Items sous domaines Maths '!C175)</f>
        <v>0</v>
      </c>
      <c r="D171" s="8">
        <f>IF(AND('Items sous domaines Maths '!K175=6, 'Items sous domaines Maths '!K175&gt;0),'Items sous domaines Maths '!D175,0)</f>
        <v>0</v>
      </c>
      <c r="E171" s="8">
        <f>IF(AND('Items sous domaines Maths '!K175=6, 'Items sous domaines Maths '!K175&gt;0),'Items sous domaines Maths '!E175,0)</f>
        <v>0</v>
      </c>
      <c r="F171" s="9">
        <f>IF(AND('Items sous domaines Maths '!K175=6, 'Items sous domaines Maths '!K175&gt;0),'Items sous domaines Maths '!F175,0)</f>
        <v>0</v>
      </c>
      <c r="G171" s="647"/>
    </row>
    <row r="172" spans="1:9" s="61" customFormat="1" ht="19.95" customHeight="1" thickTop="1" x14ac:dyDescent="0.25">
      <c r="A172" s="665"/>
      <c r="B172" s="275" t="str">
        <f>IF(AND('Items sous domaines Maths '!K176=6, 'Items sous domaines Maths '!K176&gt;0),'Items sous domaines Maths '!B176,0)</f>
        <v>Géométrie</v>
      </c>
      <c r="C172" s="205" t="str">
        <f>IF(AND('Items sous domaines Maths '!K176=6, 'Items sous domaines Maths '!K176&gt;0),'Items sous domaines Maths '!C176)</f>
        <v>Géometrie</v>
      </c>
      <c r="D172" s="205">
        <f>IF(AND('Items sous domaines Maths '!K176=6, 'Items sous domaines Maths '!K176&gt;0),'Items sous domaines Maths '!D176,0)</f>
        <v>0</v>
      </c>
      <c r="E172" s="205" t="str">
        <f>IF(AND('Items sous domaines Maths '!K176=6, 'Items sous domaines Maths '!K176&gt;0),'Items sous domaines Maths '!E176,0)</f>
        <v>Produit mixte</v>
      </c>
      <c r="F172" s="206" t="str">
        <f>IF(AND('Items sous domaines Maths '!K176=6, 'Items sous domaines Maths '!K176&gt;0),'Items sous domaines Maths '!F176,0)</f>
        <v>Définition et propriétés.</v>
      </c>
      <c r="G172" s="648"/>
      <c r="H172" s="190"/>
      <c r="I172" s="178"/>
    </row>
    <row r="173" spans="1:9" s="61" customFormat="1" ht="19.95" customHeight="1" x14ac:dyDescent="0.25">
      <c r="A173" s="666"/>
      <c r="B173" s="172" t="str">
        <f>IF(AND('Items sous domaines Maths '!K177=6, 'Items sous domaines Maths '!K177&gt;0),'Items sous domaines Maths '!B177,0)</f>
        <v>Géométrie</v>
      </c>
      <c r="C173" s="145" t="str">
        <f>IF(AND('Items sous domaines Maths '!K177=6, 'Items sous domaines Maths '!K177&gt;0),'Items sous domaines Maths '!C177)</f>
        <v>Géometrie</v>
      </c>
      <c r="D173" s="145">
        <f>IF(AND('Items sous domaines Maths '!K177=6, 'Items sous domaines Maths '!K177&gt;0),'Items sous domaines Maths '!D177,0)</f>
        <v>0</v>
      </c>
      <c r="E173" s="145">
        <f>IF(AND('Items sous domaines Maths '!K177=6, 'Items sous domaines Maths '!K177&gt;0),'Items sous domaines Maths '!E177,0)</f>
        <v>0</v>
      </c>
      <c r="F173" s="146" t="str">
        <f>IF(AND('Items sous domaines Maths '!K177=6, 'Items sous domaines Maths '!K177&gt;0),'Items sous domaines Maths '!F177,0)</f>
        <v>Calculs du produit mixte - Interprétation géométrique.</v>
      </c>
      <c r="G173" s="649"/>
      <c r="H173" s="114"/>
      <c r="I173" s="199"/>
    </row>
    <row r="174" spans="1:9" s="61" customFormat="1" ht="19.95" customHeight="1" x14ac:dyDescent="0.25">
      <c r="A174" s="666"/>
      <c r="B174" s="169" t="str">
        <f>IF(AND('Items sous domaines Maths '!K178=6, 'Items sous domaines Maths '!K178&gt;0),'Items sous domaines Maths '!B178,0)</f>
        <v>Géométrie</v>
      </c>
      <c r="C174" s="142" t="str">
        <f>IF(AND('Items sous domaines Maths '!K178=6, 'Items sous domaines Maths '!K178&gt;0),'Items sous domaines Maths '!C178)</f>
        <v>Géometrie</v>
      </c>
      <c r="D174" s="142">
        <f>IF(AND('Items sous domaines Maths '!K178=6, 'Items sous domaines Maths '!K178&gt;0),'Items sous domaines Maths '!D178,0)</f>
        <v>0</v>
      </c>
      <c r="E174" s="142" t="str">
        <f>IF(AND('Items sous domaines Maths '!K178=6, 'Items sous domaines Maths '!K178&gt;0),'Items sous domaines Maths '!E178,0)</f>
        <v>Plans de l'éspace</v>
      </c>
      <c r="F174" s="143" t="str">
        <f>IF(AND('Items sous domaines Maths '!K178=6, 'Items sous domaines Maths '!K178&gt;0),'Items sous domaines Maths '!F178,0)</f>
        <v>Définition et équation.</v>
      </c>
      <c r="G174" s="649"/>
      <c r="H174" s="114"/>
      <c r="I174" s="199"/>
    </row>
    <row r="175" spans="1:9" s="61" customFormat="1" ht="19.95" customHeight="1" thickBot="1" x14ac:dyDescent="0.3">
      <c r="A175" s="751"/>
      <c r="B175" s="274" t="str">
        <f>IF(AND('Items sous domaines Maths '!K179=6, 'Items sous domaines Maths '!K179&gt;0),'Items sous domaines Maths '!B179,0)</f>
        <v>Géométrie</v>
      </c>
      <c r="C175" s="193" t="str">
        <f>IF(AND('Items sous domaines Maths '!K179=6, 'Items sous domaines Maths '!K179&gt;0),'Items sous domaines Maths '!C179)</f>
        <v>Géometrie</v>
      </c>
      <c r="D175" s="193">
        <f>IF(AND('Items sous domaines Maths '!K179=6, 'Items sous domaines Maths '!K179&gt;0),'Items sous domaines Maths '!D179,0)</f>
        <v>0</v>
      </c>
      <c r="E175" s="193">
        <f>IF(AND('Items sous domaines Maths '!K179=6, 'Items sous domaines Maths '!K179&gt;0),'Items sous domaines Maths '!E179,0)</f>
        <v>0</v>
      </c>
      <c r="F175" s="194" t="str">
        <f>IF(AND('Items sous domaines Maths '!K179=6, 'Items sous domaines Maths '!K179&gt;0),'Items sous domaines Maths '!F179,0)</f>
        <v>Intersection de plans.</v>
      </c>
      <c r="G175" s="650"/>
      <c r="H175" s="191"/>
      <c r="I175" s="189"/>
    </row>
    <row r="176" spans="1:9" customFormat="1" ht="17.7" hidden="1" customHeight="1" thickTop="1" thickBot="1" x14ac:dyDescent="0.3">
      <c r="A176" s="750"/>
      <c r="B176">
        <f>IF(AND('Items sous domaines Maths '!K180=6, 'Items sous domaines Maths '!K180&gt;0),'Items sous domaines Maths '!B180,0)</f>
        <v>0</v>
      </c>
      <c r="C176" t="b">
        <f>IF(AND('Items sous domaines Maths '!K180=6, 'Items sous domaines Maths '!K180&gt;0),'Items sous domaines Maths '!C180)</f>
        <v>0</v>
      </c>
      <c r="D176">
        <f>IF(AND('Items sous domaines Maths '!K180=6, 'Items sous domaines Maths '!K180&gt;0),'Items sous domaines Maths '!D180,0)</f>
        <v>0</v>
      </c>
      <c r="E176">
        <f>IF(AND('Items sous domaines Maths '!K180=6, 'Items sous domaines Maths '!K180&gt;0),'Items sous domaines Maths '!E180,0)</f>
        <v>0</v>
      </c>
      <c r="F176" s="10">
        <f>IF(AND('Items sous domaines Maths '!K180=6, 'Items sous domaines Maths '!K180&gt;0),'Items sous domaines Maths '!F180,0)</f>
        <v>0</v>
      </c>
      <c r="G176" s="647"/>
    </row>
    <row r="177" spans="1:9" customFormat="1" ht="17.7" hidden="1" customHeight="1" thickBot="1" x14ac:dyDescent="0.3">
      <c r="A177" s="750"/>
      <c r="B177" s="8">
        <f>IF(AND('Items sous domaines Maths '!K181=6, 'Items sous domaines Maths '!K181&gt;0),'Items sous domaines Maths '!B181,0)</f>
        <v>0</v>
      </c>
      <c r="C177" s="8" t="b">
        <f>IF(AND('Items sous domaines Maths '!K181=6, 'Items sous domaines Maths '!K181&gt;0),'Items sous domaines Maths '!C181)</f>
        <v>0</v>
      </c>
      <c r="D177" s="8">
        <f>IF(AND('Items sous domaines Maths '!K181=6, 'Items sous domaines Maths '!K181&gt;0),'Items sous domaines Maths '!D181,0)</f>
        <v>0</v>
      </c>
      <c r="E177" s="8">
        <f>IF(AND('Items sous domaines Maths '!K181=6, 'Items sous domaines Maths '!K181&gt;0),'Items sous domaines Maths '!E181,0)</f>
        <v>0</v>
      </c>
      <c r="F177" s="9">
        <f>IF(AND('Items sous domaines Maths '!K181=6, 'Items sous domaines Maths '!K181&gt;0),'Items sous domaines Maths '!F181,0)</f>
        <v>0</v>
      </c>
      <c r="G177" s="647"/>
    </row>
    <row r="178" spans="1:9" customFormat="1" ht="17.7" hidden="1" customHeight="1" thickBot="1" x14ac:dyDescent="0.3">
      <c r="A178" s="750"/>
      <c r="B178" s="8">
        <f>IF(AND('Items sous domaines Maths '!K182=6, 'Items sous domaines Maths '!K182&gt;0),'Items sous domaines Maths '!B182,0)</f>
        <v>0</v>
      </c>
      <c r="C178" s="8" t="b">
        <f>IF(AND('Items sous domaines Maths '!K182=6, 'Items sous domaines Maths '!K182&gt;0),'Items sous domaines Maths '!C182)</f>
        <v>0</v>
      </c>
      <c r="D178" s="8">
        <f>IF(AND('Items sous domaines Maths '!K182=6, 'Items sous domaines Maths '!K182&gt;0),'Items sous domaines Maths '!D182,0)</f>
        <v>0</v>
      </c>
      <c r="E178" s="8">
        <f>IF(AND('Items sous domaines Maths '!K182=6, 'Items sous domaines Maths '!K182&gt;0),'Items sous domaines Maths '!E182,0)</f>
        <v>0</v>
      </c>
      <c r="F178" s="9">
        <f>IF(AND('Items sous domaines Maths '!K182=6, 'Items sous domaines Maths '!K182&gt;0),'Items sous domaines Maths '!F182,0)</f>
        <v>0</v>
      </c>
      <c r="G178" s="647"/>
    </row>
    <row r="179" spans="1:9" s="61" customFormat="1" ht="19.95" customHeight="1" thickTop="1" x14ac:dyDescent="0.25">
      <c r="A179" s="665"/>
      <c r="B179" s="275" t="str">
        <f>IF(AND('Items sous domaines Maths '!K183=6, 'Items sous domaines Maths '!K183&gt;0),'Items sous domaines Maths '!B183,0)</f>
        <v>Géométrie</v>
      </c>
      <c r="C179" s="205" t="str">
        <f>IF(AND('Items sous domaines Maths '!K183=6, 'Items sous domaines Maths '!K183&gt;0),'Items sous domaines Maths '!C183)</f>
        <v>Géometrie</v>
      </c>
      <c r="D179" s="205">
        <f>IF(AND('Items sous domaines Maths '!K183=6, 'Items sous domaines Maths '!K183&gt;0),'Items sous domaines Maths '!D183,0)</f>
        <v>0</v>
      </c>
      <c r="E179" s="205" t="str">
        <f>IF(AND('Items sous domaines Maths '!K183=6, 'Items sous domaines Maths '!K183&gt;0),'Items sous domaines Maths '!E183,0)</f>
        <v>Sphères</v>
      </c>
      <c r="F179" s="206" t="str">
        <f>IF(AND('Items sous domaines Maths '!K183=6, 'Items sous domaines Maths '!K183&gt;0),'Items sous domaines Maths '!F183,0)</f>
        <v>Définition et équation.</v>
      </c>
      <c r="G179" s="648"/>
      <c r="H179" s="190"/>
      <c r="I179" s="178"/>
    </row>
    <row r="180" spans="1:9" s="61" customFormat="1" ht="19.95" customHeight="1" thickBot="1" x14ac:dyDescent="0.3">
      <c r="A180" s="751"/>
      <c r="B180" s="274" t="str">
        <f>IF(AND('Items sous domaines Maths '!K184=6, 'Items sous domaines Maths '!K184&gt;0),'Items sous domaines Maths '!B184,0)</f>
        <v>Géométrie</v>
      </c>
      <c r="C180" s="193" t="str">
        <f>IF(AND('Items sous domaines Maths '!K184=6, 'Items sous domaines Maths '!K184&gt;0),'Items sous domaines Maths '!C184)</f>
        <v>Géometrie</v>
      </c>
      <c r="D180" s="193">
        <f>IF(AND('Items sous domaines Maths '!K184=6, 'Items sous domaines Maths '!K184&gt;0),'Items sous domaines Maths '!D184,0)</f>
        <v>0</v>
      </c>
      <c r="E180" s="193">
        <f>IF(AND('Items sous domaines Maths '!K184=6, 'Items sous domaines Maths '!K184&gt;0),'Items sous domaines Maths '!E184,0)</f>
        <v>0</v>
      </c>
      <c r="F180" s="194" t="str">
        <f>IF(AND('Items sous domaines Maths '!K184=6, 'Items sous domaines Maths '!K184&gt;0),'Items sous domaines Maths '!F184,0)</f>
        <v>Intersection d'une sphère et d'un plan.</v>
      </c>
      <c r="G180" s="650"/>
      <c r="H180" s="191"/>
      <c r="I180" s="189"/>
    </row>
    <row r="181" spans="1:9" customFormat="1" ht="17.7" hidden="1" customHeight="1" thickTop="1" thickBot="1" x14ac:dyDescent="0.3">
      <c r="A181" s="750"/>
      <c r="B181">
        <f>IF(AND('Items sous domaines Maths '!K185=6, 'Items sous domaines Maths '!K185&gt;0),'Items sous domaines Maths '!B185,0)</f>
        <v>0</v>
      </c>
      <c r="C181" t="b">
        <f>IF(AND('Items sous domaines Maths '!K185=6, 'Items sous domaines Maths '!K185&gt;0),'Items sous domaines Maths '!C185)</f>
        <v>0</v>
      </c>
      <c r="D181">
        <f>IF(AND('Items sous domaines Maths '!K185=6, 'Items sous domaines Maths '!K185&gt;0),'Items sous domaines Maths '!D185,0)</f>
        <v>0</v>
      </c>
      <c r="E181">
        <f>IF(AND('Items sous domaines Maths '!K185=6, 'Items sous domaines Maths '!K185&gt;0),'Items sous domaines Maths '!E185,0)</f>
        <v>0</v>
      </c>
      <c r="F181" s="10">
        <f>IF(AND('Items sous domaines Maths '!K185=6, 'Items sous domaines Maths '!K185&gt;0),'Items sous domaines Maths '!F185,0)</f>
        <v>0</v>
      </c>
      <c r="G181">
        <f>IF('Items sous domaines Maths '!K185=6,'Items sous domaines Maths '!G185,0)</f>
        <v>0</v>
      </c>
    </row>
    <row r="182" spans="1:9" customFormat="1" ht="17.399999999999999" hidden="1" customHeight="1" thickBot="1" x14ac:dyDescent="0.3">
      <c r="A182" s="750"/>
      <c r="B182" s="8">
        <f>IF(AND('Items sous domaines Maths '!K186=6, 'Items sous domaines Maths '!K186&gt;0),'Items sous domaines Maths '!B186,0)</f>
        <v>0</v>
      </c>
      <c r="C182" s="8" t="b">
        <f>IF(AND('Items sous domaines Maths '!K186=6, 'Items sous domaines Maths '!K186&gt;0),'Items sous domaines Maths '!C186)</f>
        <v>0</v>
      </c>
      <c r="D182" s="8">
        <f>IF(AND('Items sous domaines Maths '!K186=6, 'Items sous domaines Maths '!K186&gt;0),'Items sous domaines Maths '!D186,0)</f>
        <v>0</v>
      </c>
      <c r="E182" s="8">
        <f>IF(AND('Items sous domaines Maths '!K186=6, 'Items sous domaines Maths '!K186&gt;0),'Items sous domaines Maths '!E186,0)</f>
        <v>0</v>
      </c>
      <c r="F182" s="9">
        <f>IF(AND('Items sous domaines Maths '!K186=6, 'Items sous domaines Maths '!K186&gt;0),'Items sous domaines Maths '!F186,0)</f>
        <v>0</v>
      </c>
      <c r="G182">
        <f>IF('Items sous domaines Maths '!K186=6,'Items sous domaines Maths '!G186,0)</f>
        <v>0</v>
      </c>
    </row>
    <row r="183" spans="1:9" customFormat="1" ht="17.399999999999999" hidden="1" customHeight="1" thickBot="1" x14ac:dyDescent="0.3">
      <c r="A183" s="750"/>
      <c r="B183" s="8">
        <f>IF(AND('Items sous domaines Maths '!K187=6, 'Items sous domaines Maths '!K187&gt;0),'Items sous domaines Maths '!B187,0)</f>
        <v>0</v>
      </c>
      <c r="C183" s="8" t="b">
        <f>IF(AND('Items sous domaines Maths '!K187=6, 'Items sous domaines Maths '!K187&gt;0),'Items sous domaines Maths '!C187)</f>
        <v>0</v>
      </c>
      <c r="D183" s="8">
        <f>IF(AND('Items sous domaines Maths '!K187=6, 'Items sous domaines Maths '!K187&gt;0),'Items sous domaines Maths '!D187,0)</f>
        <v>0</v>
      </c>
      <c r="E183" s="8">
        <f>IF(AND('Items sous domaines Maths '!K187=6, 'Items sous domaines Maths '!K187&gt;0),'Items sous domaines Maths '!E187,0)</f>
        <v>0</v>
      </c>
      <c r="F183" s="9">
        <f>IF(AND('Items sous domaines Maths '!K187=6, 'Items sous domaines Maths '!K187&gt;0),'Items sous domaines Maths '!F187,0)</f>
        <v>0</v>
      </c>
      <c r="G183">
        <f>IF('Items sous domaines Maths '!K187=6,'Items sous domaines Maths '!G187,0)</f>
        <v>0</v>
      </c>
    </row>
    <row r="184" spans="1:9" customFormat="1" ht="17.399999999999999" hidden="1" customHeight="1" thickBot="1" x14ac:dyDescent="0.3">
      <c r="A184" s="750"/>
      <c r="B184" s="8">
        <f>IF(AND('Items sous domaines Maths '!K188=6, 'Items sous domaines Maths '!K188&gt;0),'Items sous domaines Maths '!B188,0)</f>
        <v>0</v>
      </c>
      <c r="C184" s="8" t="b">
        <f>IF(AND('Items sous domaines Maths '!K188=6, 'Items sous domaines Maths '!K188&gt;0),'Items sous domaines Maths '!C188)</f>
        <v>0</v>
      </c>
      <c r="D184" s="8">
        <f>IF(AND('Items sous domaines Maths '!K188=6, 'Items sous domaines Maths '!K188&gt;0),'Items sous domaines Maths '!D188,0)</f>
        <v>0</v>
      </c>
      <c r="E184" s="8">
        <f>IF(AND('Items sous domaines Maths '!K188=6, 'Items sous domaines Maths '!K188&gt;0),'Items sous domaines Maths '!E188,0)</f>
        <v>0</v>
      </c>
      <c r="F184" s="9">
        <f>IF(AND('Items sous domaines Maths '!K188=6, 'Items sous domaines Maths '!K188&gt;0),'Items sous domaines Maths '!F188,0)</f>
        <v>0</v>
      </c>
      <c r="G184">
        <f>IF('Items sous domaines Maths '!K188=6,'Items sous domaines Maths '!G188,0)</f>
        <v>0</v>
      </c>
    </row>
    <row r="185" spans="1:9" customFormat="1" ht="17.399999999999999" hidden="1" customHeight="1" thickBot="1" x14ac:dyDescent="0.3">
      <c r="A185" s="750"/>
      <c r="B185" s="8">
        <f>IF(AND('Items sous domaines Maths '!K189=6, 'Items sous domaines Maths '!K189&gt;0),'Items sous domaines Maths '!B189,0)</f>
        <v>0</v>
      </c>
      <c r="C185" s="8" t="b">
        <f>IF(AND('Items sous domaines Maths '!K189=6, 'Items sous domaines Maths '!K189&gt;0),'Items sous domaines Maths '!C189)</f>
        <v>0</v>
      </c>
      <c r="D185" s="8">
        <f>IF(AND('Items sous domaines Maths '!K189=6, 'Items sous domaines Maths '!K189&gt;0),'Items sous domaines Maths '!D189,0)</f>
        <v>0</v>
      </c>
      <c r="E185" s="8">
        <f>IF(AND('Items sous domaines Maths '!K189=6, 'Items sous domaines Maths '!K189&gt;0),'Items sous domaines Maths '!E189,0)</f>
        <v>0</v>
      </c>
      <c r="F185" s="9">
        <f>IF(AND('Items sous domaines Maths '!K189=6, 'Items sous domaines Maths '!K189&gt;0),'Items sous domaines Maths '!F189,0)</f>
        <v>0</v>
      </c>
      <c r="G185">
        <f>IF('Items sous domaines Maths '!K189=6,'Items sous domaines Maths '!G189,0)</f>
        <v>0</v>
      </c>
    </row>
    <row r="186" spans="1:9" customFormat="1" ht="17.399999999999999" hidden="1" customHeight="1" thickBot="1" x14ac:dyDescent="0.3">
      <c r="A186" s="750"/>
      <c r="B186" s="8">
        <f>IF(AND('Items sous domaines Maths '!K190=6, 'Items sous domaines Maths '!K190&gt;0),'Items sous domaines Maths '!B190,0)</f>
        <v>0</v>
      </c>
      <c r="C186" s="8" t="b">
        <f>IF(AND('Items sous domaines Maths '!K190=6, 'Items sous domaines Maths '!K190&gt;0),'Items sous domaines Maths '!C190)</f>
        <v>0</v>
      </c>
      <c r="D186" s="8">
        <f>IF(AND('Items sous domaines Maths '!K190=6, 'Items sous domaines Maths '!K190&gt;0),'Items sous domaines Maths '!D190,0)</f>
        <v>0</v>
      </c>
      <c r="E186" s="8">
        <f>IF(AND('Items sous domaines Maths '!K190=6, 'Items sous domaines Maths '!K190&gt;0),'Items sous domaines Maths '!E190,0)</f>
        <v>0</v>
      </c>
      <c r="F186" s="9">
        <f>IF(AND('Items sous domaines Maths '!K190=6, 'Items sous domaines Maths '!K190&gt;0),'Items sous domaines Maths '!F190,0)</f>
        <v>0</v>
      </c>
      <c r="G186">
        <f>IF('Items sous domaines Maths '!K190=6,'Items sous domaines Maths '!G190,0)</f>
        <v>0</v>
      </c>
    </row>
    <row r="187" spans="1:9" customFormat="1" ht="17.399999999999999" hidden="1" customHeight="1" thickBot="1" x14ac:dyDescent="0.3">
      <c r="A187" s="750"/>
      <c r="B187" s="8">
        <f>IF(AND('Items sous domaines Maths '!K191=6, 'Items sous domaines Maths '!K191&gt;0),'Items sous domaines Maths '!B191,0)</f>
        <v>0</v>
      </c>
      <c r="C187" s="8" t="b">
        <f>IF(AND('Items sous domaines Maths '!K191=6, 'Items sous domaines Maths '!K191&gt;0),'Items sous domaines Maths '!C191)</f>
        <v>0</v>
      </c>
      <c r="D187" s="8">
        <f>IF(AND('Items sous domaines Maths '!K191=6, 'Items sous domaines Maths '!K191&gt;0),'Items sous domaines Maths '!D191,0)</f>
        <v>0</v>
      </c>
      <c r="E187" s="8">
        <f>IF(AND('Items sous domaines Maths '!K191=6, 'Items sous domaines Maths '!K191&gt;0),'Items sous domaines Maths '!E191,0)</f>
        <v>0</v>
      </c>
      <c r="F187" s="9">
        <f>IF(AND('Items sous domaines Maths '!K191=6, 'Items sous domaines Maths '!K191&gt;0),'Items sous domaines Maths '!F191,0)</f>
        <v>0</v>
      </c>
      <c r="G187">
        <f>IF('Items sous domaines Maths '!K191=6,'Items sous domaines Maths '!G191,0)</f>
        <v>0</v>
      </c>
    </row>
    <row r="188" spans="1:9" customFormat="1" ht="17.399999999999999" hidden="1" customHeight="1" thickBot="1" x14ac:dyDescent="0.3">
      <c r="A188" s="750"/>
      <c r="B188" s="8">
        <f>IF(AND('Items sous domaines Maths '!K192=6, 'Items sous domaines Maths '!K192&gt;0),'Items sous domaines Maths '!B192,0)</f>
        <v>0</v>
      </c>
      <c r="C188" s="8" t="b">
        <f>IF(AND('Items sous domaines Maths '!K192=6, 'Items sous domaines Maths '!K192&gt;0),'Items sous domaines Maths '!C192)</f>
        <v>0</v>
      </c>
      <c r="D188" s="8">
        <f>IF(AND('Items sous domaines Maths '!K192=6, 'Items sous domaines Maths '!K192&gt;0),'Items sous domaines Maths '!D192,0)</f>
        <v>0</v>
      </c>
      <c r="E188" s="8">
        <f>IF(AND('Items sous domaines Maths '!K192=6, 'Items sous domaines Maths '!K192&gt;0),'Items sous domaines Maths '!E192,0)</f>
        <v>0</v>
      </c>
      <c r="F188" s="9">
        <f>IF(AND('Items sous domaines Maths '!K192=6, 'Items sous domaines Maths '!K192&gt;0),'Items sous domaines Maths '!F192,0)</f>
        <v>0</v>
      </c>
      <c r="G188">
        <f>IF('Items sous domaines Maths '!K192=6,'Items sous domaines Maths '!G192,0)</f>
        <v>0</v>
      </c>
    </row>
    <row r="189" spans="1:9" customFormat="1" ht="17.399999999999999" hidden="1" customHeight="1" thickBot="1" x14ac:dyDescent="0.3">
      <c r="A189" s="750"/>
      <c r="B189" s="8">
        <f>IF(AND('Items sous domaines Maths '!K193=6, 'Items sous domaines Maths '!K193&gt;0),'Items sous domaines Maths '!B193,0)</f>
        <v>0</v>
      </c>
      <c r="C189" s="8" t="b">
        <f>IF(AND('Items sous domaines Maths '!K193=6, 'Items sous domaines Maths '!K193&gt;0),'Items sous domaines Maths '!C193)</f>
        <v>0</v>
      </c>
      <c r="D189" s="8">
        <f>IF(AND('Items sous domaines Maths '!K193=6, 'Items sous domaines Maths '!K193&gt;0),'Items sous domaines Maths '!D193,0)</f>
        <v>0</v>
      </c>
      <c r="E189" s="8">
        <f>IF(AND('Items sous domaines Maths '!K193=6, 'Items sous domaines Maths '!K193&gt;0),'Items sous domaines Maths '!E193,0)</f>
        <v>0</v>
      </c>
      <c r="F189" s="9">
        <f>IF(AND('Items sous domaines Maths '!K193=6, 'Items sous domaines Maths '!K193&gt;0),'Items sous domaines Maths '!F193,0)</f>
        <v>0</v>
      </c>
      <c r="G189">
        <f>IF('Items sous domaines Maths '!K193=6,'Items sous domaines Maths '!G193,0)</f>
        <v>0</v>
      </c>
    </row>
    <row r="190" spans="1:9" customFormat="1" ht="17.399999999999999" hidden="1" customHeight="1" thickBot="1" x14ac:dyDescent="0.3">
      <c r="A190" s="750"/>
      <c r="B190" s="8">
        <f>IF(AND('Items sous domaines Maths '!K194=6, 'Items sous domaines Maths '!K194&gt;0),'Items sous domaines Maths '!B194,0)</f>
        <v>0</v>
      </c>
      <c r="C190" s="8" t="b">
        <f>IF(AND('Items sous domaines Maths '!K194=6, 'Items sous domaines Maths '!K194&gt;0),'Items sous domaines Maths '!C194)</f>
        <v>0</v>
      </c>
      <c r="D190" s="8">
        <f>IF(AND('Items sous domaines Maths '!K194=6, 'Items sous domaines Maths '!K194&gt;0),'Items sous domaines Maths '!D194,0)</f>
        <v>0</v>
      </c>
      <c r="E190" s="8">
        <f>IF(AND('Items sous domaines Maths '!K194=6, 'Items sous domaines Maths '!K194&gt;0),'Items sous domaines Maths '!E194,0)</f>
        <v>0</v>
      </c>
      <c r="F190" s="9">
        <f>IF(AND('Items sous domaines Maths '!K194=6, 'Items sous domaines Maths '!K194&gt;0),'Items sous domaines Maths '!F194,0)</f>
        <v>0</v>
      </c>
      <c r="G190">
        <f>IF('Items sous domaines Maths '!K194=6,'Items sous domaines Maths '!G194,0)</f>
        <v>0</v>
      </c>
    </row>
    <row r="191" spans="1:9" customFormat="1" ht="17.399999999999999" hidden="1" customHeight="1" thickBot="1" x14ac:dyDescent="0.3">
      <c r="A191" s="750"/>
      <c r="B191" s="8">
        <f>IF(AND('Items sous domaines Maths '!K195=6, 'Items sous domaines Maths '!K195&gt;0),'Items sous domaines Maths '!B195,0)</f>
        <v>0</v>
      </c>
      <c r="C191" s="8" t="b">
        <f>IF(AND('Items sous domaines Maths '!K195=6, 'Items sous domaines Maths '!K195&gt;0),'Items sous domaines Maths '!C195)</f>
        <v>0</v>
      </c>
      <c r="D191" s="8">
        <f>IF(AND('Items sous domaines Maths '!K195=6, 'Items sous domaines Maths '!K195&gt;0),'Items sous domaines Maths '!D195,0)</f>
        <v>0</v>
      </c>
      <c r="E191" s="8">
        <f>IF(AND('Items sous domaines Maths '!K195=6, 'Items sous domaines Maths '!K195&gt;0),'Items sous domaines Maths '!E195,0)</f>
        <v>0</v>
      </c>
      <c r="F191" s="9">
        <f>IF(AND('Items sous domaines Maths '!K195=6, 'Items sous domaines Maths '!K195&gt;0),'Items sous domaines Maths '!F195,0)</f>
        <v>0</v>
      </c>
      <c r="G191">
        <f>IF('Items sous domaines Maths '!K195=6,'Items sous domaines Maths '!G195,0)</f>
        <v>0</v>
      </c>
    </row>
    <row r="192" spans="1:9" customFormat="1" ht="17.399999999999999" hidden="1" customHeight="1" thickBot="1" x14ac:dyDescent="0.3">
      <c r="A192" s="750"/>
      <c r="B192" s="8">
        <f>IF(AND('Items sous domaines Maths '!K196=6, 'Items sous domaines Maths '!K196&gt;0),'Items sous domaines Maths '!B196,0)</f>
        <v>0</v>
      </c>
      <c r="C192" s="8" t="b">
        <f>IF(AND('Items sous domaines Maths '!K196=6, 'Items sous domaines Maths '!K196&gt;0),'Items sous domaines Maths '!C196)</f>
        <v>0</v>
      </c>
      <c r="D192" s="8">
        <f>IF(AND('Items sous domaines Maths '!K196=6, 'Items sous domaines Maths '!K196&gt;0),'Items sous domaines Maths '!D196,0)</f>
        <v>0</v>
      </c>
      <c r="E192" s="8">
        <f>IF(AND('Items sous domaines Maths '!K196=6, 'Items sous domaines Maths '!K196&gt;0),'Items sous domaines Maths '!E196,0)</f>
        <v>0</v>
      </c>
      <c r="F192" s="9">
        <f>IF(AND('Items sous domaines Maths '!K196=6, 'Items sous domaines Maths '!K196&gt;0),'Items sous domaines Maths '!F196,0)</f>
        <v>0</v>
      </c>
      <c r="G192">
        <f>IF('Items sous domaines Maths '!K196=6,'Items sous domaines Maths '!G196,0)</f>
        <v>0</v>
      </c>
    </row>
    <row r="193" spans="1:7" customFormat="1" ht="17.399999999999999" hidden="1" customHeight="1" thickBot="1" x14ac:dyDescent="0.3">
      <c r="A193" s="750"/>
      <c r="B193" s="8">
        <f>IF(AND('Items sous domaines Maths '!K197=6, 'Items sous domaines Maths '!K197&gt;0),'Items sous domaines Maths '!B197,0)</f>
        <v>0</v>
      </c>
      <c r="C193" s="8" t="b">
        <f>IF(AND('Items sous domaines Maths '!K197=6, 'Items sous domaines Maths '!K197&gt;0),'Items sous domaines Maths '!C197)</f>
        <v>0</v>
      </c>
      <c r="D193" s="8">
        <f>IF(AND('Items sous domaines Maths '!K197=6, 'Items sous domaines Maths '!K197&gt;0),'Items sous domaines Maths '!D197,0)</f>
        <v>0</v>
      </c>
      <c r="E193" s="8">
        <f>IF(AND('Items sous domaines Maths '!K197=6, 'Items sous domaines Maths '!K197&gt;0),'Items sous domaines Maths '!E197,0)</f>
        <v>0</v>
      </c>
      <c r="F193" s="9">
        <f>IF(AND('Items sous domaines Maths '!K197=6, 'Items sous domaines Maths '!K197&gt;0),'Items sous domaines Maths '!F197,0)</f>
        <v>0</v>
      </c>
      <c r="G193">
        <f>IF('Items sous domaines Maths '!K197=6,'Items sous domaines Maths '!G197,0)</f>
        <v>0</v>
      </c>
    </row>
    <row r="194" spans="1:7" customFormat="1" ht="17.399999999999999" hidden="1" customHeight="1" thickBot="1" x14ac:dyDescent="0.3">
      <c r="A194" s="750"/>
      <c r="B194" s="8">
        <f>IF(AND('Items sous domaines Maths '!K198=6, 'Items sous domaines Maths '!K198&gt;0),'Items sous domaines Maths '!B198,0)</f>
        <v>0</v>
      </c>
      <c r="C194" s="8" t="b">
        <f>IF(AND('Items sous domaines Maths '!K198=6, 'Items sous domaines Maths '!K198&gt;0),'Items sous domaines Maths '!C198)</f>
        <v>0</v>
      </c>
      <c r="D194" s="8">
        <f>IF(AND('Items sous domaines Maths '!K198=6, 'Items sous domaines Maths '!K198&gt;0),'Items sous domaines Maths '!D198,0)</f>
        <v>0</v>
      </c>
      <c r="E194" s="8">
        <f>IF(AND('Items sous domaines Maths '!K198=6, 'Items sous domaines Maths '!K198&gt;0),'Items sous domaines Maths '!E198,0)</f>
        <v>0</v>
      </c>
      <c r="F194" s="9">
        <f>IF(AND('Items sous domaines Maths '!K198=6, 'Items sous domaines Maths '!K198&gt;0),'Items sous domaines Maths '!F198,0)</f>
        <v>0</v>
      </c>
      <c r="G194">
        <f>IF('Items sous domaines Maths '!K198=6,'Items sous domaines Maths '!G198,0)</f>
        <v>0</v>
      </c>
    </row>
    <row r="195" spans="1:7" customFormat="1" ht="17.399999999999999" hidden="1" customHeight="1" thickBot="1" x14ac:dyDescent="0.3">
      <c r="A195" s="750"/>
      <c r="B195" s="8">
        <f>IF(AND('Items sous domaines Maths '!K199=6, 'Items sous domaines Maths '!K199&gt;0),'Items sous domaines Maths '!B199,0)</f>
        <v>0</v>
      </c>
      <c r="C195" s="8" t="b">
        <f>IF(AND('Items sous domaines Maths '!K199=6, 'Items sous domaines Maths '!K199&gt;0),'Items sous domaines Maths '!C199)</f>
        <v>0</v>
      </c>
      <c r="D195" s="8">
        <f>IF(AND('Items sous domaines Maths '!K199=6, 'Items sous domaines Maths '!K199&gt;0),'Items sous domaines Maths '!D199,0)</f>
        <v>0</v>
      </c>
      <c r="E195" s="8">
        <f>IF(AND('Items sous domaines Maths '!K199=6, 'Items sous domaines Maths '!K199&gt;0),'Items sous domaines Maths '!E199,0)</f>
        <v>0</v>
      </c>
      <c r="F195" s="9">
        <f>IF(AND('Items sous domaines Maths '!K199=6, 'Items sous domaines Maths '!K199&gt;0),'Items sous domaines Maths '!F199,0)</f>
        <v>0</v>
      </c>
      <c r="G195">
        <f>IF('Items sous domaines Maths '!K199=6,'Items sous domaines Maths '!G199,0)</f>
        <v>0</v>
      </c>
    </row>
    <row r="196" spans="1:7" customFormat="1" ht="17.399999999999999" hidden="1" customHeight="1" thickBot="1" x14ac:dyDescent="0.3">
      <c r="A196" s="750"/>
      <c r="B196" s="8">
        <f>IF(AND('Items sous domaines Maths '!K200=6, 'Items sous domaines Maths '!K200&gt;0),'Items sous domaines Maths '!B200,0)</f>
        <v>0</v>
      </c>
      <c r="C196" s="8" t="b">
        <f>IF(AND('Items sous domaines Maths '!K200=6, 'Items sous domaines Maths '!K200&gt;0),'Items sous domaines Maths '!C200)</f>
        <v>0</v>
      </c>
      <c r="D196" s="8">
        <f>IF(AND('Items sous domaines Maths '!K200=6, 'Items sous domaines Maths '!K200&gt;0),'Items sous domaines Maths '!D200,0)</f>
        <v>0</v>
      </c>
      <c r="E196" s="8">
        <f>IF(AND('Items sous domaines Maths '!K200=6, 'Items sous domaines Maths '!K200&gt;0),'Items sous domaines Maths '!E200,0)</f>
        <v>0</v>
      </c>
      <c r="F196" s="9">
        <f>IF(AND('Items sous domaines Maths '!K200=6, 'Items sous domaines Maths '!K200&gt;0),'Items sous domaines Maths '!F200,0)</f>
        <v>0</v>
      </c>
      <c r="G196">
        <f>IF('Items sous domaines Maths '!K200=6,'Items sous domaines Maths '!G200,0)</f>
        <v>0</v>
      </c>
    </row>
    <row r="197" spans="1:7" customFormat="1" ht="17.399999999999999" hidden="1" customHeight="1" thickBot="1" x14ac:dyDescent="0.3">
      <c r="A197" s="750"/>
      <c r="B197" s="8">
        <f>IF(AND('Items sous domaines Maths '!K201=6, 'Items sous domaines Maths '!K201&gt;0),'Items sous domaines Maths '!B201,0)</f>
        <v>0</v>
      </c>
      <c r="C197" s="8" t="b">
        <f>IF(AND('Items sous domaines Maths '!K201=6, 'Items sous domaines Maths '!K201&gt;0),'Items sous domaines Maths '!C201)</f>
        <v>0</v>
      </c>
      <c r="D197" s="8">
        <f>IF(AND('Items sous domaines Maths '!K201=6, 'Items sous domaines Maths '!K201&gt;0),'Items sous domaines Maths '!D201,0)</f>
        <v>0</v>
      </c>
      <c r="E197" s="8">
        <f>IF(AND('Items sous domaines Maths '!K201=6, 'Items sous domaines Maths '!K201&gt;0),'Items sous domaines Maths '!E201,0)</f>
        <v>0</v>
      </c>
      <c r="F197" s="9">
        <f>IF(AND('Items sous domaines Maths '!K201=6, 'Items sous domaines Maths '!K201&gt;0),'Items sous domaines Maths '!F201,0)</f>
        <v>0</v>
      </c>
      <c r="G197">
        <f>IF('Items sous domaines Maths '!K201=6,'Items sous domaines Maths '!G201,0)</f>
        <v>0</v>
      </c>
    </row>
    <row r="198" spans="1:7" customFormat="1" ht="17.399999999999999" hidden="1" customHeight="1" thickBot="1" x14ac:dyDescent="0.3">
      <c r="A198" s="750"/>
      <c r="B198" s="8">
        <f>IF(AND('Items sous domaines Maths '!K202=6, 'Items sous domaines Maths '!K202&gt;0),'Items sous domaines Maths '!B202,0)</f>
        <v>0</v>
      </c>
      <c r="C198" s="8" t="b">
        <f>IF(AND('Items sous domaines Maths '!K202=6, 'Items sous domaines Maths '!K202&gt;0),'Items sous domaines Maths '!C202)</f>
        <v>0</v>
      </c>
      <c r="D198" s="8">
        <f>IF(AND('Items sous domaines Maths '!K202=6, 'Items sous domaines Maths '!K202&gt;0),'Items sous domaines Maths '!D202,0)</f>
        <v>0</v>
      </c>
      <c r="E198" s="8">
        <f>IF(AND('Items sous domaines Maths '!K202=6, 'Items sous domaines Maths '!K202&gt;0),'Items sous domaines Maths '!E202,0)</f>
        <v>0</v>
      </c>
      <c r="F198" s="9">
        <f>IF(AND('Items sous domaines Maths '!K202=6, 'Items sous domaines Maths '!K202&gt;0),'Items sous domaines Maths '!F202,0)</f>
        <v>0</v>
      </c>
      <c r="G198">
        <f>IF('Items sous domaines Maths '!K202=6,'Items sous domaines Maths '!G202,0)</f>
        <v>0</v>
      </c>
    </row>
    <row r="199" spans="1:7" customFormat="1" ht="17.399999999999999" hidden="1" customHeight="1" thickBot="1" x14ac:dyDescent="0.3">
      <c r="A199" s="750"/>
      <c r="B199" s="8">
        <f>IF(AND('Items sous domaines Maths '!K203=6, 'Items sous domaines Maths '!K203&gt;0),'Items sous domaines Maths '!B203,0)</f>
        <v>0</v>
      </c>
      <c r="C199" s="8" t="b">
        <f>IF(AND('Items sous domaines Maths '!K203=6, 'Items sous domaines Maths '!K203&gt;0),'Items sous domaines Maths '!C203)</f>
        <v>0</v>
      </c>
      <c r="D199" s="8">
        <f>IF(AND('Items sous domaines Maths '!K203=6, 'Items sous domaines Maths '!K203&gt;0),'Items sous domaines Maths '!D203,0)</f>
        <v>0</v>
      </c>
      <c r="E199" s="8">
        <f>IF(AND('Items sous domaines Maths '!K203=6, 'Items sous domaines Maths '!K203&gt;0),'Items sous domaines Maths '!E203,0)</f>
        <v>0</v>
      </c>
      <c r="F199" s="9">
        <f>IF(AND('Items sous domaines Maths '!K203=6, 'Items sous domaines Maths '!K203&gt;0),'Items sous domaines Maths '!F203,0)</f>
        <v>0</v>
      </c>
      <c r="G199">
        <f>IF('Items sous domaines Maths '!K203=6,'Items sous domaines Maths '!G203,0)</f>
        <v>0</v>
      </c>
    </row>
    <row r="200" spans="1:7" customFormat="1" ht="17.399999999999999" hidden="1" customHeight="1" thickBot="1" x14ac:dyDescent="0.3">
      <c r="A200" s="750"/>
      <c r="B200" s="8">
        <f>IF(AND('Items sous domaines Maths '!K204=6, 'Items sous domaines Maths '!K204&gt;0),'Items sous domaines Maths '!B204,0)</f>
        <v>0</v>
      </c>
      <c r="C200" s="8" t="b">
        <f>IF(AND('Items sous domaines Maths '!K204=6, 'Items sous domaines Maths '!K204&gt;0),'Items sous domaines Maths '!C204)</f>
        <v>0</v>
      </c>
      <c r="D200" s="8">
        <f>IF(AND('Items sous domaines Maths '!K204=6, 'Items sous domaines Maths '!K204&gt;0),'Items sous domaines Maths '!D204,0)</f>
        <v>0</v>
      </c>
      <c r="E200" s="8">
        <f>IF(AND('Items sous domaines Maths '!K204=6, 'Items sous domaines Maths '!K204&gt;0),'Items sous domaines Maths '!E204,0)</f>
        <v>0</v>
      </c>
      <c r="F200" s="9">
        <f>IF(AND('Items sous domaines Maths '!K204=6, 'Items sous domaines Maths '!K204&gt;0),'Items sous domaines Maths '!F204,0)</f>
        <v>0</v>
      </c>
      <c r="G200">
        <f>IF('Items sous domaines Maths '!K204=6,'Items sous domaines Maths '!G204,0)</f>
        <v>0</v>
      </c>
    </row>
    <row r="201" spans="1:7" customFormat="1" ht="17.399999999999999" hidden="1" customHeight="1" thickBot="1" x14ac:dyDescent="0.3">
      <c r="A201" s="750"/>
      <c r="B201" s="8">
        <f>IF(AND('Items sous domaines Maths '!K205=6, 'Items sous domaines Maths '!K205&gt;0),'Items sous domaines Maths '!B205,0)</f>
        <v>0</v>
      </c>
      <c r="C201" s="8" t="b">
        <f>IF(AND('Items sous domaines Maths '!K205=6, 'Items sous domaines Maths '!K205&gt;0),'Items sous domaines Maths '!C205)</f>
        <v>0</v>
      </c>
      <c r="D201" s="8">
        <f>IF(AND('Items sous domaines Maths '!K205=6, 'Items sous domaines Maths '!K205&gt;0),'Items sous domaines Maths '!D205,0)</f>
        <v>0</v>
      </c>
      <c r="E201" s="8">
        <f>IF(AND('Items sous domaines Maths '!K205=6, 'Items sous domaines Maths '!K205&gt;0),'Items sous domaines Maths '!E205,0)</f>
        <v>0</v>
      </c>
      <c r="F201" s="9">
        <f>IF(AND('Items sous domaines Maths '!K205=6, 'Items sous domaines Maths '!K205&gt;0),'Items sous domaines Maths '!F205,0)</f>
        <v>0</v>
      </c>
      <c r="G201">
        <f>IF('Items sous domaines Maths '!K205=6,'Items sous domaines Maths '!G205,0)</f>
        <v>0</v>
      </c>
    </row>
    <row r="202" spans="1:7" customFormat="1" ht="17.399999999999999" hidden="1" customHeight="1" thickBot="1" x14ac:dyDescent="0.3">
      <c r="A202" s="750"/>
      <c r="B202" s="8">
        <f>IF(AND('Items sous domaines Maths '!K206=6, 'Items sous domaines Maths '!K206&gt;0),'Items sous domaines Maths '!B206,0)</f>
        <v>0</v>
      </c>
      <c r="C202" s="8" t="b">
        <f>IF(AND('Items sous domaines Maths '!K206=6, 'Items sous domaines Maths '!K206&gt;0),'Items sous domaines Maths '!C206)</f>
        <v>0</v>
      </c>
      <c r="D202" s="8">
        <f>IF(AND('Items sous domaines Maths '!K206=6, 'Items sous domaines Maths '!K206&gt;0),'Items sous domaines Maths '!D206,0)</f>
        <v>0</v>
      </c>
      <c r="E202" s="8">
        <f>IF(AND('Items sous domaines Maths '!K206=6, 'Items sous domaines Maths '!K206&gt;0),'Items sous domaines Maths '!E206,0)</f>
        <v>0</v>
      </c>
      <c r="F202" s="9">
        <f>IF(AND('Items sous domaines Maths '!K206=6, 'Items sous domaines Maths '!K206&gt;0),'Items sous domaines Maths '!F206,0)</f>
        <v>0</v>
      </c>
      <c r="G202">
        <f>IF('Items sous domaines Maths '!K206=6,'Items sous domaines Maths '!G206,0)</f>
        <v>0</v>
      </c>
    </row>
    <row r="203" spans="1:7" customFormat="1" ht="17.399999999999999" hidden="1" customHeight="1" thickBot="1" x14ac:dyDescent="0.3">
      <c r="A203" s="750"/>
      <c r="B203" s="8">
        <f>IF(AND('Items sous domaines Maths '!K207=6, 'Items sous domaines Maths '!K207&gt;0),'Items sous domaines Maths '!B207,0)</f>
        <v>0</v>
      </c>
      <c r="C203" s="8" t="b">
        <f>IF(AND('Items sous domaines Maths '!K207=6, 'Items sous domaines Maths '!K207&gt;0),'Items sous domaines Maths '!C207)</f>
        <v>0</v>
      </c>
      <c r="D203" s="8">
        <f>IF(AND('Items sous domaines Maths '!K207=6, 'Items sous domaines Maths '!K207&gt;0),'Items sous domaines Maths '!D207,0)</f>
        <v>0</v>
      </c>
      <c r="E203" s="8">
        <f>IF(AND('Items sous domaines Maths '!K207=6, 'Items sous domaines Maths '!K207&gt;0),'Items sous domaines Maths '!E207,0)</f>
        <v>0</v>
      </c>
      <c r="F203" s="9">
        <f>IF(AND('Items sous domaines Maths '!K207=6, 'Items sous domaines Maths '!K207&gt;0),'Items sous domaines Maths '!F207,0)</f>
        <v>0</v>
      </c>
      <c r="G203">
        <f>IF('Items sous domaines Maths '!K207=6,'Items sous domaines Maths '!G207,0)</f>
        <v>0</v>
      </c>
    </row>
    <row r="204" spans="1:7" customFormat="1" ht="17.399999999999999" hidden="1" customHeight="1" thickBot="1" x14ac:dyDescent="0.3">
      <c r="A204" s="750"/>
      <c r="B204" s="8">
        <f>IF(AND('Items sous domaines Maths '!K208=6, 'Items sous domaines Maths '!K208&gt;0),'Items sous domaines Maths '!B208,0)</f>
        <v>0</v>
      </c>
      <c r="C204" s="8" t="b">
        <f>IF(AND('Items sous domaines Maths '!K208=6, 'Items sous domaines Maths '!K208&gt;0),'Items sous domaines Maths '!C208)</f>
        <v>0</v>
      </c>
      <c r="D204" s="8">
        <f>IF(AND('Items sous domaines Maths '!K208=6, 'Items sous domaines Maths '!K208&gt;0),'Items sous domaines Maths '!D208,0)</f>
        <v>0</v>
      </c>
      <c r="E204" s="8">
        <f>IF(AND('Items sous domaines Maths '!K208=6, 'Items sous domaines Maths '!K208&gt;0),'Items sous domaines Maths '!E208,0)</f>
        <v>0</v>
      </c>
      <c r="F204" s="9">
        <f>IF(AND('Items sous domaines Maths '!K208=6, 'Items sous domaines Maths '!K208&gt;0),'Items sous domaines Maths '!F208,0)</f>
        <v>0</v>
      </c>
      <c r="G204">
        <f>IF('Items sous domaines Maths '!K208=6,'Items sous domaines Maths '!G208,0)</f>
        <v>0</v>
      </c>
    </row>
    <row r="205" spans="1:7" customFormat="1" ht="17.399999999999999" hidden="1" customHeight="1" thickBot="1" x14ac:dyDescent="0.3">
      <c r="A205" s="750"/>
      <c r="B205" s="8">
        <f>IF(AND('Items sous domaines Maths '!K209=6, 'Items sous domaines Maths '!K209&gt;0),'Items sous domaines Maths '!B209,0)</f>
        <v>0</v>
      </c>
      <c r="C205" s="8" t="b">
        <f>IF(AND('Items sous domaines Maths '!K209=6, 'Items sous domaines Maths '!K209&gt;0),'Items sous domaines Maths '!C209)</f>
        <v>0</v>
      </c>
      <c r="D205" s="8">
        <f>IF(AND('Items sous domaines Maths '!K209=6, 'Items sous domaines Maths '!K209&gt;0),'Items sous domaines Maths '!D209,0)</f>
        <v>0</v>
      </c>
      <c r="E205" s="8">
        <f>IF(AND('Items sous domaines Maths '!K209=6, 'Items sous domaines Maths '!K209&gt;0),'Items sous domaines Maths '!E209,0)</f>
        <v>0</v>
      </c>
      <c r="F205" s="9">
        <f>IF(AND('Items sous domaines Maths '!K209=6, 'Items sous domaines Maths '!K209&gt;0),'Items sous domaines Maths '!F209,0)</f>
        <v>0</v>
      </c>
      <c r="G205">
        <f>IF('Items sous domaines Maths '!K209=6,'Items sous domaines Maths '!G209,0)</f>
        <v>0</v>
      </c>
    </row>
    <row r="206" spans="1:7" customFormat="1" ht="17.399999999999999" hidden="1" customHeight="1" thickBot="1" x14ac:dyDescent="0.3">
      <c r="A206" s="750"/>
      <c r="B206" s="8">
        <f>IF(AND('Items sous domaines Maths '!K210=6, 'Items sous domaines Maths '!K210&gt;0),'Items sous domaines Maths '!B210,0)</f>
        <v>0</v>
      </c>
      <c r="C206" s="8" t="b">
        <f>IF(AND('Items sous domaines Maths '!K210=6, 'Items sous domaines Maths '!K210&gt;0),'Items sous domaines Maths '!C210)</f>
        <v>0</v>
      </c>
      <c r="D206" s="8">
        <f>IF(AND('Items sous domaines Maths '!K210=6, 'Items sous domaines Maths '!K210&gt;0),'Items sous domaines Maths '!D210,0)</f>
        <v>0</v>
      </c>
      <c r="E206" s="8">
        <f>IF(AND('Items sous domaines Maths '!K210=6, 'Items sous domaines Maths '!K210&gt;0),'Items sous domaines Maths '!E210,0)</f>
        <v>0</v>
      </c>
      <c r="F206" s="9">
        <f>IF(AND('Items sous domaines Maths '!K210=6, 'Items sous domaines Maths '!K210&gt;0),'Items sous domaines Maths '!F210,0)</f>
        <v>0</v>
      </c>
      <c r="G206">
        <f>IF('Items sous domaines Maths '!K210=6,'Items sous domaines Maths '!G210,0)</f>
        <v>0</v>
      </c>
    </row>
    <row r="207" spans="1:7" customFormat="1" ht="17.399999999999999" hidden="1" customHeight="1" thickBot="1" x14ac:dyDescent="0.3">
      <c r="B207" s="8">
        <f>IF(AND('Items sous domaines Maths '!K211=6, 'Items sous domaines Maths '!K211&gt;0),'Items sous domaines Maths '!B211,0)</f>
        <v>0</v>
      </c>
      <c r="C207" s="8" t="b">
        <f>IF(AND('Items sous domaines Maths '!K211=6, 'Items sous domaines Maths '!K211&gt;0),'Items sous domaines Maths '!C211)</f>
        <v>0</v>
      </c>
      <c r="D207" s="8">
        <f>IF(AND('Items sous domaines Maths '!K211=6, 'Items sous domaines Maths '!K211&gt;0),'Items sous domaines Maths '!D211,0)</f>
        <v>0</v>
      </c>
      <c r="E207" s="8">
        <f>IF(AND('Items sous domaines Maths '!K211=6, 'Items sous domaines Maths '!K211&gt;0),'Items sous domaines Maths '!E211,0)</f>
        <v>0</v>
      </c>
      <c r="F207" s="9">
        <f>IF(AND('Items sous domaines Maths '!K211=6, 'Items sous domaines Maths '!K211&gt;0),'Items sous domaines Maths '!F211,0)</f>
        <v>0</v>
      </c>
      <c r="G207">
        <f>IF('Items sous domaines Maths '!K211=6,'Items sous domaines Maths '!G211,0)</f>
        <v>0</v>
      </c>
    </row>
    <row r="208" spans="1:7" customFormat="1" ht="17.399999999999999" hidden="1" customHeight="1" thickBot="1" x14ac:dyDescent="0.3">
      <c r="A208" s="742" t="s">
        <v>484</v>
      </c>
      <c r="B208" s="8">
        <f>IF(AND('Items sous domaines Maths '!K212=6, 'Items sous domaines Maths '!K212&gt;0),'Items sous domaines Maths '!B212,0)</f>
        <v>0</v>
      </c>
      <c r="C208" s="8" t="b">
        <f>IF(AND('Items sous domaines Maths '!K212=6, 'Items sous domaines Maths '!K212&gt;0),'Items sous domaines Maths '!C212)</f>
        <v>0</v>
      </c>
      <c r="D208" s="8">
        <f>IF(AND('Items sous domaines Maths '!K212=6, 'Items sous domaines Maths '!K212&gt;0),'Items sous domaines Maths '!D212,0)</f>
        <v>0</v>
      </c>
      <c r="E208" s="8">
        <f>IF(AND('Items sous domaines Maths '!K212=6, 'Items sous domaines Maths '!K212&gt;0),'Items sous domaines Maths '!E212,0)</f>
        <v>0</v>
      </c>
      <c r="F208" s="9">
        <f>IF(AND('Items sous domaines Maths '!K212=6, 'Items sous domaines Maths '!K212&gt;0),'Items sous domaines Maths '!F212,0)</f>
        <v>0</v>
      </c>
      <c r="G208">
        <f>IF('Items sous domaines Maths '!K212=6,'Items sous domaines Maths '!G212,0)</f>
        <v>0</v>
      </c>
    </row>
    <row r="209" spans="1:9" s="61" customFormat="1" ht="19.95" customHeight="1" thickTop="1" x14ac:dyDescent="0.25">
      <c r="A209" s="619"/>
      <c r="B209" s="271" t="str">
        <f>IF(AND('Items sous domaines Maths '!K213=6, 'Items sous domaines Maths '!K213&gt;0),'Items sous domaines Maths '!B213,0)</f>
        <v>Analyse</v>
      </c>
      <c r="C209" s="182" t="str">
        <f>IF(AND('Items sous domaines Maths '!K213=6, 'Items sous domaines Maths '!K213&gt;0),'Items sous domaines Maths '!C213)</f>
        <v>Fonctions de plusieurs variables</v>
      </c>
      <c r="D209" s="182">
        <f>IF(AND('Items sous domaines Maths '!K213=6, 'Items sous domaines Maths '!K213&gt;0),'Items sous domaines Maths '!D213,0)</f>
        <v>0</v>
      </c>
      <c r="E209" s="182" t="str">
        <f>IF(AND('Items sous domaines Maths '!K213=6, 'Items sous domaines Maths '!K213&gt;0),'Items sous domaines Maths '!E213,0)</f>
        <v xml:space="preserve">Limites </v>
      </c>
      <c r="F209" s="183" t="str">
        <f>IF(AND('Items sous domaines Maths '!K213=6, 'Items sous domaines Maths '!K213&gt;0),'Items sous domaines Maths '!F213,0)</f>
        <v xml:space="preserve">Savoir ce que signifie avoir une limite finie en un point de IRXIR (calculs de limites selon différents chemins). </v>
      </c>
      <c r="G209" s="648" t="s">
        <v>483</v>
      </c>
      <c r="H209" s="190"/>
      <c r="I209" s="178"/>
    </row>
    <row r="210" spans="1:9" s="61" customFormat="1" ht="19.95" customHeight="1" thickBot="1" x14ac:dyDescent="0.3">
      <c r="A210" s="623"/>
      <c r="B210" s="273" t="str">
        <f>IF(AND('Items sous domaines Maths '!K214=6, 'Items sous domaines Maths '!K214&gt;0),'Items sous domaines Maths '!B214,0)</f>
        <v>Analyse</v>
      </c>
      <c r="C210" s="187" t="str">
        <f>IF(AND('Items sous domaines Maths '!K214=6, 'Items sous domaines Maths '!K214&gt;0),'Items sous domaines Maths '!C214)</f>
        <v>Fonctions de plusieurs variables</v>
      </c>
      <c r="D210" s="187">
        <f>IF(AND('Items sous domaines Maths '!K214=6, 'Items sous domaines Maths '!K214&gt;0),'Items sous domaines Maths '!D214,0)</f>
        <v>0</v>
      </c>
      <c r="E210" s="187" t="str">
        <f>IF(AND('Items sous domaines Maths '!K214=6, 'Items sous domaines Maths '!K214&gt;0),'Items sous domaines Maths '!E214,0)</f>
        <v xml:space="preserve">Continuité </v>
      </c>
      <c r="F210" s="188" t="str">
        <f>IF(AND('Items sous domaines Maths '!K214=6, 'Items sous domaines Maths '!K214&gt;0),'Items sous domaines Maths '!F214,0)</f>
        <v xml:space="preserve">Connaître la définition de la continuité pour une fonction de deux variables. </v>
      </c>
      <c r="G210" s="650"/>
      <c r="H210" s="191" t="s">
        <v>471</v>
      </c>
      <c r="I210" s="189"/>
    </row>
    <row r="211" spans="1:9" customFormat="1" ht="17.399999999999999" customHeight="1" thickTop="1" thickBot="1" x14ac:dyDescent="0.3">
      <c r="A211" s="743"/>
      <c r="B211" t="str">
        <f>IF(AND('Items sous domaines Maths '!K215=6, 'Items sous domaines Maths '!K215&gt;0),'Items sous domaines Maths '!B215,0)</f>
        <v>Analyse</v>
      </c>
      <c r="C211" t="str">
        <f>IF(AND('Items sous domaines Maths '!K215=6, 'Items sous domaines Maths '!K215&gt;0),'Items sous domaines Maths '!C215)</f>
        <v>Fonctions de plusieurs variables</v>
      </c>
      <c r="D211" t="str">
        <f>IF(AND('Items sous domaines Maths '!K215=6, 'Items sous domaines Maths '!K215&gt;0),'Items sous domaines Maths '!D215,0)</f>
        <v xml:space="preserve">Calcul différentiel </v>
      </c>
      <c r="E211" t="str">
        <f>IF(AND('Items sous domaines Maths '!K215=6, 'Items sous domaines Maths '!K215&gt;0),'Items sous domaines Maths '!E215,0)</f>
        <v>Dérivées partielles d'ordre 1</v>
      </c>
      <c r="F211" s="10" t="str">
        <f>IF(AND('Items sous domaines Maths '!K215=6, 'Items sous domaines Maths '!K215&gt;0),'Items sous domaines Maths '!F215,0)</f>
        <v>Dérivées partielles en un point et notation.</v>
      </c>
      <c r="G211" s="647"/>
    </row>
    <row r="212" spans="1:9" customFormat="1" ht="17.399999999999999" customHeight="1" thickBot="1" x14ac:dyDescent="0.3">
      <c r="A212" s="743"/>
      <c r="B212" s="8" t="str">
        <f>IF(AND('Items sous domaines Maths '!K216=6, 'Items sous domaines Maths '!K216&gt;0),'Items sous domaines Maths '!B216,0)</f>
        <v>Analyse</v>
      </c>
      <c r="C212" s="8" t="str">
        <f>IF(AND('Items sous domaines Maths '!K216=6, 'Items sous domaines Maths '!K216&gt;0),'Items sous domaines Maths '!C216)</f>
        <v>Fonctions de plusieurs variables</v>
      </c>
      <c r="D212" s="8">
        <f>IF(AND('Items sous domaines Maths '!K216=6, 'Items sous domaines Maths '!K216&gt;0),'Items sous domaines Maths '!D216,0)</f>
        <v>0</v>
      </c>
      <c r="E212" s="8">
        <f>IF(AND('Items sous domaines Maths '!K216=6, 'Items sous domaines Maths '!K216&gt;0),'Items sous domaines Maths '!E216,0)</f>
        <v>0</v>
      </c>
      <c r="F212" s="9" t="str">
        <f>IF(AND('Items sous domaines Maths '!K216=6, 'Items sous domaines Maths '!K216&gt;0),'Items sous domaines Maths '!F216,0)</f>
        <v>Différentielle.</v>
      </c>
      <c r="G212" s="647"/>
    </row>
    <row r="213" spans="1:9" customFormat="1" ht="17.399999999999999" customHeight="1" thickBot="1" x14ac:dyDescent="0.3">
      <c r="A213" s="743"/>
      <c r="B213" s="8" t="str">
        <f>IF(AND('Items sous domaines Maths '!K217=6, 'Items sous domaines Maths '!K217&gt;0),'Items sous domaines Maths '!B217,0)</f>
        <v>Analyse</v>
      </c>
      <c r="C213" s="8" t="str">
        <f>IF(AND('Items sous domaines Maths '!K217=6, 'Items sous domaines Maths '!K217&gt;0),'Items sous domaines Maths '!C217)</f>
        <v>Fonctions de plusieurs variables</v>
      </c>
      <c r="D213" s="8">
        <f>IF(AND('Items sous domaines Maths '!K217=6, 'Items sous domaines Maths '!K217&gt;0),'Items sous domaines Maths '!D217,0)</f>
        <v>0</v>
      </c>
      <c r="E213" s="8">
        <f>IF(AND('Items sous domaines Maths '!K217=6, 'Items sous domaines Maths '!K217&gt;0),'Items sous domaines Maths '!E217,0)</f>
        <v>0</v>
      </c>
      <c r="F213" s="9" t="str">
        <f>IF(AND('Items sous domaines Maths '!K217=6, 'Items sous domaines Maths '!K217&gt;0),'Items sous domaines Maths '!F217,0)</f>
        <v>Développement limité d'ordre 1 / Lien avec l'estimation au voisinage d'un point/plan tangent.</v>
      </c>
      <c r="G213" s="647"/>
    </row>
    <row r="214" spans="1:9" customFormat="1" ht="17.399999999999999" customHeight="1" thickBot="1" x14ac:dyDescent="0.3">
      <c r="A214" s="743"/>
      <c r="B214" s="8" t="str">
        <f>IF(AND('Items sous domaines Maths '!K218=6, 'Items sous domaines Maths '!K218&gt;0),'Items sous domaines Maths '!B218,0)</f>
        <v>Analyse</v>
      </c>
      <c r="C214" s="8" t="str">
        <f>IF(AND('Items sous domaines Maths '!K218=6, 'Items sous domaines Maths '!K218&gt;0),'Items sous domaines Maths '!C218)</f>
        <v>Fonctions de plusieurs variables</v>
      </c>
      <c r="D214" s="8" t="s">
        <v>853</v>
      </c>
      <c r="E214" s="8">
        <f>IF(AND('Items sous domaines Maths '!K218=6, 'Items sous domaines Maths '!K218&gt;0),'Items sous domaines Maths '!E218,0)</f>
        <v>0</v>
      </c>
      <c r="F214" s="9" t="str">
        <f>IF(AND('Items sous domaines Maths '!K218=6, 'Items sous domaines Maths '!K218&gt;0),'Items sous domaines Maths '!F218,0)</f>
        <v>Composées.</v>
      </c>
      <c r="G214" s="647"/>
    </row>
    <row r="215" spans="1:9" customFormat="1" ht="17.399999999999999" customHeight="1" thickBot="1" x14ac:dyDescent="0.3">
      <c r="A215" s="743"/>
      <c r="B215" s="8" t="str">
        <f>IF(AND('Items sous domaines Maths '!K219=6, 'Items sous domaines Maths '!K219&gt;0),'Items sous domaines Maths '!B219,0)</f>
        <v>Analyse</v>
      </c>
      <c r="C215" s="8" t="str">
        <f>IF(AND('Items sous domaines Maths '!K219=6, 'Items sous domaines Maths '!K219&gt;0),'Items sous domaines Maths '!C219)</f>
        <v>Fonctions de plusieurs variables</v>
      </c>
      <c r="D215" s="8">
        <f>IF(AND('Items sous domaines Maths '!K219=6, 'Items sous domaines Maths '!K219&gt;0),'Items sous domaines Maths '!D219,0)</f>
        <v>0</v>
      </c>
      <c r="E215" s="8" t="str">
        <f>IF(AND('Items sous domaines Maths '!K219=6, 'Items sous domaines Maths '!K219&gt;0),'Items sous domaines Maths '!E219,0)</f>
        <v>Dérivées partielles d’ordre 2</v>
      </c>
      <c r="F215" s="9" t="str">
        <f>IF(AND('Items sous domaines Maths '!K219=6, 'Items sous domaines Maths '!K219&gt;0),'Items sous domaines Maths '!F219,0)</f>
        <v>Théorème de Schwartz.</v>
      </c>
      <c r="G215" s="647"/>
    </row>
    <row r="216" spans="1:9" customFormat="1" ht="17.399999999999999" customHeight="1" thickBot="1" x14ac:dyDescent="0.3">
      <c r="A216" s="743"/>
      <c r="B216" s="8" t="str">
        <f>IF(AND('Items sous domaines Maths '!K220=6, 'Items sous domaines Maths '!K220&gt;0),'Items sous domaines Maths '!B220,0)</f>
        <v>Analyse</v>
      </c>
      <c r="C216" s="8" t="str">
        <f>IF(AND('Items sous domaines Maths '!K220=6, 'Items sous domaines Maths '!K220&gt;0),'Items sous domaines Maths '!C220)</f>
        <v>Fonctions de plusieurs variables</v>
      </c>
      <c r="D216" s="8">
        <f>IF(AND('Items sous domaines Maths '!K220=6, 'Items sous domaines Maths '!K220&gt;0),'Items sous domaines Maths '!D220,0)</f>
        <v>0</v>
      </c>
      <c r="E216" s="8">
        <f>IF(AND('Items sous domaines Maths '!K220=6, 'Items sous domaines Maths '!K220&gt;0),'Items sous domaines Maths '!E220,0)</f>
        <v>0</v>
      </c>
      <c r="F216" s="9" t="str">
        <f>IF(AND('Items sous domaines Maths '!K220=6, 'Items sous domaines Maths '!K220&gt;0),'Items sous domaines Maths '!F220,0)</f>
        <v>Développement limité d'ordre 2 pour les fonctions de deux variables / lien avec l'estimation au voisinage d'un point.</v>
      </c>
      <c r="G216" s="647"/>
    </row>
    <row r="217" spans="1:9" customFormat="1" ht="17.399999999999999" customHeight="1" thickBot="1" x14ac:dyDescent="0.3">
      <c r="A217" s="743"/>
      <c r="B217" s="8" t="str">
        <f>IF(AND('Items sous domaines Maths '!K221=6, 'Items sous domaines Maths '!K221&gt;0),'Items sous domaines Maths '!B221,0)</f>
        <v>Analyse</v>
      </c>
      <c r="C217" s="8" t="str">
        <f>IF(AND('Items sous domaines Maths '!K221=6, 'Items sous domaines Maths '!K221&gt;0),'Items sous domaines Maths '!C221)</f>
        <v>Fonctions de plusieurs variables</v>
      </c>
      <c r="D217" s="8" t="str">
        <f>IF(AND('Items sous domaines Maths '!K221=6, 'Items sous domaines Maths '!K221&gt;0),'Items sous domaines Maths '!D221,0)</f>
        <v xml:space="preserve">Applications </v>
      </c>
      <c r="E217" s="8" t="str">
        <f>IF(AND('Items sous domaines Maths '!K221=6, 'Items sous domaines Maths '!K221&gt;0),'Items sous domaines Maths '!E221,0)</f>
        <v xml:space="preserve">Équations aux dérivées partielles </v>
      </c>
      <c r="F217" s="9" t="str">
        <f>IF(AND('Items sous domaines Maths '!K221=6, 'Items sous domaines Maths '!K221&gt;0),'Items sous domaines Maths '!F221,0)</f>
        <v>Premier ordre.</v>
      </c>
      <c r="G217" s="647"/>
    </row>
    <row r="218" spans="1:9" customFormat="1" ht="17.399999999999999" customHeight="1" thickBot="1" x14ac:dyDescent="0.3">
      <c r="A218" s="743"/>
      <c r="B218" s="8" t="str">
        <f>IF(AND('Items sous domaines Maths '!K222=6, 'Items sous domaines Maths '!K222&gt;0),'Items sous domaines Maths '!B222,0)</f>
        <v>Analyse</v>
      </c>
      <c r="C218" s="8" t="str">
        <f>IF(AND('Items sous domaines Maths '!K222=6, 'Items sous domaines Maths '!K222&gt;0),'Items sous domaines Maths '!C222)</f>
        <v>Fonctions de plusieurs variables</v>
      </c>
      <c r="D218" s="8">
        <f>IF(AND('Items sous domaines Maths '!K222=6, 'Items sous domaines Maths '!K222&gt;0),'Items sous domaines Maths '!D222,0)</f>
        <v>0</v>
      </c>
      <c r="E218" s="8">
        <f>IF(AND('Items sous domaines Maths '!K222=6, 'Items sous domaines Maths '!K222&gt;0),'Items sous domaines Maths '!E222,0)</f>
        <v>0</v>
      </c>
      <c r="F218" s="9" t="str">
        <f>IF(AND('Items sous domaines Maths '!K222=6, 'Items sous domaines Maths '!K222&gt;0),'Items sous domaines Maths '!F222,0)</f>
        <v>Second ordre.</v>
      </c>
      <c r="G218" s="647"/>
    </row>
    <row r="219" spans="1:9" s="61" customFormat="1" ht="19.95" customHeight="1" thickTop="1" thickBot="1" x14ac:dyDescent="0.3">
      <c r="A219" s="670"/>
      <c r="B219" s="276" t="str">
        <f>IF(AND('Items sous domaines Maths '!K223=6, 'Items sous domaines Maths '!K223&gt;0),'Items sous domaines Maths '!B223,0)</f>
        <v>Analyse</v>
      </c>
      <c r="C219" s="201" t="str">
        <f>IF(AND('Items sous domaines Maths '!K223=6, 'Items sous domaines Maths '!K223&gt;0),'Items sous domaines Maths '!C223)</f>
        <v>Fonctions de plusieurs variables</v>
      </c>
      <c r="D219" s="201">
        <f>IF(AND('Items sous domaines Maths '!K223=6, 'Items sous domaines Maths '!K223&gt;0),'Items sous domaines Maths '!D223,0)</f>
        <v>0</v>
      </c>
      <c r="E219" s="201">
        <f>IF(AND('Items sous domaines Maths '!K223=6, 'Items sous domaines Maths '!K223&gt;0),'Items sous domaines Maths '!E223,0)</f>
        <v>0</v>
      </c>
      <c r="F219" s="202" t="str">
        <f>IF(AND('Items sous domaines Maths '!K223=6, 'Items sous domaines Maths '!K223&gt;0),'Items sous domaines Maths '!F223,0)</f>
        <v>Changement de variables, application aux équations de propagation d'ondes.</v>
      </c>
      <c r="G219" s="748"/>
      <c r="H219" s="277"/>
      <c r="I219" s="198"/>
    </row>
    <row r="220" spans="1:9" customFormat="1" ht="17.399999999999999" customHeight="1" thickTop="1" thickBot="1" x14ac:dyDescent="0.3">
      <c r="A220" s="743"/>
      <c r="B220" t="str">
        <f>IF(AND('Items sous domaines Maths '!K224=6, 'Items sous domaines Maths '!K224&gt;0),'Items sous domaines Maths '!B224,0)</f>
        <v>Analyse</v>
      </c>
      <c r="C220" t="str">
        <f>IF(AND('Items sous domaines Maths '!K224=6, 'Items sous domaines Maths '!K224&gt;0),'Items sous domaines Maths '!C224)</f>
        <v>Fonctions de plusieurs variables</v>
      </c>
      <c r="D220">
        <f>IF(AND('Items sous domaines Maths '!K224=6, 'Items sous domaines Maths '!K224&gt;0),'Items sous domaines Maths '!D224,0)</f>
        <v>0</v>
      </c>
      <c r="E220" t="str">
        <f>IF(AND('Items sous domaines Maths '!K224=6, 'Items sous domaines Maths '!K224&gt;0),'Items sous domaines Maths '!E224,0)</f>
        <v xml:space="preserve">Extrema d’une fonction de deux variables </v>
      </c>
      <c r="F220" s="10" t="str">
        <f>IF(AND('Items sous domaines Maths '!K224=6, 'Items sous domaines Maths '!K224&gt;0),'Items sous domaines Maths '!F224,0)</f>
        <v>Points critiques.</v>
      </c>
      <c r="G220" s="647"/>
    </row>
    <row r="221" spans="1:9" customFormat="1" ht="17.399999999999999" customHeight="1" thickBot="1" x14ac:dyDescent="0.3">
      <c r="A221" s="743"/>
      <c r="B221" s="8" t="str">
        <f>IF(AND('Items sous domaines Maths '!K225=6, 'Items sous domaines Maths '!K225&gt;0),'Items sous domaines Maths '!B225,0)</f>
        <v>Analyse</v>
      </c>
      <c r="C221" s="8" t="str">
        <f>IF(AND('Items sous domaines Maths '!K225=6, 'Items sous domaines Maths '!K225&gt;0),'Items sous domaines Maths '!C225)</f>
        <v>Fonctions de plusieurs variables</v>
      </c>
      <c r="D221" s="8">
        <f>IF(AND('Items sous domaines Maths '!K225=6, 'Items sous domaines Maths '!K225&gt;0),'Items sous domaines Maths '!D225,0)</f>
        <v>0</v>
      </c>
      <c r="E221" s="8">
        <f>IF(AND('Items sous domaines Maths '!K225=6, 'Items sous domaines Maths '!K225&gt;0),'Items sous domaines Maths '!E225,0)</f>
        <v>0</v>
      </c>
      <c r="F221" s="9" t="str">
        <f>IF(AND('Items sous domaines Maths '!K225=6, 'Items sous domaines Maths '!K225&gt;0),'Items sous domaines Maths '!F225,0)</f>
        <v>Technique de recherche d'extremats, points col/selle, coefficients de Monge.</v>
      </c>
      <c r="G221" s="647"/>
    </row>
    <row r="222" spans="1:9" s="61" customFormat="1" ht="19.95" customHeight="1" thickTop="1" x14ac:dyDescent="0.25">
      <c r="A222" s="619"/>
      <c r="B222" s="275" t="str">
        <f>IF(AND('Items sous domaines Maths '!K226=6, 'Items sous domaines Maths '!K226&gt;0),'Items sous domaines Maths '!B226,0)</f>
        <v>Analyse</v>
      </c>
      <c r="C222" s="205" t="str">
        <f>IF(AND('Items sous domaines Maths '!K226=6, 'Items sous domaines Maths '!K226&gt;0),'Items sous domaines Maths '!C226)</f>
        <v>Fonctions de plusieurs variables</v>
      </c>
      <c r="D222" s="205">
        <f>IF(AND('Items sous domaines Maths '!K226=6, 'Items sous domaines Maths '!K226&gt;0),'Items sous domaines Maths '!D226,0)</f>
        <v>0</v>
      </c>
      <c r="E222" s="205" t="str">
        <f>IF(AND('Items sous domaines Maths '!K226=6, 'Items sous domaines Maths '!K226&gt;0),'Items sous domaines Maths '!E226,0)</f>
        <v>Applications géométriques</v>
      </c>
      <c r="F222" s="206" t="str">
        <f>IF(AND('Items sous domaines Maths '!K226=6, 'Items sous domaines Maths '!K226&gt;0),'Items sous domaines Maths '!F226,0)</f>
        <v>Surfaces de l’espace.</v>
      </c>
      <c r="G222" s="648"/>
      <c r="H222" s="190"/>
      <c r="I222" s="178"/>
    </row>
    <row r="223" spans="1:9" s="61" customFormat="1" ht="19.95" customHeight="1" thickBot="1" x14ac:dyDescent="0.3">
      <c r="A223" s="623"/>
      <c r="B223" s="274" t="str">
        <f>IF(AND('Items sous domaines Maths '!K227=6, 'Items sous domaines Maths '!K227&gt;0),'Items sous domaines Maths '!B227,0)</f>
        <v>Analyse</v>
      </c>
      <c r="C223" s="193" t="str">
        <f>IF(AND('Items sous domaines Maths '!K227=6, 'Items sous domaines Maths '!K227&gt;0),'Items sous domaines Maths '!C227)</f>
        <v>Fonctions de plusieurs variables</v>
      </c>
      <c r="D223" s="193">
        <f>IF(AND('Items sous domaines Maths '!K227=6, 'Items sous domaines Maths '!K227&gt;0),'Items sous domaines Maths '!D227,0)</f>
        <v>0</v>
      </c>
      <c r="E223" s="193">
        <f>IF(AND('Items sous domaines Maths '!K227=6, 'Items sous domaines Maths '!K227&gt;0),'Items sous domaines Maths '!E227,0)</f>
        <v>0</v>
      </c>
      <c r="F223" s="194" t="str">
        <f>IF(AND('Items sous domaines Maths '!K227=6, 'Items sous domaines Maths '!K227&gt;0),'Items sous domaines Maths '!F227,0)</f>
        <v>Gradient en un point et plan tangent.</v>
      </c>
      <c r="G223" s="650"/>
      <c r="H223" s="191"/>
      <c r="I223" s="189"/>
    </row>
    <row r="224" spans="1:9" customFormat="1" ht="17.399999999999999" customHeight="1" thickTop="1" thickBot="1" x14ac:dyDescent="0.3">
      <c r="A224" s="743"/>
      <c r="B224" t="str">
        <f>IF(AND('Items sous domaines Maths '!K228=6, 'Items sous domaines Maths '!K228&gt;0),'Items sous domaines Maths '!B228,0)</f>
        <v>Analyse</v>
      </c>
      <c r="C224" t="str">
        <f>IF(AND('Items sous domaines Maths '!K228=6, 'Items sous domaines Maths '!K228&gt;0),'Items sous domaines Maths '!C228)</f>
        <v>Fonctions de plusieurs variables</v>
      </c>
      <c r="D224">
        <f>IF(AND('Items sous domaines Maths '!K228=6, 'Items sous domaines Maths '!K228&gt;0),'Items sous domaines Maths '!D228,0)</f>
        <v>0</v>
      </c>
      <c r="E224" t="str">
        <f>IF(AND('Items sous domaines Maths '!K228=6, 'Items sous domaines Maths '!K228&gt;0),'Items sous domaines Maths '!E228,0)</f>
        <v>Calcul différentiel</v>
      </c>
      <c r="F224" s="10" t="str">
        <f>IF(AND('Items sous domaines Maths '!K228=6, 'Items sous domaines Maths '!K228&gt;0),'Items sous domaines Maths '!F228,0)</f>
        <v>Champs scalaires et champs vectoriels / exemples réels.</v>
      </c>
      <c r="G224">
        <f>IF('Items sous domaines Maths '!K228=6,'Items sous domaines Maths '!G228,0)</f>
        <v>0</v>
      </c>
    </row>
    <row r="225" spans="1:9" customFormat="1" ht="17.399999999999999" customHeight="1" thickBot="1" x14ac:dyDescent="0.3">
      <c r="A225" s="743"/>
      <c r="B225" s="8" t="str">
        <f>IF(AND('Items sous domaines Maths '!K229=6, 'Items sous domaines Maths '!K229&gt;0),'Items sous domaines Maths '!B229,0)</f>
        <v>Analyse</v>
      </c>
      <c r="C225" s="8" t="str">
        <f>IF(AND('Items sous domaines Maths '!K229=6, 'Items sous domaines Maths '!K229&gt;0),'Items sous domaines Maths '!C229)</f>
        <v>Fonctions de plusieurs variables</v>
      </c>
      <c r="D225" s="8">
        <f>IF(AND('Items sous domaines Maths '!K229=6, 'Items sous domaines Maths '!K229&gt;0),'Items sous domaines Maths '!D229,0)</f>
        <v>0</v>
      </c>
      <c r="E225" s="8">
        <f>IF(AND('Items sous domaines Maths '!K229=6, 'Items sous domaines Maths '!K229&gt;0),'Items sous domaines Maths '!E229,0)</f>
        <v>0</v>
      </c>
      <c r="F225" s="9" t="str">
        <f>IF(AND('Items sous domaines Maths '!K229=6, 'Items sous domaines Maths '!K229&gt;0),'Items sous domaines Maths '!F229,0)</f>
        <v>Gradient.</v>
      </c>
      <c r="G225">
        <f>IF('Items sous domaines Maths '!K229=6,'Items sous domaines Maths '!G229,0)</f>
        <v>0</v>
      </c>
    </row>
    <row r="226" spans="1:9" customFormat="1" ht="17.399999999999999" customHeight="1" thickBot="1" x14ac:dyDescent="0.3">
      <c r="A226" s="743"/>
      <c r="B226" s="8" t="str">
        <f>IF(AND('Items sous domaines Maths '!K230=6, 'Items sous domaines Maths '!K230&gt;0),'Items sous domaines Maths '!B230,0)</f>
        <v>Analyse</v>
      </c>
      <c r="C226" s="8" t="str">
        <f>IF(AND('Items sous domaines Maths '!K230=6, 'Items sous domaines Maths '!K230&gt;0),'Items sous domaines Maths '!C230)</f>
        <v>Fonctions de plusieurs variables</v>
      </c>
      <c r="D226" s="8">
        <f>IF(AND('Items sous domaines Maths '!K230=6, 'Items sous domaines Maths '!K230&gt;0),'Items sous domaines Maths '!D230,0)</f>
        <v>0</v>
      </c>
      <c r="E226" s="8">
        <f>IF(AND('Items sous domaines Maths '!K230=6, 'Items sous domaines Maths '!K230&gt;0),'Items sous domaines Maths '!E230,0)</f>
        <v>0</v>
      </c>
      <c r="F226" s="9" t="str">
        <f>IF(AND('Items sous domaines Maths '!K230=6, 'Items sous domaines Maths '!K230&gt;0),'Items sous domaines Maths '!F230,0)</f>
        <v>Rotationnel.</v>
      </c>
      <c r="G226">
        <f>IF('Items sous domaines Maths '!K230=6,'Items sous domaines Maths '!G230,0)</f>
        <v>0</v>
      </c>
    </row>
    <row r="227" spans="1:9" customFormat="1" ht="17.399999999999999" customHeight="1" thickBot="1" x14ac:dyDescent="0.3">
      <c r="A227" s="743"/>
      <c r="B227" s="8" t="str">
        <f>IF(AND('Items sous domaines Maths '!K231=6, 'Items sous domaines Maths '!K231&gt;0),'Items sous domaines Maths '!B231,0)</f>
        <v>Analyse</v>
      </c>
      <c r="C227" s="8" t="str">
        <f>IF(AND('Items sous domaines Maths '!K231=6, 'Items sous domaines Maths '!K231&gt;0),'Items sous domaines Maths '!C231)</f>
        <v>Fonctions de plusieurs variables</v>
      </c>
      <c r="D227" s="8">
        <f>IF(AND('Items sous domaines Maths '!K231=6, 'Items sous domaines Maths '!K231&gt;0),'Items sous domaines Maths '!D231,0)</f>
        <v>0</v>
      </c>
      <c r="E227" s="8">
        <f>IF(AND('Items sous domaines Maths '!K231=6, 'Items sous domaines Maths '!K231&gt;0),'Items sous domaines Maths '!E231,0)</f>
        <v>0</v>
      </c>
      <c r="F227" s="9" t="str">
        <f>IF(AND('Items sous domaines Maths '!K231=6, 'Items sous domaines Maths '!K231&gt;0),'Items sous domaines Maths '!F231,0)</f>
        <v>Divergence.</v>
      </c>
      <c r="G227">
        <f>IF('Items sous domaines Maths '!K231=6,'Items sous domaines Maths '!G231,0)</f>
        <v>0</v>
      </c>
    </row>
    <row r="228" spans="1:9" customFormat="1" ht="17.399999999999999" customHeight="1" thickBot="1" x14ac:dyDescent="0.3">
      <c r="A228" s="744"/>
      <c r="B228" s="8" t="str">
        <f>IF(AND('Items sous domaines Maths '!K232=6, 'Items sous domaines Maths '!K232&gt;0),'Items sous domaines Maths '!B232,0)</f>
        <v>Analyse</v>
      </c>
      <c r="C228" s="8" t="str">
        <f>IF(AND('Items sous domaines Maths '!K232=6, 'Items sous domaines Maths '!K232&gt;0),'Items sous domaines Maths '!C232)</f>
        <v>Fonctions de plusieurs variables</v>
      </c>
      <c r="D228" s="8">
        <f>IF(AND('Items sous domaines Maths '!K232=6, 'Items sous domaines Maths '!K232&gt;0),'Items sous domaines Maths '!D232,0)</f>
        <v>0</v>
      </c>
      <c r="E228" s="8">
        <f>IF(AND('Items sous domaines Maths '!K232=6, 'Items sous domaines Maths '!K232&gt;0),'Items sous domaines Maths '!E232,0)</f>
        <v>0</v>
      </c>
      <c r="F228" s="9" t="str">
        <f>IF(AND('Items sous domaines Maths '!K232=6, 'Items sous domaines Maths '!K232&gt;0),'Items sous domaines Maths '!F232,0)</f>
        <v>Laplacien.</v>
      </c>
      <c r="G228">
        <f>IF('Items sous domaines Maths '!K232=6,'Items sous domaines Maths '!G232,0)</f>
        <v>0</v>
      </c>
    </row>
    <row r="229" spans="1:9" customFormat="1" ht="17.399999999999999" hidden="1" customHeight="1" thickBot="1" x14ac:dyDescent="0.3">
      <c r="B229" s="8">
        <f>IF(AND('Items sous domaines Maths '!K233=6, 'Items sous domaines Maths '!K233&gt;0),'Items sous domaines Maths '!B233,0)</f>
        <v>0</v>
      </c>
      <c r="C229" s="8" t="b">
        <f>IF(AND('Items sous domaines Maths '!K233=6, 'Items sous domaines Maths '!K233&gt;0),'Items sous domaines Maths '!C233)</f>
        <v>0</v>
      </c>
      <c r="D229" s="8">
        <f>IF(AND('Items sous domaines Maths '!K233=6, 'Items sous domaines Maths '!K233&gt;0),'Items sous domaines Maths '!D233,0)</f>
        <v>0</v>
      </c>
      <c r="E229" s="8">
        <f>IF(AND('Items sous domaines Maths '!K233=6, 'Items sous domaines Maths '!K233&gt;0),'Items sous domaines Maths '!E233,0)</f>
        <v>0</v>
      </c>
      <c r="F229" s="9">
        <f>IF(AND('Items sous domaines Maths '!K233=6, 'Items sous domaines Maths '!K233&gt;0),'Items sous domaines Maths '!F233,0)</f>
        <v>0</v>
      </c>
      <c r="G229">
        <f>IF('Items sous domaines Maths '!K233=6,'Items sous domaines Maths '!G233,0)</f>
        <v>0</v>
      </c>
    </row>
    <row r="230" spans="1:9" customFormat="1" ht="17.399999999999999" hidden="1" customHeight="1" thickBot="1" x14ac:dyDescent="0.3">
      <c r="A230" s="742" t="s">
        <v>484</v>
      </c>
      <c r="B230" s="8">
        <f>IF(AND('Items sous domaines Maths '!K234=6, 'Items sous domaines Maths '!K234&gt;0),'Items sous domaines Maths '!B234,0)</f>
        <v>0</v>
      </c>
      <c r="C230" s="8" t="b">
        <f>IF(AND('Items sous domaines Maths '!K234=6, 'Items sous domaines Maths '!K234&gt;0),'Items sous domaines Maths '!C234)</f>
        <v>0</v>
      </c>
      <c r="D230" s="8">
        <f>IF(AND('Items sous domaines Maths '!K234=6, 'Items sous domaines Maths '!K234&gt;0),'Items sous domaines Maths '!D234,0)</f>
        <v>0</v>
      </c>
      <c r="E230" s="8">
        <f>IF(AND('Items sous domaines Maths '!K234=6, 'Items sous domaines Maths '!K234&gt;0),'Items sous domaines Maths '!E234,0)</f>
        <v>0</v>
      </c>
      <c r="F230" s="9">
        <f>IF(AND('Items sous domaines Maths '!K234=6, 'Items sous domaines Maths '!K234&gt;0),'Items sous domaines Maths '!F234,0)</f>
        <v>0</v>
      </c>
      <c r="G230">
        <f>IF('Items sous domaines Maths '!K234=6,'Items sous domaines Maths '!G234,0)</f>
        <v>0</v>
      </c>
    </row>
    <row r="231" spans="1:9" customFormat="1" ht="17.399999999999999" hidden="1" customHeight="1" thickBot="1" x14ac:dyDescent="0.3">
      <c r="A231" s="743"/>
      <c r="B231" s="8">
        <f>IF(AND('Items sous domaines Maths '!K235=6, 'Items sous domaines Maths '!K235&gt;0),'Items sous domaines Maths '!B235,0)</f>
        <v>0</v>
      </c>
      <c r="C231" s="8" t="b">
        <f>IF(AND('Items sous domaines Maths '!K235=6, 'Items sous domaines Maths '!K235&gt;0),'Items sous domaines Maths '!C235)</f>
        <v>0</v>
      </c>
      <c r="D231" s="8">
        <f>IF(AND('Items sous domaines Maths '!K235=6, 'Items sous domaines Maths '!K235&gt;0),'Items sous domaines Maths '!D235,0)</f>
        <v>0</v>
      </c>
      <c r="E231" s="8">
        <f>IF(AND('Items sous domaines Maths '!K235=6, 'Items sous domaines Maths '!K235&gt;0),'Items sous domaines Maths '!E235,0)</f>
        <v>0</v>
      </c>
      <c r="F231" s="9">
        <f>IF(AND('Items sous domaines Maths '!K235=6, 'Items sous domaines Maths '!K235&gt;0),'Items sous domaines Maths '!F235,0)</f>
        <v>0</v>
      </c>
      <c r="G231">
        <f>IF('Items sous domaines Maths '!K235=6,'Items sous domaines Maths '!G235,0)</f>
        <v>0</v>
      </c>
    </row>
    <row r="232" spans="1:9" customFormat="1" ht="17.399999999999999" hidden="1" customHeight="1" thickBot="1" x14ac:dyDescent="0.3">
      <c r="A232" s="743"/>
      <c r="B232" s="8">
        <f>IF(AND('Items sous domaines Maths '!K236=6, 'Items sous domaines Maths '!K236&gt;0),'Items sous domaines Maths '!B236,0)</f>
        <v>0</v>
      </c>
      <c r="C232" s="8" t="b">
        <f>IF(AND('Items sous domaines Maths '!K236=6, 'Items sous domaines Maths '!K236&gt;0),'Items sous domaines Maths '!C236)</f>
        <v>0</v>
      </c>
      <c r="D232" s="8">
        <f>IF(AND('Items sous domaines Maths '!K236=6, 'Items sous domaines Maths '!K236&gt;0),'Items sous domaines Maths '!D236,0)</f>
        <v>0</v>
      </c>
      <c r="E232" s="8">
        <f>IF(AND('Items sous domaines Maths '!K236=6, 'Items sous domaines Maths '!K236&gt;0),'Items sous domaines Maths '!E236,0)</f>
        <v>0</v>
      </c>
      <c r="F232" s="9">
        <f>IF(AND('Items sous domaines Maths '!K236=6, 'Items sous domaines Maths '!K236&gt;0),'Items sous domaines Maths '!F236,0)</f>
        <v>0</v>
      </c>
      <c r="G232">
        <f>IF('Items sous domaines Maths '!K236=6,'Items sous domaines Maths '!G236,0)</f>
        <v>0</v>
      </c>
    </row>
    <row r="233" spans="1:9" customFormat="1" ht="17.399999999999999" hidden="1" customHeight="1" thickBot="1" x14ac:dyDescent="0.3">
      <c r="A233" s="743"/>
      <c r="B233" s="8">
        <f>IF(AND('Items sous domaines Maths '!K237=6, 'Items sous domaines Maths '!K237&gt;0),'Items sous domaines Maths '!B237,0)</f>
        <v>0</v>
      </c>
      <c r="C233" s="8" t="b">
        <f>IF(AND('Items sous domaines Maths '!K237=6, 'Items sous domaines Maths '!K237&gt;0),'Items sous domaines Maths '!C237)</f>
        <v>0</v>
      </c>
      <c r="D233" s="8">
        <f>IF(AND('Items sous domaines Maths '!K237=6, 'Items sous domaines Maths '!K237&gt;0),'Items sous domaines Maths '!D237,0)</f>
        <v>0</v>
      </c>
      <c r="E233" s="8">
        <f>IF(AND('Items sous domaines Maths '!K237=6, 'Items sous domaines Maths '!K237&gt;0),'Items sous domaines Maths '!E237,0)</f>
        <v>0</v>
      </c>
      <c r="F233" s="9">
        <f>IF(AND('Items sous domaines Maths '!K237=6, 'Items sous domaines Maths '!K237&gt;0),'Items sous domaines Maths '!F237,0)</f>
        <v>0</v>
      </c>
      <c r="G233">
        <f>IF('Items sous domaines Maths '!K237=6,'Items sous domaines Maths '!G237,0)</f>
        <v>0</v>
      </c>
    </row>
    <row r="234" spans="1:9" customFormat="1" ht="17.399999999999999" hidden="1" customHeight="1" thickBot="1" x14ac:dyDescent="0.3">
      <c r="A234" s="743"/>
      <c r="B234" s="8">
        <f>IF(AND('Items sous domaines Maths '!K238=6, 'Items sous domaines Maths '!K238&gt;0),'Items sous domaines Maths '!B238,0)</f>
        <v>0</v>
      </c>
      <c r="C234" s="8" t="b">
        <f>IF(AND('Items sous domaines Maths '!K238=6, 'Items sous domaines Maths '!K238&gt;0),'Items sous domaines Maths '!C238)</f>
        <v>0</v>
      </c>
      <c r="D234" s="8">
        <f>IF(AND('Items sous domaines Maths '!K238=6, 'Items sous domaines Maths '!K238&gt;0),'Items sous domaines Maths '!D238,0)</f>
        <v>0</v>
      </c>
      <c r="E234" s="8">
        <f>IF(AND('Items sous domaines Maths '!K238=6, 'Items sous domaines Maths '!K238&gt;0),'Items sous domaines Maths '!E238,0)</f>
        <v>0</v>
      </c>
      <c r="F234" s="9">
        <f>IF(AND('Items sous domaines Maths '!K238=6, 'Items sous domaines Maths '!K238&gt;0),'Items sous domaines Maths '!F238,0)</f>
        <v>0</v>
      </c>
      <c r="G234">
        <f>IF('Items sous domaines Maths '!K238=6,'Items sous domaines Maths '!G238,0)</f>
        <v>0</v>
      </c>
    </row>
    <row r="235" spans="1:9" customFormat="1" ht="17.399999999999999" hidden="1" customHeight="1" thickBot="1" x14ac:dyDescent="0.3">
      <c r="A235" s="743"/>
      <c r="B235" s="8">
        <f>IF(AND('Items sous domaines Maths '!K239=6, 'Items sous domaines Maths '!K239&gt;0),'Items sous domaines Maths '!B239,0)</f>
        <v>0</v>
      </c>
      <c r="C235" s="8" t="b">
        <f>IF(AND('Items sous domaines Maths '!K239=6, 'Items sous domaines Maths '!K239&gt;0),'Items sous domaines Maths '!C239)</f>
        <v>0</v>
      </c>
      <c r="D235" s="8">
        <f>IF(AND('Items sous domaines Maths '!K239=6, 'Items sous domaines Maths '!K239&gt;0),'Items sous domaines Maths '!D239,0)</f>
        <v>0</v>
      </c>
      <c r="E235" s="8">
        <f>IF(AND('Items sous domaines Maths '!K239=6, 'Items sous domaines Maths '!K239&gt;0),'Items sous domaines Maths '!E239,0)</f>
        <v>0</v>
      </c>
      <c r="F235" s="9">
        <f>IF(AND('Items sous domaines Maths '!K239=6, 'Items sous domaines Maths '!K239&gt;0),'Items sous domaines Maths '!F239,0)</f>
        <v>0</v>
      </c>
      <c r="G235">
        <f>IF('Items sous domaines Maths '!K239=6,'Items sous domaines Maths '!G239,0)</f>
        <v>0</v>
      </c>
    </row>
    <row r="236" spans="1:9" customFormat="1" ht="17.399999999999999" hidden="1" customHeight="1" thickBot="1" x14ac:dyDescent="0.3">
      <c r="A236" s="743"/>
      <c r="B236" s="8">
        <f>IF(AND('Items sous domaines Maths '!K240=6, 'Items sous domaines Maths '!K240&gt;0),'Items sous domaines Maths '!B240,0)</f>
        <v>0</v>
      </c>
      <c r="C236" s="8" t="b">
        <f>IF(AND('Items sous domaines Maths '!K240=6, 'Items sous domaines Maths '!K240&gt;0),'Items sous domaines Maths '!C240)</f>
        <v>0</v>
      </c>
      <c r="D236" s="8">
        <f>IF(AND('Items sous domaines Maths '!K240=6, 'Items sous domaines Maths '!K240&gt;0),'Items sous domaines Maths '!D240,0)</f>
        <v>0</v>
      </c>
      <c r="E236" s="8">
        <f>IF(AND('Items sous domaines Maths '!K240=6, 'Items sous domaines Maths '!K240&gt;0),'Items sous domaines Maths '!E240,0)</f>
        <v>0</v>
      </c>
      <c r="F236" s="9">
        <f>IF(AND('Items sous domaines Maths '!K240=6, 'Items sous domaines Maths '!K240&gt;0),'Items sous domaines Maths '!F240,0)</f>
        <v>0</v>
      </c>
      <c r="G236">
        <f>IF('Items sous domaines Maths '!K240=6,'Items sous domaines Maths '!G240,0)</f>
        <v>0</v>
      </c>
    </row>
    <row r="237" spans="1:9" customFormat="1" ht="17.399999999999999" hidden="1" customHeight="1" thickBot="1" x14ac:dyDescent="0.3">
      <c r="A237" s="743"/>
      <c r="B237" s="8">
        <f>IF(AND('Items sous domaines Maths '!K241=6, 'Items sous domaines Maths '!K241&gt;0),'Items sous domaines Maths '!B241,0)</f>
        <v>0</v>
      </c>
      <c r="C237" s="8" t="b">
        <f>IF(AND('Items sous domaines Maths '!K241=6, 'Items sous domaines Maths '!K241&gt;0),'Items sous domaines Maths '!C241)</f>
        <v>0</v>
      </c>
      <c r="D237" s="8">
        <f>IF(AND('Items sous domaines Maths '!K241=6, 'Items sous domaines Maths '!K241&gt;0),'Items sous domaines Maths '!D241,0)</f>
        <v>0</v>
      </c>
      <c r="E237" s="8">
        <f>IF(AND('Items sous domaines Maths '!K241=6, 'Items sous domaines Maths '!K241&gt;0),'Items sous domaines Maths '!E241,0)</f>
        <v>0</v>
      </c>
      <c r="F237" s="9">
        <f>IF(AND('Items sous domaines Maths '!K241=6, 'Items sous domaines Maths '!K241&gt;0),'Items sous domaines Maths '!F241,0)</f>
        <v>0</v>
      </c>
      <c r="G237">
        <f>IF('Items sous domaines Maths '!K241=6,'Items sous domaines Maths '!G241,0)</f>
        <v>0</v>
      </c>
    </row>
    <row r="238" spans="1:9" customFormat="1" ht="17.399999999999999" hidden="1" customHeight="1" thickBot="1" x14ac:dyDescent="0.3">
      <c r="A238" s="743"/>
      <c r="B238" s="8">
        <f>IF(AND('Items sous domaines Maths '!K242=6, 'Items sous domaines Maths '!K242&gt;0),'Items sous domaines Maths '!B242,0)</f>
        <v>0</v>
      </c>
      <c r="C238" s="8" t="b">
        <f>IF(AND('Items sous domaines Maths '!K242=6, 'Items sous domaines Maths '!K242&gt;0),'Items sous domaines Maths '!C242)</f>
        <v>0</v>
      </c>
      <c r="D238" s="8">
        <f>IF(AND('Items sous domaines Maths '!K242=6, 'Items sous domaines Maths '!K242&gt;0),'Items sous domaines Maths '!D242,0)</f>
        <v>0</v>
      </c>
      <c r="E238" s="8">
        <f>IF(AND('Items sous domaines Maths '!K242=6, 'Items sous domaines Maths '!K242&gt;0),'Items sous domaines Maths '!E242,0)</f>
        <v>0</v>
      </c>
      <c r="F238" s="9">
        <f>IF(AND('Items sous domaines Maths '!K242=6, 'Items sous domaines Maths '!K242&gt;0),'Items sous domaines Maths '!F242,0)</f>
        <v>0</v>
      </c>
      <c r="G238">
        <f>IF('Items sous domaines Maths '!K242=6,'Items sous domaines Maths '!G242,0)</f>
        <v>0</v>
      </c>
    </row>
    <row r="239" spans="1:9" s="61" customFormat="1" ht="19.95" hidden="1" customHeight="1" thickTop="1" x14ac:dyDescent="0.25">
      <c r="A239" s="619"/>
      <c r="B239" s="271">
        <f>IF(AND('Items sous domaines Maths '!K243=6, 'Items sous domaines Maths '!K243&gt;0),'Items sous domaines Maths '!B243,0)</f>
        <v>0</v>
      </c>
      <c r="C239" s="182" t="b">
        <f>IF(AND('Items sous domaines Maths '!K243=6, 'Items sous domaines Maths '!K243&gt;0),'Items sous domaines Maths '!C243)</f>
        <v>0</v>
      </c>
      <c r="D239" s="182">
        <f>IF(AND('Items sous domaines Maths '!K243=6, 'Items sous domaines Maths '!K243&gt;0),'Items sous domaines Maths '!D243,0)</f>
        <v>0</v>
      </c>
      <c r="E239" s="182">
        <f>IF(AND('Items sous domaines Maths '!K243=6, 'Items sous domaines Maths '!K243&gt;0),'Items sous domaines Maths '!E243,0)</f>
        <v>0</v>
      </c>
      <c r="F239" s="183">
        <f>IF(AND('Items sous domaines Maths '!K243=6, 'Items sous domaines Maths '!K243&gt;0),'Items sous domaines Maths '!F243,0)</f>
        <v>0</v>
      </c>
      <c r="G239" s="648" t="s">
        <v>485</v>
      </c>
      <c r="H239" s="190"/>
      <c r="I239" s="178"/>
    </row>
    <row r="240" spans="1:9" s="61" customFormat="1" ht="19.95" hidden="1" customHeight="1" thickBot="1" x14ac:dyDescent="0.3">
      <c r="A240" s="623"/>
      <c r="B240" s="273">
        <f>IF(AND('Items sous domaines Maths '!K244=6, 'Items sous domaines Maths '!K244&gt;0),'Items sous domaines Maths '!B244,0)</f>
        <v>0</v>
      </c>
      <c r="C240" s="187" t="b">
        <f>IF(AND('Items sous domaines Maths '!K244=6, 'Items sous domaines Maths '!K244&gt;0),'Items sous domaines Maths '!C244)</f>
        <v>0</v>
      </c>
      <c r="D240" s="187">
        <f>IF(AND('Items sous domaines Maths '!K244=6, 'Items sous domaines Maths '!K244&gt;0),'Items sous domaines Maths '!D244,0)</f>
        <v>0</v>
      </c>
      <c r="E240" s="187">
        <f>IF(AND('Items sous domaines Maths '!K244=6, 'Items sous domaines Maths '!K244&gt;0),'Items sous domaines Maths '!E244,0)</f>
        <v>0</v>
      </c>
      <c r="F240" s="188">
        <f>IF(AND('Items sous domaines Maths '!K244=6, 'Items sous domaines Maths '!K244&gt;0),'Items sous domaines Maths '!F244,0)</f>
        <v>0</v>
      </c>
      <c r="G240" s="650"/>
      <c r="H240" s="278" t="s">
        <v>480</v>
      </c>
      <c r="I240" s="189"/>
    </row>
    <row r="241" spans="1:9" customFormat="1" ht="13.5" hidden="1" customHeight="1" thickTop="1" thickBot="1" x14ac:dyDescent="0.3">
      <c r="A241" s="743"/>
      <c r="B241">
        <f>IF(AND('Items sous domaines Maths '!K245=6, 'Items sous domaines Maths '!K245&gt;0),'Items sous domaines Maths '!B245,0)</f>
        <v>0</v>
      </c>
      <c r="C241" t="b">
        <f>IF(AND('Items sous domaines Maths '!K245=6, 'Items sous domaines Maths '!K245&gt;0),'Items sous domaines Maths '!C245)</f>
        <v>0</v>
      </c>
      <c r="D241">
        <f>IF(AND('Items sous domaines Maths '!K245=6, 'Items sous domaines Maths '!K245&gt;0),'Items sous domaines Maths '!D245,0)</f>
        <v>0</v>
      </c>
      <c r="E241">
        <f>IF(AND('Items sous domaines Maths '!K245=6, 'Items sous domaines Maths '!K245&gt;0),'Items sous domaines Maths '!E245,0)</f>
        <v>0</v>
      </c>
      <c r="F241" s="10">
        <f>IF(AND('Items sous domaines Maths '!K245=6, 'Items sous domaines Maths '!K245&gt;0),'Items sous domaines Maths '!F245,0)</f>
        <v>0</v>
      </c>
      <c r="G241" s="647"/>
    </row>
    <row r="242" spans="1:9" customFormat="1" ht="13.5" hidden="1" customHeight="1" thickBot="1" x14ac:dyDescent="0.3">
      <c r="A242" s="743"/>
      <c r="B242" s="8">
        <f>IF(AND('Items sous domaines Maths '!K246=6, 'Items sous domaines Maths '!K246&gt;0),'Items sous domaines Maths '!B246,0)</f>
        <v>0</v>
      </c>
      <c r="C242" s="8" t="b">
        <f>IF(AND('Items sous domaines Maths '!K246=6, 'Items sous domaines Maths '!K246&gt;0),'Items sous domaines Maths '!C246)</f>
        <v>0</v>
      </c>
      <c r="D242" s="8">
        <f>IF(AND('Items sous domaines Maths '!K246=6, 'Items sous domaines Maths '!K246&gt;0),'Items sous domaines Maths '!D246,0)</f>
        <v>0</v>
      </c>
      <c r="E242" s="8">
        <f>IF(AND('Items sous domaines Maths '!K246=6, 'Items sous domaines Maths '!K246&gt;0),'Items sous domaines Maths '!E246,0)</f>
        <v>0</v>
      </c>
      <c r="F242" s="9">
        <f>IF(AND('Items sous domaines Maths '!K246=6, 'Items sous domaines Maths '!K246&gt;0),'Items sous domaines Maths '!F246,0)</f>
        <v>0</v>
      </c>
      <c r="G242" s="647"/>
    </row>
    <row r="243" spans="1:9" s="61" customFormat="1" ht="19.95" hidden="1" customHeight="1" thickTop="1" thickBot="1" x14ac:dyDescent="0.3">
      <c r="A243" s="670"/>
      <c r="B243" s="276">
        <f>IF(AND('Items sous domaines Maths '!K247=6, 'Items sous domaines Maths '!K247&gt;0),'Items sous domaines Maths '!B247,0)</f>
        <v>0</v>
      </c>
      <c r="C243" s="201" t="b">
        <f>IF(AND('Items sous domaines Maths '!K247=6, 'Items sous domaines Maths '!K247&gt;0),'Items sous domaines Maths '!C247)</f>
        <v>0</v>
      </c>
      <c r="D243" s="201">
        <f>IF(AND('Items sous domaines Maths '!K247=6, 'Items sous domaines Maths '!K247&gt;0),'Items sous domaines Maths '!D247,0)</f>
        <v>0</v>
      </c>
      <c r="E243" s="201">
        <f>IF(AND('Items sous domaines Maths '!K247=6, 'Items sous domaines Maths '!K247&gt;0),'Items sous domaines Maths '!E247,0)</f>
        <v>0</v>
      </c>
      <c r="F243" s="202">
        <f>IF(AND('Items sous domaines Maths '!K247=6, 'Items sous domaines Maths '!K247&gt;0),'Items sous domaines Maths '!F247,0)</f>
        <v>0</v>
      </c>
      <c r="G243" s="748"/>
      <c r="H243" s="277"/>
      <c r="I243" s="198"/>
    </row>
    <row r="244" spans="1:9" customFormat="1" ht="13.8" hidden="1" thickBot="1" x14ac:dyDescent="0.3">
      <c r="B244">
        <f>IF(AND('Items sous domaines Maths '!K248=6, 'Items sous domaines Maths '!K248&gt;0),'Items sous domaines Maths '!B248,0)</f>
        <v>0</v>
      </c>
      <c r="C244" t="b">
        <f>IF(AND('Items sous domaines Maths '!K248=6, 'Items sous domaines Maths '!K248&gt;0),'Items sous domaines Maths '!C248)</f>
        <v>0</v>
      </c>
      <c r="D244">
        <f>IF(AND('Items sous domaines Maths '!K248=6, 'Items sous domaines Maths '!K248&gt;0),'Items sous domaines Maths '!D248,0)</f>
        <v>0</v>
      </c>
      <c r="E244">
        <f>IF(AND('Items sous domaines Maths '!K248=6, 'Items sous domaines Maths '!K248&gt;0),'Items sous domaines Maths '!E248,0)</f>
        <v>0</v>
      </c>
      <c r="F244" s="10">
        <f>IF(AND('Items sous domaines Maths '!K248=6, 'Items sous domaines Maths '!K248&gt;0),'Items sous domaines Maths '!F248,0)</f>
        <v>0</v>
      </c>
      <c r="G244">
        <f>IF('Items sous domaines Maths '!K248=6,'Items sous domaines Maths '!G248,0)</f>
        <v>0</v>
      </c>
    </row>
    <row r="245" spans="1:9" customFormat="1" ht="13.95" hidden="1" customHeight="1" thickBot="1" x14ac:dyDescent="0.3">
      <c r="A245" s="745" t="s">
        <v>484</v>
      </c>
      <c r="B245" s="8">
        <f>IF(AND('Items sous domaines Maths '!K249=6, 'Items sous domaines Maths '!K249&gt;0),'Items sous domaines Maths '!B249,0)</f>
        <v>0</v>
      </c>
      <c r="C245" s="8" t="b">
        <f>IF(AND('Items sous domaines Maths '!K249=6, 'Items sous domaines Maths '!K249&gt;0),'Items sous domaines Maths '!C249)</f>
        <v>0</v>
      </c>
      <c r="D245" s="8">
        <f>IF(AND('Items sous domaines Maths '!K249=6, 'Items sous domaines Maths '!K249&gt;0),'Items sous domaines Maths '!D249,0)</f>
        <v>0</v>
      </c>
      <c r="E245" s="8">
        <f>IF(AND('Items sous domaines Maths '!K249=6, 'Items sous domaines Maths '!K249&gt;0),'Items sous domaines Maths '!E249,0)</f>
        <v>0</v>
      </c>
      <c r="F245" s="9">
        <f>IF(AND('Items sous domaines Maths '!K249=6, 'Items sous domaines Maths '!K249&gt;0),'Items sous domaines Maths '!F249,0)</f>
        <v>0</v>
      </c>
      <c r="G245">
        <f>IF('Items sous domaines Maths '!K249=6,'Items sous domaines Maths '!G249,0)</f>
        <v>0</v>
      </c>
    </row>
    <row r="246" spans="1:9" customFormat="1" ht="13.95" hidden="1" customHeight="1" thickBot="1" x14ac:dyDescent="0.3">
      <c r="A246" s="746"/>
      <c r="B246" s="8">
        <f>IF(AND('Items sous domaines Maths '!K250=6, 'Items sous domaines Maths '!K250&gt;0),'Items sous domaines Maths '!B250,0)</f>
        <v>0</v>
      </c>
      <c r="C246" s="8" t="b">
        <f>IF(AND('Items sous domaines Maths '!K250=6, 'Items sous domaines Maths '!K250&gt;0),'Items sous domaines Maths '!C250)</f>
        <v>0</v>
      </c>
      <c r="D246" s="8">
        <f>IF(AND('Items sous domaines Maths '!K250=6, 'Items sous domaines Maths '!K250&gt;0),'Items sous domaines Maths '!D250,0)</f>
        <v>0</v>
      </c>
      <c r="E246" s="8">
        <f>IF(AND('Items sous domaines Maths '!K250=6, 'Items sous domaines Maths '!K250&gt;0),'Items sous domaines Maths '!E250,0)</f>
        <v>0</v>
      </c>
      <c r="F246" s="9">
        <f>IF(AND('Items sous domaines Maths '!K250=6, 'Items sous domaines Maths '!K250&gt;0),'Items sous domaines Maths '!F250,0)</f>
        <v>0</v>
      </c>
      <c r="G246">
        <f>IF('Items sous domaines Maths '!K250=6,'Items sous domaines Maths '!G250,0)</f>
        <v>0</v>
      </c>
    </row>
    <row r="247" spans="1:9" customFormat="1" ht="13.95" hidden="1" customHeight="1" thickBot="1" x14ac:dyDescent="0.3">
      <c r="A247" s="746"/>
      <c r="B247" s="8">
        <f>IF(AND('Items sous domaines Maths '!K251=6, 'Items sous domaines Maths '!K251&gt;0),'Items sous domaines Maths '!B251,0)</f>
        <v>0</v>
      </c>
      <c r="C247" s="8" t="b">
        <f>IF(AND('Items sous domaines Maths '!K251=6, 'Items sous domaines Maths '!K251&gt;0),'Items sous domaines Maths '!C251)</f>
        <v>0</v>
      </c>
      <c r="D247" s="8">
        <f>IF(AND('Items sous domaines Maths '!K251=6, 'Items sous domaines Maths '!K251&gt;0),'Items sous domaines Maths '!D251,0)</f>
        <v>0</v>
      </c>
      <c r="E247" s="8">
        <f>IF(AND('Items sous domaines Maths '!K251=6, 'Items sous domaines Maths '!K251&gt;0),'Items sous domaines Maths '!E251,0)</f>
        <v>0</v>
      </c>
      <c r="F247" s="9">
        <f>IF(AND('Items sous domaines Maths '!K251=6, 'Items sous domaines Maths '!K251&gt;0),'Items sous domaines Maths '!F251,0)</f>
        <v>0</v>
      </c>
      <c r="G247">
        <f>IF('Items sous domaines Maths '!K251=6,'Items sous domaines Maths '!G251,0)</f>
        <v>0</v>
      </c>
    </row>
    <row r="248" spans="1:9" customFormat="1" ht="13.95" hidden="1" customHeight="1" thickBot="1" x14ac:dyDescent="0.3">
      <c r="A248" s="746"/>
      <c r="B248" s="8">
        <f>IF(AND('Items sous domaines Maths '!K252=6, 'Items sous domaines Maths '!K252&gt;0),'Items sous domaines Maths '!B252,0)</f>
        <v>0</v>
      </c>
      <c r="C248" s="8" t="b">
        <f>IF(AND('Items sous domaines Maths '!K252=6, 'Items sous domaines Maths '!K252&gt;0),'Items sous domaines Maths '!C252)</f>
        <v>0</v>
      </c>
      <c r="D248" s="8">
        <f>IF(AND('Items sous domaines Maths '!K252=6, 'Items sous domaines Maths '!K252&gt;0),'Items sous domaines Maths '!D252,0)</f>
        <v>0</v>
      </c>
      <c r="E248" s="8">
        <f>IF(AND('Items sous domaines Maths '!K252=6, 'Items sous domaines Maths '!K252&gt;0),'Items sous domaines Maths '!E252,0)</f>
        <v>0</v>
      </c>
      <c r="F248" s="9">
        <f>IF(AND('Items sous domaines Maths '!K252=6, 'Items sous domaines Maths '!K252&gt;0),'Items sous domaines Maths '!F252,0)</f>
        <v>0</v>
      </c>
      <c r="G248">
        <f>IF('Items sous domaines Maths '!K252=6,'Items sous domaines Maths '!G252,0)</f>
        <v>0</v>
      </c>
    </row>
    <row r="249" spans="1:9" customFormat="1" ht="13.95" hidden="1" customHeight="1" thickBot="1" x14ac:dyDescent="0.3">
      <c r="A249" s="746"/>
      <c r="B249" s="8">
        <f>IF(AND('Items sous domaines Maths '!K253=6, 'Items sous domaines Maths '!K253&gt;0),'Items sous domaines Maths '!B253,0)</f>
        <v>0</v>
      </c>
      <c r="C249" s="8" t="b">
        <f>IF(AND('Items sous domaines Maths '!K253=6, 'Items sous domaines Maths '!K253&gt;0),'Items sous domaines Maths '!C253)</f>
        <v>0</v>
      </c>
      <c r="D249" s="8">
        <f>IF(AND('Items sous domaines Maths '!K253=6, 'Items sous domaines Maths '!K253&gt;0),'Items sous domaines Maths '!D253,0)</f>
        <v>0</v>
      </c>
      <c r="E249" s="8">
        <f>IF(AND('Items sous domaines Maths '!K253=6, 'Items sous domaines Maths '!K253&gt;0),'Items sous domaines Maths '!E253,0)</f>
        <v>0</v>
      </c>
      <c r="F249" s="9">
        <f>IF(AND('Items sous domaines Maths '!K253=6, 'Items sous domaines Maths '!K253&gt;0),'Items sous domaines Maths '!F253,0)</f>
        <v>0</v>
      </c>
      <c r="G249">
        <f>IF('Items sous domaines Maths '!K253=6,'Items sous domaines Maths '!G253,0)</f>
        <v>0</v>
      </c>
    </row>
    <row r="250" spans="1:9" customFormat="1" ht="13.95" hidden="1" customHeight="1" thickBot="1" x14ac:dyDescent="0.3">
      <c r="A250" s="746"/>
      <c r="B250" s="8">
        <f>IF(AND('Items sous domaines Maths '!K254=6, 'Items sous domaines Maths '!K254&gt;0),'Items sous domaines Maths '!B254,0)</f>
        <v>0</v>
      </c>
      <c r="C250" s="8" t="b">
        <f>IF(AND('Items sous domaines Maths '!K254=6, 'Items sous domaines Maths '!K254&gt;0),'Items sous domaines Maths '!C254)</f>
        <v>0</v>
      </c>
      <c r="D250" s="8">
        <f>IF(AND('Items sous domaines Maths '!K254=6, 'Items sous domaines Maths '!K254&gt;0),'Items sous domaines Maths '!D254,0)</f>
        <v>0</v>
      </c>
      <c r="E250" s="8">
        <f>IF(AND('Items sous domaines Maths '!K254=6, 'Items sous domaines Maths '!K254&gt;0),'Items sous domaines Maths '!E254,0)</f>
        <v>0</v>
      </c>
      <c r="F250" s="9">
        <f>IF(AND('Items sous domaines Maths '!K254=6, 'Items sous domaines Maths '!K254&gt;0),'Items sous domaines Maths '!F254,0)</f>
        <v>0</v>
      </c>
      <c r="G250">
        <f>IF('Items sous domaines Maths '!K254=6,'Items sous domaines Maths '!G254,0)</f>
        <v>0</v>
      </c>
    </row>
    <row r="251" spans="1:9" customFormat="1" ht="13.95" hidden="1" customHeight="1" thickBot="1" x14ac:dyDescent="0.3">
      <c r="A251" s="746"/>
      <c r="B251" s="8">
        <f>IF(AND('Items sous domaines Maths '!K255=6, 'Items sous domaines Maths '!K255&gt;0),'Items sous domaines Maths '!B255,0)</f>
        <v>0</v>
      </c>
      <c r="C251" s="8" t="b">
        <f>IF(AND('Items sous domaines Maths '!K255=6, 'Items sous domaines Maths '!K255&gt;0),'Items sous domaines Maths '!C255)</f>
        <v>0</v>
      </c>
      <c r="D251" s="8">
        <f>IF(AND('Items sous domaines Maths '!K255=6, 'Items sous domaines Maths '!K255&gt;0),'Items sous domaines Maths '!D255,0)</f>
        <v>0</v>
      </c>
      <c r="E251" s="8">
        <f>IF(AND('Items sous domaines Maths '!K255=6, 'Items sous domaines Maths '!K255&gt;0),'Items sous domaines Maths '!E255,0)</f>
        <v>0</v>
      </c>
      <c r="F251" s="9">
        <f>IF(AND('Items sous domaines Maths '!K255=6, 'Items sous domaines Maths '!K255&gt;0),'Items sous domaines Maths '!F255,0)</f>
        <v>0</v>
      </c>
      <c r="G251">
        <f>IF('Items sous domaines Maths '!K255=6,'Items sous domaines Maths '!G255,0)</f>
        <v>0</v>
      </c>
    </row>
    <row r="252" spans="1:9" customFormat="1" ht="12.75" hidden="1" customHeight="1" thickBot="1" x14ac:dyDescent="0.3">
      <c r="A252" s="746"/>
      <c r="B252" s="8">
        <f>IF(AND('Items sous domaines Maths '!K256=6, 'Items sous domaines Maths '!K256&gt;0),'Items sous domaines Maths '!B256,0)</f>
        <v>0</v>
      </c>
      <c r="C252" s="8" t="b">
        <f>IF(AND('Items sous domaines Maths '!K256=6, 'Items sous domaines Maths '!K256&gt;0),'Items sous domaines Maths '!C256)</f>
        <v>0</v>
      </c>
      <c r="D252" s="8">
        <f>IF(AND('Items sous domaines Maths '!K256=6, 'Items sous domaines Maths '!K256&gt;0),'Items sous domaines Maths '!D256,0)</f>
        <v>0</v>
      </c>
      <c r="E252" s="8">
        <f>IF(AND('Items sous domaines Maths '!K256=6, 'Items sous domaines Maths '!K256&gt;0),'Items sous domaines Maths '!E256,0)</f>
        <v>0</v>
      </c>
      <c r="F252" s="9">
        <f>IF(AND('Items sous domaines Maths '!K256=6, 'Items sous domaines Maths '!K256&gt;0),'Items sous domaines Maths '!F256,0)</f>
        <v>0</v>
      </c>
      <c r="G252">
        <f>IF('Items sous domaines Maths '!K256=6,'Items sous domaines Maths '!G256,0)</f>
        <v>0</v>
      </c>
    </row>
    <row r="253" spans="1:9" customFormat="1" ht="16.95" hidden="1" customHeight="1" thickBot="1" x14ac:dyDescent="0.3">
      <c r="A253" s="746"/>
      <c r="B253" s="8">
        <f>IF(AND('Items sous domaines Maths '!K257=6, 'Items sous domaines Maths '!K257&gt;0),'Items sous domaines Maths '!B257,0)</f>
        <v>0</v>
      </c>
      <c r="C253" s="8" t="b">
        <f>IF(AND('Items sous domaines Maths '!K257=6, 'Items sous domaines Maths '!K257&gt;0),'Items sous domaines Maths '!C257)</f>
        <v>0</v>
      </c>
      <c r="D253" s="8">
        <f>IF(AND('Items sous domaines Maths '!K257=6, 'Items sous domaines Maths '!K257&gt;0),'Items sous domaines Maths '!D257,0)</f>
        <v>0</v>
      </c>
      <c r="E253" s="8">
        <f>IF(AND('Items sous domaines Maths '!K257=6, 'Items sous domaines Maths '!K257&gt;0),'Items sous domaines Maths '!E257,0)</f>
        <v>0</v>
      </c>
      <c r="F253" s="9">
        <f>IF(AND('Items sous domaines Maths '!K257=6, 'Items sous domaines Maths '!K257&gt;0),'Items sous domaines Maths '!F257,0)</f>
        <v>0</v>
      </c>
      <c r="G253">
        <f>IF('Items sous domaines Maths '!K257=6,'Items sous domaines Maths '!G257,0)</f>
        <v>0</v>
      </c>
    </row>
    <row r="254" spans="1:9" customFormat="1" ht="13.95" hidden="1" customHeight="1" thickBot="1" x14ac:dyDescent="0.3">
      <c r="A254" s="746"/>
      <c r="B254" s="8">
        <f>IF(AND('Items sous domaines Maths '!K258=6, 'Items sous domaines Maths '!K258&gt;0),'Items sous domaines Maths '!B258,0)</f>
        <v>0</v>
      </c>
      <c r="C254" s="8" t="b">
        <f>IF(AND('Items sous domaines Maths '!K258=6, 'Items sous domaines Maths '!K258&gt;0),'Items sous domaines Maths '!C258)</f>
        <v>0</v>
      </c>
      <c r="D254" s="8">
        <f>IF(AND('Items sous domaines Maths '!K258=6, 'Items sous domaines Maths '!K258&gt;0),'Items sous domaines Maths '!D258,0)</f>
        <v>0</v>
      </c>
      <c r="E254" s="8">
        <f>IF(AND('Items sous domaines Maths '!K258=6, 'Items sous domaines Maths '!K258&gt;0),'Items sous domaines Maths '!E258,0)</f>
        <v>0</v>
      </c>
      <c r="F254" s="9">
        <f>IF(AND('Items sous domaines Maths '!K258=6, 'Items sous domaines Maths '!K258&gt;0),'Items sous domaines Maths '!F258,0)</f>
        <v>0</v>
      </c>
      <c r="G254">
        <f>IF('Items sous domaines Maths '!K258=6,'Items sous domaines Maths '!G258,0)</f>
        <v>0</v>
      </c>
    </row>
    <row r="255" spans="1:9" customFormat="1" ht="13.95" hidden="1" customHeight="1" thickBot="1" x14ac:dyDescent="0.3">
      <c r="A255" s="746"/>
      <c r="B255" s="8">
        <f>IF(AND('Items sous domaines Maths '!K259=6, 'Items sous domaines Maths '!K259&gt;0),'Items sous domaines Maths '!B259,0)</f>
        <v>0</v>
      </c>
      <c r="C255" s="8" t="b">
        <f>IF(AND('Items sous domaines Maths '!K259=6, 'Items sous domaines Maths '!K259&gt;0),'Items sous domaines Maths '!C259)</f>
        <v>0</v>
      </c>
      <c r="D255" s="8">
        <f>IF(AND('Items sous domaines Maths '!K259=6, 'Items sous domaines Maths '!K259&gt;0),'Items sous domaines Maths '!D259,0)</f>
        <v>0</v>
      </c>
      <c r="E255" s="8">
        <f>IF(AND('Items sous domaines Maths '!K259=6, 'Items sous domaines Maths '!K259&gt;0),'Items sous domaines Maths '!E259,0)</f>
        <v>0</v>
      </c>
      <c r="F255" s="9">
        <f>IF(AND('Items sous domaines Maths '!K259=6, 'Items sous domaines Maths '!K259&gt;0),'Items sous domaines Maths '!F259,0)</f>
        <v>0</v>
      </c>
      <c r="G255">
        <f>IF('Items sous domaines Maths '!K259=6,'Items sous domaines Maths '!G259,0)</f>
        <v>0</v>
      </c>
    </row>
    <row r="256" spans="1:9" customFormat="1" ht="13.95" hidden="1" customHeight="1" thickBot="1" x14ac:dyDescent="0.3">
      <c r="A256" s="746"/>
      <c r="B256" s="8">
        <f>IF(AND('Items sous domaines Maths '!K260=6, 'Items sous domaines Maths '!K260&gt;0),'Items sous domaines Maths '!B260,0)</f>
        <v>0</v>
      </c>
      <c r="C256" s="8" t="b">
        <f>IF(AND('Items sous domaines Maths '!K260=6, 'Items sous domaines Maths '!K260&gt;0),'Items sous domaines Maths '!C260)</f>
        <v>0</v>
      </c>
      <c r="D256" s="8">
        <f>IF(AND('Items sous domaines Maths '!K260=6, 'Items sous domaines Maths '!K260&gt;0),'Items sous domaines Maths '!D260,0)</f>
        <v>0</v>
      </c>
      <c r="E256" s="8">
        <f>IF(AND('Items sous domaines Maths '!K260=6, 'Items sous domaines Maths '!K260&gt;0),'Items sous domaines Maths '!E260,0)</f>
        <v>0</v>
      </c>
      <c r="F256" s="9">
        <f>IF(AND('Items sous domaines Maths '!K260=6, 'Items sous domaines Maths '!K260&gt;0),'Items sous domaines Maths '!F260,0)</f>
        <v>0</v>
      </c>
      <c r="G256">
        <f>IF('Items sous domaines Maths '!K260=6,'Items sous domaines Maths '!G260,0)</f>
        <v>0</v>
      </c>
    </row>
    <row r="257" spans="1:9" s="61" customFormat="1" ht="19.95" hidden="1" customHeight="1" thickTop="1" x14ac:dyDescent="0.25">
      <c r="A257" s="619"/>
      <c r="B257" s="271">
        <f>IF(AND('Items sous domaines Maths '!K261=6, 'Items sous domaines Maths '!K261&gt;0),'Items sous domaines Maths '!B261,0)</f>
        <v>0</v>
      </c>
      <c r="C257" s="182" t="b">
        <f>IF(AND('Items sous domaines Maths '!K261=6, 'Items sous domaines Maths '!K261&gt;0),'Items sous domaines Maths '!C261)</f>
        <v>0</v>
      </c>
      <c r="D257" s="182">
        <f>IF(AND('Items sous domaines Maths '!K261=6, 'Items sous domaines Maths '!K261&gt;0),'Items sous domaines Maths '!D261,0)</f>
        <v>0</v>
      </c>
      <c r="E257" s="182">
        <f>IF(AND('Items sous domaines Maths '!K261=6, 'Items sous domaines Maths '!K261&gt;0),'Items sous domaines Maths '!E261,0)</f>
        <v>0</v>
      </c>
      <c r="F257" s="183">
        <f>IF(AND('Items sous domaines Maths '!K261=6, 'Items sous domaines Maths '!K261&gt;0),'Items sous domaines Maths '!F261,0)</f>
        <v>0</v>
      </c>
      <c r="G257" s="648" t="s">
        <v>483</v>
      </c>
      <c r="H257" s="190"/>
      <c r="I257" s="178"/>
    </row>
    <row r="258" spans="1:9" s="61" customFormat="1" ht="19.95" hidden="1" customHeight="1" x14ac:dyDescent="0.25">
      <c r="A258" s="620"/>
      <c r="B258" s="169">
        <f>IF(AND('Items sous domaines Maths '!K262=6, 'Items sous domaines Maths '!K262&gt;0),'Items sous domaines Maths '!B262,0)</f>
        <v>0</v>
      </c>
      <c r="C258" s="142" t="b">
        <f>IF(AND('Items sous domaines Maths '!K262=6, 'Items sous domaines Maths '!K262&gt;0),'Items sous domaines Maths '!C262)</f>
        <v>0</v>
      </c>
      <c r="D258" s="142">
        <f>IF(AND('Items sous domaines Maths '!K262=6, 'Items sous domaines Maths '!K262&gt;0),'Items sous domaines Maths '!D262,0)</f>
        <v>0</v>
      </c>
      <c r="E258" s="142">
        <f>IF(AND('Items sous domaines Maths '!K262=6, 'Items sous domaines Maths '!K262&gt;0),'Items sous domaines Maths '!E262,0)</f>
        <v>0</v>
      </c>
      <c r="F258" s="143">
        <f>IF(AND('Items sous domaines Maths '!K262=6, 'Items sous domaines Maths '!K262&gt;0),'Items sous domaines Maths '!F262,0)</f>
        <v>0</v>
      </c>
      <c r="G258" s="649"/>
      <c r="H258" s="114" t="s">
        <v>461</v>
      </c>
      <c r="I258" s="199"/>
    </row>
    <row r="259" spans="1:9" s="61" customFormat="1" ht="19.95" hidden="1" customHeight="1" x14ac:dyDescent="0.25">
      <c r="A259" s="620"/>
      <c r="B259" s="172">
        <f>IF(AND('Items sous domaines Maths '!K263=6, 'Items sous domaines Maths '!K263&gt;0),'Items sous domaines Maths '!B263,0)</f>
        <v>0</v>
      </c>
      <c r="C259" s="145" t="b">
        <f>IF(AND('Items sous domaines Maths '!K263=6, 'Items sous domaines Maths '!K263&gt;0),'Items sous domaines Maths '!C263)</f>
        <v>0</v>
      </c>
      <c r="D259" s="145">
        <f>IF(AND('Items sous domaines Maths '!K263=6, 'Items sous domaines Maths '!K263&gt;0),'Items sous domaines Maths '!D263,0)</f>
        <v>0</v>
      </c>
      <c r="E259" s="145">
        <f>IF(AND('Items sous domaines Maths '!K263=6, 'Items sous domaines Maths '!K263&gt;0),'Items sous domaines Maths '!E263,0)</f>
        <v>0</v>
      </c>
      <c r="F259" s="146">
        <f>IF(AND('Items sous domaines Maths '!K263=6, 'Items sous domaines Maths '!K263&gt;0),'Items sous domaines Maths '!F263,0)</f>
        <v>0</v>
      </c>
      <c r="G259" s="649"/>
      <c r="H259" s="114"/>
      <c r="I259" s="199"/>
    </row>
    <row r="260" spans="1:9" s="61" customFormat="1" ht="19.95" hidden="1" customHeight="1" x14ac:dyDescent="0.25">
      <c r="A260" s="620"/>
      <c r="B260" s="169">
        <f>IF(AND('Items sous domaines Maths '!K264=6, 'Items sous domaines Maths '!K264&gt;0),'Items sous domaines Maths '!B264,0)</f>
        <v>0</v>
      </c>
      <c r="C260" s="142" t="b">
        <f>IF(AND('Items sous domaines Maths '!K264=6, 'Items sous domaines Maths '!K264&gt;0),'Items sous domaines Maths '!C264)</f>
        <v>0</v>
      </c>
      <c r="D260" s="142">
        <f>IF(AND('Items sous domaines Maths '!K264=6, 'Items sous domaines Maths '!K264&gt;0),'Items sous domaines Maths '!D264,0)</f>
        <v>0</v>
      </c>
      <c r="E260" s="142">
        <f>IF(AND('Items sous domaines Maths '!K264=6, 'Items sous domaines Maths '!K264&gt;0),'Items sous domaines Maths '!E264,0)</f>
        <v>0</v>
      </c>
      <c r="F260" s="143">
        <f>IF(AND('Items sous domaines Maths '!K264=6, 'Items sous domaines Maths '!K264&gt;0),'Items sous domaines Maths '!F264,0)</f>
        <v>0</v>
      </c>
      <c r="G260" s="649"/>
      <c r="H260" s="114"/>
      <c r="I260" s="199"/>
    </row>
    <row r="261" spans="1:9" s="61" customFormat="1" ht="19.95" hidden="1" customHeight="1" x14ac:dyDescent="0.25">
      <c r="A261" s="620"/>
      <c r="B261" s="172">
        <f>IF(AND('Items sous domaines Maths '!K265=6, 'Items sous domaines Maths '!K265&gt;0),'Items sous domaines Maths '!B265,0)</f>
        <v>0</v>
      </c>
      <c r="C261" s="145" t="b">
        <f>IF(AND('Items sous domaines Maths '!K265=6, 'Items sous domaines Maths '!K265&gt;0),'Items sous domaines Maths '!C265)</f>
        <v>0</v>
      </c>
      <c r="D261" s="145">
        <f>IF(AND('Items sous domaines Maths '!K265=6, 'Items sous domaines Maths '!K265&gt;0),'Items sous domaines Maths '!D265,0)</f>
        <v>0</v>
      </c>
      <c r="E261" s="145">
        <f>IF(AND('Items sous domaines Maths '!K265=6, 'Items sous domaines Maths '!K265&gt;0),'Items sous domaines Maths '!E265,0)</f>
        <v>0</v>
      </c>
      <c r="F261" s="146">
        <f>IF(AND('Items sous domaines Maths '!K265=6, 'Items sous domaines Maths '!K265&gt;0),'Items sous domaines Maths '!F265,0)</f>
        <v>0</v>
      </c>
      <c r="G261" s="649"/>
      <c r="H261" s="114"/>
      <c r="I261" s="199"/>
    </row>
    <row r="262" spans="1:9" s="61" customFormat="1" ht="19.95" hidden="1" customHeight="1" thickBot="1" x14ac:dyDescent="0.3">
      <c r="A262" s="623"/>
      <c r="B262" s="273">
        <f>IF(AND('Items sous domaines Maths '!K266=6, 'Items sous domaines Maths '!K266&gt;0),'Items sous domaines Maths '!B266,0)</f>
        <v>0</v>
      </c>
      <c r="C262" s="187" t="b">
        <f>IF(AND('Items sous domaines Maths '!K266=6, 'Items sous domaines Maths '!K266&gt;0),'Items sous domaines Maths '!C266)</f>
        <v>0</v>
      </c>
      <c r="D262" s="187">
        <f>IF(AND('Items sous domaines Maths '!K266=6, 'Items sous domaines Maths '!K266&gt;0),'Items sous domaines Maths '!D266,0)</f>
        <v>0</v>
      </c>
      <c r="E262" s="187">
        <f>IF(AND('Items sous domaines Maths '!K266=6, 'Items sous domaines Maths '!K266&gt;0),'Items sous domaines Maths '!E266,0)</f>
        <v>0</v>
      </c>
      <c r="F262" s="188">
        <f>IF(AND('Items sous domaines Maths '!K266=6, 'Items sous domaines Maths '!K266&gt;0),'Items sous domaines Maths '!F266,0)</f>
        <v>0</v>
      </c>
      <c r="G262" s="650"/>
      <c r="H262" s="191"/>
      <c r="I262" s="189"/>
    </row>
    <row r="263" spans="1:9" customFormat="1" ht="13.5" hidden="1" customHeight="1" thickTop="1" thickBot="1" x14ac:dyDescent="0.3">
      <c r="A263" s="746"/>
      <c r="B263">
        <f>IF(AND('Items sous domaines Maths '!K267=6, 'Items sous domaines Maths '!K267&gt;0),'Items sous domaines Maths '!B267,0)</f>
        <v>0</v>
      </c>
      <c r="C263" t="b">
        <f>IF(AND('Items sous domaines Maths '!K267=6, 'Items sous domaines Maths '!K267&gt;0),'Items sous domaines Maths '!C267)</f>
        <v>0</v>
      </c>
      <c r="D263">
        <f>IF(AND('Items sous domaines Maths '!K267=6, 'Items sous domaines Maths '!K267&gt;0),'Items sous domaines Maths '!D267,0)</f>
        <v>0</v>
      </c>
      <c r="E263">
        <f>IF(AND('Items sous domaines Maths '!K267=6, 'Items sous domaines Maths '!K267&gt;0),'Items sous domaines Maths '!E267,0)</f>
        <v>0</v>
      </c>
      <c r="F263" s="10">
        <f>IF(AND('Items sous domaines Maths '!K267=6, 'Items sous domaines Maths '!K267&gt;0),'Items sous domaines Maths '!F267,0)</f>
        <v>0</v>
      </c>
      <c r="G263" s="647"/>
    </row>
    <row r="264" spans="1:9" customFormat="1" ht="13.5" hidden="1" customHeight="1" thickBot="1" x14ac:dyDescent="0.3">
      <c r="A264" s="746"/>
      <c r="B264" s="8">
        <f>IF(AND('Items sous domaines Maths '!K268=6, 'Items sous domaines Maths '!K268&gt;0),'Items sous domaines Maths '!B268,0)</f>
        <v>0</v>
      </c>
      <c r="C264" s="8" t="b">
        <f>IF(AND('Items sous domaines Maths '!K268=6, 'Items sous domaines Maths '!K268&gt;0),'Items sous domaines Maths '!C268)</f>
        <v>0</v>
      </c>
      <c r="D264" s="8">
        <f>IF(AND('Items sous domaines Maths '!K268=6, 'Items sous domaines Maths '!K268&gt;0),'Items sous domaines Maths '!D268,0)</f>
        <v>0</v>
      </c>
      <c r="E264" s="8">
        <f>IF(AND('Items sous domaines Maths '!K268=6, 'Items sous domaines Maths '!K268&gt;0),'Items sous domaines Maths '!E268,0)</f>
        <v>0</v>
      </c>
      <c r="F264" s="9">
        <f>IF(AND('Items sous domaines Maths '!K268=6, 'Items sous domaines Maths '!K268&gt;0),'Items sous domaines Maths '!F268,0)</f>
        <v>0</v>
      </c>
      <c r="G264" s="647"/>
    </row>
    <row r="265" spans="1:9" customFormat="1" ht="13.5" hidden="1" customHeight="1" thickBot="1" x14ac:dyDescent="0.3">
      <c r="A265" s="746"/>
      <c r="B265" s="8">
        <f>IF(AND('Items sous domaines Maths '!K269=6, 'Items sous domaines Maths '!K269&gt;0),'Items sous domaines Maths '!B269,0)</f>
        <v>0</v>
      </c>
      <c r="C265" s="8" t="b">
        <f>IF(AND('Items sous domaines Maths '!K269=6, 'Items sous domaines Maths '!K269&gt;0),'Items sous domaines Maths '!C269)</f>
        <v>0</v>
      </c>
      <c r="D265" s="8">
        <f>IF(AND('Items sous domaines Maths '!K269=6, 'Items sous domaines Maths '!K269&gt;0),'Items sous domaines Maths '!D269,0)</f>
        <v>0</v>
      </c>
      <c r="E265" s="8">
        <f>IF(AND('Items sous domaines Maths '!K269=6, 'Items sous domaines Maths '!K269&gt;0),'Items sous domaines Maths '!E269,0)</f>
        <v>0</v>
      </c>
      <c r="F265" s="9">
        <f>IF(AND('Items sous domaines Maths '!K269=6, 'Items sous domaines Maths '!K269&gt;0),'Items sous domaines Maths '!F269,0)</f>
        <v>0</v>
      </c>
      <c r="G265" s="647"/>
    </row>
    <row r="266" spans="1:9" customFormat="1" ht="13.5" hidden="1" customHeight="1" thickBot="1" x14ac:dyDescent="0.3">
      <c r="A266" s="746"/>
      <c r="B266" s="8">
        <f>IF(AND('Items sous domaines Maths '!K270=6, 'Items sous domaines Maths '!K270&gt;0),'Items sous domaines Maths '!B270,0)</f>
        <v>0</v>
      </c>
      <c r="C266" s="8" t="b">
        <f>IF(AND('Items sous domaines Maths '!K270=6, 'Items sous domaines Maths '!K270&gt;0),'Items sous domaines Maths '!C270)</f>
        <v>0</v>
      </c>
      <c r="D266" s="8">
        <f>IF(AND('Items sous domaines Maths '!K270=6, 'Items sous domaines Maths '!K270&gt;0),'Items sous domaines Maths '!D270,0)</f>
        <v>0</v>
      </c>
      <c r="E266" s="8">
        <f>IF(AND('Items sous domaines Maths '!K270=6, 'Items sous domaines Maths '!K270&gt;0),'Items sous domaines Maths '!E270,0)</f>
        <v>0</v>
      </c>
      <c r="F266" s="9">
        <f>IF(AND('Items sous domaines Maths '!K270=6, 'Items sous domaines Maths '!K270&gt;0),'Items sous domaines Maths '!F270,0)</f>
        <v>0</v>
      </c>
      <c r="G266" s="647"/>
    </row>
    <row r="267" spans="1:9" s="61" customFormat="1" ht="19.95" customHeight="1" thickTop="1" x14ac:dyDescent="0.25">
      <c r="A267" s="619"/>
      <c r="B267" s="271" t="str">
        <f>IF(AND('Items sous domaines Maths '!K271=6, 'Items sous domaines Maths '!K271&gt;0),'Items sous domaines Maths '!B271,0)</f>
        <v>Analyse</v>
      </c>
      <c r="C267" s="182" t="str">
        <f>IF(AND('Items sous domaines Maths '!K271=6, 'Items sous domaines Maths '!K271&gt;0),'Items sous domaines Maths '!C271)</f>
        <v>Intégrales multiples</v>
      </c>
      <c r="D267" s="182">
        <f>IF(AND('Items sous domaines Maths '!K271=6, 'Items sous domaines Maths '!K271&gt;0),'Items sous domaines Maths '!D271,0)</f>
        <v>0</v>
      </c>
      <c r="E267" s="182" t="str">
        <f>IF(AND('Items sous domaines Maths '!K271=6, 'Items sous domaines Maths '!K271&gt;0),'Items sous domaines Maths '!E271,0)</f>
        <v xml:space="preserve">Changement de variables </v>
      </c>
      <c r="F267" s="183" t="str">
        <f>IF(AND('Items sous domaines Maths '!K271=6, 'Items sous domaines Maths '!K271&gt;0),'Items sous domaines Maths '!F271,0)</f>
        <v>Changement de variables affine.</v>
      </c>
      <c r="G267" s="648"/>
      <c r="H267" s="190"/>
      <c r="I267" s="178"/>
    </row>
    <row r="268" spans="1:9" s="61" customFormat="1" ht="19.95" customHeight="1" thickBot="1" x14ac:dyDescent="0.3">
      <c r="A268" s="623"/>
      <c r="B268" s="273" t="str">
        <f>IF(AND('Items sous domaines Maths '!K272=6, 'Items sous domaines Maths '!K272&gt;0),'Items sous domaines Maths '!B272,0)</f>
        <v>Analyse</v>
      </c>
      <c r="C268" s="187" t="str">
        <f>IF(AND('Items sous domaines Maths '!K272=6, 'Items sous domaines Maths '!K272&gt;0),'Items sous domaines Maths '!C272)</f>
        <v>Intégrales multiples</v>
      </c>
      <c r="D268" s="187">
        <f>IF(AND('Items sous domaines Maths '!K272=6, 'Items sous domaines Maths '!K272&gt;0),'Items sous domaines Maths '!D272,0)</f>
        <v>0</v>
      </c>
      <c r="E268" s="187">
        <f>IF(AND('Items sous domaines Maths '!K272=6, 'Items sous domaines Maths '!K272&gt;0),'Items sous domaines Maths '!E272,0)</f>
        <v>0</v>
      </c>
      <c r="F268" s="188" t="str">
        <f>IF(AND('Items sous domaines Maths '!K272=6, 'Items sous domaines Maths '!K272&gt;0),'Items sous domaines Maths '!F272,0)</f>
        <v>Changement de variables polaire.</v>
      </c>
      <c r="G268" s="650"/>
      <c r="H268" s="191"/>
      <c r="I268" s="189"/>
    </row>
    <row r="269" spans="1:9" customFormat="1" ht="13.5" hidden="1" customHeight="1" thickTop="1" thickBot="1" x14ac:dyDescent="0.3">
      <c r="A269" s="746"/>
      <c r="B269">
        <f>IF(AND('Items sous domaines Maths '!K273=6, 'Items sous domaines Maths '!K273&gt;0),'Items sous domaines Maths '!B273,0)</f>
        <v>0</v>
      </c>
      <c r="C269" t="b">
        <f>IF(AND('Items sous domaines Maths '!K273=6, 'Items sous domaines Maths '!K273&gt;0),'Items sous domaines Maths '!C273)</f>
        <v>0</v>
      </c>
      <c r="D269">
        <f>IF(AND('Items sous domaines Maths '!K273=6, 'Items sous domaines Maths '!K273&gt;0),'Items sous domaines Maths '!D273,0)</f>
        <v>0</v>
      </c>
      <c r="E269">
        <f>IF(AND('Items sous domaines Maths '!K273=6, 'Items sous domaines Maths '!K273&gt;0),'Items sous domaines Maths '!E273,0)</f>
        <v>0</v>
      </c>
      <c r="F269" s="10">
        <f>IF(AND('Items sous domaines Maths '!K273=6, 'Items sous domaines Maths '!K273&gt;0),'Items sous domaines Maths '!F273,0)</f>
        <v>0</v>
      </c>
      <c r="G269" s="647"/>
    </row>
    <row r="270" spans="1:9" customFormat="1" ht="13.5" hidden="1" customHeight="1" thickBot="1" x14ac:dyDescent="0.3">
      <c r="A270" s="746"/>
      <c r="B270" s="8">
        <f>IF(AND('Items sous domaines Maths '!K274=6, 'Items sous domaines Maths '!K274&gt;0),'Items sous domaines Maths '!B274,0)</f>
        <v>0</v>
      </c>
      <c r="C270" s="8" t="b">
        <f>IF(AND('Items sous domaines Maths '!K274=6, 'Items sous domaines Maths '!K274&gt;0),'Items sous domaines Maths '!C274)</f>
        <v>0</v>
      </c>
      <c r="D270" s="8">
        <f>IF(AND('Items sous domaines Maths '!K274=6, 'Items sous domaines Maths '!K274&gt;0),'Items sous domaines Maths '!D274,0)</f>
        <v>0</v>
      </c>
      <c r="E270" s="8">
        <f>IF(AND('Items sous domaines Maths '!K274=6, 'Items sous domaines Maths '!K274&gt;0),'Items sous domaines Maths '!E274,0)</f>
        <v>0</v>
      </c>
      <c r="F270" s="9">
        <f>IF(AND('Items sous domaines Maths '!K274=6, 'Items sous domaines Maths '!K274&gt;0),'Items sous domaines Maths '!F274,0)</f>
        <v>0</v>
      </c>
      <c r="G270" s="647"/>
    </row>
    <row r="271" spans="1:9" s="61" customFormat="1" ht="19.95" customHeight="1" thickTop="1" x14ac:dyDescent="0.25">
      <c r="A271" s="619"/>
      <c r="B271" s="271" t="str">
        <f>IF(AND('Items sous domaines Maths '!K275=6, 'Items sous domaines Maths '!K275&gt;0),'Items sous domaines Maths '!B275,0)</f>
        <v>Analyse</v>
      </c>
      <c r="C271" s="182" t="str">
        <f>IF(AND('Items sous domaines Maths '!K275=6, 'Items sous domaines Maths '!K275&gt;0),'Items sous domaines Maths '!C275)</f>
        <v>Intégrales multiples</v>
      </c>
      <c r="D271" s="182">
        <f>IF(AND('Items sous domaines Maths '!K275=6, 'Items sous domaines Maths '!K275&gt;0),'Items sous domaines Maths '!D275,0)</f>
        <v>0</v>
      </c>
      <c r="E271" s="182" t="str">
        <f>IF(AND('Items sous domaines Maths '!K275=6, 'Items sous domaines Maths '!K275&gt;0),'Items sous domaines Maths '!E275,0)</f>
        <v xml:space="preserve">Changement de variables </v>
      </c>
      <c r="F271" s="183" t="str">
        <f>IF(AND('Items sous domaines Maths '!K275=6, 'Items sous domaines Maths '!K275&gt;0),'Items sous domaines Maths '!F275,0)</f>
        <v>Formule du Jacobien.</v>
      </c>
      <c r="G271" s="648"/>
      <c r="H271" s="190"/>
      <c r="I271" s="178"/>
    </row>
    <row r="272" spans="1:9" s="61" customFormat="1" ht="19.95" customHeight="1" x14ac:dyDescent="0.25">
      <c r="A272" s="620"/>
      <c r="B272" s="169" t="str">
        <f>IF(AND('Items sous domaines Maths '!K276=6, 'Items sous domaines Maths '!K276&gt;0),'Items sous domaines Maths '!B276,0)</f>
        <v>Analyse</v>
      </c>
      <c r="C272" s="142" t="str">
        <f>IF(AND('Items sous domaines Maths '!K276=6, 'Items sous domaines Maths '!K276&gt;0),'Items sous domaines Maths '!C276)</f>
        <v>Intégrales multiples</v>
      </c>
      <c r="D272" s="142">
        <f>IF(AND('Items sous domaines Maths '!K276=6, 'Items sous domaines Maths '!K276&gt;0),'Items sous domaines Maths '!D276,0)</f>
        <v>0</v>
      </c>
      <c r="E272" s="142">
        <f>IF(AND('Items sous domaines Maths '!K276=6, 'Items sous domaines Maths '!K276&gt;0),'Items sous domaines Maths '!E276,0)</f>
        <v>0</v>
      </c>
      <c r="F272" s="143" t="str">
        <f>IF(AND('Items sous domaines Maths '!K276=6, 'Items sous domaines Maths '!K276&gt;0),'Items sous domaines Maths '!F276,0)</f>
        <v>Changement de variables affine.</v>
      </c>
      <c r="G272" s="649"/>
      <c r="H272" s="114"/>
      <c r="I272" s="199"/>
    </row>
    <row r="273" spans="1:9" s="61" customFormat="1" ht="19.95" customHeight="1" x14ac:dyDescent="0.25">
      <c r="A273" s="620"/>
      <c r="B273" s="172" t="str">
        <f>IF(AND('Items sous domaines Maths '!K277=6, 'Items sous domaines Maths '!K277&gt;0),'Items sous domaines Maths '!B277,0)</f>
        <v>Analyse</v>
      </c>
      <c r="C273" s="145" t="str">
        <f>IF(AND('Items sous domaines Maths '!K277=6, 'Items sous domaines Maths '!K277&gt;0),'Items sous domaines Maths '!C277)</f>
        <v>Intégrales multiples</v>
      </c>
      <c r="D273" s="145">
        <f>IF(AND('Items sous domaines Maths '!K277=6, 'Items sous domaines Maths '!K277&gt;0),'Items sous domaines Maths '!D277,0)</f>
        <v>0</v>
      </c>
      <c r="E273" s="145">
        <f>IF(AND('Items sous domaines Maths '!K277=6, 'Items sous domaines Maths '!K277&gt;0),'Items sous domaines Maths '!E277,0)</f>
        <v>0</v>
      </c>
      <c r="F273" s="146" t="str">
        <f>IF(AND('Items sous domaines Maths '!K277=6, 'Items sous domaines Maths '!K277&gt;0),'Items sous domaines Maths '!F277,0)</f>
        <v>Changement de variables cylindrique.</v>
      </c>
      <c r="G273" s="649"/>
      <c r="H273" s="114"/>
      <c r="I273" s="199"/>
    </row>
    <row r="274" spans="1:9" s="61" customFormat="1" ht="19.95" customHeight="1" thickBot="1" x14ac:dyDescent="0.3">
      <c r="A274" s="623"/>
      <c r="B274" s="273" t="str">
        <f>IF(AND('Items sous domaines Maths '!K278=6, 'Items sous domaines Maths '!K278&gt;0),'Items sous domaines Maths '!B278,0)</f>
        <v>Analyse</v>
      </c>
      <c r="C274" s="187" t="str">
        <f>IF(AND('Items sous domaines Maths '!K278=6, 'Items sous domaines Maths '!K278&gt;0),'Items sous domaines Maths '!C278)</f>
        <v>Intégrales multiples</v>
      </c>
      <c r="D274" s="187">
        <f>IF(AND('Items sous domaines Maths '!K278=6, 'Items sous domaines Maths '!K278&gt;0),'Items sous domaines Maths '!D278,0)</f>
        <v>0</v>
      </c>
      <c r="E274" s="187">
        <f>IF(AND('Items sous domaines Maths '!K278=6, 'Items sous domaines Maths '!K278&gt;0),'Items sous domaines Maths '!E278,0)</f>
        <v>0</v>
      </c>
      <c r="F274" s="188" t="str">
        <f>IF(AND('Items sous domaines Maths '!K278=6, 'Items sous domaines Maths '!K278&gt;0),'Items sous domaines Maths '!F278,0)</f>
        <v>Changement de variables sphérique.</v>
      </c>
      <c r="G274" s="650"/>
      <c r="H274" s="191"/>
      <c r="I274" s="189"/>
    </row>
    <row r="275" spans="1:9" customFormat="1" ht="13.95" hidden="1" customHeight="1" thickTop="1" thickBot="1" x14ac:dyDescent="0.3">
      <c r="A275" s="746"/>
      <c r="B275">
        <f>IF(AND('Items sous domaines Maths '!K279=6, 'Items sous domaines Maths '!K279&gt;0),'Items sous domaines Maths '!B279,0)</f>
        <v>0</v>
      </c>
      <c r="C275" t="b">
        <f>IF(AND('Items sous domaines Maths '!K279=6, 'Items sous domaines Maths '!K279&gt;0),'Items sous domaines Maths '!C279)</f>
        <v>0</v>
      </c>
      <c r="D275">
        <f>IF(AND('Items sous domaines Maths '!K279=6, 'Items sous domaines Maths '!K279&gt;0),'Items sous domaines Maths '!D279,0)</f>
        <v>0</v>
      </c>
      <c r="E275">
        <f>IF(AND('Items sous domaines Maths '!K279=6, 'Items sous domaines Maths '!K279&gt;0),'Items sous domaines Maths '!E279,0)</f>
        <v>0</v>
      </c>
      <c r="F275" s="10">
        <f>IF(AND('Items sous domaines Maths '!K279=6, 'Items sous domaines Maths '!K279&gt;0),'Items sous domaines Maths '!F279,0)</f>
        <v>0</v>
      </c>
      <c r="G275">
        <f>IF('Items sous domaines Maths '!K279=6,'Items sous domaines Maths '!G279,0)</f>
        <v>0</v>
      </c>
    </row>
    <row r="276" spans="1:9" customFormat="1" ht="13.95" hidden="1" customHeight="1" thickBot="1" x14ac:dyDescent="0.3">
      <c r="A276" s="746"/>
      <c r="B276" s="8">
        <f>IF(AND('Items sous domaines Maths '!K280=6, 'Items sous domaines Maths '!K280&gt;0),'Items sous domaines Maths '!B280,0)</f>
        <v>0</v>
      </c>
      <c r="C276" s="8" t="b">
        <f>IF(AND('Items sous domaines Maths '!K280=6, 'Items sous domaines Maths '!K280&gt;0),'Items sous domaines Maths '!C280)</f>
        <v>0</v>
      </c>
      <c r="D276" s="8">
        <f>IF(AND('Items sous domaines Maths '!K280=6, 'Items sous domaines Maths '!K280&gt;0),'Items sous domaines Maths '!D280,0)</f>
        <v>0</v>
      </c>
      <c r="E276" s="8">
        <f>IF(AND('Items sous domaines Maths '!K280=6, 'Items sous domaines Maths '!K280&gt;0),'Items sous domaines Maths '!E280,0)</f>
        <v>0</v>
      </c>
      <c r="F276" s="9">
        <f>IF(AND('Items sous domaines Maths '!K280=6, 'Items sous domaines Maths '!K280&gt;0),'Items sous domaines Maths '!F280,0)</f>
        <v>0</v>
      </c>
      <c r="G276">
        <f>IF('Items sous domaines Maths '!K280=6,'Items sous domaines Maths '!G280,0)</f>
        <v>0</v>
      </c>
    </row>
    <row r="277" spans="1:9" customFormat="1" ht="13.95" hidden="1" customHeight="1" thickBot="1" x14ac:dyDescent="0.3">
      <c r="A277" s="746"/>
      <c r="B277" s="8">
        <f>IF(AND('Items sous domaines Maths '!K281=6, 'Items sous domaines Maths '!K281&gt;0),'Items sous domaines Maths '!B281,0)</f>
        <v>0</v>
      </c>
      <c r="C277" s="8" t="b">
        <f>IF(AND('Items sous domaines Maths '!K281=6, 'Items sous domaines Maths '!K281&gt;0),'Items sous domaines Maths '!C281)</f>
        <v>0</v>
      </c>
      <c r="D277" s="8">
        <f>IF(AND('Items sous domaines Maths '!K281=6, 'Items sous domaines Maths '!K281&gt;0),'Items sous domaines Maths '!D281,0)</f>
        <v>0</v>
      </c>
      <c r="E277" s="8">
        <f>IF(AND('Items sous domaines Maths '!K281=6, 'Items sous domaines Maths '!K281&gt;0),'Items sous domaines Maths '!E281,0)</f>
        <v>0</v>
      </c>
      <c r="F277" s="9">
        <f>IF(AND('Items sous domaines Maths '!K281=6, 'Items sous domaines Maths '!K281&gt;0),'Items sous domaines Maths '!F281,0)</f>
        <v>0</v>
      </c>
      <c r="G277">
        <f>IF('Items sous domaines Maths '!K281=6,'Items sous domaines Maths '!G281,0)</f>
        <v>0</v>
      </c>
    </row>
    <row r="278" spans="1:9" customFormat="1" ht="14.4" hidden="1" thickTop="1" thickBot="1" x14ac:dyDescent="0.3">
      <c r="B278" s="8">
        <f>IF(AND('Items sous domaines Maths '!K282=6, 'Items sous domaines Maths '!K282&gt;0),'Items sous domaines Maths '!B282,0)</f>
        <v>0</v>
      </c>
      <c r="C278" s="8" t="b">
        <f>IF(AND('Items sous domaines Maths '!K282=6, 'Items sous domaines Maths '!K282&gt;0),'Items sous domaines Maths '!C282)</f>
        <v>0</v>
      </c>
      <c r="D278" s="8">
        <f>IF(AND('Items sous domaines Maths '!K282=6, 'Items sous domaines Maths '!K282&gt;0),'Items sous domaines Maths '!D282,0)</f>
        <v>0</v>
      </c>
      <c r="E278" s="8">
        <f>IF(AND('Items sous domaines Maths '!K282=6, 'Items sous domaines Maths '!K282&gt;0),'Items sous domaines Maths '!E282,0)</f>
        <v>0</v>
      </c>
      <c r="F278" s="9">
        <f>IF(AND('Items sous domaines Maths '!K282=6, 'Items sous domaines Maths '!K282&gt;0),'Items sous domaines Maths '!F282,0)</f>
        <v>0</v>
      </c>
      <c r="G278">
        <f>IF('Items sous domaines Maths '!K282=6,'Items sous domaines Maths '!G282,0)</f>
        <v>0</v>
      </c>
    </row>
    <row r="279" spans="1:9" customFormat="1" ht="13.5" hidden="1" customHeight="1" thickBot="1" x14ac:dyDescent="0.3">
      <c r="A279" s="742" t="s">
        <v>844</v>
      </c>
      <c r="B279" s="8">
        <f>IF(AND('Items sous domaines Maths '!K283=6, 'Items sous domaines Maths '!K283&gt;0),'Items sous domaines Maths '!B283,0)</f>
        <v>0</v>
      </c>
      <c r="C279" s="8" t="b">
        <f>IF(AND('Items sous domaines Maths '!K283=6, 'Items sous domaines Maths '!K283&gt;0),'Items sous domaines Maths '!C283)</f>
        <v>0</v>
      </c>
      <c r="D279" s="8">
        <f>IF(AND('Items sous domaines Maths '!K283=6, 'Items sous domaines Maths '!K283&gt;0),'Items sous domaines Maths '!D283,0)</f>
        <v>0</v>
      </c>
      <c r="E279" s="8">
        <f>IF(AND('Items sous domaines Maths '!K283=6, 'Items sous domaines Maths '!K283&gt;0),'Items sous domaines Maths '!E283,0)</f>
        <v>0</v>
      </c>
      <c r="F279" s="9">
        <f>IF(AND('Items sous domaines Maths '!K283=6, 'Items sous domaines Maths '!K283&gt;0),'Items sous domaines Maths '!F283,0)</f>
        <v>0</v>
      </c>
      <c r="G279">
        <f>IF('Items sous domaines Maths '!K283=6,'Items sous domaines Maths '!G283,0)</f>
        <v>0</v>
      </c>
    </row>
    <row r="280" spans="1:9" customFormat="1" ht="13.95" hidden="1" customHeight="1" thickBot="1" x14ac:dyDescent="0.3">
      <c r="A280" s="743"/>
      <c r="B280" s="8">
        <f>IF(AND('Items sous domaines Maths '!K284=6, 'Items sous domaines Maths '!K284&gt;0),'Items sous domaines Maths '!B284,0)</f>
        <v>0</v>
      </c>
      <c r="C280" s="8" t="b">
        <f>IF(AND('Items sous domaines Maths '!K284=6, 'Items sous domaines Maths '!K284&gt;0),'Items sous domaines Maths '!C284)</f>
        <v>0</v>
      </c>
      <c r="D280" s="8">
        <f>IF(AND('Items sous domaines Maths '!K284=6, 'Items sous domaines Maths '!K284&gt;0),'Items sous domaines Maths '!D284,0)</f>
        <v>0</v>
      </c>
      <c r="E280" s="8">
        <f>IF(AND('Items sous domaines Maths '!K284=6, 'Items sous domaines Maths '!K284&gt;0),'Items sous domaines Maths '!E284,0)</f>
        <v>0</v>
      </c>
      <c r="F280" s="9">
        <f>IF(AND('Items sous domaines Maths '!K284=6, 'Items sous domaines Maths '!K284&gt;0),'Items sous domaines Maths '!F284,0)</f>
        <v>0</v>
      </c>
      <c r="G280">
        <f>IF('Items sous domaines Maths '!K284=6,'Items sous domaines Maths '!G284,0)</f>
        <v>0</v>
      </c>
    </row>
    <row r="281" spans="1:9" customFormat="1" ht="17.399999999999999" hidden="1" customHeight="1" thickBot="1" x14ac:dyDescent="0.3">
      <c r="A281" s="743"/>
      <c r="B281" s="8">
        <f>IF(AND('Items sous domaines Maths '!K285=6, 'Items sous domaines Maths '!K285&gt;0),'Items sous domaines Maths '!B285,0)</f>
        <v>0</v>
      </c>
      <c r="C281" s="8" t="b">
        <f>IF(AND('Items sous domaines Maths '!K285=6, 'Items sous domaines Maths '!K285&gt;0),'Items sous domaines Maths '!C285)</f>
        <v>0</v>
      </c>
      <c r="D281" s="8">
        <f>IF(AND('Items sous domaines Maths '!K285=6, 'Items sous domaines Maths '!K285&gt;0),'Items sous domaines Maths '!D285,0)</f>
        <v>0</v>
      </c>
      <c r="E281" s="8">
        <f>IF(AND('Items sous domaines Maths '!K285=6, 'Items sous domaines Maths '!K285&gt;0),'Items sous domaines Maths '!E285,0)</f>
        <v>0</v>
      </c>
      <c r="F281" s="9">
        <f>IF(AND('Items sous domaines Maths '!K285=6, 'Items sous domaines Maths '!K285&gt;0),'Items sous domaines Maths '!F285,0)</f>
        <v>0</v>
      </c>
      <c r="G281">
        <f>IF('Items sous domaines Maths '!K285=6,'Items sous domaines Maths '!G285,0)</f>
        <v>0</v>
      </c>
    </row>
    <row r="282" spans="1:9" customFormat="1" ht="17.399999999999999" hidden="1" customHeight="1" thickBot="1" x14ac:dyDescent="0.3">
      <c r="A282" s="743"/>
      <c r="B282" s="8">
        <f>IF(AND('Items sous domaines Maths '!K286=6, 'Items sous domaines Maths '!K286&gt;0),'Items sous domaines Maths '!B286,0)</f>
        <v>0</v>
      </c>
      <c r="C282" s="8" t="b">
        <f>IF(AND('Items sous domaines Maths '!K286=6, 'Items sous domaines Maths '!K286&gt;0),'Items sous domaines Maths '!C286)</f>
        <v>0</v>
      </c>
      <c r="D282" s="8">
        <f>IF(AND('Items sous domaines Maths '!K286=6, 'Items sous domaines Maths '!K286&gt;0),'Items sous domaines Maths '!D286,0)</f>
        <v>0</v>
      </c>
      <c r="E282" s="8">
        <f>IF(AND('Items sous domaines Maths '!K286=6, 'Items sous domaines Maths '!K286&gt;0),'Items sous domaines Maths '!E286,0)</f>
        <v>0</v>
      </c>
      <c r="F282" s="9">
        <f>IF(AND('Items sous domaines Maths '!K286=6, 'Items sous domaines Maths '!K286&gt;0),'Items sous domaines Maths '!F286,0)</f>
        <v>0</v>
      </c>
      <c r="G282">
        <f>IF('Items sous domaines Maths '!K286=6,'Items sous domaines Maths '!G286,0)</f>
        <v>0</v>
      </c>
    </row>
    <row r="283" spans="1:9" customFormat="1" ht="17.399999999999999" hidden="1" customHeight="1" thickBot="1" x14ac:dyDescent="0.3">
      <c r="A283" s="743"/>
      <c r="B283" s="8">
        <f>IF(AND('Items sous domaines Maths '!K287=6, 'Items sous domaines Maths '!K287&gt;0),'Items sous domaines Maths '!B287,0)</f>
        <v>0</v>
      </c>
      <c r="C283" s="8" t="b">
        <f>IF(AND('Items sous domaines Maths '!K287=6, 'Items sous domaines Maths '!K287&gt;0),'Items sous domaines Maths '!C287)</f>
        <v>0</v>
      </c>
      <c r="D283" s="8">
        <f>IF(AND('Items sous domaines Maths '!K287=6, 'Items sous domaines Maths '!K287&gt;0),'Items sous domaines Maths '!D287,0)</f>
        <v>0</v>
      </c>
      <c r="E283" s="8">
        <f>IF(AND('Items sous domaines Maths '!K287=6, 'Items sous domaines Maths '!K287&gt;0),'Items sous domaines Maths '!E287,0)</f>
        <v>0</v>
      </c>
      <c r="F283" s="9">
        <f>IF(AND('Items sous domaines Maths '!K287=6, 'Items sous domaines Maths '!K287&gt;0),'Items sous domaines Maths '!F287,0)</f>
        <v>0</v>
      </c>
      <c r="G283">
        <f>IF('Items sous domaines Maths '!K287=6,'Items sous domaines Maths '!G287,0)</f>
        <v>0</v>
      </c>
    </row>
    <row r="284" spans="1:9" customFormat="1" ht="17.399999999999999" hidden="1" customHeight="1" thickBot="1" x14ac:dyDescent="0.3">
      <c r="A284" s="743"/>
      <c r="B284" s="8">
        <f>IF(AND('Items sous domaines Maths '!K288=6, 'Items sous domaines Maths '!K288&gt;0),'Items sous domaines Maths '!B288,0)</f>
        <v>0</v>
      </c>
      <c r="C284" s="8" t="b">
        <f>IF(AND('Items sous domaines Maths '!K288=6, 'Items sous domaines Maths '!K288&gt;0),'Items sous domaines Maths '!C288)</f>
        <v>0</v>
      </c>
      <c r="D284" s="8">
        <f>IF(AND('Items sous domaines Maths '!K288=6, 'Items sous domaines Maths '!K288&gt;0),'Items sous domaines Maths '!D288,0)</f>
        <v>0</v>
      </c>
      <c r="E284" s="8">
        <f>IF(AND('Items sous domaines Maths '!K288=6, 'Items sous domaines Maths '!K288&gt;0),'Items sous domaines Maths '!E288,0)</f>
        <v>0</v>
      </c>
      <c r="F284" s="9">
        <f>IF(AND('Items sous domaines Maths '!K288=6, 'Items sous domaines Maths '!K288&gt;0),'Items sous domaines Maths '!F288,0)</f>
        <v>0</v>
      </c>
      <c r="G284">
        <f>IF('Items sous domaines Maths '!K288=6,'Items sous domaines Maths '!G288,0)</f>
        <v>0</v>
      </c>
    </row>
    <row r="285" spans="1:9" customFormat="1" ht="17.399999999999999" hidden="1" customHeight="1" thickBot="1" x14ac:dyDescent="0.3">
      <c r="A285" s="743"/>
      <c r="B285" s="8">
        <f>IF(AND('Items sous domaines Maths '!K289=6, 'Items sous domaines Maths '!K289&gt;0),'Items sous domaines Maths '!B289,0)</f>
        <v>0</v>
      </c>
      <c r="C285" s="8" t="b">
        <f>IF(AND('Items sous domaines Maths '!K289=6, 'Items sous domaines Maths '!K289&gt;0),'Items sous domaines Maths '!C289)</f>
        <v>0</v>
      </c>
      <c r="D285" s="8">
        <f>IF(AND('Items sous domaines Maths '!K289=6, 'Items sous domaines Maths '!K289&gt;0),'Items sous domaines Maths '!D289,0)</f>
        <v>0</v>
      </c>
      <c r="E285" s="8">
        <f>IF(AND('Items sous domaines Maths '!K289=6, 'Items sous domaines Maths '!K289&gt;0),'Items sous domaines Maths '!E289,0)</f>
        <v>0</v>
      </c>
      <c r="F285" s="9">
        <f>IF(AND('Items sous domaines Maths '!K289=6, 'Items sous domaines Maths '!K289&gt;0),'Items sous domaines Maths '!F289,0)</f>
        <v>0</v>
      </c>
      <c r="G285">
        <f>IF('Items sous domaines Maths '!K289=6,'Items sous domaines Maths '!G289,0)</f>
        <v>0</v>
      </c>
    </row>
    <row r="286" spans="1:9" customFormat="1" ht="17.399999999999999" hidden="1" customHeight="1" thickBot="1" x14ac:dyDescent="0.3">
      <c r="A286" s="743"/>
      <c r="B286" s="8">
        <f>IF(AND('Items sous domaines Maths '!K290=6, 'Items sous domaines Maths '!K290&gt;0),'Items sous domaines Maths '!B290,0)</f>
        <v>0</v>
      </c>
      <c r="C286" s="8" t="b">
        <f>IF(AND('Items sous domaines Maths '!K290=6, 'Items sous domaines Maths '!K290&gt;0),'Items sous domaines Maths '!C290)</f>
        <v>0</v>
      </c>
      <c r="D286" s="8">
        <f>IF(AND('Items sous domaines Maths '!K290=6, 'Items sous domaines Maths '!K290&gt;0),'Items sous domaines Maths '!D290,0)</f>
        <v>0</v>
      </c>
      <c r="E286" s="8">
        <f>IF(AND('Items sous domaines Maths '!K290=6, 'Items sous domaines Maths '!K290&gt;0),'Items sous domaines Maths '!E290,0)</f>
        <v>0</v>
      </c>
      <c r="F286" s="9">
        <f>IF(AND('Items sous domaines Maths '!K290=6, 'Items sous domaines Maths '!K290&gt;0),'Items sous domaines Maths '!F290,0)</f>
        <v>0</v>
      </c>
      <c r="G286">
        <f>IF('Items sous domaines Maths '!K290=6,'Items sous domaines Maths '!G290,0)</f>
        <v>0</v>
      </c>
    </row>
    <row r="287" spans="1:9" s="61" customFormat="1" ht="19.95" customHeight="1" thickTop="1" thickBot="1" x14ac:dyDescent="0.3">
      <c r="A287" s="670"/>
      <c r="B287" s="276" t="str">
        <f>IF(AND('Items sous domaines Maths '!K291=6, 'Items sous domaines Maths '!K291&gt;0),'Items sous domaines Maths '!B291,0)</f>
        <v>Analyse</v>
      </c>
      <c r="C287" s="201" t="str">
        <f>IF(AND('Items sous domaines Maths '!K291=6, 'Items sous domaines Maths '!K291&gt;0),'Items sous domaines Maths '!C291)</f>
        <v>Les équations différentielles</v>
      </c>
      <c r="D287" s="201">
        <f>IF(AND('Items sous domaines Maths '!K291=6, 'Items sous domaines Maths '!K291&gt;0),'Items sous domaines Maths '!D291,0)</f>
        <v>0</v>
      </c>
      <c r="E287" s="201" t="str">
        <f>IF(AND('Items sous domaines Maths '!K291=6, 'Items sous domaines Maths '!K291&gt;0),'Items sous domaines Maths '!E291,0)</f>
        <v>Méthode de variation de la constante</v>
      </c>
      <c r="F287" s="202">
        <f>IF(AND('Items sous domaines Maths '!K291=6, 'Items sous domaines Maths '!K291&gt;0),'Items sous domaines Maths '!F291,0)</f>
        <v>0</v>
      </c>
      <c r="G287" s="748" t="s">
        <v>486</v>
      </c>
      <c r="H287" s="277" t="s">
        <v>481</v>
      </c>
      <c r="I287" s="198"/>
    </row>
    <row r="288" spans="1:9" customFormat="1" ht="17.399999999999999" hidden="1" customHeight="1" thickTop="1" thickBot="1" x14ac:dyDescent="0.3">
      <c r="A288" s="743"/>
      <c r="B288">
        <f>IF(AND('Items sous domaines Maths '!K292=6, 'Items sous domaines Maths '!K292&gt;0),'Items sous domaines Maths '!B292,0)</f>
        <v>0</v>
      </c>
      <c r="C288" t="b">
        <f>IF(AND('Items sous domaines Maths '!K292=6, 'Items sous domaines Maths '!K292&gt;0),'Items sous domaines Maths '!C292)</f>
        <v>0</v>
      </c>
      <c r="D288">
        <f>IF(AND('Items sous domaines Maths '!K292=6, 'Items sous domaines Maths '!K292&gt;0),'Items sous domaines Maths '!D292,0)</f>
        <v>0</v>
      </c>
      <c r="E288">
        <f>IF(AND('Items sous domaines Maths '!K292=6, 'Items sous domaines Maths '!K292&gt;0),'Items sous domaines Maths '!E292,0)</f>
        <v>0</v>
      </c>
      <c r="F288" s="10">
        <f>IF(AND('Items sous domaines Maths '!K292=6, 'Items sous domaines Maths '!K292&gt;0),'Items sous domaines Maths '!F292,0)</f>
        <v>0</v>
      </c>
      <c r="G288" s="647"/>
    </row>
    <row r="289" spans="1:9" customFormat="1" ht="17.399999999999999" hidden="1" customHeight="1" thickBot="1" x14ac:dyDescent="0.3">
      <c r="A289" s="743"/>
      <c r="B289" s="8">
        <f>IF(AND('Items sous domaines Maths '!K293=6, 'Items sous domaines Maths '!K293&gt;0),'Items sous domaines Maths '!B293,0)</f>
        <v>0</v>
      </c>
      <c r="C289" s="8" t="b">
        <f>IF(AND('Items sous domaines Maths '!K293=6, 'Items sous domaines Maths '!K293&gt;0),'Items sous domaines Maths '!C293)</f>
        <v>0</v>
      </c>
      <c r="D289" s="8">
        <f>IF(AND('Items sous domaines Maths '!K293=6, 'Items sous domaines Maths '!K293&gt;0),'Items sous domaines Maths '!D293,0)</f>
        <v>0</v>
      </c>
      <c r="E289" s="8">
        <f>IF(AND('Items sous domaines Maths '!K293=6, 'Items sous domaines Maths '!K293&gt;0),'Items sous domaines Maths '!E293,0)</f>
        <v>0</v>
      </c>
      <c r="F289" s="9">
        <f>IF(AND('Items sous domaines Maths '!K293=6, 'Items sous domaines Maths '!K293&gt;0),'Items sous domaines Maths '!F293,0)</f>
        <v>0</v>
      </c>
      <c r="G289" s="647"/>
    </row>
    <row r="290" spans="1:9" customFormat="1" ht="17.399999999999999" hidden="1" customHeight="1" thickBot="1" x14ac:dyDescent="0.3">
      <c r="A290" s="743"/>
      <c r="B290" s="8">
        <f>IF(AND('Items sous domaines Maths '!K294=6, 'Items sous domaines Maths '!K294&gt;0),'Items sous domaines Maths '!B294,0)</f>
        <v>0</v>
      </c>
      <c r="C290" s="8" t="b">
        <f>IF(AND('Items sous domaines Maths '!K294=6, 'Items sous domaines Maths '!K294&gt;0),'Items sous domaines Maths '!C294)</f>
        <v>0</v>
      </c>
      <c r="D290" s="8">
        <f>IF(AND('Items sous domaines Maths '!K294=6, 'Items sous domaines Maths '!K294&gt;0),'Items sous domaines Maths '!D294,0)</f>
        <v>0</v>
      </c>
      <c r="E290" s="8">
        <f>IF(AND('Items sous domaines Maths '!K294=6, 'Items sous domaines Maths '!K294&gt;0),'Items sous domaines Maths '!E294,0)</f>
        <v>0</v>
      </c>
      <c r="F290" s="9">
        <f>IF(AND('Items sous domaines Maths '!K294=6, 'Items sous domaines Maths '!K294&gt;0),'Items sous domaines Maths '!F294,0)</f>
        <v>0</v>
      </c>
      <c r="G290" s="647"/>
    </row>
    <row r="291" spans="1:9" customFormat="1" ht="17.399999999999999" hidden="1" customHeight="1" thickBot="1" x14ac:dyDescent="0.3">
      <c r="A291" s="743"/>
      <c r="B291" s="8">
        <f>IF(AND('Items sous domaines Maths '!K295=6, 'Items sous domaines Maths '!K295&gt;0),'Items sous domaines Maths '!B295,0)</f>
        <v>0</v>
      </c>
      <c r="C291" s="8" t="b">
        <f>IF(AND('Items sous domaines Maths '!K295=6, 'Items sous domaines Maths '!K295&gt;0),'Items sous domaines Maths '!C295)</f>
        <v>0</v>
      </c>
      <c r="D291" s="8">
        <f>IF(AND('Items sous domaines Maths '!K295=6, 'Items sous domaines Maths '!K295&gt;0),'Items sous domaines Maths '!D295,0)</f>
        <v>0</v>
      </c>
      <c r="E291" s="8">
        <f>IF(AND('Items sous domaines Maths '!K295=6, 'Items sous domaines Maths '!K295&gt;0),'Items sous domaines Maths '!E295,0)</f>
        <v>0</v>
      </c>
      <c r="F291" s="9">
        <f>IF(AND('Items sous domaines Maths '!K295=6, 'Items sous domaines Maths '!K295&gt;0),'Items sous domaines Maths '!F295,0)</f>
        <v>0</v>
      </c>
      <c r="G291" s="647"/>
    </row>
    <row r="292" spans="1:9" customFormat="1" ht="17.399999999999999" hidden="1" customHeight="1" thickBot="1" x14ac:dyDescent="0.3">
      <c r="A292" s="743"/>
      <c r="B292" s="8">
        <f>IF(AND('Items sous domaines Maths '!K296=6, 'Items sous domaines Maths '!K296&gt;0),'Items sous domaines Maths '!B296,0)</f>
        <v>0</v>
      </c>
      <c r="C292" s="8" t="b">
        <f>IF(AND('Items sous domaines Maths '!K296=6, 'Items sous domaines Maths '!K296&gt;0),'Items sous domaines Maths '!C296)</f>
        <v>0</v>
      </c>
      <c r="D292" s="8">
        <f>IF(AND('Items sous domaines Maths '!K296=6, 'Items sous domaines Maths '!K296&gt;0),'Items sous domaines Maths '!D296,0)</f>
        <v>0</v>
      </c>
      <c r="E292" s="8">
        <f>IF(AND('Items sous domaines Maths '!K296=6, 'Items sous domaines Maths '!K296&gt;0),'Items sous domaines Maths '!E296,0)</f>
        <v>0</v>
      </c>
      <c r="F292" s="9">
        <f>IF(AND('Items sous domaines Maths '!K296=6, 'Items sous domaines Maths '!K296&gt;0),'Items sous domaines Maths '!F296,0)</f>
        <v>0</v>
      </c>
      <c r="G292" s="647"/>
    </row>
    <row r="293" spans="1:9" customFormat="1" ht="17.399999999999999" hidden="1" customHeight="1" thickBot="1" x14ac:dyDescent="0.3">
      <c r="A293" s="743"/>
      <c r="B293" s="8">
        <f>IF(AND('Items sous domaines Maths '!K297=6, 'Items sous domaines Maths '!K297&gt;0),'Items sous domaines Maths '!B297,0)</f>
        <v>0</v>
      </c>
      <c r="C293" s="8" t="b">
        <f>IF(AND('Items sous domaines Maths '!K297=6, 'Items sous domaines Maths '!K297&gt;0),'Items sous domaines Maths '!C297)</f>
        <v>0</v>
      </c>
      <c r="D293" s="8">
        <f>IF(AND('Items sous domaines Maths '!K297=6, 'Items sous domaines Maths '!K297&gt;0),'Items sous domaines Maths '!D297,0)</f>
        <v>0</v>
      </c>
      <c r="E293" s="8">
        <f>IF(AND('Items sous domaines Maths '!K297=6, 'Items sous domaines Maths '!K297&gt;0),'Items sous domaines Maths '!E297,0)</f>
        <v>0</v>
      </c>
      <c r="F293" s="9">
        <f>IF(AND('Items sous domaines Maths '!K297=6, 'Items sous domaines Maths '!K297&gt;0),'Items sous domaines Maths '!F297,0)</f>
        <v>0</v>
      </c>
      <c r="G293" s="647"/>
    </row>
    <row r="294" spans="1:9" customFormat="1" ht="17.399999999999999" hidden="1" customHeight="1" thickBot="1" x14ac:dyDescent="0.3">
      <c r="A294" s="743"/>
      <c r="B294" s="8">
        <f>IF(AND('Items sous domaines Maths '!K298=6, 'Items sous domaines Maths '!K298&gt;0),'Items sous domaines Maths '!B298,0)</f>
        <v>0</v>
      </c>
      <c r="C294" s="8" t="b">
        <f>IF(AND('Items sous domaines Maths '!K298=6, 'Items sous domaines Maths '!K298&gt;0),'Items sous domaines Maths '!C298)</f>
        <v>0</v>
      </c>
      <c r="D294" s="8">
        <f>IF(AND('Items sous domaines Maths '!K298=6, 'Items sous domaines Maths '!K298&gt;0),'Items sous domaines Maths '!D298,0)</f>
        <v>0</v>
      </c>
      <c r="E294" s="8">
        <f>IF(AND('Items sous domaines Maths '!K298=6, 'Items sous domaines Maths '!K298&gt;0),'Items sous domaines Maths '!E298,0)</f>
        <v>0</v>
      </c>
      <c r="F294" s="9">
        <f>IF(AND('Items sous domaines Maths '!K298=6, 'Items sous domaines Maths '!K298&gt;0),'Items sous domaines Maths '!F298,0)</f>
        <v>0</v>
      </c>
      <c r="G294" s="647"/>
    </row>
    <row r="295" spans="1:9" s="61" customFormat="1" ht="19.95" customHeight="1" thickTop="1" thickBot="1" x14ac:dyDescent="0.3">
      <c r="A295" s="747"/>
      <c r="B295" s="279" t="str">
        <f>IF(AND('Items sous domaines Maths '!K299=6, 'Items sous domaines Maths '!K299&gt;0),'Items sous domaines Maths '!B299,0)</f>
        <v>Analyse</v>
      </c>
      <c r="C295" s="280" t="str">
        <f>IF(AND('Items sous domaines Maths '!K299=6, 'Items sous domaines Maths '!K299&gt;0),'Items sous domaines Maths '!C299)</f>
        <v>Les équations différentielles</v>
      </c>
      <c r="D295" s="280">
        <f>IF(AND('Items sous domaines Maths '!K299=6, 'Items sous domaines Maths '!K299&gt;0),'Items sous domaines Maths '!D299,0)</f>
        <v>0</v>
      </c>
      <c r="E295" s="280" t="str">
        <f>IF(AND('Items sous domaines Maths '!K299=6, 'Items sous domaines Maths '!K299&gt;0),'Items sous domaines Maths '!E299,0)</f>
        <v>Résolution par changement de variable</v>
      </c>
      <c r="F295" s="281">
        <f>IF(AND('Items sous domaines Maths '!K299=6, 'Items sous domaines Maths '!K299&gt;0),'Items sous domaines Maths '!F299,0)</f>
        <v>0</v>
      </c>
      <c r="G295" s="749"/>
      <c r="H295" s="190"/>
      <c r="I295" s="178"/>
    </row>
    <row r="296" spans="1:9" s="61" customFormat="1" ht="19.95" customHeight="1" x14ac:dyDescent="0.25">
      <c r="A296" s="621" t="s">
        <v>844</v>
      </c>
      <c r="B296" s="171" t="str">
        <f>IF(AND('Items sous domaines Maths '!K300=6, 'Items sous domaines Maths '!K300&gt;0),'Items sous domaines Maths '!B300,0)</f>
        <v>Analyse</v>
      </c>
      <c r="C296" s="139">
        <f>IF(AND('Items sous domaines Maths '!K300=6, 'Items sous domaines Maths '!K300&gt;0),'Items sous domaines Maths '!C300)</f>
        <v>0</v>
      </c>
      <c r="D296" s="139" t="str">
        <f>IF(AND('Items sous domaines Maths '!K300=6, 'Items sous domaines Maths '!K300&gt;0),'Items sous domaines Maths '!D300,0)</f>
        <v>Transformée de Laplace</v>
      </c>
      <c r="E296" s="139">
        <f>IF(AND('Items sous domaines Maths '!K300=6, 'Items sous domaines Maths '!K300&gt;0),'Items sous domaines Maths '!E300,0)</f>
        <v>0</v>
      </c>
      <c r="F296" s="140">
        <f>IF(AND('Items sous domaines Maths '!K300=6, 'Items sous domaines Maths '!K300&gt;0),'Items sous domaines Maths '!F300,0)</f>
        <v>0</v>
      </c>
      <c r="G296" s="649" t="s">
        <v>487</v>
      </c>
      <c r="H296" s="114"/>
      <c r="I296" s="199"/>
    </row>
    <row r="297" spans="1:9" s="61" customFormat="1" ht="19.95" customHeight="1" x14ac:dyDescent="0.25">
      <c r="A297" s="620"/>
      <c r="B297" s="169" t="str">
        <f>IF(AND('Items sous domaines Maths '!K301=6, 'Items sous domaines Maths '!K301&gt;0),'Items sous domaines Maths '!B301,0)</f>
        <v>Analyse</v>
      </c>
      <c r="C297" s="142" t="str">
        <f>IF(AND('Items sous domaines Maths '!K301=6, 'Items sous domaines Maths '!K301&gt;0),'Items sous domaines Maths '!C301)</f>
        <v>Transformée de Laplace</v>
      </c>
      <c r="D297" s="142" t="str">
        <f>IF(AND('Items sous domaines Maths '!K301=6, 'Items sous domaines Maths '!K301&gt;0),'Items sous domaines Maths '!D301,0)</f>
        <v>Transformée</v>
      </c>
      <c r="E297" s="142" t="str">
        <f>IF(AND('Items sous domaines Maths '!K301=6, 'Items sous domaines Maths '!K301&gt;0),'Items sous domaines Maths '!E301,0)</f>
        <v>Transformée en p</v>
      </c>
      <c r="F297" s="143" t="str">
        <f>IF(AND('Items sous domaines Maths '!K301=6, 'Items sous domaines Maths '!K301&gt;0),'Items sous domaines Maths '!F301,0)</f>
        <v>Echelon unité.</v>
      </c>
      <c r="G297" s="649"/>
      <c r="H297" s="470" t="s">
        <v>488</v>
      </c>
      <c r="I297" s="199"/>
    </row>
    <row r="298" spans="1:9" s="61" customFormat="1" ht="19.95" customHeight="1" x14ac:dyDescent="0.25">
      <c r="A298" s="620"/>
      <c r="B298" s="172" t="str">
        <f>IF(AND('Items sous domaines Maths '!K302=6, 'Items sous domaines Maths '!K302&gt;0),'Items sous domaines Maths '!B302,0)</f>
        <v>Analyse</v>
      </c>
      <c r="C298" s="145" t="str">
        <f>IF(AND('Items sous domaines Maths '!K302=6, 'Items sous domaines Maths '!K302&gt;0),'Items sous domaines Maths '!C302)</f>
        <v>Transformée de Laplace</v>
      </c>
      <c r="D298" s="145">
        <f>IF(AND('Items sous domaines Maths '!K302=6, 'Items sous domaines Maths '!K302&gt;0),'Items sous domaines Maths '!D302,0)</f>
        <v>0</v>
      </c>
      <c r="E298" s="145" t="str">
        <f>IF(AND('Items sous domaines Maths '!K302=6, 'Items sous domaines Maths '!K302&gt;0),'Items sous domaines Maths '!E302,0)</f>
        <v>Transformées usuelles, transformées inverses</v>
      </c>
      <c r="F298" s="146">
        <f>IF(AND('Items sous domaines Maths '!K302=6, 'Items sous domaines Maths '!K302&gt;0),'Items sous domaines Maths '!F302,0)</f>
        <v>0</v>
      </c>
      <c r="G298" s="649"/>
      <c r="H298" s="470"/>
      <c r="I298" s="199"/>
    </row>
    <row r="299" spans="1:9" s="61" customFormat="1" ht="19.95" customHeight="1" x14ac:dyDescent="0.25">
      <c r="A299" s="620"/>
      <c r="B299" s="169" t="str">
        <f>IF(AND('Items sous domaines Maths '!K303=6, 'Items sous domaines Maths '!K303&gt;0),'Items sous domaines Maths '!B303,0)</f>
        <v>Analyse</v>
      </c>
      <c r="C299" s="142" t="str">
        <f>IF(AND('Items sous domaines Maths '!K303=6, 'Items sous domaines Maths '!K303&gt;0),'Items sous domaines Maths '!C303)</f>
        <v>Transformée de Laplace</v>
      </c>
      <c r="D299" s="142">
        <f>IF(AND('Items sous domaines Maths '!K303=6, 'Items sous domaines Maths '!K303&gt;0),'Items sous domaines Maths '!D303,0)</f>
        <v>0</v>
      </c>
      <c r="E299" s="142" t="str">
        <f>IF(AND('Items sous domaines Maths '!K303=6, 'Items sous domaines Maths '!K303&gt;0),'Items sous domaines Maths '!E303,0)</f>
        <v>Transformée d'une dérivée</v>
      </c>
      <c r="F299" s="143">
        <f>IF(AND('Items sous domaines Maths '!K303=6, 'Items sous domaines Maths '!K303&gt;0),'Items sous domaines Maths '!F303,0)</f>
        <v>0</v>
      </c>
      <c r="G299" s="649"/>
      <c r="H299" s="470"/>
      <c r="I299" s="199"/>
    </row>
    <row r="300" spans="1:9" s="61" customFormat="1" ht="19.95" customHeight="1" x14ac:dyDescent="0.25">
      <c r="A300" s="620"/>
      <c r="B300" s="172" t="str">
        <f>IF(AND('Items sous domaines Maths '!K304=6, 'Items sous domaines Maths '!K304&gt;0),'Items sous domaines Maths '!B304,0)</f>
        <v>Analyse</v>
      </c>
      <c r="C300" s="145" t="str">
        <f>IF(AND('Items sous domaines Maths '!K304=6, 'Items sous domaines Maths '!K304&gt;0),'Items sous domaines Maths '!C304)</f>
        <v>Transformée de Laplace</v>
      </c>
      <c r="D300" s="145" t="str">
        <f>IF(AND('Items sous domaines Maths '!K304=6, 'Items sous domaines Maths '!K304&gt;0),'Items sous domaines Maths '!D304,0)</f>
        <v>Utilisation</v>
      </c>
      <c r="E300" s="145" t="str">
        <f>IF(AND('Items sous domaines Maths '!K304=6, 'Items sous domaines Maths '!K304&gt;0),'Items sous domaines Maths '!E304,0)</f>
        <v>Retard, changement d'échelle</v>
      </c>
      <c r="F300" s="146">
        <f>IF(AND('Items sous domaines Maths '!K304=6, 'Items sous domaines Maths '!K304&gt;0),'Items sous domaines Maths '!F304,0)</f>
        <v>0</v>
      </c>
      <c r="G300" s="649"/>
      <c r="H300" s="470"/>
      <c r="I300" s="199"/>
    </row>
    <row r="301" spans="1:9" s="61" customFormat="1" ht="19.95" customHeight="1" x14ac:dyDescent="0.25">
      <c r="A301" s="620"/>
      <c r="B301" s="169" t="str">
        <f>IF(AND('Items sous domaines Maths '!K305=6, 'Items sous domaines Maths '!K305&gt;0),'Items sous domaines Maths '!B305,0)</f>
        <v>Analyse</v>
      </c>
      <c r="C301" s="142" t="str">
        <f>IF(AND('Items sous domaines Maths '!K305=6, 'Items sous domaines Maths '!K305&gt;0),'Items sous domaines Maths '!C305)</f>
        <v>Transformée de Laplace</v>
      </c>
      <c r="D301" s="142">
        <f>IF(AND('Items sous domaines Maths '!K305=6, 'Items sous domaines Maths '!K305&gt;0),'Items sous domaines Maths '!D305,0)</f>
        <v>0</v>
      </c>
      <c r="E301" s="142" t="str">
        <f>IF(AND('Items sous domaines Maths '!K305=6, 'Items sous domaines Maths '!K305&gt;0),'Items sous domaines Maths '!E305,0)</f>
        <v>Fonctions de transfert</v>
      </c>
      <c r="F301" s="143" t="str">
        <f>IF(AND('Items sous domaines Maths '!K305=6, 'Items sous domaines Maths '!K305&gt;0),'Items sous domaines Maths '!F305,0)</f>
        <v>Lien avec l'automatique.</v>
      </c>
      <c r="G301" s="649"/>
      <c r="H301" s="470"/>
      <c r="I301" s="199"/>
    </row>
    <row r="302" spans="1:9" s="61" customFormat="1" ht="19.95" customHeight="1" thickBot="1" x14ac:dyDescent="0.3">
      <c r="A302" s="623"/>
      <c r="B302" s="274" t="str">
        <f>IF(AND('Items sous domaines Maths '!K306=6, 'Items sous domaines Maths '!K306&gt;0),'Items sous domaines Maths '!B306,0)</f>
        <v>Analyse</v>
      </c>
      <c r="C302" s="193" t="str">
        <f>IF(AND('Items sous domaines Maths '!K306=6, 'Items sous domaines Maths '!K306&gt;0),'Items sous domaines Maths '!C306)</f>
        <v>Transformée de Laplace</v>
      </c>
      <c r="D302" s="193">
        <f>IF(AND('Items sous domaines Maths '!K306=6, 'Items sous domaines Maths '!K306&gt;0),'Items sous domaines Maths '!D306,0)</f>
        <v>0</v>
      </c>
      <c r="E302" s="193" t="str">
        <f>IF(AND('Items sous domaines Maths '!K306=6, 'Items sous domaines Maths '!K306&gt;0),'Items sous domaines Maths '!E306,0)</f>
        <v>Application à la résolution d'équations différentielles</v>
      </c>
      <c r="F302" s="194">
        <f>IF(AND('Items sous domaines Maths '!K306=6, 'Items sous domaines Maths '!K306&gt;0),'Items sous domaines Maths '!F306,0)</f>
        <v>0</v>
      </c>
      <c r="G302" s="650"/>
      <c r="H302" s="640"/>
      <c r="I302" s="189"/>
    </row>
    <row r="303" spans="1:9" customFormat="1" ht="17.399999999999999" hidden="1" customHeight="1" thickTop="1" thickBot="1" x14ac:dyDescent="0.3">
      <c r="B303">
        <f>IF(AND('Items sous domaines Maths '!K307=6, 'Items sous domaines Maths '!K307&gt;0),'Items sous domaines Maths '!B307,0)</f>
        <v>0</v>
      </c>
      <c r="C303" t="b">
        <f>IF(AND('Items sous domaines Maths '!K307=6, 'Items sous domaines Maths '!K307&gt;0),'Items sous domaines Maths '!C307)</f>
        <v>0</v>
      </c>
      <c r="D303">
        <f>IF(AND('Items sous domaines Maths '!K307=6, 'Items sous domaines Maths '!K307&gt;0),'Items sous domaines Maths '!D307,0)</f>
        <v>0</v>
      </c>
      <c r="E303">
        <f>IF(AND('Items sous domaines Maths '!K307=6, 'Items sous domaines Maths '!K307&gt;0),'Items sous domaines Maths '!E307,0)</f>
        <v>0</v>
      </c>
      <c r="F303" s="10">
        <f>IF(AND('Items sous domaines Maths '!K307=6, 'Items sous domaines Maths '!K307&gt;0),'Items sous domaines Maths '!F307,0)</f>
        <v>0</v>
      </c>
      <c r="G303" s="647"/>
    </row>
    <row r="304" spans="1:9" s="61" customFormat="1" ht="19.95" hidden="1" customHeight="1" thickTop="1" x14ac:dyDescent="0.25">
      <c r="A304" s="619" t="s">
        <v>531</v>
      </c>
      <c r="B304" s="271">
        <f>IF(AND('Items sous domaines Maths '!K308=6, 'Items sous domaines Maths '!K308&gt;0),'Items sous domaines Maths '!B308,0)</f>
        <v>0</v>
      </c>
      <c r="C304" s="182" t="b">
        <f>IF(AND('Items sous domaines Maths '!K308=6, 'Items sous domaines Maths '!K308&gt;0),'Items sous domaines Maths '!C308)</f>
        <v>0</v>
      </c>
      <c r="D304" s="182">
        <f>IF(AND('Items sous domaines Maths '!K308=6, 'Items sous domaines Maths '!K308&gt;0),'Items sous domaines Maths '!D308,0)</f>
        <v>0</v>
      </c>
      <c r="E304" s="182">
        <f>IF(AND('Items sous domaines Maths '!K308=6, 'Items sous domaines Maths '!K308&gt;0),'Items sous domaines Maths '!E308,0)</f>
        <v>0</v>
      </c>
      <c r="F304" s="183">
        <f>IF(AND('Items sous domaines Maths '!K308=6, 'Items sous domaines Maths '!K308&gt;0),'Items sous domaines Maths '!F308,0)</f>
        <v>0</v>
      </c>
      <c r="G304" s="648"/>
      <c r="H304" s="282" t="s">
        <v>489</v>
      </c>
      <c r="I304" s="178"/>
    </row>
    <row r="305" spans="1:9" s="61" customFormat="1" ht="19.95" hidden="1" customHeight="1" thickBot="1" x14ac:dyDescent="0.3">
      <c r="A305" s="623"/>
      <c r="B305" s="273">
        <f>IF(AND('Items sous domaines Maths '!K312=6, 'Items sous domaines Maths '!K312&gt;0),'Items sous domaines Maths '!B312,0)</f>
        <v>0</v>
      </c>
      <c r="C305" s="187" t="b">
        <f>IF(AND('Items sous domaines Maths '!K312=6, 'Items sous domaines Maths '!K312&gt;0),'Items sous domaines Maths '!C312)</f>
        <v>0</v>
      </c>
      <c r="D305" s="187">
        <f>IF(AND('Items sous domaines Maths '!K312=6, 'Items sous domaines Maths '!K312&gt;0),'Items sous domaines Maths '!D312,0)</f>
        <v>0</v>
      </c>
      <c r="E305" s="187">
        <f>IF(AND('Items sous domaines Maths '!K312=6, 'Items sous domaines Maths '!K312&gt;0),'Items sous domaines Maths '!E312,0)</f>
        <v>0</v>
      </c>
      <c r="F305" s="188">
        <f>IF(AND('Items sous domaines Maths '!K312=6, 'Items sous domaines Maths '!K312&gt;0),'Items sous domaines Maths '!F312,0)</f>
        <v>0</v>
      </c>
      <c r="G305" s="650"/>
      <c r="H305" s="191"/>
      <c r="I305" s="189"/>
    </row>
    <row r="306" spans="1:9" customFormat="1" ht="13.5" hidden="1" customHeight="1" thickTop="1" thickBot="1" x14ac:dyDescent="0.3">
      <c r="B306">
        <f>IF(AND('Items sous domaines Maths '!K313=6, 'Items sous domaines Maths '!K313&gt;0),'Items sous domaines Maths '!B313,0)</f>
        <v>0</v>
      </c>
      <c r="C306" t="b">
        <f>IF(AND('Items sous domaines Maths '!K313=6, 'Items sous domaines Maths '!K313&gt;0),'Items sous domaines Maths '!C313)</f>
        <v>0</v>
      </c>
      <c r="D306">
        <f>IF(AND('Items sous domaines Maths '!K313=6, 'Items sous domaines Maths '!K313&gt;0),'Items sous domaines Maths '!D313,0)</f>
        <v>0</v>
      </c>
      <c r="E306">
        <f>IF(AND('Items sous domaines Maths '!K313=6, 'Items sous domaines Maths '!K313&gt;0),'Items sous domaines Maths '!E313,0)</f>
        <v>0</v>
      </c>
      <c r="F306" s="10">
        <f>IF(AND('Items sous domaines Maths '!K313=6, 'Items sous domaines Maths '!K313&gt;0),'Items sous domaines Maths '!F313,0)</f>
        <v>0</v>
      </c>
      <c r="G306" s="647"/>
    </row>
    <row r="307" spans="1:9" customFormat="1" ht="13.5" hidden="1" customHeight="1" thickBot="1" x14ac:dyDescent="0.3">
      <c r="A307" s="753"/>
      <c r="B307" s="8">
        <f>IF(AND('Items sous domaines Maths '!K314=6, 'Items sous domaines Maths '!K314&gt;0),'Items sous domaines Maths '!B314,0)</f>
        <v>0</v>
      </c>
      <c r="C307" s="8" t="b">
        <f>IF(AND('Items sous domaines Maths '!K314=6, 'Items sous domaines Maths '!K314&gt;0),'Items sous domaines Maths '!C314)</f>
        <v>0</v>
      </c>
      <c r="D307" s="8">
        <f>IF(AND('Items sous domaines Maths '!K314=6, 'Items sous domaines Maths '!K314&gt;0),'Items sous domaines Maths '!D314,0)</f>
        <v>0</v>
      </c>
      <c r="E307" s="8">
        <f>IF(AND('Items sous domaines Maths '!K314=6, 'Items sous domaines Maths '!K314&gt;0),'Items sous domaines Maths '!E314,0)</f>
        <v>0</v>
      </c>
      <c r="F307" s="9">
        <f>IF(AND('Items sous domaines Maths '!K314=6, 'Items sous domaines Maths '!K314&gt;0),'Items sous domaines Maths '!F314,0)</f>
        <v>0</v>
      </c>
      <c r="G307" s="647"/>
    </row>
    <row r="308" spans="1:9" customFormat="1" ht="13.5" hidden="1" customHeight="1" thickBot="1" x14ac:dyDescent="0.3">
      <c r="A308" s="754"/>
      <c r="B308" s="8">
        <f>IF(AND('Items sous domaines Maths '!K315=6, 'Items sous domaines Maths '!K315&gt;0),'Items sous domaines Maths '!B315,0)</f>
        <v>0</v>
      </c>
      <c r="C308" s="8" t="b">
        <f>IF(AND('Items sous domaines Maths '!K315=6, 'Items sous domaines Maths '!K315&gt;0),'Items sous domaines Maths '!C315)</f>
        <v>0</v>
      </c>
      <c r="D308" s="8">
        <f>IF(AND('Items sous domaines Maths '!K315=6, 'Items sous domaines Maths '!K315&gt;0),'Items sous domaines Maths '!D315,0)</f>
        <v>0</v>
      </c>
      <c r="E308" s="8">
        <f>IF(AND('Items sous domaines Maths '!K315=6, 'Items sous domaines Maths '!K315&gt;0),'Items sous domaines Maths '!E315,0)</f>
        <v>0</v>
      </c>
      <c r="F308" s="9">
        <f>IF(AND('Items sous domaines Maths '!K315=6, 'Items sous domaines Maths '!K315&gt;0),'Items sous domaines Maths '!F315,0)</f>
        <v>0</v>
      </c>
      <c r="G308" s="647"/>
    </row>
    <row r="309" spans="1:9" customFormat="1" ht="13.5" hidden="1" customHeight="1" thickBot="1" x14ac:dyDescent="0.3">
      <c r="A309" s="754"/>
      <c r="B309" s="8">
        <f>IF(AND('Items sous domaines Maths '!K316=6, 'Items sous domaines Maths '!K316&gt;0),'Items sous domaines Maths '!B316,0)</f>
        <v>0</v>
      </c>
      <c r="C309" s="8" t="b">
        <f>IF(AND('Items sous domaines Maths '!K316=6, 'Items sous domaines Maths '!K316&gt;0),'Items sous domaines Maths '!C316)</f>
        <v>0</v>
      </c>
      <c r="D309" s="8">
        <f>IF(AND('Items sous domaines Maths '!K316=6, 'Items sous domaines Maths '!K316&gt;0),'Items sous domaines Maths '!D316,0)</f>
        <v>0</v>
      </c>
      <c r="E309" s="8">
        <f>IF(AND('Items sous domaines Maths '!K316=6, 'Items sous domaines Maths '!K316&gt;0),'Items sous domaines Maths '!E316,0)</f>
        <v>0</v>
      </c>
      <c r="F309" s="9">
        <f>IF(AND('Items sous domaines Maths '!K316=6, 'Items sous domaines Maths '!K316&gt;0),'Items sous domaines Maths '!F316,0)</f>
        <v>0</v>
      </c>
      <c r="G309" s="647"/>
    </row>
    <row r="310" spans="1:9" customFormat="1" ht="13.5" hidden="1" customHeight="1" thickBot="1" x14ac:dyDescent="0.3">
      <c r="A310" s="754"/>
      <c r="B310" s="8">
        <f>IF(AND('Items sous domaines Maths '!K317=6, 'Items sous domaines Maths '!K317&gt;0),'Items sous domaines Maths '!B317,0)</f>
        <v>0</v>
      </c>
      <c r="C310" s="8" t="b">
        <f>IF(AND('Items sous domaines Maths '!K317=6, 'Items sous domaines Maths '!K317&gt;0),'Items sous domaines Maths '!C317)</f>
        <v>0</v>
      </c>
      <c r="D310" s="8">
        <f>IF(AND('Items sous domaines Maths '!K317=6, 'Items sous domaines Maths '!K317&gt;0),'Items sous domaines Maths '!D317,0)</f>
        <v>0</v>
      </c>
      <c r="E310" s="8">
        <f>IF(AND('Items sous domaines Maths '!K317=6, 'Items sous domaines Maths '!K317&gt;0),'Items sous domaines Maths '!E317,0)</f>
        <v>0</v>
      </c>
      <c r="F310" s="9">
        <f>IF(AND('Items sous domaines Maths '!K317=6, 'Items sous domaines Maths '!K317&gt;0),'Items sous domaines Maths '!F317,0)</f>
        <v>0</v>
      </c>
      <c r="G310" s="647"/>
    </row>
    <row r="311" spans="1:9" customFormat="1" ht="13.5" hidden="1" customHeight="1" thickBot="1" x14ac:dyDescent="0.3">
      <c r="A311" s="754"/>
      <c r="B311" s="8">
        <f>IF(AND('Items sous domaines Maths '!K318=6, 'Items sous domaines Maths '!K318&gt;0),'Items sous domaines Maths '!B318,0)</f>
        <v>0</v>
      </c>
      <c r="C311" s="8" t="b">
        <f>IF(AND('Items sous domaines Maths '!K318=6, 'Items sous domaines Maths '!K318&gt;0),'Items sous domaines Maths '!C318)</f>
        <v>0</v>
      </c>
      <c r="D311" s="8">
        <f>IF(AND('Items sous domaines Maths '!K318=6, 'Items sous domaines Maths '!K318&gt;0),'Items sous domaines Maths '!D318,0)</f>
        <v>0</v>
      </c>
      <c r="E311" s="8">
        <f>IF(AND('Items sous domaines Maths '!K318=6, 'Items sous domaines Maths '!K318&gt;0),'Items sous domaines Maths '!E318,0)</f>
        <v>0</v>
      </c>
      <c r="F311" s="9">
        <f>IF(AND('Items sous domaines Maths '!K318=6, 'Items sous domaines Maths '!K318&gt;0),'Items sous domaines Maths '!F318,0)</f>
        <v>0</v>
      </c>
      <c r="G311" s="647"/>
    </row>
    <row r="312" spans="1:9" customFormat="1" ht="13.5" hidden="1" customHeight="1" thickBot="1" x14ac:dyDescent="0.3">
      <c r="A312" s="754"/>
      <c r="B312" s="8">
        <f>IF(AND('Items sous domaines Maths '!K319=6, 'Items sous domaines Maths '!K319&gt;0),'Items sous domaines Maths '!B319,0)</f>
        <v>0</v>
      </c>
      <c r="C312" s="8" t="b">
        <f>IF(AND('Items sous domaines Maths '!K319=6, 'Items sous domaines Maths '!K319&gt;0),'Items sous domaines Maths '!C319)</f>
        <v>0</v>
      </c>
      <c r="D312" s="8">
        <f>IF(AND('Items sous domaines Maths '!K319=6, 'Items sous domaines Maths '!K319&gt;0),'Items sous domaines Maths '!D319,0)</f>
        <v>0</v>
      </c>
      <c r="E312" s="8">
        <f>IF(AND('Items sous domaines Maths '!K319=6, 'Items sous domaines Maths '!K319&gt;0),'Items sous domaines Maths '!E319,0)</f>
        <v>0</v>
      </c>
      <c r="F312" s="9">
        <f>IF(AND('Items sous domaines Maths '!K319=6, 'Items sous domaines Maths '!K319&gt;0),'Items sous domaines Maths '!F319,0)</f>
        <v>0</v>
      </c>
      <c r="G312" s="647"/>
    </row>
    <row r="313" spans="1:9" customFormat="1" ht="13.5" hidden="1" customHeight="1" thickBot="1" x14ac:dyDescent="0.3">
      <c r="A313" s="754"/>
      <c r="B313" s="8">
        <f>IF(AND('Items sous domaines Maths '!K320=6, 'Items sous domaines Maths '!K320&gt;0),'Items sous domaines Maths '!B320,0)</f>
        <v>0</v>
      </c>
      <c r="C313" s="8" t="b">
        <f>IF(AND('Items sous domaines Maths '!K320=6, 'Items sous domaines Maths '!K320&gt;0),'Items sous domaines Maths '!C320)</f>
        <v>0</v>
      </c>
      <c r="D313" s="8">
        <f>IF(AND('Items sous domaines Maths '!K320=6, 'Items sous domaines Maths '!K320&gt;0),'Items sous domaines Maths '!D320,0)</f>
        <v>0</v>
      </c>
      <c r="E313" s="8">
        <f>IF(AND('Items sous domaines Maths '!K320=6, 'Items sous domaines Maths '!K320&gt;0),'Items sous domaines Maths '!E320,0)</f>
        <v>0</v>
      </c>
      <c r="F313" s="9">
        <f>IF(AND('Items sous domaines Maths '!K320=6, 'Items sous domaines Maths '!K320&gt;0),'Items sous domaines Maths '!F320,0)</f>
        <v>0</v>
      </c>
      <c r="G313" s="647"/>
    </row>
    <row r="314" spans="1:9" customFormat="1" ht="13.5" hidden="1" customHeight="1" thickBot="1" x14ac:dyDescent="0.3">
      <c r="A314" s="754"/>
      <c r="B314" s="8">
        <f>IF(AND('Items sous domaines Maths '!K321=6, 'Items sous domaines Maths '!K321&gt;0),'Items sous domaines Maths '!B321,0)</f>
        <v>0</v>
      </c>
      <c r="C314" s="8" t="b">
        <f>IF(AND('Items sous domaines Maths '!K321=6, 'Items sous domaines Maths '!K321&gt;0),'Items sous domaines Maths '!C321)</f>
        <v>0</v>
      </c>
      <c r="D314" s="8">
        <f>IF(AND('Items sous domaines Maths '!K321=6, 'Items sous domaines Maths '!K321&gt;0),'Items sous domaines Maths '!D321,0)</f>
        <v>0</v>
      </c>
      <c r="E314" s="8">
        <f>IF(AND('Items sous domaines Maths '!K321=6, 'Items sous domaines Maths '!K321&gt;0),'Items sous domaines Maths '!E321,0)</f>
        <v>0</v>
      </c>
      <c r="F314" s="9">
        <f>IF(AND('Items sous domaines Maths '!K321=6, 'Items sous domaines Maths '!K321&gt;0),'Items sous domaines Maths '!F321,0)</f>
        <v>0</v>
      </c>
      <c r="G314" s="647"/>
    </row>
    <row r="315" spans="1:9" customFormat="1" ht="13.5" hidden="1" customHeight="1" thickBot="1" x14ac:dyDescent="0.3">
      <c r="A315" s="754"/>
      <c r="B315" s="8">
        <f>IF(AND('Items sous domaines Maths '!K322=6, 'Items sous domaines Maths '!K322&gt;0),'Items sous domaines Maths '!B322,0)</f>
        <v>0</v>
      </c>
      <c r="C315" s="8" t="b">
        <f>IF(AND('Items sous domaines Maths '!K322=6, 'Items sous domaines Maths '!K322&gt;0),'Items sous domaines Maths '!C322)</f>
        <v>0</v>
      </c>
      <c r="D315" s="8">
        <f>IF(AND('Items sous domaines Maths '!K322=6, 'Items sous domaines Maths '!K322&gt;0),'Items sous domaines Maths '!D322,0)</f>
        <v>0</v>
      </c>
      <c r="E315" s="8">
        <f>IF(AND('Items sous domaines Maths '!K322=6, 'Items sous domaines Maths '!K322&gt;0),'Items sous domaines Maths '!E322,0)</f>
        <v>0</v>
      </c>
      <c r="F315" s="9">
        <f>IF(AND('Items sous domaines Maths '!K322=6, 'Items sous domaines Maths '!K322&gt;0),'Items sous domaines Maths '!F322,0)</f>
        <v>0</v>
      </c>
      <c r="G315" s="647"/>
    </row>
    <row r="316" spans="1:9" customFormat="1" ht="13.5" hidden="1" customHeight="1" thickBot="1" x14ac:dyDescent="0.3">
      <c r="A316" s="754"/>
      <c r="B316" s="8">
        <f>IF(AND('Items sous domaines Maths '!K323=6, 'Items sous domaines Maths '!K323&gt;0),'Items sous domaines Maths '!B323,0)</f>
        <v>0</v>
      </c>
      <c r="C316" s="8" t="b">
        <f>IF(AND('Items sous domaines Maths '!K323=6, 'Items sous domaines Maths '!K323&gt;0),'Items sous domaines Maths '!C323)</f>
        <v>0</v>
      </c>
      <c r="D316" s="8">
        <f>IF(AND('Items sous domaines Maths '!K323=6, 'Items sous domaines Maths '!K323&gt;0),'Items sous domaines Maths '!D323,0)</f>
        <v>0</v>
      </c>
      <c r="E316" s="8">
        <f>IF(AND('Items sous domaines Maths '!K323=6, 'Items sous domaines Maths '!K323&gt;0),'Items sous domaines Maths '!E323,0)</f>
        <v>0</v>
      </c>
      <c r="F316" s="9">
        <f>IF(AND('Items sous domaines Maths '!K323=6, 'Items sous domaines Maths '!K323&gt;0),'Items sous domaines Maths '!F323,0)</f>
        <v>0</v>
      </c>
      <c r="G316" s="647"/>
    </row>
    <row r="317" spans="1:9" customFormat="1" ht="13.5" hidden="1" customHeight="1" thickBot="1" x14ac:dyDescent="0.3">
      <c r="A317" s="755"/>
      <c r="B317" s="8">
        <f>IF(AND('Items sous domaines Maths '!K324=6, 'Items sous domaines Maths '!K324&gt;0),'Items sous domaines Maths '!B324,0)</f>
        <v>0</v>
      </c>
      <c r="C317" s="8" t="b">
        <f>IF(AND('Items sous domaines Maths '!K324=6, 'Items sous domaines Maths '!K324&gt;0),'Items sous domaines Maths '!C324)</f>
        <v>0</v>
      </c>
      <c r="D317" s="8">
        <f>IF(AND('Items sous domaines Maths '!K324=6, 'Items sous domaines Maths '!K324&gt;0),'Items sous domaines Maths '!D324,0)</f>
        <v>0</v>
      </c>
      <c r="E317" s="8">
        <f>IF(AND('Items sous domaines Maths '!K324=6, 'Items sous domaines Maths '!K324&gt;0),'Items sous domaines Maths '!E324,0)</f>
        <v>0</v>
      </c>
      <c r="F317" s="9">
        <f>IF(AND('Items sous domaines Maths '!K324=6, 'Items sous domaines Maths '!K324&gt;0),'Items sous domaines Maths '!F324,0)</f>
        <v>0</v>
      </c>
      <c r="G317" s="647"/>
    </row>
    <row r="318" spans="1:9" customFormat="1" ht="13.5" hidden="1" customHeight="1" thickBot="1" x14ac:dyDescent="0.3">
      <c r="A318" s="18"/>
      <c r="B318" s="8">
        <f>IF(AND('Items sous domaines Maths '!K325=6, 'Items sous domaines Maths '!K325&gt;0),'Items sous domaines Maths '!B325,0)</f>
        <v>0</v>
      </c>
      <c r="C318" s="8" t="b">
        <f>IF(AND('Items sous domaines Maths '!K325=6, 'Items sous domaines Maths '!K325&gt;0),'Items sous domaines Maths '!C325)</f>
        <v>0</v>
      </c>
      <c r="D318" s="8">
        <f>IF(AND('Items sous domaines Maths '!K325=6, 'Items sous domaines Maths '!K325&gt;0),'Items sous domaines Maths '!D325,0)</f>
        <v>0</v>
      </c>
      <c r="E318" s="8">
        <f>IF(AND('Items sous domaines Maths '!K325=6, 'Items sous domaines Maths '!K325&gt;0),'Items sous domaines Maths '!E325,0)</f>
        <v>0</v>
      </c>
      <c r="F318" s="9">
        <f>IF(AND('Items sous domaines Maths '!K325=6, 'Items sous domaines Maths '!K325&gt;0),'Items sous domaines Maths '!F325,0)</f>
        <v>0</v>
      </c>
      <c r="G318" s="647"/>
    </row>
    <row r="319" spans="1:9" s="61" customFormat="1" ht="19.95" hidden="1" customHeight="1" thickTop="1" x14ac:dyDescent="0.25">
      <c r="A319" s="619"/>
      <c r="B319" s="271">
        <f>IF(AND('Items sous domaines Maths '!K326=6, 'Items sous domaines Maths '!K326&gt;0),'Items sous domaines Maths '!B326,0)</f>
        <v>0</v>
      </c>
      <c r="C319" s="182" t="b">
        <f>IF(AND('Items sous domaines Maths '!K326=6, 'Items sous domaines Maths '!K326&gt;0),'Items sous domaines Maths '!C326)</f>
        <v>0</v>
      </c>
      <c r="D319" s="182">
        <f>IF(AND('Items sous domaines Maths '!K326=6, 'Items sous domaines Maths '!K326&gt;0),'Items sous domaines Maths '!D326,0)</f>
        <v>0</v>
      </c>
      <c r="E319" s="182">
        <f>IF(AND('Items sous domaines Maths '!K326=6, 'Items sous domaines Maths '!K326&gt;0),'Items sous domaines Maths '!E326,0)</f>
        <v>0</v>
      </c>
      <c r="F319" s="183">
        <f>IF(AND('Items sous domaines Maths '!K326=6, 'Items sous domaines Maths '!K326&gt;0),'Items sous domaines Maths '!F326,0)</f>
        <v>0</v>
      </c>
      <c r="G319" s="648"/>
      <c r="H319" s="190"/>
      <c r="I319" s="178"/>
    </row>
    <row r="320" spans="1:9" s="61" customFormat="1" ht="19.95" hidden="1" customHeight="1" x14ac:dyDescent="0.25">
      <c r="A320" s="620"/>
      <c r="B320" s="169">
        <f>IF(AND('Items sous domaines Maths '!K327=6, 'Items sous domaines Maths '!K327&gt;0),'Items sous domaines Maths '!B327,0)</f>
        <v>0</v>
      </c>
      <c r="C320" s="142" t="b">
        <f>IF(AND('Items sous domaines Maths '!K327=6, 'Items sous domaines Maths '!K327&gt;0),'Items sous domaines Maths '!C327)</f>
        <v>0</v>
      </c>
      <c r="D320" s="142">
        <f>IF(AND('Items sous domaines Maths '!K327=6, 'Items sous domaines Maths '!K327&gt;0),'Items sous domaines Maths '!D327,0)</f>
        <v>0</v>
      </c>
      <c r="E320" s="142">
        <f>IF(AND('Items sous domaines Maths '!K327=6, 'Items sous domaines Maths '!K327&gt;0),'Items sous domaines Maths '!E327,0)</f>
        <v>0</v>
      </c>
      <c r="F320" s="143">
        <f>IF(AND('Items sous domaines Maths '!K327=6, 'Items sous domaines Maths '!K327&gt;0),'Items sous domaines Maths '!F327,0)</f>
        <v>0</v>
      </c>
      <c r="G320" s="649"/>
      <c r="H320" s="272" t="s">
        <v>490</v>
      </c>
      <c r="I320" s="199"/>
    </row>
    <row r="321" spans="1:9" s="61" customFormat="1" ht="19.95" hidden="1" customHeight="1" x14ac:dyDescent="0.25">
      <c r="A321" s="620"/>
      <c r="B321" s="172">
        <f>IF(AND('Items sous domaines Maths '!K328=6, 'Items sous domaines Maths '!K328&gt;0),'Items sous domaines Maths '!B328,0)</f>
        <v>0</v>
      </c>
      <c r="C321" s="145" t="b">
        <f>IF(AND('Items sous domaines Maths '!K328=6, 'Items sous domaines Maths '!K328&gt;0),'Items sous domaines Maths '!C328)</f>
        <v>0</v>
      </c>
      <c r="D321" s="145">
        <f>IF(AND('Items sous domaines Maths '!K328=6, 'Items sous domaines Maths '!K328&gt;0),'Items sous domaines Maths '!D328,0)</f>
        <v>0</v>
      </c>
      <c r="E321" s="145">
        <f>IF(AND('Items sous domaines Maths '!K328=6, 'Items sous domaines Maths '!K328&gt;0),'Items sous domaines Maths '!E328,0)</f>
        <v>0</v>
      </c>
      <c r="F321" s="146">
        <f>IF(AND('Items sous domaines Maths '!K328=6, 'Items sous domaines Maths '!K328&gt;0),'Items sous domaines Maths '!F328,0)</f>
        <v>0</v>
      </c>
      <c r="G321" s="649"/>
      <c r="H321" s="114"/>
      <c r="I321" s="199"/>
    </row>
    <row r="322" spans="1:9" s="61" customFormat="1" ht="19.95" hidden="1" customHeight="1" x14ac:dyDescent="0.25">
      <c r="A322" s="620"/>
      <c r="B322" s="169">
        <f>IF(AND('Items sous domaines Maths '!K329=6, 'Items sous domaines Maths '!K329&gt;0),'Items sous domaines Maths '!B329,0)</f>
        <v>0</v>
      </c>
      <c r="C322" s="142" t="b">
        <f>IF(AND('Items sous domaines Maths '!K329=6, 'Items sous domaines Maths '!K329&gt;0),'Items sous domaines Maths '!C329)</f>
        <v>0</v>
      </c>
      <c r="D322" s="142">
        <f>IF(AND('Items sous domaines Maths '!K329=6, 'Items sous domaines Maths '!K329&gt;0),'Items sous domaines Maths '!D329,0)</f>
        <v>0</v>
      </c>
      <c r="E322" s="142">
        <f>IF(AND('Items sous domaines Maths '!K329=6, 'Items sous domaines Maths '!K329&gt;0),'Items sous domaines Maths '!E329,0)</f>
        <v>0</v>
      </c>
      <c r="F322" s="143">
        <f>IF(AND('Items sous domaines Maths '!K329=6, 'Items sous domaines Maths '!K329&gt;0),'Items sous domaines Maths '!F329,0)</f>
        <v>0</v>
      </c>
      <c r="G322" s="649"/>
      <c r="H322" s="114"/>
      <c r="I322" s="199"/>
    </row>
    <row r="323" spans="1:9" s="61" customFormat="1" ht="19.95" hidden="1" customHeight="1" x14ac:dyDescent="0.25">
      <c r="A323" s="620"/>
      <c r="B323" s="172">
        <f>IF(AND('Items sous domaines Maths '!K330=6, 'Items sous domaines Maths '!K330&gt;0),'Items sous domaines Maths '!B330,0)</f>
        <v>0</v>
      </c>
      <c r="C323" s="145" t="b">
        <f>IF(AND('Items sous domaines Maths '!K330=6, 'Items sous domaines Maths '!K330&gt;0),'Items sous domaines Maths '!C330)</f>
        <v>0</v>
      </c>
      <c r="D323" s="145">
        <f>IF(AND('Items sous domaines Maths '!K330=6, 'Items sous domaines Maths '!K330&gt;0),'Items sous domaines Maths '!D330,0)</f>
        <v>0</v>
      </c>
      <c r="E323" s="145">
        <f>IF(AND('Items sous domaines Maths '!K330=6, 'Items sous domaines Maths '!K330&gt;0),'Items sous domaines Maths '!E330,0)</f>
        <v>0</v>
      </c>
      <c r="F323" s="146">
        <f>IF(AND('Items sous domaines Maths '!K330=6, 'Items sous domaines Maths '!K330&gt;0),'Items sous domaines Maths '!F330,0)</f>
        <v>0</v>
      </c>
      <c r="G323" s="649"/>
      <c r="H323" s="114"/>
      <c r="I323" s="199"/>
    </row>
    <row r="324" spans="1:9" s="61" customFormat="1" ht="19.95" hidden="1" customHeight="1" x14ac:dyDescent="0.25">
      <c r="A324" s="620"/>
      <c r="B324" s="169">
        <f>IF(AND('Items sous domaines Maths '!K331=6, 'Items sous domaines Maths '!K331&gt;0),'Items sous domaines Maths '!B331,0)</f>
        <v>0</v>
      </c>
      <c r="C324" s="142" t="b">
        <f>IF(AND('Items sous domaines Maths '!K331=6, 'Items sous domaines Maths '!K331&gt;0),'Items sous domaines Maths '!C331)</f>
        <v>0</v>
      </c>
      <c r="D324" s="142">
        <f>IF(AND('Items sous domaines Maths '!K331=6, 'Items sous domaines Maths '!K331&gt;0),'Items sous domaines Maths '!D331,0)</f>
        <v>0</v>
      </c>
      <c r="E324" s="142">
        <f>IF(AND('Items sous domaines Maths '!K331=6, 'Items sous domaines Maths '!K331&gt;0),'Items sous domaines Maths '!E331,0)</f>
        <v>0</v>
      </c>
      <c r="F324" s="143">
        <f>IF(AND('Items sous domaines Maths '!K331=6, 'Items sous domaines Maths '!K331&gt;0),'Items sous domaines Maths '!F331,0)</f>
        <v>0</v>
      </c>
      <c r="G324" s="649"/>
      <c r="H324" s="114"/>
      <c r="I324" s="199"/>
    </row>
    <row r="325" spans="1:9" s="61" customFormat="1" ht="19.95" hidden="1" customHeight="1" x14ac:dyDescent="0.25">
      <c r="A325" s="620"/>
      <c r="B325" s="172">
        <f>IF(AND('Items sous domaines Maths '!K332=6, 'Items sous domaines Maths '!K332&gt;0),'Items sous domaines Maths '!B332,0)</f>
        <v>0</v>
      </c>
      <c r="C325" s="145" t="b">
        <f>IF(AND('Items sous domaines Maths '!K332=6, 'Items sous domaines Maths '!K332&gt;0),'Items sous domaines Maths '!C332)</f>
        <v>0</v>
      </c>
      <c r="D325" s="145">
        <f>IF(AND('Items sous domaines Maths '!K332=6, 'Items sous domaines Maths '!K332&gt;0),'Items sous domaines Maths '!D332,0)</f>
        <v>0</v>
      </c>
      <c r="E325" s="145">
        <f>IF(AND('Items sous domaines Maths '!K332=6, 'Items sous domaines Maths '!K332&gt;0),'Items sous domaines Maths '!E332,0)</f>
        <v>0</v>
      </c>
      <c r="F325" s="146">
        <f>IF(AND('Items sous domaines Maths '!K332=6, 'Items sous domaines Maths '!K332&gt;0),'Items sous domaines Maths '!F332,0)</f>
        <v>0</v>
      </c>
      <c r="G325" s="649"/>
      <c r="H325" s="114"/>
      <c r="I325" s="199"/>
    </row>
    <row r="326" spans="1:9" s="61" customFormat="1" ht="19.95" hidden="1" customHeight="1" thickBot="1" x14ac:dyDescent="0.3">
      <c r="A326" s="623"/>
      <c r="B326" s="273">
        <f>IF(AND('Items sous domaines Maths '!K333=6, 'Items sous domaines Maths '!K333&gt;0),'Items sous domaines Maths '!B333,0)</f>
        <v>0</v>
      </c>
      <c r="C326" s="187" t="b">
        <f>IF(AND('Items sous domaines Maths '!K333=6, 'Items sous domaines Maths '!K333&gt;0),'Items sous domaines Maths '!C333)</f>
        <v>0</v>
      </c>
      <c r="D326" s="187">
        <f>IF(AND('Items sous domaines Maths '!K333=6, 'Items sous domaines Maths '!K333&gt;0),'Items sous domaines Maths '!D333,0)</f>
        <v>0</v>
      </c>
      <c r="E326" s="187">
        <f>IF(AND('Items sous domaines Maths '!K333=6, 'Items sous domaines Maths '!K333&gt;0),'Items sous domaines Maths '!E333,0)</f>
        <v>0</v>
      </c>
      <c r="F326" s="188">
        <f>IF(AND('Items sous domaines Maths '!K333=6, 'Items sous domaines Maths '!K333&gt;0),'Items sous domaines Maths '!F333,0)</f>
        <v>0</v>
      </c>
      <c r="G326" s="650"/>
      <c r="H326" s="191"/>
      <c r="I326" s="189"/>
    </row>
    <row r="327" spans="1:9" customFormat="1" ht="13.5" hidden="1" customHeight="1" thickTop="1" thickBot="1" x14ac:dyDescent="0.3">
      <c r="A327" s="18"/>
      <c r="B327">
        <f>IF(AND('Items sous domaines Maths '!K334=6, 'Items sous domaines Maths '!K334&gt;0),'Items sous domaines Maths '!B334,0)</f>
        <v>0</v>
      </c>
      <c r="C327" t="b">
        <f>IF(AND('Items sous domaines Maths '!K334=6, 'Items sous domaines Maths '!K334&gt;0),'Items sous domaines Maths '!C334)</f>
        <v>0</v>
      </c>
      <c r="D327">
        <f>IF(AND('Items sous domaines Maths '!K334=6, 'Items sous domaines Maths '!K334&gt;0),'Items sous domaines Maths '!D334,0)</f>
        <v>0</v>
      </c>
      <c r="E327">
        <f>IF(AND('Items sous domaines Maths '!K334=6, 'Items sous domaines Maths '!K334&gt;0),'Items sous domaines Maths '!E334,0)</f>
        <v>0</v>
      </c>
      <c r="F327" s="10">
        <f>IF(AND('Items sous domaines Maths '!K334=6, 'Items sous domaines Maths '!K334&gt;0),'Items sous domaines Maths '!F334,0)</f>
        <v>0</v>
      </c>
      <c r="G327" s="647"/>
    </row>
    <row r="328" spans="1:9" customFormat="1" ht="13.5" hidden="1" customHeight="1" thickBot="1" x14ac:dyDescent="0.3">
      <c r="A328" s="18"/>
      <c r="B328" s="8">
        <f>IF(AND('Items sous domaines Maths '!K335=6, 'Items sous domaines Maths '!K335&gt;0),'Items sous domaines Maths '!B335,0)</f>
        <v>0</v>
      </c>
      <c r="C328" s="8" t="b">
        <f>IF(AND('Items sous domaines Maths '!K335=6, 'Items sous domaines Maths '!K335&gt;0),'Items sous domaines Maths '!C335)</f>
        <v>0</v>
      </c>
      <c r="D328" s="8">
        <f>IF(AND('Items sous domaines Maths '!K335=6, 'Items sous domaines Maths '!K335&gt;0),'Items sous domaines Maths '!D335,0)</f>
        <v>0</v>
      </c>
      <c r="E328" s="8">
        <f>IF(AND('Items sous domaines Maths '!K335=6, 'Items sous domaines Maths '!K335&gt;0),'Items sous domaines Maths '!E335,0)</f>
        <v>0</v>
      </c>
      <c r="F328" s="9">
        <f>IF(AND('Items sous domaines Maths '!K335=6, 'Items sous domaines Maths '!K335&gt;0),'Items sous domaines Maths '!F335,0)</f>
        <v>0</v>
      </c>
      <c r="G328" s="647"/>
    </row>
    <row r="329" spans="1:9" s="61" customFormat="1" ht="19.95" hidden="1" customHeight="1" thickTop="1" x14ac:dyDescent="0.25">
      <c r="A329" s="619"/>
      <c r="B329" s="271">
        <f>IF(AND('Items sous domaines Maths '!K336=6, 'Items sous domaines Maths '!K336&gt;0),'Items sous domaines Maths '!B336,0)</f>
        <v>0</v>
      </c>
      <c r="C329" s="182" t="b">
        <f>IF(AND('Items sous domaines Maths '!K336=6, 'Items sous domaines Maths '!K336&gt;0),'Items sous domaines Maths '!C336)</f>
        <v>0</v>
      </c>
      <c r="D329" s="182">
        <f>IF(AND('Items sous domaines Maths '!K336=6, 'Items sous domaines Maths '!K336&gt;0),'Items sous domaines Maths '!D336,0)</f>
        <v>0</v>
      </c>
      <c r="E329" s="182">
        <f>IF(AND('Items sous domaines Maths '!K336=6, 'Items sous domaines Maths '!K336&gt;0),'Items sous domaines Maths '!E336,0)</f>
        <v>0</v>
      </c>
      <c r="F329" s="183">
        <f>IF(AND('Items sous domaines Maths '!K336=6, 'Items sous domaines Maths '!K336&gt;0),'Items sous domaines Maths '!F336,0)</f>
        <v>0</v>
      </c>
      <c r="G329" s="648"/>
      <c r="H329" s="190"/>
      <c r="I329" s="178"/>
    </row>
    <row r="330" spans="1:9" s="61" customFormat="1" ht="19.95" hidden="1" customHeight="1" x14ac:dyDescent="0.25">
      <c r="A330" s="620"/>
      <c r="B330" s="169">
        <f>IF(AND('Items sous domaines Maths '!K337=6, 'Items sous domaines Maths '!K337&gt;0),'Items sous domaines Maths '!B337,0)</f>
        <v>0</v>
      </c>
      <c r="C330" s="142" t="b">
        <f>IF(AND('Items sous domaines Maths '!K337=6, 'Items sous domaines Maths '!K337&gt;0),'Items sous domaines Maths '!C337)</f>
        <v>0</v>
      </c>
      <c r="D330" s="142">
        <f>IF(AND('Items sous domaines Maths '!K337=6, 'Items sous domaines Maths '!K337&gt;0),'Items sous domaines Maths '!D337,0)</f>
        <v>0</v>
      </c>
      <c r="E330" s="142">
        <f>IF(AND('Items sous domaines Maths '!K337=6, 'Items sous domaines Maths '!K337&gt;0),'Items sous domaines Maths '!E337,0)</f>
        <v>0</v>
      </c>
      <c r="F330" s="143">
        <f>IF(AND('Items sous domaines Maths '!K337=6, 'Items sous domaines Maths '!K337&gt;0),'Items sous domaines Maths '!F337,0)</f>
        <v>0</v>
      </c>
      <c r="G330" s="649"/>
      <c r="H330" s="114"/>
      <c r="I330" s="199"/>
    </row>
    <row r="331" spans="1:9" s="61" customFormat="1" ht="19.95" hidden="1" customHeight="1" x14ac:dyDescent="0.25">
      <c r="A331" s="620"/>
      <c r="B331" s="172">
        <f>IF(AND('Items sous domaines Maths '!K338=6, 'Items sous domaines Maths '!K338&gt;0),'Items sous domaines Maths '!B338,0)</f>
        <v>0</v>
      </c>
      <c r="C331" s="145" t="b">
        <f>IF(AND('Items sous domaines Maths '!K338=6, 'Items sous domaines Maths '!K338&gt;0),'Items sous domaines Maths '!C338)</f>
        <v>0</v>
      </c>
      <c r="D331" s="145">
        <f>IF(AND('Items sous domaines Maths '!K338=6, 'Items sous domaines Maths '!K338&gt;0),'Items sous domaines Maths '!D338,0)</f>
        <v>0</v>
      </c>
      <c r="E331" s="145">
        <f>IF(AND('Items sous domaines Maths '!K338=6, 'Items sous domaines Maths '!K338&gt;0),'Items sous domaines Maths '!E338,0)</f>
        <v>0</v>
      </c>
      <c r="F331" s="146">
        <f>IF(AND('Items sous domaines Maths '!K338=6, 'Items sous domaines Maths '!K338&gt;0),'Items sous domaines Maths '!F338,0)</f>
        <v>0</v>
      </c>
      <c r="G331" s="649"/>
      <c r="H331" s="114"/>
      <c r="I331" s="199"/>
    </row>
    <row r="332" spans="1:9" s="61" customFormat="1" ht="19.95" hidden="1" customHeight="1" x14ac:dyDescent="0.25">
      <c r="A332" s="620"/>
      <c r="B332" s="169">
        <f>IF(AND('Items sous domaines Maths '!K339=6, 'Items sous domaines Maths '!K339&gt;0),'Items sous domaines Maths '!B339,0)</f>
        <v>0</v>
      </c>
      <c r="C332" s="142" t="b">
        <f>IF(AND('Items sous domaines Maths '!K339=6, 'Items sous domaines Maths '!K339&gt;0),'Items sous domaines Maths '!C339)</f>
        <v>0</v>
      </c>
      <c r="D332" s="142">
        <f>IF(AND('Items sous domaines Maths '!K339=6, 'Items sous domaines Maths '!K339&gt;0),'Items sous domaines Maths '!D339,0)</f>
        <v>0</v>
      </c>
      <c r="E332" s="142">
        <f>IF(AND('Items sous domaines Maths '!K339=6, 'Items sous domaines Maths '!K339&gt;0),'Items sous domaines Maths '!E339,0)</f>
        <v>0</v>
      </c>
      <c r="F332" s="143">
        <f>IF(AND('Items sous domaines Maths '!K339=6, 'Items sous domaines Maths '!K339&gt;0),'Items sous domaines Maths '!F339,0)</f>
        <v>0</v>
      </c>
      <c r="G332" s="649"/>
      <c r="H332" s="114"/>
      <c r="I332" s="199"/>
    </row>
    <row r="333" spans="1:9" s="61" customFormat="1" ht="19.95" hidden="1" customHeight="1" x14ac:dyDescent="0.25">
      <c r="A333" s="620"/>
      <c r="B333" s="172">
        <f>IF(AND('Items sous domaines Maths '!K340=6, 'Items sous domaines Maths '!K340&gt;0),'Items sous domaines Maths '!B340,0)</f>
        <v>0</v>
      </c>
      <c r="C333" s="145" t="b">
        <f>IF(AND('Items sous domaines Maths '!K340=6, 'Items sous domaines Maths '!K340&gt;0),'Items sous domaines Maths '!C340)</f>
        <v>0</v>
      </c>
      <c r="D333" s="145">
        <f>IF(AND('Items sous domaines Maths '!K340=6, 'Items sous domaines Maths '!K340&gt;0),'Items sous domaines Maths '!D340,0)</f>
        <v>0</v>
      </c>
      <c r="E333" s="145">
        <f>IF(AND('Items sous domaines Maths '!K340=6, 'Items sous domaines Maths '!K340&gt;0),'Items sous domaines Maths '!E340,0)</f>
        <v>0</v>
      </c>
      <c r="F333" s="146">
        <f>IF(AND('Items sous domaines Maths '!K340=6, 'Items sous domaines Maths '!K340&gt;0),'Items sous domaines Maths '!F340,0)</f>
        <v>0</v>
      </c>
      <c r="G333" s="649"/>
      <c r="H333" s="114"/>
      <c r="I333" s="199"/>
    </row>
    <row r="334" spans="1:9" s="61" customFormat="1" ht="19.95" hidden="1" customHeight="1" x14ac:dyDescent="0.25">
      <c r="A334" s="620"/>
      <c r="B334" s="169">
        <f>IF(AND('Items sous domaines Maths '!K341=6, 'Items sous domaines Maths '!K341&gt;0),'Items sous domaines Maths '!B341,0)</f>
        <v>0</v>
      </c>
      <c r="C334" s="142" t="b">
        <f>IF(AND('Items sous domaines Maths '!K341=6, 'Items sous domaines Maths '!K341&gt;0),'Items sous domaines Maths '!C341)</f>
        <v>0</v>
      </c>
      <c r="D334" s="142">
        <f>IF(AND('Items sous domaines Maths '!K341=6, 'Items sous domaines Maths '!K341&gt;0),'Items sous domaines Maths '!D341,0)</f>
        <v>0</v>
      </c>
      <c r="E334" s="142">
        <f>IF(AND('Items sous domaines Maths '!K341=6, 'Items sous domaines Maths '!K341&gt;0),'Items sous domaines Maths '!E341,0)</f>
        <v>0</v>
      </c>
      <c r="F334" s="143">
        <f>IF(AND('Items sous domaines Maths '!K341=6, 'Items sous domaines Maths '!K341&gt;0),'Items sous domaines Maths '!F341,0)</f>
        <v>0</v>
      </c>
      <c r="G334" s="649"/>
      <c r="H334" s="114"/>
      <c r="I334" s="199"/>
    </row>
    <row r="335" spans="1:9" s="61" customFormat="1" ht="19.95" hidden="1" customHeight="1" x14ac:dyDescent="0.25">
      <c r="A335" s="620"/>
      <c r="B335" s="172">
        <f>IF(AND('Items sous domaines Maths '!K342=6, 'Items sous domaines Maths '!K342&gt;0),'Items sous domaines Maths '!B342,0)</f>
        <v>0</v>
      </c>
      <c r="C335" s="145" t="b">
        <f>IF(AND('Items sous domaines Maths '!K342=6, 'Items sous domaines Maths '!K342&gt;0),'Items sous domaines Maths '!C342)</f>
        <v>0</v>
      </c>
      <c r="D335" s="145">
        <f>IF(AND('Items sous domaines Maths '!K342=6, 'Items sous domaines Maths '!K342&gt;0),'Items sous domaines Maths '!D342,0)</f>
        <v>0</v>
      </c>
      <c r="E335" s="145">
        <f>IF(AND('Items sous domaines Maths '!K342=6, 'Items sous domaines Maths '!K342&gt;0),'Items sous domaines Maths '!E342,0)</f>
        <v>0</v>
      </c>
      <c r="F335" s="146">
        <f>IF(AND('Items sous domaines Maths '!K342=6, 'Items sous domaines Maths '!K342&gt;0),'Items sous domaines Maths '!F342,0)</f>
        <v>0</v>
      </c>
      <c r="G335" s="649"/>
      <c r="H335" s="114"/>
      <c r="I335" s="199"/>
    </row>
    <row r="336" spans="1:9" s="61" customFormat="1" ht="19.95" hidden="1" customHeight="1" x14ac:dyDescent="0.25">
      <c r="A336" s="620"/>
      <c r="B336" s="169">
        <f>IF(AND('Items sous domaines Maths '!K343=6, 'Items sous domaines Maths '!K343&gt;0),'Items sous domaines Maths '!B343,0)</f>
        <v>0</v>
      </c>
      <c r="C336" s="142" t="b">
        <f>IF(AND('Items sous domaines Maths '!K343=6, 'Items sous domaines Maths '!K343&gt;0),'Items sous domaines Maths '!C343)</f>
        <v>0</v>
      </c>
      <c r="D336" s="142">
        <f>IF(AND('Items sous domaines Maths '!K343=6, 'Items sous domaines Maths '!K343&gt;0),'Items sous domaines Maths '!D343,0)</f>
        <v>0</v>
      </c>
      <c r="E336" s="142">
        <f>IF(AND('Items sous domaines Maths '!K343=6, 'Items sous domaines Maths '!K343&gt;0),'Items sous domaines Maths '!E343,0)</f>
        <v>0</v>
      </c>
      <c r="F336" s="143">
        <f>IF(AND('Items sous domaines Maths '!K343=6, 'Items sous domaines Maths '!K343&gt;0),'Items sous domaines Maths '!F343,0)</f>
        <v>0</v>
      </c>
      <c r="G336" s="649"/>
      <c r="H336" s="114"/>
      <c r="I336" s="199"/>
    </row>
    <row r="337" spans="1:9" s="61" customFormat="1" ht="19.95" hidden="1" customHeight="1" thickBot="1" x14ac:dyDescent="0.3">
      <c r="A337" s="623"/>
      <c r="B337" s="274">
        <f>IF(AND('Items sous domaines Maths '!K344=6, 'Items sous domaines Maths '!K344&gt;0),'Items sous domaines Maths '!B344,0)</f>
        <v>0</v>
      </c>
      <c r="C337" s="193" t="b">
        <f>IF(AND('Items sous domaines Maths '!K344=6, 'Items sous domaines Maths '!K344&gt;0),'Items sous domaines Maths '!C344)</f>
        <v>0</v>
      </c>
      <c r="D337" s="193">
        <f>IF(AND('Items sous domaines Maths '!K344=6, 'Items sous domaines Maths '!K344&gt;0),'Items sous domaines Maths '!D344,0)</f>
        <v>0</v>
      </c>
      <c r="E337" s="193">
        <f>IF(AND('Items sous domaines Maths '!K344=6, 'Items sous domaines Maths '!K344&gt;0),'Items sous domaines Maths '!E344,0)</f>
        <v>0</v>
      </c>
      <c r="F337" s="194">
        <f>IF(AND('Items sous domaines Maths '!K344=6, 'Items sous domaines Maths '!K344&gt;0),'Items sous domaines Maths '!F344,0)</f>
        <v>0</v>
      </c>
      <c r="G337" s="650"/>
      <c r="H337" s="191"/>
      <c r="I337" s="189"/>
    </row>
    <row r="338" spans="1:9" customFormat="1" ht="17.399999999999999" hidden="1" customHeight="1" thickTop="1" thickBot="1" x14ac:dyDescent="0.3">
      <c r="A338" s="18"/>
      <c r="B338">
        <f>IF(AND('Items sous domaines Maths '!K345=6, 'Items sous domaines Maths '!K345&gt;0),'Items sous domaines Maths '!B345,0)</f>
        <v>0</v>
      </c>
      <c r="C338" t="b">
        <f>IF(AND('Items sous domaines Maths '!K345=6, 'Items sous domaines Maths '!K345&gt;0),'Items sous domaines Maths '!C345)</f>
        <v>0</v>
      </c>
      <c r="D338">
        <f>IF(AND('Items sous domaines Maths '!K345=6, 'Items sous domaines Maths '!K345&gt;0),'Items sous domaines Maths '!D345,0)</f>
        <v>0</v>
      </c>
      <c r="E338">
        <f>IF(AND('Items sous domaines Maths '!K345=6, 'Items sous domaines Maths '!K345&gt;0),'Items sous domaines Maths '!E345,0)</f>
        <v>0</v>
      </c>
      <c r="F338" s="10">
        <f>IF(AND('Items sous domaines Maths '!K345=6, 'Items sous domaines Maths '!K345&gt;0),'Items sous domaines Maths '!F345,0)</f>
        <v>0</v>
      </c>
      <c r="G338">
        <f>IF('Items sous domaines Maths '!K345=6,'Items sous domaines Maths '!G345,0)</f>
        <v>0</v>
      </c>
    </row>
    <row r="339" spans="1:9" customFormat="1" ht="17.399999999999999" hidden="1" customHeight="1" thickBot="1" x14ac:dyDescent="0.3">
      <c r="A339" s="17"/>
      <c r="B339" s="8">
        <f>IF(AND('Items sous domaines Maths '!K346=6, 'Items sous domaines Maths '!K346&gt;0),'Items sous domaines Maths '!B346,0)</f>
        <v>0</v>
      </c>
      <c r="C339" s="8" t="b">
        <f>IF(AND('Items sous domaines Maths '!K346=6, 'Items sous domaines Maths '!K346&gt;0),'Items sous domaines Maths '!C346)</f>
        <v>0</v>
      </c>
      <c r="D339" s="8">
        <f>IF(AND('Items sous domaines Maths '!K346=6, 'Items sous domaines Maths '!K346&gt;0),'Items sous domaines Maths '!D346,0)</f>
        <v>0</v>
      </c>
      <c r="E339" s="8">
        <f>IF(AND('Items sous domaines Maths '!K346=6, 'Items sous domaines Maths '!K346&gt;0),'Items sous domaines Maths '!E346,0)</f>
        <v>0</v>
      </c>
      <c r="F339" s="9">
        <f>IF(AND('Items sous domaines Maths '!K346=6, 'Items sous domaines Maths '!K346&gt;0),'Items sous domaines Maths '!F346,0)</f>
        <v>0</v>
      </c>
      <c r="G339">
        <f>IF('Items sous domaines Maths '!K346=6,'Items sous domaines Maths '!G346,0)</f>
        <v>0</v>
      </c>
    </row>
    <row r="340" spans="1:9" customFormat="1" ht="17.399999999999999" hidden="1" customHeight="1" thickBot="1" x14ac:dyDescent="0.3">
      <c r="A340" s="24"/>
      <c r="B340" s="8">
        <f>IF(AND('Items sous domaines Maths '!K347=6, 'Items sous domaines Maths '!K347&gt;0),'Items sous domaines Maths '!B347,0)</f>
        <v>0</v>
      </c>
      <c r="C340" s="8" t="b">
        <f>IF(AND('Items sous domaines Maths '!K347=6, 'Items sous domaines Maths '!K347&gt;0),'Items sous domaines Maths '!C347)</f>
        <v>0</v>
      </c>
      <c r="D340" s="8">
        <f>IF(AND('Items sous domaines Maths '!K347=6, 'Items sous domaines Maths '!K347&gt;0),'Items sous domaines Maths '!D347,0)</f>
        <v>0</v>
      </c>
      <c r="E340" s="8">
        <f>IF(AND('Items sous domaines Maths '!K347=6, 'Items sous domaines Maths '!K347&gt;0),'Items sous domaines Maths '!E347,0)</f>
        <v>0</v>
      </c>
      <c r="F340" s="9">
        <f>IF(AND('Items sous domaines Maths '!K347=6, 'Items sous domaines Maths '!K347&gt;0),'Items sous domaines Maths '!F347,0)</f>
        <v>0</v>
      </c>
      <c r="G340">
        <f>IF('Items sous domaines Maths '!K347=6,'Items sous domaines Maths '!G347,0)</f>
        <v>0</v>
      </c>
    </row>
    <row r="341" spans="1:9" customFormat="1" ht="17.399999999999999" hidden="1" customHeight="1" thickBot="1" x14ac:dyDescent="0.3">
      <c r="A341" s="24"/>
      <c r="B341" s="8">
        <f>IF(AND('Items sous domaines Maths '!K348=6, 'Items sous domaines Maths '!K348&gt;0),'Items sous domaines Maths '!B348,0)</f>
        <v>0</v>
      </c>
      <c r="C341" s="8" t="b">
        <f>IF(AND('Items sous domaines Maths '!K348=6, 'Items sous domaines Maths '!K348&gt;0),'Items sous domaines Maths '!C348)</f>
        <v>0</v>
      </c>
      <c r="D341" s="8">
        <f>IF(AND('Items sous domaines Maths '!K348=6, 'Items sous domaines Maths '!K348&gt;0),'Items sous domaines Maths '!D348,0)</f>
        <v>0</v>
      </c>
      <c r="E341" s="8">
        <f>IF(AND('Items sous domaines Maths '!K348=6, 'Items sous domaines Maths '!K348&gt;0),'Items sous domaines Maths '!E348,0)</f>
        <v>0</v>
      </c>
      <c r="F341" s="9">
        <f>IF(AND('Items sous domaines Maths '!K348=6, 'Items sous domaines Maths '!K348&gt;0),'Items sous domaines Maths '!F348,0)</f>
        <v>0</v>
      </c>
      <c r="G341">
        <f>IF('Items sous domaines Maths '!K348=6,'Items sous domaines Maths '!G348,0)</f>
        <v>0</v>
      </c>
    </row>
    <row r="342" spans="1:9" customFormat="1" ht="17.399999999999999" hidden="1" customHeight="1" thickBot="1" x14ac:dyDescent="0.3">
      <c r="A342" s="24"/>
      <c r="B342" s="8">
        <f>IF(AND('Items sous domaines Maths '!K349=6, 'Items sous domaines Maths '!K349&gt;0),'Items sous domaines Maths '!B349,0)</f>
        <v>0</v>
      </c>
      <c r="C342" s="8" t="b">
        <f>IF(AND('Items sous domaines Maths '!K349=6, 'Items sous domaines Maths '!K349&gt;0),'Items sous domaines Maths '!C349)</f>
        <v>0</v>
      </c>
      <c r="D342" s="8">
        <f>IF(AND('Items sous domaines Maths '!K349=6, 'Items sous domaines Maths '!K349&gt;0),'Items sous domaines Maths '!D349,0)</f>
        <v>0</v>
      </c>
      <c r="E342" s="8">
        <f>IF(AND('Items sous domaines Maths '!K349=6, 'Items sous domaines Maths '!K349&gt;0),'Items sous domaines Maths '!E349,0)</f>
        <v>0</v>
      </c>
      <c r="F342" s="9">
        <f>IF(AND('Items sous domaines Maths '!K349=6, 'Items sous domaines Maths '!K349&gt;0),'Items sous domaines Maths '!F349,0)</f>
        <v>0</v>
      </c>
      <c r="G342">
        <f>IF('Items sous domaines Maths '!K349=6,'Items sous domaines Maths '!G349,0)</f>
        <v>0</v>
      </c>
    </row>
    <row r="343" spans="1:9" customFormat="1" ht="17.399999999999999" hidden="1" customHeight="1" thickBot="1" x14ac:dyDescent="0.3">
      <c r="A343" s="24"/>
      <c r="B343" s="8">
        <f>IF(AND('Items sous domaines Maths '!K350=6, 'Items sous domaines Maths '!K350&gt;0),'Items sous domaines Maths '!B350,0)</f>
        <v>0</v>
      </c>
      <c r="C343" s="8" t="b">
        <f>IF(AND('Items sous domaines Maths '!K350=6, 'Items sous domaines Maths '!K350&gt;0),'Items sous domaines Maths '!C350)</f>
        <v>0</v>
      </c>
      <c r="D343" s="8">
        <f>IF(AND('Items sous domaines Maths '!K350=6, 'Items sous domaines Maths '!K350&gt;0),'Items sous domaines Maths '!D350,0)</f>
        <v>0</v>
      </c>
      <c r="E343" s="8">
        <f>IF(AND('Items sous domaines Maths '!K350=6, 'Items sous domaines Maths '!K350&gt;0),'Items sous domaines Maths '!E350,0)</f>
        <v>0</v>
      </c>
      <c r="F343" s="9">
        <f>IF(AND('Items sous domaines Maths '!K350=6, 'Items sous domaines Maths '!K350&gt;0),'Items sous domaines Maths '!F350,0)</f>
        <v>0</v>
      </c>
      <c r="G343">
        <f>IF('Items sous domaines Maths '!K350=6,'Items sous domaines Maths '!G350,0)</f>
        <v>0</v>
      </c>
    </row>
    <row r="344" spans="1:9" customFormat="1" ht="14.4" hidden="1" thickTop="1" thickBot="1" x14ac:dyDescent="0.3">
      <c r="A344" s="24"/>
      <c r="B344" s="8">
        <f>IF(AND('Items sous domaines Maths '!K351=6, 'Items sous domaines Maths '!K351&gt;0),'Items sous domaines Maths '!B351,0)</f>
        <v>0</v>
      </c>
      <c r="C344" s="8" t="b">
        <f>IF(AND('Items sous domaines Maths '!K351=6, 'Items sous domaines Maths '!K351&gt;0),'Items sous domaines Maths '!C351)</f>
        <v>0</v>
      </c>
      <c r="D344" s="8">
        <f>IF(AND('Items sous domaines Maths '!K351=6, 'Items sous domaines Maths '!K351&gt;0),'Items sous domaines Maths '!D351,0)</f>
        <v>0</v>
      </c>
      <c r="E344" s="8">
        <f>IF(AND('Items sous domaines Maths '!K351=6, 'Items sous domaines Maths '!K351&gt;0),'Items sous domaines Maths '!E351,0)</f>
        <v>0</v>
      </c>
      <c r="F344" s="9">
        <f>IF(AND('Items sous domaines Maths '!K351=6, 'Items sous domaines Maths '!K351&gt;0),'Items sous domaines Maths '!F351,0)</f>
        <v>0</v>
      </c>
      <c r="G344">
        <f>IF('Items sous domaines Maths '!K351=6,'Items sous domaines Maths '!G351,0)</f>
        <v>0</v>
      </c>
    </row>
    <row r="345" spans="1:9" customFormat="1" ht="14.4" hidden="1" thickTop="1" thickBot="1" x14ac:dyDescent="0.3">
      <c r="A345" s="24"/>
      <c r="B345" s="8">
        <f>IF(AND('Items sous domaines Maths '!K352=6, 'Items sous domaines Maths '!K352&gt;0),'Items sous domaines Maths '!B352,0)</f>
        <v>0</v>
      </c>
      <c r="C345" s="8" t="b">
        <f>IF(AND('Items sous domaines Maths '!K352=6, 'Items sous domaines Maths '!K352&gt;0),'Items sous domaines Maths '!C352)</f>
        <v>0</v>
      </c>
      <c r="D345" s="8">
        <f>IF(AND('Items sous domaines Maths '!K352=6, 'Items sous domaines Maths '!K352&gt;0),'Items sous domaines Maths '!D352,0)</f>
        <v>0</v>
      </c>
      <c r="E345" s="8">
        <f>IF(AND('Items sous domaines Maths '!K352=6, 'Items sous domaines Maths '!K352&gt;0),'Items sous domaines Maths '!E352,0)</f>
        <v>0</v>
      </c>
      <c r="F345" s="9">
        <f>IF(AND('Items sous domaines Maths '!K352=6, 'Items sous domaines Maths '!K352&gt;0),'Items sous domaines Maths '!F352,0)</f>
        <v>0</v>
      </c>
      <c r="G345">
        <f>IF('Items sous domaines Maths '!K352=6,'Items sous domaines Maths '!G352,0)</f>
        <v>0</v>
      </c>
    </row>
    <row r="346" spans="1:9" customFormat="1" ht="14.4" hidden="1" thickTop="1" thickBot="1" x14ac:dyDescent="0.3">
      <c r="A346" s="24"/>
      <c r="B346" s="8">
        <f>IF(AND('Items sous domaines Maths '!K353=6, 'Items sous domaines Maths '!K353&gt;0),'Items sous domaines Maths '!B353,0)</f>
        <v>0</v>
      </c>
      <c r="C346" s="8" t="b">
        <f>IF(AND('Items sous domaines Maths '!K353=6, 'Items sous domaines Maths '!K353&gt;0),'Items sous domaines Maths '!C353)</f>
        <v>0</v>
      </c>
      <c r="D346" s="8">
        <f>IF(AND('Items sous domaines Maths '!K353=6, 'Items sous domaines Maths '!K353&gt;0),'Items sous domaines Maths '!D353,0)</f>
        <v>0</v>
      </c>
      <c r="E346" s="8">
        <f>IF(AND('Items sous domaines Maths '!K353=6, 'Items sous domaines Maths '!K353&gt;0),'Items sous domaines Maths '!E353,0)</f>
        <v>0</v>
      </c>
      <c r="F346" s="9">
        <f>IF(AND('Items sous domaines Maths '!K353=6, 'Items sous domaines Maths '!K353&gt;0),'Items sous domaines Maths '!F353,0)</f>
        <v>0</v>
      </c>
      <c r="G346">
        <f>IF('Items sous domaines Maths '!K353=6,'Items sous domaines Maths '!G353,0)</f>
        <v>0</v>
      </c>
    </row>
    <row r="347" spans="1:9" customFormat="1" ht="14.4" hidden="1" thickTop="1" thickBot="1" x14ac:dyDescent="0.3">
      <c r="A347" s="24"/>
      <c r="B347" s="8">
        <f>IF(AND('Items sous domaines Maths '!K354=6, 'Items sous domaines Maths '!K354&gt;0),'Items sous domaines Maths '!B354,0)</f>
        <v>0</v>
      </c>
      <c r="C347" s="8" t="b">
        <f>IF(AND('Items sous domaines Maths '!K354=6, 'Items sous domaines Maths '!K354&gt;0),'Items sous domaines Maths '!C354)</f>
        <v>0</v>
      </c>
      <c r="D347" s="8">
        <f>IF(AND('Items sous domaines Maths '!K354=6, 'Items sous domaines Maths '!K354&gt;0),'Items sous domaines Maths '!D354,0)</f>
        <v>0</v>
      </c>
      <c r="E347" s="8">
        <f>IF(AND('Items sous domaines Maths '!K354=6, 'Items sous domaines Maths '!K354&gt;0),'Items sous domaines Maths '!E354,0)</f>
        <v>0</v>
      </c>
      <c r="F347" s="9">
        <f>IF(AND('Items sous domaines Maths '!K354=6, 'Items sous domaines Maths '!K354&gt;0),'Items sous domaines Maths '!F354,0)</f>
        <v>0</v>
      </c>
      <c r="G347">
        <f>IF('Items sous domaines Maths '!K354=6,'Items sous domaines Maths '!G354,0)</f>
        <v>0</v>
      </c>
    </row>
    <row r="348" spans="1:9" customFormat="1" ht="14.4" hidden="1" thickTop="1" thickBot="1" x14ac:dyDescent="0.3">
      <c r="A348" s="24"/>
      <c r="B348" s="8">
        <f>IF(AND('Items sous domaines Maths '!K355=6, 'Items sous domaines Maths '!K355&gt;0),'Items sous domaines Maths '!B355,0)</f>
        <v>0</v>
      </c>
      <c r="C348" s="8" t="b">
        <f>IF(AND('Items sous domaines Maths '!K355=6, 'Items sous domaines Maths '!K355&gt;0),'Items sous domaines Maths '!C355)</f>
        <v>0</v>
      </c>
      <c r="D348" s="8">
        <f>IF(AND('Items sous domaines Maths '!K355=6, 'Items sous domaines Maths '!K355&gt;0),'Items sous domaines Maths '!D355,0)</f>
        <v>0</v>
      </c>
      <c r="E348" s="8">
        <f>IF(AND('Items sous domaines Maths '!K355=6, 'Items sous domaines Maths '!K355&gt;0),'Items sous domaines Maths '!E355,0)</f>
        <v>0</v>
      </c>
      <c r="F348" s="9">
        <f>IF(AND('Items sous domaines Maths '!K355=6, 'Items sous domaines Maths '!K355&gt;0),'Items sous domaines Maths '!F355,0)</f>
        <v>0</v>
      </c>
      <c r="G348">
        <f>IF('Items sous domaines Maths '!K355=6,'Items sous domaines Maths '!G355,0)</f>
        <v>0</v>
      </c>
    </row>
    <row r="349" spans="1:9" customFormat="1" ht="14.4" hidden="1" thickTop="1" thickBot="1" x14ac:dyDescent="0.3">
      <c r="A349" s="24"/>
      <c r="B349" s="8">
        <f>IF(AND('Items sous domaines Maths '!K356=6, 'Items sous domaines Maths '!K356&gt;0),'Items sous domaines Maths '!B356,0)</f>
        <v>0</v>
      </c>
      <c r="C349" s="8" t="b">
        <f>IF(AND('Items sous domaines Maths '!K356=6, 'Items sous domaines Maths '!K356&gt;0),'Items sous domaines Maths '!C356)</f>
        <v>0</v>
      </c>
      <c r="D349" s="8">
        <f>IF(AND('Items sous domaines Maths '!K356=6, 'Items sous domaines Maths '!K356&gt;0),'Items sous domaines Maths '!D356,0)</f>
        <v>0</v>
      </c>
      <c r="E349" s="8">
        <f>IF(AND('Items sous domaines Maths '!K356=6, 'Items sous domaines Maths '!K356&gt;0),'Items sous domaines Maths '!E356,0)</f>
        <v>0</v>
      </c>
      <c r="F349" s="9">
        <f>IF(AND('Items sous domaines Maths '!K356=6, 'Items sous domaines Maths '!K356&gt;0),'Items sous domaines Maths '!F356,0)</f>
        <v>0</v>
      </c>
      <c r="G349">
        <f>IF('Items sous domaines Maths '!K356=6,'Items sous domaines Maths '!G356,0)</f>
        <v>0</v>
      </c>
    </row>
    <row r="350" spans="1:9" customFormat="1" ht="14.4" hidden="1" thickTop="1" thickBot="1" x14ac:dyDescent="0.3">
      <c r="A350" s="24"/>
      <c r="B350" s="8">
        <f>IF(AND('Items sous domaines Maths '!K357=6, 'Items sous domaines Maths '!K357&gt;0),'Items sous domaines Maths '!B357,0)</f>
        <v>0</v>
      </c>
      <c r="C350" s="8" t="b">
        <f>IF(AND('Items sous domaines Maths '!K357=6, 'Items sous domaines Maths '!K357&gt;0),'Items sous domaines Maths '!C357)</f>
        <v>0</v>
      </c>
      <c r="D350" s="8">
        <f>IF(AND('Items sous domaines Maths '!K357=6, 'Items sous domaines Maths '!K357&gt;0),'Items sous domaines Maths '!D357,0)</f>
        <v>0</v>
      </c>
      <c r="E350" s="8">
        <f>IF(AND('Items sous domaines Maths '!K357=6, 'Items sous domaines Maths '!K357&gt;0),'Items sous domaines Maths '!E357,0)</f>
        <v>0</v>
      </c>
      <c r="F350" s="9">
        <f>IF(AND('Items sous domaines Maths '!K357=6, 'Items sous domaines Maths '!K357&gt;0),'Items sous domaines Maths '!F357,0)</f>
        <v>0</v>
      </c>
      <c r="G350">
        <f>IF('Items sous domaines Maths '!K357=6,'Items sous domaines Maths '!G357,0)</f>
        <v>0</v>
      </c>
    </row>
    <row r="351" spans="1:9" customFormat="1" ht="14.4" hidden="1" thickTop="1" thickBot="1" x14ac:dyDescent="0.3">
      <c r="A351" s="24"/>
      <c r="B351" s="8">
        <f>IF(AND('Items sous domaines Maths '!K358=6, 'Items sous domaines Maths '!K358&gt;0),'Items sous domaines Maths '!B358,0)</f>
        <v>0</v>
      </c>
      <c r="C351" s="8" t="b">
        <f>IF(AND('Items sous domaines Maths '!K358=6, 'Items sous domaines Maths '!K358&gt;0),'Items sous domaines Maths '!C358)</f>
        <v>0</v>
      </c>
      <c r="D351" s="8">
        <f>IF(AND('Items sous domaines Maths '!K358=6, 'Items sous domaines Maths '!K358&gt;0),'Items sous domaines Maths '!D358,0)</f>
        <v>0</v>
      </c>
      <c r="E351" s="8">
        <f>IF(AND('Items sous domaines Maths '!K358=6, 'Items sous domaines Maths '!K358&gt;0),'Items sous domaines Maths '!E358,0)</f>
        <v>0</v>
      </c>
      <c r="F351" s="9">
        <f>IF(AND('Items sous domaines Maths '!K358=6, 'Items sous domaines Maths '!K358&gt;0),'Items sous domaines Maths '!F358,0)</f>
        <v>0</v>
      </c>
      <c r="G351">
        <f>IF('Items sous domaines Maths '!K358=6,'Items sous domaines Maths '!G358,0)</f>
        <v>0</v>
      </c>
    </row>
    <row r="352" spans="1:9" s="61" customFormat="1" ht="19.95" hidden="1" customHeight="1" thickTop="1" x14ac:dyDescent="0.25">
      <c r="A352" s="629" t="s">
        <v>408</v>
      </c>
      <c r="B352" s="271">
        <f>IF(AND('Items sous domaines Maths '!K359=6, 'Items sous domaines Maths '!K359&gt;0),'Items sous domaines Maths '!B359,0)</f>
        <v>0</v>
      </c>
      <c r="C352" s="182" t="b">
        <f>IF(AND('Items sous domaines Maths '!K359=6, 'Items sous domaines Maths '!K359&gt;0),'Items sous domaines Maths '!C359)</f>
        <v>0</v>
      </c>
      <c r="D352" s="182">
        <f>IF(AND('Items sous domaines Maths '!K359=6, 'Items sous domaines Maths '!K359&gt;0),'Items sous domaines Maths '!D359,0)</f>
        <v>0</v>
      </c>
      <c r="E352" s="182">
        <f>IF(AND('Items sous domaines Maths '!K359=6, 'Items sous domaines Maths '!K359&gt;0),'Items sous domaines Maths '!E359,0)</f>
        <v>0</v>
      </c>
      <c r="F352" s="183">
        <f>IF(AND('Items sous domaines Maths '!K359=6, 'Items sous domaines Maths '!K359&gt;0),'Items sous domaines Maths '!F359,0)</f>
        <v>0</v>
      </c>
      <c r="G352" s="648" t="s">
        <v>491</v>
      </c>
      <c r="H352" s="760" t="s">
        <v>464</v>
      </c>
      <c r="I352" s="178"/>
    </row>
    <row r="353" spans="1:9" s="61" customFormat="1" ht="19.95" hidden="1" customHeight="1" x14ac:dyDescent="0.25">
      <c r="A353" s="630"/>
      <c r="B353" s="169">
        <f>IF(AND('Items sous domaines Maths '!K360=6, 'Items sous domaines Maths '!K360&gt;0),'Items sous domaines Maths '!B360,0)</f>
        <v>0</v>
      </c>
      <c r="C353" s="142" t="b">
        <f>IF(AND('Items sous domaines Maths '!K360=6, 'Items sous domaines Maths '!K360&gt;0),'Items sous domaines Maths '!C360)</f>
        <v>0</v>
      </c>
      <c r="D353" s="142">
        <f>IF(AND('Items sous domaines Maths '!K360=6, 'Items sous domaines Maths '!K360&gt;0),'Items sous domaines Maths '!D360,0)</f>
        <v>0</v>
      </c>
      <c r="E353" s="142">
        <f>IF(AND('Items sous domaines Maths '!K360=6, 'Items sous domaines Maths '!K360&gt;0),'Items sous domaines Maths '!E360,0)</f>
        <v>0</v>
      </c>
      <c r="F353" s="143">
        <f>IF(AND('Items sous domaines Maths '!K360=6, 'Items sous domaines Maths '!K360&gt;0),'Items sous domaines Maths '!F360,0)</f>
        <v>0</v>
      </c>
      <c r="G353" s="649"/>
      <c r="H353" s="761"/>
      <c r="I353" s="199"/>
    </row>
    <row r="354" spans="1:9" s="61" customFormat="1" ht="19.95" hidden="1" customHeight="1" x14ac:dyDescent="0.25">
      <c r="A354" s="630"/>
      <c r="B354" s="172">
        <f>IF(AND('Items sous domaines Maths '!K361=6, 'Items sous domaines Maths '!K361&gt;0),'Items sous domaines Maths '!B361,0)</f>
        <v>0</v>
      </c>
      <c r="C354" s="145" t="b">
        <f>IF(AND('Items sous domaines Maths '!K361=6, 'Items sous domaines Maths '!K361&gt;0),'Items sous domaines Maths '!C361)</f>
        <v>0</v>
      </c>
      <c r="D354" s="145">
        <f>IF(AND('Items sous domaines Maths '!K361=6, 'Items sous domaines Maths '!K361&gt;0),'Items sous domaines Maths '!D361,0)</f>
        <v>0</v>
      </c>
      <c r="E354" s="145">
        <f>IF(AND('Items sous domaines Maths '!K361=6, 'Items sous domaines Maths '!K361&gt;0),'Items sous domaines Maths '!E361,0)</f>
        <v>0</v>
      </c>
      <c r="F354" s="146">
        <f>IF(AND('Items sous domaines Maths '!K361=6, 'Items sous domaines Maths '!K361&gt;0),'Items sous domaines Maths '!F361,0)</f>
        <v>0</v>
      </c>
      <c r="G354" s="649"/>
      <c r="H354" s="761"/>
      <c r="I354" s="199"/>
    </row>
    <row r="355" spans="1:9" s="61" customFormat="1" ht="19.95" hidden="1" customHeight="1" x14ac:dyDescent="0.25">
      <c r="A355" s="630"/>
      <c r="B355" s="169">
        <f>IF(AND('Items sous domaines Maths '!K362=6, 'Items sous domaines Maths '!K362&gt;0),'Items sous domaines Maths '!B362,0)</f>
        <v>0</v>
      </c>
      <c r="C355" s="142" t="b">
        <f>IF(AND('Items sous domaines Maths '!K362=6, 'Items sous domaines Maths '!K362&gt;0),'Items sous domaines Maths '!C362)</f>
        <v>0</v>
      </c>
      <c r="D355" s="142">
        <f>IF(AND('Items sous domaines Maths '!K362=6, 'Items sous domaines Maths '!K362&gt;0),'Items sous domaines Maths '!D362,0)</f>
        <v>0</v>
      </c>
      <c r="E355" s="142">
        <f>IF(AND('Items sous domaines Maths '!K362=6, 'Items sous domaines Maths '!K362&gt;0),'Items sous domaines Maths '!E362,0)</f>
        <v>0</v>
      </c>
      <c r="F355" s="143">
        <f>IF(AND('Items sous domaines Maths '!K362=6, 'Items sous domaines Maths '!K362&gt;0),'Items sous domaines Maths '!F362,0)</f>
        <v>0</v>
      </c>
      <c r="G355" s="649"/>
      <c r="H355" s="761"/>
      <c r="I355" s="199"/>
    </row>
    <row r="356" spans="1:9" s="61" customFormat="1" ht="19.95" hidden="1" customHeight="1" x14ac:dyDescent="0.25">
      <c r="A356" s="630"/>
      <c r="B356" s="172">
        <f>IF(AND('Items sous domaines Maths '!K363=6, 'Items sous domaines Maths '!K363&gt;0),'Items sous domaines Maths '!B363,0)</f>
        <v>0</v>
      </c>
      <c r="C356" s="145" t="b">
        <f>IF(AND('Items sous domaines Maths '!K363=6, 'Items sous domaines Maths '!K363&gt;0),'Items sous domaines Maths '!C363)</f>
        <v>0</v>
      </c>
      <c r="D356" s="145">
        <f>IF(AND('Items sous domaines Maths '!K363=6, 'Items sous domaines Maths '!K363&gt;0),'Items sous domaines Maths '!D363,0)</f>
        <v>0</v>
      </c>
      <c r="E356" s="145">
        <f>IF(AND('Items sous domaines Maths '!K363=6, 'Items sous domaines Maths '!K363&gt;0),'Items sous domaines Maths '!E363,0)</f>
        <v>0</v>
      </c>
      <c r="F356" s="146">
        <f>IF(AND('Items sous domaines Maths '!K363=6, 'Items sous domaines Maths '!K363&gt;0),'Items sous domaines Maths '!F363,0)</f>
        <v>0</v>
      </c>
      <c r="G356" s="649"/>
      <c r="H356" s="761"/>
      <c r="I356" s="199"/>
    </row>
    <row r="357" spans="1:9" s="61" customFormat="1" ht="19.95" hidden="1" customHeight="1" thickBot="1" x14ac:dyDescent="0.3">
      <c r="A357" s="632"/>
      <c r="B357" s="170">
        <f>IF(AND('Items sous domaines Maths '!K364=6, 'Items sous domaines Maths '!K364&gt;0),'Items sous domaines Maths '!B364,0)</f>
        <v>0</v>
      </c>
      <c r="C357" s="148" t="b">
        <f>IF(AND('Items sous domaines Maths '!K364=6, 'Items sous domaines Maths '!K364&gt;0),'Items sous domaines Maths '!C364)</f>
        <v>0</v>
      </c>
      <c r="D357" s="148">
        <f>IF(AND('Items sous domaines Maths '!K364=6, 'Items sous domaines Maths '!K364&gt;0),'Items sous domaines Maths '!D364,0)</f>
        <v>0</v>
      </c>
      <c r="E357" s="148">
        <f>IF(AND('Items sous domaines Maths '!K364=6, 'Items sous domaines Maths '!K364&gt;0),'Items sous domaines Maths '!E364,0)</f>
        <v>0</v>
      </c>
      <c r="F357" s="149">
        <f>IF(AND('Items sous domaines Maths '!K364=6, 'Items sous domaines Maths '!K364&gt;0),'Items sous domaines Maths '!F364,0)</f>
        <v>0</v>
      </c>
      <c r="G357" s="649"/>
      <c r="H357" s="761"/>
      <c r="I357" s="199"/>
    </row>
    <row r="358" spans="1:9" s="61" customFormat="1" ht="19.95" hidden="1" customHeight="1" thickBot="1" x14ac:dyDescent="0.3">
      <c r="A358" s="283" t="s">
        <v>492</v>
      </c>
      <c r="B358" s="284">
        <f>IF(AND('Items sous domaines Maths '!K365=6, 'Items sous domaines Maths '!K365&gt;0),'Items sous domaines Maths '!B365,0)</f>
        <v>0</v>
      </c>
      <c r="C358" s="285" t="b">
        <f>IF(AND('Items sous domaines Maths '!K365=6, 'Items sous domaines Maths '!K365&gt;0),'Items sous domaines Maths '!C365)</f>
        <v>0</v>
      </c>
      <c r="D358" s="285">
        <f>IF(AND('Items sous domaines Maths '!K365=6, 'Items sous domaines Maths '!K365&gt;0),'Items sous domaines Maths '!D365,0)</f>
        <v>0</v>
      </c>
      <c r="E358" s="285">
        <f>IF(AND('Items sous domaines Maths '!K365=6, 'Items sous domaines Maths '!K365&gt;0),'Items sous domaines Maths '!E365,0)</f>
        <v>0</v>
      </c>
      <c r="F358" s="286">
        <f>IF(AND('Items sous domaines Maths '!K365=6, 'Items sous domaines Maths '!K365&gt;0),'Items sous domaines Maths '!F365,0)</f>
        <v>0</v>
      </c>
      <c r="G358" s="650"/>
      <c r="H358" s="762"/>
      <c r="I358" s="189"/>
    </row>
    <row r="359" spans="1:9" customFormat="1" ht="13.5" hidden="1" customHeight="1" thickTop="1" thickBot="1" x14ac:dyDescent="0.3">
      <c r="A359" s="22" t="s">
        <v>493</v>
      </c>
      <c r="B359">
        <f>IF(AND('Items sous domaines Maths '!K366=6, 'Items sous domaines Maths '!K366&gt;0),'Items sous domaines Maths '!B366,0)</f>
        <v>0</v>
      </c>
      <c r="C359" t="b">
        <f>IF(AND('Items sous domaines Maths '!K366=6, 'Items sous domaines Maths '!K366&gt;0),'Items sous domaines Maths '!C366)</f>
        <v>0</v>
      </c>
      <c r="D359">
        <f>IF(AND('Items sous domaines Maths '!K366=6, 'Items sous domaines Maths '!K366&gt;0),'Items sous domaines Maths '!D366,0)</f>
        <v>0</v>
      </c>
      <c r="E359">
        <f>IF(AND('Items sous domaines Maths '!K366=6, 'Items sous domaines Maths '!K366&gt;0),'Items sous domaines Maths '!E366,0)</f>
        <v>0</v>
      </c>
      <c r="F359" s="10">
        <f>IF(AND('Items sous domaines Maths '!K366=6, 'Items sous domaines Maths '!K366&gt;0),'Items sous domaines Maths '!F366,0)</f>
        <v>0</v>
      </c>
      <c r="G359" s="647"/>
      <c r="H359" s="761"/>
    </row>
    <row r="360" spans="1:9" customFormat="1" ht="13.5" hidden="1" customHeight="1" thickBot="1" x14ac:dyDescent="0.3">
      <c r="A360" s="22"/>
      <c r="B360" s="8">
        <f>IF(AND('Items sous domaines Maths '!K367=6, 'Items sous domaines Maths '!K367&gt;0),'Items sous domaines Maths '!B367,0)</f>
        <v>0</v>
      </c>
      <c r="C360" s="8" t="b">
        <f>IF(AND('Items sous domaines Maths '!K367=6, 'Items sous domaines Maths '!K367&gt;0),'Items sous domaines Maths '!C367)</f>
        <v>0</v>
      </c>
      <c r="D360" s="8">
        <f>IF(AND('Items sous domaines Maths '!K367=6, 'Items sous domaines Maths '!K367&gt;0),'Items sous domaines Maths '!D367,0)</f>
        <v>0</v>
      </c>
      <c r="E360" s="8">
        <f>IF(AND('Items sous domaines Maths '!K367=6, 'Items sous domaines Maths '!K367&gt;0),'Items sous domaines Maths '!E367,0)</f>
        <v>0</v>
      </c>
      <c r="F360" s="9">
        <f>IF(AND('Items sous domaines Maths '!K367=6, 'Items sous domaines Maths '!K367&gt;0),'Items sous domaines Maths '!F367,0)</f>
        <v>0</v>
      </c>
      <c r="G360" s="647"/>
      <c r="H360" s="761"/>
    </row>
    <row r="361" spans="1:9" customFormat="1" ht="13.5" hidden="1" customHeight="1" thickBot="1" x14ac:dyDescent="0.3">
      <c r="A361" s="22"/>
      <c r="B361" s="8">
        <f>IF(AND('Items sous domaines Maths '!K368=6, 'Items sous domaines Maths '!K368&gt;0),'Items sous domaines Maths '!B368,0)</f>
        <v>0</v>
      </c>
      <c r="C361" s="8" t="b">
        <f>IF(AND('Items sous domaines Maths '!K368=6, 'Items sous domaines Maths '!K368&gt;0),'Items sous domaines Maths '!C368)</f>
        <v>0</v>
      </c>
      <c r="D361" s="8">
        <f>IF(AND('Items sous domaines Maths '!K368=6, 'Items sous domaines Maths '!K368&gt;0),'Items sous domaines Maths '!D368,0)</f>
        <v>0</v>
      </c>
      <c r="E361" s="8">
        <f>IF(AND('Items sous domaines Maths '!K368=6, 'Items sous domaines Maths '!K368&gt;0),'Items sous domaines Maths '!E368,0)</f>
        <v>0</v>
      </c>
      <c r="F361" s="9">
        <f>IF(AND('Items sous domaines Maths '!K368=6, 'Items sous domaines Maths '!K368&gt;0),'Items sous domaines Maths '!F368,0)</f>
        <v>0</v>
      </c>
      <c r="G361" s="647"/>
      <c r="H361" s="761"/>
    </row>
    <row r="362" spans="1:9" customFormat="1" ht="13.5" hidden="1" customHeight="1" thickBot="1" x14ac:dyDescent="0.3">
      <c r="A362" s="22"/>
      <c r="B362" s="8">
        <f>IF(AND('Items sous domaines Maths '!K369=6, 'Items sous domaines Maths '!K369&gt;0),'Items sous domaines Maths '!B369,0)</f>
        <v>0</v>
      </c>
      <c r="C362" s="8" t="b">
        <f>IF(AND('Items sous domaines Maths '!K369=6, 'Items sous domaines Maths '!K369&gt;0),'Items sous domaines Maths '!C369)</f>
        <v>0</v>
      </c>
      <c r="D362" s="8">
        <f>IF(AND('Items sous domaines Maths '!K369=6, 'Items sous domaines Maths '!K369&gt;0),'Items sous domaines Maths '!D369,0)</f>
        <v>0</v>
      </c>
      <c r="E362" s="8">
        <f>IF(AND('Items sous domaines Maths '!K369=6, 'Items sous domaines Maths '!K369&gt;0),'Items sous domaines Maths '!E369,0)</f>
        <v>0</v>
      </c>
      <c r="F362" s="9">
        <f>IF(AND('Items sous domaines Maths '!K369=6, 'Items sous domaines Maths '!K369&gt;0),'Items sous domaines Maths '!F369,0)</f>
        <v>0</v>
      </c>
      <c r="G362" s="647"/>
      <c r="H362" s="761"/>
    </row>
    <row r="363" spans="1:9" customFormat="1" ht="13.5" hidden="1" customHeight="1" thickBot="1" x14ac:dyDescent="0.3">
      <c r="A363" s="22"/>
      <c r="B363" s="8">
        <f>IF(AND('Items sous domaines Maths '!K370=6, 'Items sous domaines Maths '!K370&gt;0),'Items sous domaines Maths '!B370,0)</f>
        <v>0</v>
      </c>
      <c r="C363" s="8" t="b">
        <f>IF(AND('Items sous domaines Maths '!K370=6, 'Items sous domaines Maths '!K370&gt;0),'Items sous domaines Maths '!C370)</f>
        <v>0</v>
      </c>
      <c r="D363" s="8">
        <f>IF(AND('Items sous domaines Maths '!K370=6, 'Items sous domaines Maths '!K370&gt;0),'Items sous domaines Maths '!D370,0)</f>
        <v>0</v>
      </c>
      <c r="E363" s="8">
        <f>IF(AND('Items sous domaines Maths '!K370=6, 'Items sous domaines Maths '!K370&gt;0),'Items sous domaines Maths '!E370,0)</f>
        <v>0</v>
      </c>
      <c r="F363" s="9">
        <f>IF(AND('Items sous domaines Maths '!K370=6, 'Items sous domaines Maths '!K370&gt;0),'Items sous domaines Maths '!F370,0)</f>
        <v>0</v>
      </c>
      <c r="G363" s="647"/>
      <c r="H363" s="761"/>
    </row>
    <row r="364" spans="1:9" customFormat="1" ht="13.5" hidden="1" customHeight="1" thickBot="1" x14ac:dyDescent="0.3">
      <c r="A364" s="22"/>
      <c r="B364" s="8">
        <f>IF(AND('Items sous domaines Maths '!K371=6, 'Items sous domaines Maths '!K371&gt;0),'Items sous domaines Maths '!B371,0)</f>
        <v>0</v>
      </c>
      <c r="C364" s="8" t="b">
        <f>IF(AND('Items sous domaines Maths '!K371=6, 'Items sous domaines Maths '!K371&gt;0),'Items sous domaines Maths '!C371)</f>
        <v>0</v>
      </c>
      <c r="D364" s="8">
        <f>IF(AND('Items sous domaines Maths '!K371=6, 'Items sous domaines Maths '!K371&gt;0),'Items sous domaines Maths '!D371,0)</f>
        <v>0</v>
      </c>
      <c r="E364" s="8">
        <f>IF(AND('Items sous domaines Maths '!K371=6, 'Items sous domaines Maths '!K371&gt;0),'Items sous domaines Maths '!E371,0)</f>
        <v>0</v>
      </c>
      <c r="F364" s="9">
        <f>IF(AND('Items sous domaines Maths '!K371=6, 'Items sous domaines Maths '!K371&gt;0),'Items sous domaines Maths '!F371,0)</f>
        <v>0</v>
      </c>
      <c r="G364" s="647"/>
      <c r="H364" s="761"/>
    </row>
    <row r="365" spans="1:9" customFormat="1" ht="13.5" hidden="1" customHeight="1" thickBot="1" x14ac:dyDescent="0.3">
      <c r="A365" s="22"/>
      <c r="B365" s="8">
        <f>IF(AND('Items sous domaines Maths '!K372=6, 'Items sous domaines Maths '!K372&gt;0),'Items sous domaines Maths '!B372,0)</f>
        <v>0</v>
      </c>
      <c r="C365" s="8" t="b">
        <f>IF(AND('Items sous domaines Maths '!K372=6, 'Items sous domaines Maths '!K372&gt;0),'Items sous domaines Maths '!C372)</f>
        <v>0</v>
      </c>
      <c r="D365" s="8">
        <f>IF(AND('Items sous domaines Maths '!K372=6, 'Items sous domaines Maths '!K372&gt;0),'Items sous domaines Maths '!D372,0)</f>
        <v>0</v>
      </c>
      <c r="E365" s="8">
        <f>IF(AND('Items sous domaines Maths '!K372=6, 'Items sous domaines Maths '!K372&gt;0),'Items sous domaines Maths '!E372,0)</f>
        <v>0</v>
      </c>
      <c r="F365" s="9">
        <f>IF(AND('Items sous domaines Maths '!K372=6, 'Items sous domaines Maths '!K372&gt;0),'Items sous domaines Maths '!F372,0)</f>
        <v>0</v>
      </c>
      <c r="G365" s="647"/>
      <c r="H365" s="761"/>
    </row>
    <row r="366" spans="1:9" customFormat="1" ht="13.5" hidden="1" customHeight="1" thickBot="1" x14ac:dyDescent="0.3">
      <c r="A366" s="22"/>
      <c r="B366" s="8">
        <f>IF(AND('Items sous domaines Maths '!K373=6, 'Items sous domaines Maths '!K373&gt;0),'Items sous domaines Maths '!B373,0)</f>
        <v>0</v>
      </c>
      <c r="C366" s="8" t="b">
        <f>IF(AND('Items sous domaines Maths '!K373=6, 'Items sous domaines Maths '!K373&gt;0),'Items sous domaines Maths '!C373)</f>
        <v>0</v>
      </c>
      <c r="D366" s="8">
        <f>IF(AND('Items sous domaines Maths '!K373=6, 'Items sous domaines Maths '!K373&gt;0),'Items sous domaines Maths '!D373,0)</f>
        <v>0</v>
      </c>
      <c r="E366" s="8">
        <f>IF(AND('Items sous domaines Maths '!K373=6, 'Items sous domaines Maths '!K373&gt;0),'Items sous domaines Maths '!E373,0)</f>
        <v>0</v>
      </c>
      <c r="F366" s="9">
        <f>IF(AND('Items sous domaines Maths '!K373=6, 'Items sous domaines Maths '!K373&gt;0),'Items sous domaines Maths '!F373,0)</f>
        <v>0</v>
      </c>
      <c r="G366" s="647"/>
      <c r="H366" s="761"/>
    </row>
    <row r="367" spans="1:9" customFormat="1" ht="13.5" hidden="1" customHeight="1" thickBot="1" x14ac:dyDescent="0.3">
      <c r="A367" s="22"/>
      <c r="B367" s="8">
        <f>IF(AND('Items sous domaines Maths '!K374=6, 'Items sous domaines Maths '!K374&gt;0),'Items sous domaines Maths '!B374,0)</f>
        <v>0</v>
      </c>
      <c r="C367" s="8" t="b">
        <f>IF(AND('Items sous domaines Maths '!K374=6, 'Items sous domaines Maths '!K374&gt;0),'Items sous domaines Maths '!C374)</f>
        <v>0</v>
      </c>
      <c r="D367" s="8">
        <f>IF(AND('Items sous domaines Maths '!K374=6, 'Items sous domaines Maths '!K374&gt;0),'Items sous domaines Maths '!D374,0)</f>
        <v>0</v>
      </c>
      <c r="E367" s="8">
        <f>IF(AND('Items sous domaines Maths '!K374=6, 'Items sous domaines Maths '!K374&gt;0),'Items sous domaines Maths '!E374,0)</f>
        <v>0</v>
      </c>
      <c r="F367" s="9">
        <f>IF(AND('Items sous domaines Maths '!K374=6, 'Items sous domaines Maths '!K374&gt;0),'Items sous domaines Maths '!F374,0)</f>
        <v>0</v>
      </c>
      <c r="G367" s="647"/>
      <c r="H367" s="761"/>
    </row>
    <row r="368" spans="1:9" customFormat="1" ht="13.5" hidden="1" customHeight="1" thickBot="1" x14ac:dyDescent="0.3">
      <c r="A368" s="756" t="s">
        <v>846</v>
      </c>
      <c r="B368" s="8">
        <f>IF(AND('Items sous domaines Maths '!K375=6, 'Items sous domaines Maths '!K375&gt;0),'Items sous domaines Maths '!B375,0)</f>
        <v>0</v>
      </c>
      <c r="C368" s="8" t="b">
        <f>IF(AND('Items sous domaines Maths '!K375=6, 'Items sous domaines Maths '!K375&gt;0),'Items sous domaines Maths '!C375)</f>
        <v>0</v>
      </c>
      <c r="D368" s="8">
        <f>IF(AND('Items sous domaines Maths '!K375=6, 'Items sous domaines Maths '!K375&gt;0),'Items sous domaines Maths '!D375,0)</f>
        <v>0</v>
      </c>
      <c r="E368" s="8">
        <f>IF(AND('Items sous domaines Maths '!K375=6, 'Items sous domaines Maths '!K375&gt;0),'Items sous domaines Maths '!E375,0)</f>
        <v>0</v>
      </c>
      <c r="F368" s="9">
        <f>IF(AND('Items sous domaines Maths '!K375=6, 'Items sous domaines Maths '!K375&gt;0),'Items sous domaines Maths '!F375,0)</f>
        <v>0</v>
      </c>
      <c r="G368" s="647"/>
      <c r="H368" s="761"/>
    </row>
    <row r="369" spans="1:9" s="61" customFormat="1" ht="19.95" customHeight="1" thickTop="1" x14ac:dyDescent="0.25">
      <c r="A369" s="629"/>
      <c r="B369" s="271" t="str">
        <f>IF(AND('Items sous domaines Maths '!K376=6, 'Items sous domaines Maths '!K376&gt;0),'Items sous domaines Maths '!B376,0)</f>
        <v>Probabilité et statistiques</v>
      </c>
      <c r="C369" s="182" t="str">
        <f>IF(AND('Items sous domaines Maths '!K376=6, 'Items sous domaines Maths '!K376&gt;0),'Items sous domaines Maths '!C376)</f>
        <v>Les statistiques</v>
      </c>
      <c r="D369" s="182">
        <f>IF(AND('Items sous domaines Maths '!K376=6, 'Items sous domaines Maths '!K376&gt;0),'Items sous domaines Maths '!D376,0)</f>
        <v>0</v>
      </c>
      <c r="E369" s="182" t="str">
        <f>IF(AND('Items sous domaines Maths '!K376=6, 'Items sous domaines Maths '!K376&gt;0),'Items sous domaines Maths '!E376,0)</f>
        <v>Ajustements linéaires ou non</v>
      </c>
      <c r="F369" s="183" t="str">
        <f>IF(AND('Items sous domaines Maths '!K376=6, 'Items sous domaines Maths '!K376&gt;0),'Items sous domaines Maths '!F376,0)</f>
        <v>Méthode de Mayer (points moyens).</v>
      </c>
      <c r="G369" s="648"/>
      <c r="H369" s="760"/>
      <c r="I369" s="178"/>
    </row>
    <row r="370" spans="1:9" s="61" customFormat="1" ht="19.95" customHeight="1" x14ac:dyDescent="0.25">
      <c r="A370" s="630"/>
      <c r="B370" s="169" t="str">
        <f>IF(AND('Items sous domaines Maths '!K377=6, 'Items sous domaines Maths '!K377&gt;0),'Items sous domaines Maths '!B377,0)</f>
        <v>Probabilité et statistiques</v>
      </c>
      <c r="C370" s="142" t="str">
        <f>IF(AND('Items sous domaines Maths '!K377=6, 'Items sous domaines Maths '!K377&gt;0),'Items sous domaines Maths '!C377)</f>
        <v>Les statistiques</v>
      </c>
      <c r="D370" s="142">
        <f>IF(AND('Items sous domaines Maths '!K377=6, 'Items sous domaines Maths '!K377&gt;0),'Items sous domaines Maths '!D377,0)</f>
        <v>0</v>
      </c>
      <c r="E370" s="142">
        <f>IF(AND('Items sous domaines Maths '!K377=6, 'Items sous domaines Maths '!K377&gt;0),'Items sous domaines Maths '!E377,0)</f>
        <v>0</v>
      </c>
      <c r="F370" s="143" t="str">
        <f>IF(AND('Items sous domaines Maths '!K377=6, 'Items sous domaines Maths '!K377&gt;0),'Items sous domaines Maths '!F377,0)</f>
        <v>Méthode des points extrêmes.</v>
      </c>
      <c r="G370" s="649"/>
      <c r="H370" s="761"/>
      <c r="I370" s="199"/>
    </row>
    <row r="371" spans="1:9" s="61" customFormat="1" ht="19.95" customHeight="1" x14ac:dyDescent="0.25">
      <c r="A371" s="630"/>
      <c r="B371" s="172" t="str">
        <f>IF(AND('Items sous domaines Maths '!K378=6, 'Items sous domaines Maths '!K378&gt;0),'Items sous domaines Maths '!B378,0)</f>
        <v>Probabilité et statistiques</v>
      </c>
      <c r="C371" s="145" t="str">
        <f>IF(AND('Items sous domaines Maths '!K378=6, 'Items sous domaines Maths '!K378&gt;0),'Items sous domaines Maths '!C378)</f>
        <v>Les statistiques</v>
      </c>
      <c r="D371" s="145">
        <f>IF(AND('Items sous domaines Maths '!K378=6, 'Items sous domaines Maths '!K378&gt;0),'Items sous domaines Maths '!D378,0)</f>
        <v>0</v>
      </c>
      <c r="E371" s="145">
        <f>IF(AND('Items sous domaines Maths '!K378=6, 'Items sous domaines Maths '!K378&gt;0),'Items sous domaines Maths '!E378,0)</f>
        <v>0</v>
      </c>
      <c r="F371" s="146" t="str">
        <f>IF(AND('Items sous domaines Maths '!K378=6, 'Items sous domaines Maths '!K378&gt;0),'Items sous domaines Maths '!F378,0)</f>
        <v>Méthode des moindres carrés.</v>
      </c>
      <c r="G371" s="649"/>
      <c r="H371" s="761"/>
      <c r="I371" s="199"/>
    </row>
    <row r="372" spans="1:9" s="61" customFormat="1" ht="19.95" customHeight="1" x14ac:dyDescent="0.25">
      <c r="A372" s="630"/>
      <c r="B372" s="169" t="str">
        <f>IF(AND('Items sous domaines Maths '!K379=6, 'Items sous domaines Maths '!K379&gt;0),'Items sous domaines Maths '!B379,0)</f>
        <v>Probabilité et statistiques</v>
      </c>
      <c r="C372" s="142" t="str">
        <f>IF(AND('Items sous domaines Maths '!K379=6, 'Items sous domaines Maths '!K379&gt;0),'Items sous domaines Maths '!C379)</f>
        <v>Les statistiques</v>
      </c>
      <c r="D372" s="142">
        <f>IF(AND('Items sous domaines Maths '!K379=6, 'Items sous domaines Maths '!K379&gt;0),'Items sous domaines Maths '!D379,0)</f>
        <v>0</v>
      </c>
      <c r="E372" s="142">
        <f>IF(AND('Items sous domaines Maths '!K379=6, 'Items sous domaines Maths '!K379&gt;0),'Items sous domaines Maths '!E379,0)</f>
        <v>0</v>
      </c>
      <c r="F372" s="143" t="str">
        <f>IF(AND('Items sous domaines Maths '!K379=6, 'Items sous domaines Maths '!K379&gt;0),'Items sous domaines Maths '!F379,0)</f>
        <v>Autres méthodes faisant intervenir des changements de variables (exponentiel, logarithmiques…).</v>
      </c>
      <c r="G372" s="649"/>
      <c r="H372" s="761"/>
      <c r="I372" s="199"/>
    </row>
    <row r="373" spans="1:9" s="61" customFormat="1" ht="19.95" customHeight="1" x14ac:dyDescent="0.25">
      <c r="A373" s="630"/>
      <c r="B373" s="172" t="str">
        <f>IF(AND('Items sous domaines Maths '!K380=6, 'Items sous domaines Maths '!K380&gt;0),'Items sous domaines Maths '!B380,0)</f>
        <v>Probabilité et statistiques</v>
      </c>
      <c r="C373" s="145" t="str">
        <f>IF(AND('Items sous domaines Maths '!K380=6, 'Items sous domaines Maths '!K380&gt;0),'Items sous domaines Maths '!C380)</f>
        <v>Les statistiques</v>
      </c>
      <c r="D373" s="145">
        <f>IF(AND('Items sous domaines Maths '!K380=6, 'Items sous domaines Maths '!K380&gt;0),'Items sous domaines Maths '!D380,0)</f>
        <v>0</v>
      </c>
      <c r="E373" s="145">
        <f>IF(AND('Items sous domaines Maths '!K380=6, 'Items sous domaines Maths '!K380&gt;0),'Items sous domaines Maths '!E380,0)</f>
        <v>0</v>
      </c>
      <c r="F373" s="146" t="str">
        <f>IF(AND('Items sous domaines Maths '!K380=6, 'Items sous domaines Maths '!K380&gt;0),'Items sous domaines Maths '!F380,0)</f>
        <v>"Qualité" d'une régression linéaire</v>
      </c>
      <c r="G373" s="649"/>
      <c r="H373" s="761"/>
      <c r="I373" s="199"/>
    </row>
    <row r="374" spans="1:9" s="61" customFormat="1" ht="19.95" customHeight="1" thickBot="1" x14ac:dyDescent="0.3">
      <c r="A374" s="631"/>
      <c r="B374" s="273" t="str">
        <f>IF(AND('Items sous domaines Maths '!K381=6, 'Items sous domaines Maths '!K381&gt;0),'Items sous domaines Maths '!B381,0)</f>
        <v>Probabilité et statistiques</v>
      </c>
      <c r="C374" s="187" t="str">
        <f>IF(AND('Items sous domaines Maths '!K381=6, 'Items sous domaines Maths '!K381&gt;0),'Items sous domaines Maths '!C381)</f>
        <v>Les statistiques</v>
      </c>
      <c r="D374" s="187">
        <f>IF(AND('Items sous domaines Maths '!K381=6, 'Items sous domaines Maths '!K381&gt;0),'Items sous domaines Maths '!D381,0)</f>
        <v>0</v>
      </c>
      <c r="E374" s="187">
        <f>IF(AND('Items sous domaines Maths '!K381=6, 'Items sous domaines Maths '!K381&gt;0),'Items sous domaines Maths '!E381,0)</f>
        <v>0</v>
      </c>
      <c r="F374" s="188" t="str">
        <f>IF(AND('Items sous domaines Maths '!K381=6, 'Items sous domaines Maths '!K381&gt;0),'Items sous domaines Maths '!F381,0)</f>
        <v>Ajustements non linéaires.</v>
      </c>
      <c r="G374" s="650"/>
      <c r="H374" s="762"/>
      <c r="I374" s="189"/>
    </row>
    <row r="375" spans="1:9" customFormat="1" ht="13.5" hidden="1" customHeight="1" thickTop="1" thickBot="1" x14ac:dyDescent="0.3">
      <c r="A375" s="757"/>
      <c r="B375">
        <f>IF(AND('Items sous domaines Maths '!K383=6, 'Items sous domaines Maths '!K383&gt;0),'Items sous domaines Maths '!B383,0)</f>
        <v>0</v>
      </c>
      <c r="C375" t="b">
        <f>IF(AND('Items sous domaines Maths '!K383=6, 'Items sous domaines Maths '!K383&gt;0),'Items sous domaines Maths '!C383)</f>
        <v>0</v>
      </c>
      <c r="D375">
        <f>IF(AND('Items sous domaines Maths '!K383=6, 'Items sous domaines Maths '!K383&gt;0),'Items sous domaines Maths '!D383,0)</f>
        <v>0</v>
      </c>
      <c r="E375">
        <f>IF(AND('Items sous domaines Maths '!K383=6, 'Items sous domaines Maths '!K383&gt;0),'Items sous domaines Maths '!E383,0)</f>
        <v>0</v>
      </c>
      <c r="F375" s="10">
        <f>IF(AND('Items sous domaines Maths '!K383=6, 'Items sous domaines Maths '!K383&gt;0),'Items sous domaines Maths '!F383,0)</f>
        <v>0</v>
      </c>
      <c r="G375" s="647"/>
      <c r="H375" s="761"/>
    </row>
    <row r="376" spans="1:9" customFormat="1" ht="13.5" hidden="1" customHeight="1" thickBot="1" x14ac:dyDescent="0.3">
      <c r="A376" s="757"/>
      <c r="B376" s="8">
        <f>IF(AND('Items sous domaines Maths '!K384=6, 'Items sous domaines Maths '!K384&gt;0),'Items sous domaines Maths '!B384,0)</f>
        <v>0</v>
      </c>
      <c r="C376" s="8" t="b">
        <f>IF(AND('Items sous domaines Maths '!K384=6, 'Items sous domaines Maths '!K384&gt;0),'Items sous domaines Maths '!C384)</f>
        <v>0</v>
      </c>
      <c r="D376" s="8">
        <f>IF(AND('Items sous domaines Maths '!K384=6, 'Items sous domaines Maths '!K384&gt;0),'Items sous domaines Maths '!D384,0)</f>
        <v>0</v>
      </c>
      <c r="E376" s="8">
        <f>IF(AND('Items sous domaines Maths '!K384=6, 'Items sous domaines Maths '!K384&gt;0),'Items sous domaines Maths '!E384,0)</f>
        <v>0</v>
      </c>
      <c r="F376" s="9">
        <f>IF(AND('Items sous domaines Maths '!K384=6, 'Items sous domaines Maths '!K384&gt;0),'Items sous domaines Maths '!F384,0)</f>
        <v>0</v>
      </c>
      <c r="G376" s="647"/>
      <c r="H376" s="761"/>
    </row>
    <row r="377" spans="1:9" s="61" customFormat="1" ht="19.95" customHeight="1" thickTop="1" x14ac:dyDescent="0.25">
      <c r="A377" s="629"/>
      <c r="B377" s="271" t="str">
        <f>IF(AND('Items sous domaines Maths '!K385=6, 'Items sous domaines Maths '!K385&gt;0),'Items sous domaines Maths '!B385,0)</f>
        <v>Probabilité et statistiques</v>
      </c>
      <c r="C377" s="182" t="str">
        <f>IF(AND('Items sous domaines Maths '!K385=6, 'Items sous domaines Maths '!K385&gt;0),'Items sous domaines Maths '!C385)</f>
        <v>Les statistiques</v>
      </c>
      <c r="D377" s="182">
        <f>IF(AND('Items sous domaines Maths '!K385=6, 'Items sous domaines Maths '!K385&gt;0),'Items sous domaines Maths '!D385,0)</f>
        <v>0</v>
      </c>
      <c r="E377" s="182">
        <f>IF(AND('Items sous domaines Maths '!K385=6, 'Items sous domaines Maths '!K385&gt;0),'Items sous domaines Maths '!E385,0)</f>
        <v>0</v>
      </c>
      <c r="F377" s="183" t="str">
        <f>IF(AND('Items sous domaines Maths '!K385=6, 'Items sous domaines Maths '!K385&gt;0),'Items sous domaines Maths '!F385,0)</f>
        <v>Intervalle de fluctuation.</v>
      </c>
      <c r="G377" s="648"/>
      <c r="H377" s="760"/>
      <c r="I377" s="178"/>
    </row>
    <row r="378" spans="1:9" s="61" customFormat="1" ht="19.95" customHeight="1" x14ac:dyDescent="0.25">
      <c r="A378" s="630"/>
      <c r="B378" s="169" t="str">
        <f>IF(AND('Items sous domaines Maths '!K386=6, 'Items sous domaines Maths '!K386&gt;0),'Items sous domaines Maths '!B386,0)</f>
        <v>Probabilité et statistiques</v>
      </c>
      <c r="C378" s="142" t="str">
        <f>IF(AND('Items sous domaines Maths '!K386=6, 'Items sous domaines Maths '!K386&gt;0),'Items sous domaines Maths '!C386)</f>
        <v>Les statistiques</v>
      </c>
      <c r="D378" s="142">
        <f>IF(AND('Items sous domaines Maths '!K386=6, 'Items sous domaines Maths '!K386&gt;0),'Items sous domaines Maths '!D386,0)</f>
        <v>0</v>
      </c>
      <c r="E378" s="142" t="str">
        <f>IF(AND('Items sous domaines Maths '!K386=6, 'Items sous domaines Maths '!K386&gt;0),'Items sous domaines Maths '!E386,0)</f>
        <v>Estimation</v>
      </c>
      <c r="F378" s="143" t="str">
        <f>IF(AND('Items sous domaines Maths '!K386=6, 'Items sous domaines Maths '!K386&gt;0),'Items sous domaines Maths '!F386,0)</f>
        <v>Notion d'estimation (biais, ...).</v>
      </c>
      <c r="G378" s="649"/>
      <c r="H378" s="761"/>
      <c r="I378" s="199"/>
    </row>
    <row r="379" spans="1:9" s="61" customFormat="1" ht="19.95" customHeight="1" thickBot="1" x14ac:dyDescent="0.3">
      <c r="A379" s="632"/>
      <c r="B379" s="173" t="str">
        <f>IF(AND('Items sous domaines Maths '!K387=6, 'Items sous domaines Maths '!K387&gt;0),'Items sous domaines Maths '!B387,0)</f>
        <v>Probabilité et statistiques</v>
      </c>
      <c r="C379" s="150" t="str">
        <f>IF(AND('Items sous domaines Maths '!K387=6, 'Items sous domaines Maths '!K387&gt;0),'Items sous domaines Maths '!C387)</f>
        <v>Les statistiques</v>
      </c>
      <c r="D379" s="150">
        <f>IF(AND('Items sous domaines Maths '!K387=6, 'Items sous domaines Maths '!K387&gt;0),'Items sous domaines Maths '!D387,0)</f>
        <v>0</v>
      </c>
      <c r="E379" s="150">
        <f>IF(AND('Items sous domaines Maths '!K387=6, 'Items sous domaines Maths '!K387&gt;0),'Items sous domaines Maths '!E387,0)</f>
        <v>0</v>
      </c>
      <c r="F379" s="151" t="str">
        <f>IF(AND('Items sous domaines Maths '!K387=6, 'Items sous domaines Maths '!K387&gt;0),'Items sous domaines Maths '!F387,0)</f>
        <v>Estimation ponctuelle de la moyenne et de la fréquence.</v>
      </c>
      <c r="G379" s="649"/>
      <c r="H379" s="761"/>
      <c r="I379" s="199"/>
    </row>
    <row r="380" spans="1:9" s="61" customFormat="1" ht="19.95" customHeight="1" x14ac:dyDescent="0.25">
      <c r="A380" s="758" t="s">
        <v>845</v>
      </c>
      <c r="B380" s="171" t="str">
        <f>IF(AND('Items sous domaines Maths '!K388=6, 'Items sous domaines Maths '!K388&gt;0),'Items sous domaines Maths '!B388,0)</f>
        <v>Probabilité et statistiques</v>
      </c>
      <c r="C380" s="139" t="str">
        <f>IF(AND('Items sous domaines Maths '!K388=6, 'Items sous domaines Maths '!K388&gt;0),'Items sous domaines Maths '!C388)</f>
        <v>Les statistiques</v>
      </c>
      <c r="D380" s="139">
        <f>IF(AND('Items sous domaines Maths '!K388=6, 'Items sous domaines Maths '!K388&gt;0),'Items sous domaines Maths '!D388,0)</f>
        <v>0</v>
      </c>
      <c r="E380" s="139">
        <f>IF(AND('Items sous domaines Maths '!K388=6, 'Items sous domaines Maths '!K388&gt;0),'Items sous domaines Maths '!E388,0)</f>
        <v>0</v>
      </c>
      <c r="F380" s="140" t="str">
        <f>IF(AND('Items sous domaines Maths '!K388=6, 'Items sous domaines Maths '!K388&gt;0),'Items sous domaines Maths '!F388,0)</f>
        <v>Estimation par intervalle de confiance de la moyenne et de la fréquence.</v>
      </c>
      <c r="G380" s="649"/>
      <c r="H380" s="761"/>
      <c r="I380" s="199"/>
    </row>
    <row r="381" spans="1:9" s="61" customFormat="1" ht="19.95" customHeight="1" x14ac:dyDescent="0.25">
      <c r="A381" s="630"/>
      <c r="B381" s="169" t="str">
        <f>IF(AND('Items sous domaines Maths '!K389=6, 'Items sous domaines Maths '!K389&gt;0),'Items sous domaines Maths '!B389,0)</f>
        <v>Probabilité et statistiques</v>
      </c>
      <c r="C381" s="142" t="str">
        <f>IF(AND('Items sous domaines Maths '!K389=6, 'Items sous domaines Maths '!K389&gt;0),'Items sous domaines Maths '!C389)</f>
        <v>Les statistiques</v>
      </c>
      <c r="D381" s="142" t="str">
        <f>IF(AND('Items sous domaines Maths '!K389=6, 'Items sous domaines Maths '!K389&gt;0),'Items sous domaines Maths '!D389,0)</f>
        <v>Tests d'hypothèses paramétriques</v>
      </c>
      <c r="E381" s="142" t="str">
        <f>IF(AND('Items sous domaines Maths '!K389=6, 'Items sous domaines Maths '!K389&gt;0),'Items sous domaines Maths '!E389,0)</f>
        <v>Test unilatéral</v>
      </c>
      <c r="F381" s="143" t="str">
        <f>IF(AND('Items sous domaines Maths '!K389=6, 'Items sous domaines Maths '!K389&gt;0),'Items sous domaines Maths '!F389,0)</f>
        <v>De la moyenne (test de Student).</v>
      </c>
      <c r="G381" s="649"/>
      <c r="H381" s="761"/>
      <c r="I381" s="199"/>
    </row>
    <row r="382" spans="1:9" s="61" customFormat="1" ht="19.95" customHeight="1" x14ac:dyDescent="0.25">
      <c r="A382" s="630"/>
      <c r="B382" s="172" t="str">
        <f>IF(AND('Items sous domaines Maths '!K390=6, 'Items sous domaines Maths '!K390&gt;0),'Items sous domaines Maths '!B390,0)</f>
        <v>Probabilité et statistiques</v>
      </c>
      <c r="C382" s="145" t="str">
        <f>IF(AND('Items sous domaines Maths '!K390=6, 'Items sous domaines Maths '!K390&gt;0),'Items sous domaines Maths '!C390)</f>
        <v>Les statistiques</v>
      </c>
      <c r="D382" s="145">
        <f>IF(AND('Items sous domaines Maths '!K390=6, 'Items sous domaines Maths '!K390&gt;0),'Items sous domaines Maths '!D390,0)</f>
        <v>0</v>
      </c>
      <c r="E382" s="145">
        <f>IF(AND('Items sous domaines Maths '!K390=6, 'Items sous domaines Maths '!K390&gt;0),'Items sous domaines Maths '!E390,0)</f>
        <v>0</v>
      </c>
      <c r="F382" s="146" t="str">
        <f>IF(AND('Items sous domaines Maths '!K390=6, 'Items sous domaines Maths '!K390&gt;0),'Items sous domaines Maths '!F390,0)</f>
        <v>De la fréquence.</v>
      </c>
      <c r="G382" s="649"/>
      <c r="H382" s="761"/>
      <c r="I382" s="199"/>
    </row>
    <row r="383" spans="1:9" s="61" customFormat="1" ht="19.95" customHeight="1" x14ac:dyDescent="0.25">
      <c r="A383" s="630"/>
      <c r="B383" s="169" t="str">
        <f>IF(AND('Items sous domaines Maths '!K391=6, 'Items sous domaines Maths '!K391&gt;0),'Items sous domaines Maths '!B391,0)</f>
        <v>Probabilité et statistiques</v>
      </c>
      <c r="C383" s="142" t="str">
        <f>IF(AND('Items sous domaines Maths '!K391=6, 'Items sous domaines Maths '!K391&gt;0),'Items sous domaines Maths '!C391)</f>
        <v>Les statistiques</v>
      </c>
      <c r="D383" s="142">
        <f>IF(AND('Items sous domaines Maths '!K391=6, 'Items sous domaines Maths '!K391&gt;0),'Items sous domaines Maths '!D391,0)</f>
        <v>0</v>
      </c>
      <c r="E383" s="142" t="str">
        <f>IF(AND('Items sous domaines Maths '!K391=6, 'Items sous domaines Maths '!K391&gt;0),'Items sous domaines Maths '!E391,0)</f>
        <v>Test bilatéral</v>
      </c>
      <c r="F383" s="143" t="str">
        <f>IF(AND('Items sous domaines Maths '!K391=6, 'Items sous domaines Maths '!K391&gt;0),'Items sous domaines Maths '!F391,0)</f>
        <v>De la moyenne.</v>
      </c>
      <c r="G383" s="649"/>
      <c r="H383" s="761"/>
      <c r="I383" s="199"/>
    </row>
    <row r="384" spans="1:9" s="61" customFormat="1" ht="19.95" customHeight="1" x14ac:dyDescent="0.25">
      <c r="A384" s="630"/>
      <c r="B384" s="172" t="str">
        <f>IF(AND('Items sous domaines Maths '!K392=6, 'Items sous domaines Maths '!K392&gt;0),'Items sous domaines Maths '!B392,0)</f>
        <v>Probabilité et statistiques</v>
      </c>
      <c r="C384" s="145" t="str">
        <f>IF(AND('Items sous domaines Maths '!K392=6, 'Items sous domaines Maths '!K392&gt;0),'Items sous domaines Maths '!C392)</f>
        <v>Les statistiques</v>
      </c>
      <c r="D384" s="145">
        <f>IF(AND('Items sous domaines Maths '!K392=6, 'Items sous domaines Maths '!K392&gt;0),'Items sous domaines Maths '!D392,0)</f>
        <v>0</v>
      </c>
      <c r="E384" s="145">
        <f>IF(AND('Items sous domaines Maths '!K392=6, 'Items sous domaines Maths '!K392&gt;0),'Items sous domaines Maths '!E392,0)</f>
        <v>0</v>
      </c>
      <c r="F384" s="146" t="str">
        <f>IF(AND('Items sous domaines Maths '!K392=6, 'Items sous domaines Maths '!K392&gt;0),'Items sous domaines Maths '!F392,0)</f>
        <v>De la fréquence.</v>
      </c>
      <c r="G384" s="649"/>
      <c r="H384" s="761"/>
      <c r="I384" s="199"/>
    </row>
    <row r="385" spans="1:9" s="61" customFormat="1" ht="19.95" customHeight="1" x14ac:dyDescent="0.25">
      <c r="A385" s="630"/>
      <c r="B385" s="169" t="str">
        <f>IF(AND('Items sous domaines Maths '!K393=6, 'Items sous domaines Maths '!K393&gt;0),'Items sous domaines Maths '!B393,0)</f>
        <v>Probabilité et statistiques</v>
      </c>
      <c r="C385" s="142" t="str">
        <f>IF(AND('Items sous domaines Maths '!K393=6, 'Items sous domaines Maths '!K393&gt;0),'Items sous domaines Maths '!C393)</f>
        <v>Les statistiques</v>
      </c>
      <c r="D385" s="142">
        <f>IF(AND('Items sous domaines Maths '!K393=6, 'Items sous domaines Maths '!K393&gt;0),'Items sous domaines Maths '!D393,0)</f>
        <v>0</v>
      </c>
      <c r="E385" s="142" t="str">
        <f>IF(AND('Items sous domaines Maths '!K393=6, 'Items sous domaines Maths '!K393&gt;0),'Items sous domaines Maths '!E393,0)</f>
        <v>Comparaison de deux échantillons</v>
      </c>
      <c r="F385" s="143" t="str">
        <f>IF(AND('Items sous domaines Maths '!K393=6, 'Items sous domaines Maths '!K393&gt;0),'Items sous domaines Maths '!F393,0)</f>
        <v>Comparaison de deux variances (test de Fisher).</v>
      </c>
      <c r="G385" s="649"/>
      <c r="H385" s="761"/>
      <c r="I385" s="199"/>
    </row>
    <row r="386" spans="1:9" s="61" customFormat="1" ht="19.95" customHeight="1" x14ac:dyDescent="0.25">
      <c r="A386" s="630"/>
      <c r="B386" s="172" t="str">
        <f>IF(AND('Items sous domaines Maths '!K394=6, 'Items sous domaines Maths '!K394&gt;0),'Items sous domaines Maths '!B394,0)</f>
        <v>Probabilité et statistiques</v>
      </c>
      <c r="C386" s="145" t="str">
        <f>IF(AND('Items sous domaines Maths '!K394=6, 'Items sous domaines Maths '!K394&gt;0),'Items sous domaines Maths '!C394)</f>
        <v>Les statistiques</v>
      </c>
      <c r="D386" s="145">
        <f>IF(AND('Items sous domaines Maths '!K394=6, 'Items sous domaines Maths '!K394&gt;0),'Items sous domaines Maths '!D394,0)</f>
        <v>0</v>
      </c>
      <c r="E386" s="145">
        <f>IF(AND('Items sous domaines Maths '!K394=6, 'Items sous domaines Maths '!K394&gt;0),'Items sous domaines Maths '!E394,0)</f>
        <v>0</v>
      </c>
      <c r="F386" s="146" t="str">
        <f>IF(AND('Items sous domaines Maths '!K394=6, 'Items sous domaines Maths '!K394&gt;0),'Items sous domaines Maths '!F394,0)</f>
        <v>Comparaison de deux moyennes.</v>
      </c>
      <c r="G386" s="649"/>
      <c r="H386" s="761"/>
      <c r="I386" s="199"/>
    </row>
    <row r="387" spans="1:9" s="61" customFormat="1" ht="19.95" customHeight="1" x14ac:dyDescent="0.25">
      <c r="A387" s="630"/>
      <c r="B387" s="169" t="str">
        <f>IF(AND('Items sous domaines Maths '!K395=6, 'Items sous domaines Maths '!K395&gt;0),'Items sous domaines Maths '!B395,0)</f>
        <v>Probabilité et statistiques</v>
      </c>
      <c r="C387" s="142" t="str">
        <f>IF(AND('Items sous domaines Maths '!K395=6, 'Items sous domaines Maths '!K395&gt;0),'Items sous domaines Maths '!C395)</f>
        <v>Les statistiques</v>
      </c>
      <c r="D387" s="142" t="str">
        <f>IF(AND('Items sous domaines Maths '!K395=6, 'Items sous domaines Maths '!K395&gt;0),'Items sous domaines Maths '!D395,0)</f>
        <v>Tests non-paramétriques</v>
      </c>
      <c r="E387" s="142" t="str">
        <f>IF(AND('Items sous domaines Maths '!K395=6, 'Items sous domaines Maths '!K395&gt;0),'Items sous domaines Maths '!E395,0)</f>
        <v>Tests non-paramétriques</v>
      </c>
      <c r="F387" s="143" t="str">
        <f>IF(AND('Items sous domaines Maths '!K395=6, 'Items sous domaines Maths '!K395&gt;0),'Items sous domaines Maths '!F395,0)</f>
        <v>Illustration de l'ajusement à une loi normale: droite de Henry (QQ plot).</v>
      </c>
      <c r="G387" s="649"/>
      <c r="H387" s="761"/>
      <c r="I387" s="199"/>
    </row>
    <row r="388" spans="1:9" s="61" customFormat="1" ht="19.95" customHeight="1" x14ac:dyDescent="0.25">
      <c r="A388" s="630"/>
      <c r="B388" s="172" t="str">
        <f>IF(AND('Items sous domaines Maths '!K396=6, 'Items sous domaines Maths '!K396&gt;0),'Items sous domaines Maths '!B396,0)</f>
        <v>Probabilité et statistiques</v>
      </c>
      <c r="C388" s="145" t="str">
        <f>IF(AND('Items sous domaines Maths '!K396=6, 'Items sous domaines Maths '!K396&gt;0),'Items sous domaines Maths '!C396)</f>
        <v>Les statistiques</v>
      </c>
      <c r="D388" s="145">
        <f>IF(AND('Items sous domaines Maths '!K396=6, 'Items sous domaines Maths '!K396&gt;0),'Items sous domaines Maths '!D396,0)</f>
        <v>0</v>
      </c>
      <c r="E388" s="145">
        <f>IF(AND('Items sous domaines Maths '!K396=6, 'Items sous domaines Maths '!K396&gt;0),'Items sous domaines Maths '!E396,0)</f>
        <v>0</v>
      </c>
      <c r="F388" s="146" t="str">
        <f>IF(AND('Items sous domaines Maths '!K396=6, 'Items sous domaines Maths '!K396&gt;0),'Items sous domaines Maths '!F396,0)</f>
        <v>Test d'adéquation (ou d'justement) du Khi-Deux (ex: est-ce que ma VA suit une loi normale ?).</v>
      </c>
      <c r="G388" s="649"/>
      <c r="H388" s="761"/>
      <c r="I388" s="199"/>
    </row>
    <row r="389" spans="1:9" s="61" customFormat="1" ht="19.95" customHeight="1" thickBot="1" x14ac:dyDescent="0.3">
      <c r="A389" s="631"/>
      <c r="B389" s="273" t="str">
        <f>IF(AND('Items sous domaines Maths '!K397=6, 'Items sous domaines Maths '!K397&gt;0),'Items sous domaines Maths '!B397,0)</f>
        <v>Probabilité et statistiques</v>
      </c>
      <c r="C389" s="187" t="str">
        <f>IF(AND('Items sous domaines Maths '!K397=6, 'Items sous domaines Maths '!K397&gt;0),'Items sous domaines Maths '!C397)</f>
        <v>Les statistiques</v>
      </c>
      <c r="D389" s="187">
        <f>IF(AND('Items sous domaines Maths '!K397=6, 'Items sous domaines Maths '!K397&gt;0),'Items sous domaines Maths '!D397,0)</f>
        <v>0</v>
      </c>
      <c r="E389" s="187">
        <f>IF(AND('Items sous domaines Maths '!K397=6, 'Items sous domaines Maths '!K397&gt;0),'Items sous domaines Maths '!E397,0)</f>
        <v>0</v>
      </c>
      <c r="F389" s="188" t="str">
        <f>IF(AND('Items sous domaines Maths '!K397=6, 'Items sous domaines Maths '!K397&gt;0),'Items sous domaines Maths '!F397,0)</f>
        <v>Test d'indépendance du Khi-Deux (ex: est-ce que les VA Genre et fumeurs sont indépendantes ?).</v>
      </c>
      <c r="G389" s="650"/>
      <c r="H389" s="762"/>
      <c r="I389" s="189"/>
    </row>
    <row r="390" spans="1:9" customFormat="1" ht="13.5" hidden="1" customHeight="1" thickTop="1" thickBot="1" x14ac:dyDescent="0.3">
      <c r="B390">
        <f>IF(AND('Items sous domaines Maths '!K398=6, 'Items sous domaines Maths '!K398&gt;0),'Items sous domaines Maths '!B398,0)</f>
        <v>0</v>
      </c>
      <c r="C390" t="b">
        <f>IF(AND('Items sous domaines Maths '!K398=6, 'Items sous domaines Maths '!K398&gt;0),'Items sous domaines Maths '!C398)</f>
        <v>0</v>
      </c>
      <c r="D390">
        <f>IF(AND('Items sous domaines Maths '!K398=6, 'Items sous domaines Maths '!K398&gt;0),'Items sous domaines Maths '!D398,0)</f>
        <v>0</v>
      </c>
      <c r="E390">
        <f>IF(AND('Items sous domaines Maths '!K398=6, 'Items sous domaines Maths '!K398&gt;0),'Items sous domaines Maths '!E398,0)</f>
        <v>0</v>
      </c>
      <c r="F390" s="10">
        <f>IF(AND('Items sous domaines Maths '!K398=6, 'Items sous domaines Maths '!K398&gt;0),'Items sous domaines Maths '!F398,0)</f>
        <v>0</v>
      </c>
      <c r="G390">
        <f>IF('Items sous domaines Maths '!K399=6,'Items sous domaines Maths '!G399,0)</f>
        <v>0</v>
      </c>
      <c r="H390" s="25"/>
    </row>
    <row r="391" spans="1:9" customFormat="1" ht="13.5" hidden="1" customHeight="1" thickBot="1" x14ac:dyDescent="0.3">
      <c r="B391" s="8">
        <f>IF(AND('Items sous domaines Maths '!K399=6, 'Items sous domaines Maths '!K399&gt;0),'Items sous domaines Maths '!B399,0)</f>
        <v>0</v>
      </c>
      <c r="C391" s="8" t="b">
        <f>IF(AND('Items sous domaines Maths '!K399=6, 'Items sous domaines Maths '!K399&gt;0),'Items sous domaines Maths '!C399)</f>
        <v>0</v>
      </c>
      <c r="D391" s="8">
        <f>IF(AND('Items sous domaines Maths '!K399=6, 'Items sous domaines Maths '!K399&gt;0),'Items sous domaines Maths '!D399,0)</f>
        <v>0</v>
      </c>
      <c r="E391" s="8">
        <f>IF(AND('Items sous domaines Maths '!K399=6, 'Items sous domaines Maths '!K399&gt;0),'Items sous domaines Maths '!E399,0)</f>
        <v>0</v>
      </c>
      <c r="F391" s="9">
        <f>IF(AND('Items sous domaines Maths '!K399=6, 'Items sous domaines Maths '!K399&gt;0),'Items sous domaines Maths '!F399,0)</f>
        <v>0</v>
      </c>
      <c r="G391">
        <f>IF('Items sous domaines Maths '!K400=6,'Items sous domaines Maths '!G400,0)</f>
        <v>0</v>
      </c>
      <c r="H391" s="25"/>
    </row>
    <row r="392" spans="1:9" customFormat="1" ht="13.5" hidden="1" customHeight="1" thickBot="1" x14ac:dyDescent="0.3">
      <c r="B392" s="8">
        <f>IF(AND('Items sous domaines Maths '!K400=6, 'Items sous domaines Maths '!K400&gt;0),'Items sous domaines Maths '!B400,0)</f>
        <v>0</v>
      </c>
      <c r="C392" s="8" t="b">
        <f>IF(AND('Items sous domaines Maths '!K400=6, 'Items sous domaines Maths '!K400&gt;0),'Items sous domaines Maths '!C400)</f>
        <v>0</v>
      </c>
      <c r="D392" s="8">
        <f>IF(AND('Items sous domaines Maths '!K400=6, 'Items sous domaines Maths '!K400&gt;0),'Items sous domaines Maths '!D400,0)</f>
        <v>0</v>
      </c>
      <c r="E392" s="8">
        <f>IF(AND('Items sous domaines Maths '!K400=6, 'Items sous domaines Maths '!K400&gt;0),'Items sous domaines Maths '!E400,0)</f>
        <v>0</v>
      </c>
      <c r="F392" s="9">
        <f>IF(AND('Items sous domaines Maths '!K400=6, 'Items sous domaines Maths '!K400&gt;0),'Items sous domaines Maths '!F400,0)</f>
        <v>0</v>
      </c>
      <c r="G392">
        <f>IF('Items sous domaines Maths '!K416=6,'Items sous domaines Maths '!G416,0)</f>
        <v>0</v>
      </c>
      <c r="H392" s="25"/>
    </row>
    <row r="393" spans="1:9" customFormat="1" ht="13.5" hidden="1" customHeight="1" thickBot="1" x14ac:dyDescent="0.3">
      <c r="A393" s="17"/>
      <c r="B393" s="8">
        <f>IF(AND('Items sous domaines Maths '!K401=6, 'Items sous domaines Maths '!K401&gt;0),'Items sous domaines Maths '!B401,0)</f>
        <v>0</v>
      </c>
      <c r="C393" s="8" t="b">
        <f>IF(AND('Items sous domaines Maths '!K401=6, 'Items sous domaines Maths '!K401&gt;0),'Items sous domaines Maths '!C401)</f>
        <v>0</v>
      </c>
      <c r="D393" s="8">
        <f>IF(AND('Items sous domaines Maths '!K401=6, 'Items sous domaines Maths '!K401&gt;0),'Items sous domaines Maths '!D401,0)</f>
        <v>0</v>
      </c>
      <c r="E393" s="8">
        <f>IF(AND('Items sous domaines Maths '!K401=6, 'Items sous domaines Maths '!K401&gt;0),'Items sous domaines Maths '!E401,0)</f>
        <v>0</v>
      </c>
      <c r="F393" s="9">
        <f>IF(AND('Items sous domaines Maths '!K401=6, 'Items sous domaines Maths '!K401&gt;0),'Items sous domaines Maths '!F401,0)</f>
        <v>0</v>
      </c>
      <c r="G393">
        <f>IF('Items sous domaines Maths '!K417=6,'Items sous domaines Maths '!G417,0)</f>
        <v>0</v>
      </c>
      <c r="H393" s="25"/>
    </row>
    <row r="394" spans="1:9" s="61" customFormat="1" ht="19.95" hidden="1" customHeight="1" thickTop="1" x14ac:dyDescent="0.25">
      <c r="A394" s="624" t="s">
        <v>497</v>
      </c>
      <c r="B394" s="271">
        <f>IF(AND('Items sous domaines Maths '!K402=6, 'Items sous domaines Maths '!K402&gt;0),'Items sous domaines Maths '!B402,0)</f>
        <v>0</v>
      </c>
      <c r="C394" s="182" t="b">
        <f>IF(AND('Items sous domaines Maths '!K402=6, 'Items sous domaines Maths '!K402&gt;0),'Items sous domaines Maths '!C402)</f>
        <v>0</v>
      </c>
      <c r="D394" s="182">
        <f>IF(AND('Items sous domaines Maths '!K402=6, 'Items sous domaines Maths '!K402&gt;0),'Items sous domaines Maths '!D402,0)</f>
        <v>0</v>
      </c>
      <c r="E394" s="182">
        <f>IF(AND('Items sous domaines Maths '!K402=6, 'Items sous domaines Maths '!K402&gt;0),'Items sous domaines Maths '!E402,0)</f>
        <v>0</v>
      </c>
      <c r="F394" s="183">
        <f>IF(AND('Items sous domaines Maths '!K402=6, 'Items sous domaines Maths '!K402&gt;0),'Items sous domaines Maths '!F402,0)</f>
        <v>0</v>
      </c>
      <c r="G394" s="648" t="s">
        <v>494</v>
      </c>
      <c r="H394" s="680" t="s">
        <v>475</v>
      </c>
      <c r="I394" s="178"/>
    </row>
    <row r="395" spans="1:9" s="61" customFormat="1" ht="19.95" hidden="1" customHeight="1" x14ac:dyDescent="0.25">
      <c r="A395" s="625"/>
      <c r="B395" s="169">
        <f>IF(AND('Items sous domaines Maths '!K403=6, 'Items sous domaines Maths '!K403&gt;0),'Items sous domaines Maths '!B403,0)</f>
        <v>0</v>
      </c>
      <c r="C395" s="142" t="b">
        <f>IF(AND('Items sous domaines Maths '!K403=6, 'Items sous domaines Maths '!K403&gt;0),'Items sous domaines Maths '!C403)</f>
        <v>0</v>
      </c>
      <c r="D395" s="142">
        <f>IF(AND('Items sous domaines Maths '!K403=6, 'Items sous domaines Maths '!K403&gt;0),'Items sous domaines Maths '!D403,0)</f>
        <v>0</v>
      </c>
      <c r="E395" s="142">
        <f>IF(AND('Items sous domaines Maths '!K403=6, 'Items sous domaines Maths '!K403&gt;0),'Items sous domaines Maths '!E403,0)</f>
        <v>0</v>
      </c>
      <c r="F395" s="143">
        <f>IF(AND('Items sous domaines Maths '!K403=6, 'Items sous domaines Maths '!K403&gt;0),'Items sous domaines Maths '!F403,0)</f>
        <v>0</v>
      </c>
      <c r="G395" s="649"/>
      <c r="H395" s="678"/>
      <c r="I395" s="199"/>
    </row>
    <row r="396" spans="1:9" s="61" customFormat="1" ht="19.95" hidden="1" customHeight="1" x14ac:dyDescent="0.25">
      <c r="A396" s="625"/>
      <c r="B396" s="172">
        <f>IF(AND('Items sous domaines Maths '!K404=6, 'Items sous domaines Maths '!K404&gt;0),'Items sous domaines Maths '!B404,0)</f>
        <v>0</v>
      </c>
      <c r="C396" s="145" t="b">
        <f>IF(AND('Items sous domaines Maths '!K404=6, 'Items sous domaines Maths '!K404&gt;0),'Items sous domaines Maths '!C404)</f>
        <v>0</v>
      </c>
      <c r="D396" s="145">
        <f>IF(AND('Items sous domaines Maths '!K404=6, 'Items sous domaines Maths '!K404&gt;0),'Items sous domaines Maths '!D404,0)</f>
        <v>0</v>
      </c>
      <c r="E396" s="145">
        <f>IF(AND('Items sous domaines Maths '!K404=6, 'Items sous domaines Maths '!K404&gt;0),'Items sous domaines Maths '!E404,0)</f>
        <v>0</v>
      </c>
      <c r="F396" s="146">
        <f>IF(AND('Items sous domaines Maths '!K404=6, 'Items sous domaines Maths '!K404&gt;0),'Items sous domaines Maths '!F404,0)</f>
        <v>0</v>
      </c>
      <c r="G396" s="649"/>
      <c r="H396" s="678"/>
      <c r="I396" s="199"/>
    </row>
    <row r="397" spans="1:9" s="61" customFormat="1" ht="19.95" hidden="1" customHeight="1" x14ac:dyDescent="0.25">
      <c r="A397" s="625"/>
      <c r="B397" s="169">
        <f>IF(AND('Items sous domaines Maths '!K405=6, 'Items sous domaines Maths '!K405&gt;0),'Items sous domaines Maths '!B405,0)</f>
        <v>0</v>
      </c>
      <c r="C397" s="142" t="b">
        <f>IF(AND('Items sous domaines Maths '!K405=6, 'Items sous domaines Maths '!K405&gt;0),'Items sous domaines Maths '!C405)</f>
        <v>0</v>
      </c>
      <c r="D397" s="142">
        <f>IF(AND('Items sous domaines Maths '!K405=6, 'Items sous domaines Maths '!K405&gt;0),'Items sous domaines Maths '!D405,0)</f>
        <v>0</v>
      </c>
      <c r="E397" s="142">
        <f>IF(AND('Items sous domaines Maths '!K405=6, 'Items sous domaines Maths '!K405&gt;0),'Items sous domaines Maths '!E405,0)</f>
        <v>0</v>
      </c>
      <c r="F397" s="143">
        <f>IF(AND('Items sous domaines Maths '!K405=6, 'Items sous domaines Maths '!K405&gt;0),'Items sous domaines Maths '!F405,0)</f>
        <v>0</v>
      </c>
      <c r="G397" s="649"/>
      <c r="H397" s="678"/>
      <c r="I397" s="199"/>
    </row>
    <row r="398" spans="1:9" s="61" customFormat="1" ht="19.95" hidden="1" customHeight="1" x14ac:dyDescent="0.25">
      <c r="A398" s="625"/>
      <c r="B398" s="172">
        <f>IF(AND('Items sous domaines Maths '!K406=6, 'Items sous domaines Maths '!K406&gt;0),'Items sous domaines Maths '!B406,0)</f>
        <v>0</v>
      </c>
      <c r="C398" s="145" t="b">
        <f>IF(AND('Items sous domaines Maths '!K406=6, 'Items sous domaines Maths '!K406&gt;0),'Items sous domaines Maths '!C406)</f>
        <v>0</v>
      </c>
      <c r="D398" s="145">
        <f>IF(AND('Items sous domaines Maths '!K406=6, 'Items sous domaines Maths '!K406&gt;0),'Items sous domaines Maths '!D406,0)</f>
        <v>0</v>
      </c>
      <c r="E398" s="145">
        <f>IF(AND('Items sous domaines Maths '!K406=6, 'Items sous domaines Maths '!K406&gt;0),'Items sous domaines Maths '!E406,0)</f>
        <v>0</v>
      </c>
      <c r="F398" s="146">
        <f>IF(AND('Items sous domaines Maths '!K406=6, 'Items sous domaines Maths '!K406&gt;0),'Items sous domaines Maths '!F406,0)</f>
        <v>0</v>
      </c>
      <c r="G398" s="649"/>
      <c r="H398" s="678"/>
      <c r="I398" s="199"/>
    </row>
    <row r="399" spans="1:9" s="61" customFormat="1" ht="19.95" hidden="1" customHeight="1" x14ac:dyDescent="0.25">
      <c r="A399" s="625"/>
      <c r="B399" s="169">
        <f>IF(AND('Items sous domaines Maths '!K407=6, 'Items sous domaines Maths '!K407&gt;0),'Items sous domaines Maths '!B407,0)</f>
        <v>0</v>
      </c>
      <c r="C399" s="142" t="b">
        <f>IF(AND('Items sous domaines Maths '!K407=6, 'Items sous domaines Maths '!K407&gt;0),'Items sous domaines Maths '!C407)</f>
        <v>0</v>
      </c>
      <c r="D399" s="142">
        <f>IF(AND('Items sous domaines Maths '!K407=6, 'Items sous domaines Maths '!K407&gt;0),'Items sous domaines Maths '!D407,0)</f>
        <v>0</v>
      </c>
      <c r="E399" s="142">
        <f>IF(AND('Items sous domaines Maths '!K407=6, 'Items sous domaines Maths '!K407&gt;0),'Items sous domaines Maths '!E407,0)</f>
        <v>0</v>
      </c>
      <c r="F399" s="143">
        <f>IF(AND('Items sous domaines Maths '!K407=6, 'Items sous domaines Maths '!K407&gt;0),'Items sous domaines Maths '!F407,0)</f>
        <v>0</v>
      </c>
      <c r="G399" s="649"/>
      <c r="H399" s="678"/>
      <c r="I399" s="199"/>
    </row>
    <row r="400" spans="1:9" s="61" customFormat="1" ht="19.95" hidden="1" customHeight="1" x14ac:dyDescent="0.25">
      <c r="A400" s="625"/>
      <c r="B400" s="172">
        <f>IF(AND('Items sous domaines Maths '!K408=6, 'Items sous domaines Maths '!K408&gt;0),'Items sous domaines Maths '!B408,0)</f>
        <v>0</v>
      </c>
      <c r="C400" s="145" t="b">
        <f>IF(AND('Items sous domaines Maths '!K408=6, 'Items sous domaines Maths '!K408&gt;0),'Items sous domaines Maths '!C408)</f>
        <v>0</v>
      </c>
      <c r="D400" s="145">
        <f>IF(AND('Items sous domaines Maths '!K408=6, 'Items sous domaines Maths '!K408&gt;0),'Items sous domaines Maths '!D408,0)</f>
        <v>0</v>
      </c>
      <c r="E400" s="145">
        <f>IF(AND('Items sous domaines Maths '!K408=6, 'Items sous domaines Maths '!K408&gt;0),'Items sous domaines Maths '!E408,0)</f>
        <v>0</v>
      </c>
      <c r="F400" s="146">
        <f>IF(AND('Items sous domaines Maths '!K408=6, 'Items sous domaines Maths '!K408&gt;0),'Items sous domaines Maths '!F408,0)</f>
        <v>0</v>
      </c>
      <c r="G400" s="649"/>
      <c r="H400" s="678"/>
      <c r="I400" s="199"/>
    </row>
    <row r="401" spans="1:9" s="61" customFormat="1" ht="19.95" hidden="1" customHeight="1" x14ac:dyDescent="0.25">
      <c r="A401" s="625"/>
      <c r="B401" s="169">
        <f>IF(AND('Items sous domaines Maths '!K409=6, 'Items sous domaines Maths '!K409&gt;0),'Items sous domaines Maths '!B409,0)</f>
        <v>0</v>
      </c>
      <c r="C401" s="142" t="b">
        <f>IF(AND('Items sous domaines Maths '!K409=6, 'Items sous domaines Maths '!K409&gt;0),'Items sous domaines Maths '!C409)</f>
        <v>0</v>
      </c>
      <c r="D401" s="142">
        <f>IF(AND('Items sous domaines Maths '!K409=6, 'Items sous domaines Maths '!K409&gt;0),'Items sous domaines Maths '!D409,0)</f>
        <v>0</v>
      </c>
      <c r="E401" s="142">
        <f>IF(AND('Items sous domaines Maths '!K409=6, 'Items sous domaines Maths '!K409&gt;0),'Items sous domaines Maths '!E409,0)</f>
        <v>0</v>
      </c>
      <c r="F401" s="143">
        <f>IF(AND('Items sous domaines Maths '!K409=6, 'Items sous domaines Maths '!K409&gt;0),'Items sous domaines Maths '!F409,0)</f>
        <v>0</v>
      </c>
      <c r="G401" s="649"/>
      <c r="H401" s="678"/>
      <c r="I401" s="199"/>
    </row>
    <row r="402" spans="1:9" s="61" customFormat="1" ht="19.95" hidden="1" customHeight="1" x14ac:dyDescent="0.25">
      <c r="A402" s="625"/>
      <c r="B402" s="172">
        <f>IF(AND('Items sous domaines Maths '!K410=6, 'Items sous domaines Maths '!K410&gt;0),'Items sous domaines Maths '!B410,0)</f>
        <v>0</v>
      </c>
      <c r="C402" s="145" t="b">
        <f>IF(AND('Items sous domaines Maths '!K410=6, 'Items sous domaines Maths '!K410&gt;0),'Items sous domaines Maths '!C410)</f>
        <v>0</v>
      </c>
      <c r="D402" s="145">
        <f>IF(AND('Items sous domaines Maths '!K410=6, 'Items sous domaines Maths '!K410&gt;0),'Items sous domaines Maths '!D410,0)</f>
        <v>0</v>
      </c>
      <c r="E402" s="145">
        <f>IF(AND('Items sous domaines Maths '!K410=6, 'Items sous domaines Maths '!K410&gt;0),'Items sous domaines Maths '!E410,0)</f>
        <v>0</v>
      </c>
      <c r="F402" s="146">
        <f>IF(AND('Items sous domaines Maths '!K410=6, 'Items sous domaines Maths '!K410&gt;0),'Items sous domaines Maths '!F410,0)</f>
        <v>0</v>
      </c>
      <c r="G402" s="649"/>
      <c r="H402" s="678"/>
      <c r="I402" s="199"/>
    </row>
    <row r="403" spans="1:9" s="61" customFormat="1" ht="19.95" hidden="1" customHeight="1" x14ac:dyDescent="0.25">
      <c r="A403" s="625"/>
      <c r="B403" s="169">
        <f>IF(AND('Items sous domaines Maths '!K411=6, 'Items sous domaines Maths '!K411&gt;0),'Items sous domaines Maths '!B411,0)</f>
        <v>0</v>
      </c>
      <c r="C403" s="142" t="b">
        <f>IF(AND('Items sous domaines Maths '!K411=6, 'Items sous domaines Maths '!K411&gt;0),'Items sous domaines Maths '!C411)</f>
        <v>0</v>
      </c>
      <c r="D403" s="142">
        <f>IF(AND('Items sous domaines Maths '!K411=6, 'Items sous domaines Maths '!K411&gt;0),'Items sous domaines Maths '!D411,0)</f>
        <v>0</v>
      </c>
      <c r="E403" s="142">
        <f>IF(AND('Items sous domaines Maths '!K411=6, 'Items sous domaines Maths '!K411&gt;0),'Items sous domaines Maths '!E411,0)</f>
        <v>0</v>
      </c>
      <c r="F403" s="143">
        <f>IF(AND('Items sous domaines Maths '!K411=6, 'Items sous domaines Maths '!K411&gt;0),'Items sous domaines Maths '!F411,0)</f>
        <v>0</v>
      </c>
      <c r="G403" s="649"/>
      <c r="H403" s="678"/>
      <c r="I403" s="199"/>
    </row>
    <row r="404" spans="1:9" s="61" customFormat="1" ht="19.95" hidden="1" customHeight="1" x14ac:dyDescent="0.25">
      <c r="A404" s="625"/>
      <c r="B404" s="172">
        <f>IF(AND('Items sous domaines Maths '!K412=6, 'Items sous domaines Maths '!K412&gt;0),'Items sous domaines Maths '!B412,0)</f>
        <v>0</v>
      </c>
      <c r="C404" s="145" t="b">
        <f>IF(AND('Items sous domaines Maths '!K412=6, 'Items sous domaines Maths '!K412&gt;0),'Items sous domaines Maths '!C412)</f>
        <v>0</v>
      </c>
      <c r="D404" s="145">
        <f>IF(AND('Items sous domaines Maths '!K412=6, 'Items sous domaines Maths '!K412&gt;0),'Items sous domaines Maths '!D412,0)</f>
        <v>0</v>
      </c>
      <c r="E404" s="145">
        <f>IF(AND('Items sous domaines Maths '!K412=6, 'Items sous domaines Maths '!K412&gt;0),'Items sous domaines Maths '!E412,0)</f>
        <v>0</v>
      </c>
      <c r="F404" s="146">
        <f>IF(AND('Items sous domaines Maths '!K412=6, 'Items sous domaines Maths '!K412&gt;0),'Items sous domaines Maths '!F412,0)</f>
        <v>0</v>
      </c>
      <c r="G404" s="649"/>
      <c r="H404" s="678"/>
      <c r="I404" s="199"/>
    </row>
    <row r="405" spans="1:9" s="61" customFormat="1" ht="19.95" hidden="1" customHeight="1" x14ac:dyDescent="0.25">
      <c r="A405" s="625"/>
      <c r="B405" s="169">
        <f>IF(AND('Items sous domaines Maths '!K413=6, 'Items sous domaines Maths '!K413&gt;0),'Items sous domaines Maths '!B413,0)</f>
        <v>0</v>
      </c>
      <c r="C405" s="142" t="b">
        <f>IF(AND('Items sous domaines Maths '!K413=6, 'Items sous domaines Maths '!K413&gt;0),'Items sous domaines Maths '!C413)</f>
        <v>0</v>
      </c>
      <c r="D405" s="142">
        <f>IF(AND('Items sous domaines Maths '!K413=6, 'Items sous domaines Maths '!K413&gt;0),'Items sous domaines Maths '!D413,0)</f>
        <v>0</v>
      </c>
      <c r="E405" s="142">
        <f>IF(AND('Items sous domaines Maths '!K413=6, 'Items sous domaines Maths '!K413&gt;0),'Items sous domaines Maths '!E413,0)</f>
        <v>0</v>
      </c>
      <c r="F405" s="143">
        <f>IF(AND('Items sous domaines Maths '!K413=6, 'Items sous domaines Maths '!K413&gt;0),'Items sous domaines Maths '!F413,0)</f>
        <v>0</v>
      </c>
      <c r="G405" s="649"/>
      <c r="H405" s="678"/>
      <c r="I405" s="199"/>
    </row>
    <row r="406" spans="1:9" s="61" customFormat="1" ht="19.95" hidden="1" customHeight="1" x14ac:dyDescent="0.25">
      <c r="A406" s="625"/>
      <c r="B406" s="172">
        <f>IF(AND('Items sous domaines Maths '!K414=6, 'Items sous domaines Maths '!K414&gt;0),'Items sous domaines Maths '!B414,0)</f>
        <v>0</v>
      </c>
      <c r="C406" s="145" t="b">
        <f>IF(AND('Items sous domaines Maths '!K414=6, 'Items sous domaines Maths '!K414&gt;0),'Items sous domaines Maths '!C414)</f>
        <v>0</v>
      </c>
      <c r="D406" s="145">
        <f>IF(AND('Items sous domaines Maths '!K414=6, 'Items sous domaines Maths '!K414&gt;0),'Items sous domaines Maths '!D414,0)</f>
        <v>0</v>
      </c>
      <c r="E406" s="145">
        <f>IF(AND('Items sous domaines Maths '!K414=6, 'Items sous domaines Maths '!K414&gt;0),'Items sous domaines Maths '!E414,0)</f>
        <v>0</v>
      </c>
      <c r="F406" s="146">
        <f>IF(AND('Items sous domaines Maths '!K414=6, 'Items sous domaines Maths '!K414&gt;0),'Items sous domaines Maths '!F414,0)</f>
        <v>0</v>
      </c>
      <c r="G406" s="649"/>
      <c r="H406" s="678"/>
      <c r="I406" s="199"/>
    </row>
    <row r="407" spans="1:9" s="61" customFormat="1" ht="19.95" hidden="1" customHeight="1" x14ac:dyDescent="0.25">
      <c r="A407" s="625"/>
      <c r="B407" s="169">
        <f>IF(AND('Items sous domaines Maths '!K415=6, 'Items sous domaines Maths '!K415&gt;0),'Items sous domaines Maths '!B415,0)</f>
        <v>0</v>
      </c>
      <c r="C407" s="142" t="b">
        <f>IF(AND('Items sous domaines Maths '!K415=6, 'Items sous domaines Maths '!K415&gt;0),'Items sous domaines Maths '!C415)</f>
        <v>0</v>
      </c>
      <c r="D407" s="142">
        <f>IF(AND('Items sous domaines Maths '!K415=6, 'Items sous domaines Maths '!K415&gt;0),'Items sous domaines Maths '!D415,0)</f>
        <v>0</v>
      </c>
      <c r="E407" s="142">
        <f>IF(AND('Items sous domaines Maths '!K415=6, 'Items sous domaines Maths '!K415&gt;0),'Items sous domaines Maths '!E415,0)</f>
        <v>0</v>
      </c>
      <c r="F407" s="143">
        <f>IF(AND('Items sous domaines Maths '!K415=6, 'Items sous domaines Maths '!K415&gt;0),'Items sous domaines Maths '!F415,0)</f>
        <v>0</v>
      </c>
      <c r="G407" s="649"/>
      <c r="H407" s="678"/>
      <c r="I407" s="199"/>
    </row>
    <row r="408" spans="1:9" s="61" customFormat="1" ht="19.95" hidden="1" customHeight="1" thickBot="1" x14ac:dyDescent="0.3">
      <c r="A408" s="662"/>
      <c r="B408" s="173">
        <f>IF(AND('Items sous domaines Maths '!K416=6, 'Items sous domaines Maths '!K416&gt;0),'Items sous domaines Maths '!B416,0)</f>
        <v>0</v>
      </c>
      <c r="C408" s="150" t="b">
        <f>IF(AND('Items sous domaines Maths '!K416=6, 'Items sous domaines Maths '!K416&gt;0),'Items sous domaines Maths '!C416)</f>
        <v>0</v>
      </c>
      <c r="D408" s="150">
        <f>IF(AND('Items sous domaines Maths '!K416=6, 'Items sous domaines Maths '!K416&gt;0),'Items sous domaines Maths '!D416,0)</f>
        <v>0</v>
      </c>
      <c r="E408" s="150">
        <f>IF(AND('Items sous domaines Maths '!K416=6, 'Items sous domaines Maths '!K416&gt;0),'Items sous domaines Maths '!E416,0)</f>
        <v>0</v>
      </c>
      <c r="F408" s="151">
        <f>IF(AND('Items sous domaines Maths '!K416=6, 'Items sous domaines Maths '!K416&gt;0),'Items sous domaines Maths '!F416,0)</f>
        <v>0</v>
      </c>
      <c r="G408" s="741"/>
      <c r="H408" s="678"/>
      <c r="I408" s="199"/>
    </row>
    <row r="409" spans="1:9" s="61" customFormat="1" ht="19.95" hidden="1" customHeight="1" x14ac:dyDescent="0.25">
      <c r="A409" s="763" t="s">
        <v>498</v>
      </c>
      <c r="B409" s="171">
        <f>IF(AND('Items sous domaines Maths '!K417=6, 'Items sous domaines Maths '!K417&gt;0),'Items sous domaines Maths '!B417,0)</f>
        <v>0</v>
      </c>
      <c r="C409" s="139" t="b">
        <f>IF(AND('Items sous domaines Maths '!K417=6, 'Items sous domaines Maths '!K417&gt;0),'Items sous domaines Maths '!C417)</f>
        <v>0</v>
      </c>
      <c r="D409" s="139">
        <f>IF(AND('Items sous domaines Maths '!K417=6, 'Items sous domaines Maths '!K417&gt;0),'Items sous domaines Maths '!D417,0)</f>
        <v>0</v>
      </c>
      <c r="E409" s="139">
        <f>IF(AND('Items sous domaines Maths '!K417=6, 'Items sous domaines Maths '!K417&gt;0),'Items sous domaines Maths '!E417,0)</f>
        <v>0</v>
      </c>
      <c r="F409" s="140">
        <f>IF(AND('Items sous domaines Maths '!K417=6, 'Items sous domaines Maths '!K417&gt;0),'Items sous domaines Maths '!F417,0)</f>
        <v>0</v>
      </c>
      <c r="G409" s="740" t="s">
        <v>495</v>
      </c>
      <c r="H409" s="499" t="s">
        <v>496</v>
      </c>
      <c r="I409" s="199"/>
    </row>
    <row r="410" spans="1:9" s="61" customFormat="1" ht="19.95" hidden="1" customHeight="1" x14ac:dyDescent="0.25">
      <c r="A410" s="764"/>
      <c r="B410" s="169">
        <f>IF(AND('Items sous domaines Maths '!K418=6, 'Items sous domaines Maths '!K418&gt;0),'Items sous domaines Maths '!B418,0)</f>
        <v>0</v>
      </c>
      <c r="C410" s="142" t="b">
        <f>IF(AND('Items sous domaines Maths '!K418=6, 'Items sous domaines Maths '!K418&gt;0),'Items sous domaines Maths '!C418)</f>
        <v>0</v>
      </c>
      <c r="D410" s="142">
        <f>IF(AND('Items sous domaines Maths '!K418=6, 'Items sous domaines Maths '!K418&gt;0),'Items sous domaines Maths '!D418,0)</f>
        <v>0</v>
      </c>
      <c r="E410" s="142">
        <f>IF(AND('Items sous domaines Maths '!K418=6, 'Items sous domaines Maths '!K418&gt;0),'Items sous domaines Maths '!E418,0)</f>
        <v>0</v>
      </c>
      <c r="F410" s="143">
        <f>IF(AND('Items sous domaines Maths '!K418=6, 'Items sous domaines Maths '!K418&gt;0),'Items sous domaines Maths '!F418,0)</f>
        <v>0</v>
      </c>
      <c r="G410" s="649"/>
      <c r="H410" s="499"/>
      <c r="I410" s="199"/>
    </row>
    <row r="411" spans="1:9" s="61" customFormat="1" ht="19.95" hidden="1" customHeight="1" x14ac:dyDescent="0.25">
      <c r="A411" s="764"/>
      <c r="B411" s="172">
        <f>IF(AND('Items sous domaines Maths '!K419=6, 'Items sous domaines Maths '!K419&gt;0),'Items sous domaines Maths '!B419,0)</f>
        <v>0</v>
      </c>
      <c r="C411" s="145" t="b">
        <f>IF(AND('Items sous domaines Maths '!K419=6, 'Items sous domaines Maths '!K419&gt;0),'Items sous domaines Maths '!C419)</f>
        <v>0</v>
      </c>
      <c r="D411" s="145">
        <f>IF(AND('Items sous domaines Maths '!K419=6, 'Items sous domaines Maths '!K419&gt;0),'Items sous domaines Maths '!D419,0)</f>
        <v>0</v>
      </c>
      <c r="E411" s="145">
        <f>IF(AND('Items sous domaines Maths '!K419=6, 'Items sous domaines Maths '!K419&gt;0),'Items sous domaines Maths '!E419,0)</f>
        <v>0</v>
      </c>
      <c r="F411" s="146">
        <f>IF(AND('Items sous domaines Maths '!K419=6, 'Items sous domaines Maths '!K419&gt;0),'Items sous domaines Maths '!F419,0)</f>
        <v>0</v>
      </c>
      <c r="G411" s="649"/>
      <c r="H411" s="499"/>
      <c r="I411" s="199"/>
    </row>
    <row r="412" spans="1:9" s="61" customFormat="1" ht="19.95" hidden="1" customHeight="1" x14ac:dyDescent="0.25">
      <c r="A412" s="764"/>
      <c r="B412" s="169">
        <f>IF(AND('Items sous domaines Maths '!K420=6, 'Items sous domaines Maths '!K420&gt;0),'Items sous domaines Maths '!B420,0)</f>
        <v>0</v>
      </c>
      <c r="C412" s="142" t="b">
        <f>IF(AND('Items sous domaines Maths '!K420=6, 'Items sous domaines Maths '!K420&gt;0),'Items sous domaines Maths '!C420)</f>
        <v>0</v>
      </c>
      <c r="D412" s="142">
        <f>IF(AND('Items sous domaines Maths '!K420=6, 'Items sous domaines Maths '!K420&gt;0),'Items sous domaines Maths '!D420,0)</f>
        <v>0</v>
      </c>
      <c r="E412" s="142">
        <f>IF(AND('Items sous domaines Maths '!K420=6, 'Items sous domaines Maths '!K420&gt;0),'Items sous domaines Maths '!E420,0)</f>
        <v>0</v>
      </c>
      <c r="F412" s="143">
        <f>IF(AND('Items sous domaines Maths '!K420=6, 'Items sous domaines Maths '!K420&gt;0),'Items sous domaines Maths '!F420,0)</f>
        <v>0</v>
      </c>
      <c r="G412" s="649"/>
      <c r="H412" s="499"/>
      <c r="I412" s="199"/>
    </row>
    <row r="413" spans="1:9" s="61" customFormat="1" ht="19.95" hidden="1" customHeight="1" x14ac:dyDescent="0.25">
      <c r="A413" s="764"/>
      <c r="B413" s="172">
        <f>IF(AND('Items sous domaines Maths '!K421=6, 'Items sous domaines Maths '!K421&gt;0),'Items sous domaines Maths '!B421,0)</f>
        <v>0</v>
      </c>
      <c r="C413" s="145" t="b">
        <f>IF(AND('Items sous domaines Maths '!K421=6, 'Items sous domaines Maths '!K421&gt;0),'Items sous domaines Maths '!C421)</f>
        <v>0</v>
      </c>
      <c r="D413" s="145">
        <f>IF(AND('Items sous domaines Maths '!K421=6, 'Items sous domaines Maths '!K421&gt;0),'Items sous domaines Maths '!D421,0)</f>
        <v>0</v>
      </c>
      <c r="E413" s="145">
        <f>IF(AND('Items sous domaines Maths '!K421=6, 'Items sous domaines Maths '!K421&gt;0),'Items sous domaines Maths '!E421,0)</f>
        <v>0</v>
      </c>
      <c r="F413" s="146">
        <f>IF(AND('Items sous domaines Maths '!K421=6, 'Items sous domaines Maths '!K421&gt;0),'Items sous domaines Maths '!F421,0)</f>
        <v>0</v>
      </c>
      <c r="G413" s="649"/>
      <c r="H413" s="499"/>
      <c r="I413" s="199"/>
    </row>
    <row r="414" spans="1:9" s="61" customFormat="1" ht="19.95" hidden="1" customHeight="1" x14ac:dyDescent="0.25">
      <c r="A414" s="764"/>
      <c r="B414" s="169">
        <f>IF(AND('Items sous domaines Maths '!K422=6, 'Items sous domaines Maths '!K422&gt;0),'Items sous domaines Maths '!B422,0)</f>
        <v>0</v>
      </c>
      <c r="C414" s="142" t="b">
        <f>IF(AND('Items sous domaines Maths '!K422=6, 'Items sous domaines Maths '!K422&gt;0),'Items sous domaines Maths '!C422)</f>
        <v>0</v>
      </c>
      <c r="D414" s="142">
        <f>IF(AND('Items sous domaines Maths '!K422=6, 'Items sous domaines Maths '!K422&gt;0),'Items sous domaines Maths '!D422,0)</f>
        <v>0</v>
      </c>
      <c r="E414" s="142">
        <f>IF(AND('Items sous domaines Maths '!K422=6, 'Items sous domaines Maths '!K422&gt;0),'Items sous domaines Maths '!E422,0)</f>
        <v>0</v>
      </c>
      <c r="F414" s="143">
        <f>IF(AND('Items sous domaines Maths '!K422=6, 'Items sous domaines Maths '!K422&gt;0),'Items sous domaines Maths '!F422,0)</f>
        <v>0</v>
      </c>
      <c r="G414" s="649"/>
      <c r="H414" s="499"/>
      <c r="I414" s="199"/>
    </row>
    <row r="415" spans="1:9" s="61" customFormat="1" ht="19.95" hidden="1" customHeight="1" x14ac:dyDescent="0.25">
      <c r="A415" s="764"/>
      <c r="B415" s="172">
        <f>IF(AND('Items sous domaines Maths '!K423=6, 'Items sous domaines Maths '!K423&gt;0),'Items sous domaines Maths '!B423,0)</f>
        <v>0</v>
      </c>
      <c r="C415" s="145" t="b">
        <f>IF(AND('Items sous domaines Maths '!K423=6, 'Items sous domaines Maths '!K423&gt;0),'Items sous domaines Maths '!C423)</f>
        <v>0</v>
      </c>
      <c r="D415" s="145">
        <f>IF(AND('Items sous domaines Maths '!K423=6, 'Items sous domaines Maths '!K423&gt;0),'Items sous domaines Maths '!D423,0)</f>
        <v>0</v>
      </c>
      <c r="E415" s="145">
        <f>IF(AND('Items sous domaines Maths '!K423=6, 'Items sous domaines Maths '!K423&gt;0),'Items sous domaines Maths '!E423,0)</f>
        <v>0</v>
      </c>
      <c r="F415" s="146">
        <f>IF(AND('Items sous domaines Maths '!K423=6, 'Items sous domaines Maths '!K423&gt;0),'Items sous domaines Maths '!F423,0)</f>
        <v>0</v>
      </c>
      <c r="G415" s="649"/>
      <c r="H415" s="499"/>
      <c r="I415" s="199"/>
    </row>
    <row r="416" spans="1:9" s="61" customFormat="1" ht="19.95" hidden="1" customHeight="1" x14ac:dyDescent="0.25">
      <c r="A416" s="764"/>
      <c r="B416" s="169">
        <f>IF(AND('Items sous domaines Maths '!K424=6, 'Items sous domaines Maths '!K424&gt;0),'Items sous domaines Maths '!B424,0)</f>
        <v>0</v>
      </c>
      <c r="C416" s="142" t="b">
        <f>IF(AND('Items sous domaines Maths '!K424=6, 'Items sous domaines Maths '!K424&gt;0),'Items sous domaines Maths '!C424)</f>
        <v>0</v>
      </c>
      <c r="D416" s="142">
        <f>IF(AND('Items sous domaines Maths '!K424=6, 'Items sous domaines Maths '!K424&gt;0),'Items sous domaines Maths '!D424,0)</f>
        <v>0</v>
      </c>
      <c r="E416" s="142">
        <f>IF(AND('Items sous domaines Maths '!K424=6, 'Items sous domaines Maths '!K424&gt;0),'Items sous domaines Maths '!E424,0)</f>
        <v>0</v>
      </c>
      <c r="F416" s="143">
        <f>IF(AND('Items sous domaines Maths '!K424=6, 'Items sous domaines Maths '!K424&gt;0),'Items sous domaines Maths '!F424,0)</f>
        <v>0</v>
      </c>
      <c r="G416" s="649"/>
      <c r="H416" s="499"/>
      <c r="I416" s="199"/>
    </row>
    <row r="417" spans="1:9" s="61" customFormat="1" ht="19.95" hidden="1" customHeight="1" x14ac:dyDescent="0.25">
      <c r="A417" s="764"/>
      <c r="B417" s="172">
        <f>IF(AND('Items sous domaines Maths '!K425=6, 'Items sous domaines Maths '!K425&gt;0),'Items sous domaines Maths '!B425,0)</f>
        <v>0</v>
      </c>
      <c r="C417" s="145" t="b">
        <f>IF(AND('Items sous domaines Maths '!K425=6, 'Items sous domaines Maths '!K425&gt;0),'Items sous domaines Maths '!C425)</f>
        <v>0</v>
      </c>
      <c r="D417" s="145">
        <f>IF(AND('Items sous domaines Maths '!K425=6, 'Items sous domaines Maths '!K425&gt;0),'Items sous domaines Maths '!D425,0)</f>
        <v>0</v>
      </c>
      <c r="E417" s="145">
        <f>IF(AND('Items sous domaines Maths '!K425=6, 'Items sous domaines Maths '!K425&gt;0),'Items sous domaines Maths '!E425,0)</f>
        <v>0</v>
      </c>
      <c r="F417" s="146">
        <f>IF(AND('Items sous domaines Maths '!K425=6, 'Items sous domaines Maths '!K425&gt;0),'Items sous domaines Maths '!F425,0)</f>
        <v>0</v>
      </c>
      <c r="G417" s="649"/>
      <c r="H417" s="499"/>
      <c r="I417" s="199"/>
    </row>
    <row r="418" spans="1:9" s="61" customFormat="1" ht="19.95" hidden="1" customHeight="1" x14ac:dyDescent="0.25">
      <c r="A418" s="764"/>
      <c r="B418" s="169">
        <f>IF(AND('Items sous domaines Maths '!K426=6, 'Items sous domaines Maths '!K426&gt;0),'Items sous domaines Maths '!B426,0)</f>
        <v>0</v>
      </c>
      <c r="C418" s="142" t="b">
        <f>IF(AND('Items sous domaines Maths '!K426=6, 'Items sous domaines Maths '!K426&gt;0),'Items sous domaines Maths '!C426)</f>
        <v>0</v>
      </c>
      <c r="D418" s="142">
        <f>IF(AND('Items sous domaines Maths '!K426=6, 'Items sous domaines Maths '!K426&gt;0),'Items sous domaines Maths '!D426,0)</f>
        <v>0</v>
      </c>
      <c r="E418" s="142">
        <f>IF(AND('Items sous domaines Maths '!K426=6, 'Items sous domaines Maths '!K426&gt;0),'Items sous domaines Maths '!E426,0)</f>
        <v>0</v>
      </c>
      <c r="F418" s="143">
        <f>IF(AND('Items sous domaines Maths '!K426=6, 'Items sous domaines Maths '!K426&gt;0),'Items sous domaines Maths '!F426,0)</f>
        <v>0</v>
      </c>
      <c r="G418" s="649"/>
      <c r="H418" s="499"/>
      <c r="I418" s="199"/>
    </row>
    <row r="419" spans="1:9" s="61" customFormat="1" ht="19.95" hidden="1" customHeight="1" x14ac:dyDescent="0.25">
      <c r="A419" s="764"/>
      <c r="B419" s="172">
        <f>IF(AND('Items sous domaines Maths '!K427=6, 'Items sous domaines Maths '!K427&gt;0),'Items sous domaines Maths '!B427,0)</f>
        <v>0</v>
      </c>
      <c r="C419" s="145" t="b">
        <f>IF(AND('Items sous domaines Maths '!K427=6, 'Items sous domaines Maths '!K427&gt;0),'Items sous domaines Maths '!C427)</f>
        <v>0</v>
      </c>
      <c r="D419" s="145">
        <f>IF(AND('Items sous domaines Maths '!K427=6, 'Items sous domaines Maths '!K427&gt;0),'Items sous domaines Maths '!D427,0)</f>
        <v>0</v>
      </c>
      <c r="E419" s="145">
        <f>IF(AND('Items sous domaines Maths '!K427=6, 'Items sous domaines Maths '!K427&gt;0),'Items sous domaines Maths '!E427,0)</f>
        <v>0</v>
      </c>
      <c r="F419" s="146">
        <f>IF(AND('Items sous domaines Maths '!K427=6, 'Items sous domaines Maths '!K427&gt;0),'Items sous domaines Maths '!F427,0)</f>
        <v>0</v>
      </c>
      <c r="G419" s="649"/>
      <c r="H419" s="499"/>
      <c r="I419" s="199"/>
    </row>
    <row r="420" spans="1:9" s="61" customFormat="1" ht="19.95" hidden="1" customHeight="1" x14ac:dyDescent="0.25">
      <c r="A420" s="764"/>
      <c r="B420" s="169">
        <f>IF(AND('Items sous domaines Maths '!K428=6, 'Items sous domaines Maths '!K428&gt;0),'Items sous domaines Maths '!B428,0)</f>
        <v>0</v>
      </c>
      <c r="C420" s="142" t="b">
        <f>IF(AND('Items sous domaines Maths '!K428=6, 'Items sous domaines Maths '!K428&gt;0),'Items sous domaines Maths '!C428)</f>
        <v>0</v>
      </c>
      <c r="D420" s="142">
        <f>IF(AND('Items sous domaines Maths '!K428=6, 'Items sous domaines Maths '!K428&gt;0),'Items sous domaines Maths '!D428,0)</f>
        <v>0</v>
      </c>
      <c r="E420" s="142">
        <f>IF(AND('Items sous domaines Maths '!K428=6, 'Items sous domaines Maths '!K428&gt;0),'Items sous domaines Maths '!E428,0)</f>
        <v>0</v>
      </c>
      <c r="F420" s="143">
        <f>IF(AND('Items sous domaines Maths '!K428=6, 'Items sous domaines Maths '!K428&gt;0),'Items sous domaines Maths '!F428,0)</f>
        <v>0</v>
      </c>
      <c r="G420" s="649"/>
      <c r="H420" s="499"/>
      <c r="I420" s="199"/>
    </row>
    <row r="421" spans="1:9" s="61" customFormat="1" ht="19.95" hidden="1" customHeight="1" thickBot="1" x14ac:dyDescent="0.3">
      <c r="A421" s="765"/>
      <c r="B421" s="274">
        <f>IF(AND('Items sous domaines Maths '!K429=6, 'Items sous domaines Maths '!K429&gt;0),'Items sous domaines Maths '!B429,0)</f>
        <v>0</v>
      </c>
      <c r="C421" s="193" t="b">
        <f>IF(AND('Items sous domaines Maths '!K429=6, 'Items sous domaines Maths '!K429&gt;0),'Items sous domaines Maths '!C429)</f>
        <v>0</v>
      </c>
      <c r="D421" s="193">
        <f>IF(AND('Items sous domaines Maths '!K429=6, 'Items sous domaines Maths '!K429&gt;0),'Items sous domaines Maths '!D429,0)</f>
        <v>0</v>
      </c>
      <c r="E421" s="193">
        <f>IF(AND('Items sous domaines Maths '!K429=6, 'Items sous domaines Maths '!K429&gt;0),'Items sous domaines Maths '!E429,0)</f>
        <v>0</v>
      </c>
      <c r="F421" s="194">
        <f>IF(AND('Items sous domaines Maths '!K429=6, 'Items sous domaines Maths '!K429&gt;0),'Items sous domaines Maths '!F429,0)</f>
        <v>0</v>
      </c>
      <c r="G421" s="650"/>
      <c r="H421" s="759"/>
      <c r="I421" s="189"/>
    </row>
    <row r="422" spans="1:9" customFormat="1" ht="13.8" hidden="1" thickTop="1" x14ac:dyDescent="0.25">
      <c r="B422">
        <f>IF(AND('Items sous domaines Maths '!K430=6, 'Items sous domaines Maths '!K430&gt;0),'Items sous domaines Maths '!B430,0)</f>
        <v>0</v>
      </c>
      <c r="C422" t="b">
        <f>IF(AND('Items sous domaines Maths '!K430=6, 'Items sous domaines Maths '!K430&gt;0),'Items sous domaines Maths '!C430)</f>
        <v>0</v>
      </c>
      <c r="D422">
        <f>IF(AND('Items sous domaines Maths '!K430=6, 'Items sous domaines Maths '!K430&gt;0),'Items sous domaines Maths '!D430,0)</f>
        <v>0</v>
      </c>
      <c r="E422">
        <f>IF(AND('Items sous domaines Maths '!K430=6, 'Items sous domaines Maths '!K430&gt;0),'Items sous domaines Maths '!E430,0)</f>
        <v>0</v>
      </c>
      <c r="F422" s="10">
        <f>IF(AND('Items sous domaines Maths '!K430=6, 'Items sous domaines Maths '!K430&gt;0),'Items sous domaines Maths '!F430,0)</f>
        <v>0</v>
      </c>
      <c r="G422">
        <f>IF('Items sous domaines Maths '!J446=6,'Items sous domaines Maths '!F446,0)</f>
        <v>0</v>
      </c>
      <c r="H422" s="3"/>
    </row>
    <row r="423" spans="1:9" customFormat="1" ht="13.8" hidden="1" thickTop="1" x14ac:dyDescent="0.25">
      <c r="B423" s="8">
        <f>IF(AND('Items sous domaines Maths '!K431=6, 'Items sous domaines Maths '!K431&gt;0),'Items sous domaines Maths '!B431,0)</f>
        <v>0</v>
      </c>
      <c r="C423" s="8" t="b">
        <f>IF(AND('Items sous domaines Maths '!K431=6, 'Items sous domaines Maths '!K431&gt;0),'Items sous domaines Maths '!C431)</f>
        <v>0</v>
      </c>
      <c r="D423" s="8">
        <f>IF(AND('Items sous domaines Maths '!K431=6, 'Items sous domaines Maths '!K431&gt;0),'Items sous domaines Maths '!D431,0)</f>
        <v>0</v>
      </c>
      <c r="E423" s="8">
        <f>IF(AND('Items sous domaines Maths '!K431=6, 'Items sous domaines Maths '!K431&gt;0),'Items sous domaines Maths '!E431,0)</f>
        <v>0</v>
      </c>
      <c r="F423" s="9">
        <f>IF(AND('Items sous domaines Maths '!K431=6, 'Items sous domaines Maths '!K431&gt;0),'Items sous domaines Maths '!F431,0)</f>
        <v>0</v>
      </c>
      <c r="G423">
        <f>IF('Items sous domaines Maths '!J447=6,'Items sous domaines Maths '!F447,0)</f>
        <v>0</v>
      </c>
      <c r="H423" s="3"/>
    </row>
    <row r="424" spans="1:9" customFormat="1" ht="13.8" hidden="1" thickTop="1" x14ac:dyDescent="0.25">
      <c r="B424" s="8">
        <f>IF(AND('Items sous domaines Maths '!K432=6, 'Items sous domaines Maths '!K432&gt;0),'Items sous domaines Maths '!B432,0)</f>
        <v>0</v>
      </c>
      <c r="C424" s="8" t="b">
        <f>IF(AND('Items sous domaines Maths '!K432=6, 'Items sous domaines Maths '!K432&gt;0),'Items sous domaines Maths '!C432)</f>
        <v>0</v>
      </c>
      <c r="D424" s="8">
        <f>IF(AND('Items sous domaines Maths '!K432=6, 'Items sous domaines Maths '!K432&gt;0),'Items sous domaines Maths '!D432,0)</f>
        <v>0</v>
      </c>
      <c r="E424" s="8">
        <f>IF(AND('Items sous domaines Maths '!K432=6, 'Items sous domaines Maths '!K432&gt;0),'Items sous domaines Maths '!E432,0)</f>
        <v>0</v>
      </c>
      <c r="F424" s="9">
        <f>IF(AND('Items sous domaines Maths '!K432=6, 'Items sous domaines Maths '!K432&gt;0),'Items sous domaines Maths '!F432,0)</f>
        <v>0</v>
      </c>
      <c r="G424">
        <f>IF('Items sous domaines Maths '!J448=6,'Items sous domaines Maths '!F448,0)</f>
        <v>0</v>
      </c>
      <c r="H424" s="3"/>
    </row>
    <row r="425" spans="1:9" customFormat="1" ht="13.8" hidden="1" thickTop="1" x14ac:dyDescent="0.25">
      <c r="B425" s="8">
        <f>IF(AND('Items sous domaines Maths '!K433=6, 'Items sous domaines Maths '!K433&gt;0),'Items sous domaines Maths '!B433,0)</f>
        <v>0</v>
      </c>
      <c r="C425" s="8" t="b">
        <f>IF(AND('Items sous domaines Maths '!K433=6, 'Items sous domaines Maths '!K433&gt;0),'Items sous domaines Maths '!C433)</f>
        <v>0</v>
      </c>
      <c r="D425" s="8">
        <f>IF(AND('Items sous domaines Maths '!K433=6, 'Items sous domaines Maths '!K433&gt;0),'Items sous domaines Maths '!D433,0)</f>
        <v>0</v>
      </c>
      <c r="E425" s="8">
        <f>IF(AND('Items sous domaines Maths '!K433=6, 'Items sous domaines Maths '!K433&gt;0),'Items sous domaines Maths '!E433,0)</f>
        <v>0</v>
      </c>
      <c r="F425" s="9">
        <f>IF(AND('Items sous domaines Maths '!K433=6, 'Items sous domaines Maths '!K433&gt;0),'Items sous domaines Maths '!F433,0)</f>
        <v>0</v>
      </c>
      <c r="G425">
        <f>IF('Items sous domaines Maths '!J449=6,'Items sous domaines Maths '!F449,0)</f>
        <v>0</v>
      </c>
      <c r="H425" s="3"/>
    </row>
    <row r="426" spans="1:9" customFormat="1" thickTop="1" x14ac:dyDescent="0.25">
      <c r="A426" s="17"/>
      <c r="C426" s="1"/>
      <c r="D426" s="6"/>
      <c r="E426" s="6"/>
      <c r="F426" s="5"/>
      <c r="G426" s="4"/>
      <c r="H426" s="3"/>
    </row>
  </sheetData>
  <autoFilter ref="A3:J426" xr:uid="{00000000-0009-0000-0000-00000A000000}">
    <filterColumn colId="1">
      <filters blank="1">
        <filter val="Algèbre"/>
        <filter val="Analyse"/>
        <filter val="Géométrie"/>
        <filter val="Probabilité et statistiques"/>
      </filters>
    </filterColumn>
  </autoFilter>
  <mergeCells count="32">
    <mergeCell ref="H297:H302"/>
    <mergeCell ref="H409:H421"/>
    <mergeCell ref="H352:H389"/>
    <mergeCell ref="H394:H408"/>
    <mergeCell ref="A394:A408"/>
    <mergeCell ref="A409:A421"/>
    <mergeCell ref="A296:A302"/>
    <mergeCell ref="A319:A326"/>
    <mergeCell ref="A304:A305"/>
    <mergeCell ref="A329:A337"/>
    <mergeCell ref="A352:A357"/>
    <mergeCell ref="A4:A206"/>
    <mergeCell ref="A307:A317"/>
    <mergeCell ref="A230:A243"/>
    <mergeCell ref="A368:A379"/>
    <mergeCell ref="A380:A389"/>
    <mergeCell ref="A1:G1"/>
    <mergeCell ref="A2:G2"/>
    <mergeCell ref="H2:I2"/>
    <mergeCell ref="H3:I3"/>
    <mergeCell ref="G409:G421"/>
    <mergeCell ref="G394:G408"/>
    <mergeCell ref="G352:G389"/>
    <mergeCell ref="G296:G337"/>
    <mergeCell ref="A208:A228"/>
    <mergeCell ref="A245:A277"/>
    <mergeCell ref="A279:A295"/>
    <mergeCell ref="G209:G223"/>
    <mergeCell ref="G7:G180"/>
    <mergeCell ref="G239:G243"/>
    <mergeCell ref="G257:G274"/>
    <mergeCell ref="G287:G295"/>
  </mergeCells>
  <hyperlinks>
    <hyperlink ref="H8" r:id="rId1" xr:uid="{00000000-0004-0000-0A00-000000000000}"/>
    <hyperlink ref="H56" r:id="rId2" xr:uid="{00000000-0004-0000-0A00-000001000000}"/>
    <hyperlink ref="H87" r:id="rId3" xr:uid="{00000000-0004-0000-0A00-000002000000}"/>
    <hyperlink ref="H240" r:id="rId4" xr:uid="{00000000-0004-0000-0A00-000003000000}"/>
    <hyperlink ref="H297" r:id="rId5" tooltip="Automatique : Systèmes linéaires, non linéaires, à temps continu, à temps discret, représentation d'états... Ed. 4 page 3 à 24 inclus (nouvelle fenêtre)" display="https://univ.scholarvox.com/catalog/book/docid/88919449?searchterm=transform%C3%A9e%20de%20laplace" xr:uid="{00000000-0004-0000-0A00-000004000000}"/>
    <hyperlink ref="H304" r:id="rId6" xr:uid="{00000000-0004-0000-0A00-000005000000}"/>
    <hyperlink ref="H320" r:id="rId7" display="https://uel.unisciel.fr/mathematiques/serie/serie/co/serie.html" xr:uid="{00000000-0004-0000-0A00-000006000000}"/>
    <hyperlink ref="H352" r:id="rId8" xr:uid="{00000000-0004-0000-0A00-000007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E2155AF8726D44BD53D59EA0FED089" ma:contentTypeVersion="17" ma:contentTypeDescription="Crée un document." ma:contentTypeScope="" ma:versionID="eb9539cb5a589b879e76c187c798d0ab">
  <xsd:schema xmlns:xsd="http://www.w3.org/2001/XMLSchema" xmlns:xs="http://www.w3.org/2001/XMLSchema" xmlns:p="http://schemas.microsoft.com/office/2006/metadata/properties" xmlns:ns2="0a29f275-95d5-4c98-a418-22eb01667c78" xmlns:ns3="ada32706-2fe3-47f6-933d-4c5ffaeaed01" targetNamespace="http://schemas.microsoft.com/office/2006/metadata/properties" ma:root="true" ma:fieldsID="e9ba4adfdc89c88b0aa4e7ff706cc56d" ns2:_="" ns3:_="">
    <xsd:import namespace="0a29f275-95d5-4c98-a418-22eb01667c78"/>
    <xsd:import namespace="ada32706-2fe3-47f6-933d-4c5ffaeaed0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29f275-95d5-4c98-a418-22eb01667c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Balises d’images" ma:readOnly="false" ma:fieldId="{5cf76f15-5ced-4ddc-b409-7134ff3c332f}" ma:taxonomyMulti="true" ma:sspId="aa141cfe-7933-482d-bbb8-97c86f16e511"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a32706-2fe3-47f6-933d-4c5ffaeaed01" elementFormDefault="qualified">
    <xsd:import namespace="http://schemas.microsoft.com/office/2006/documentManagement/types"/>
    <xsd:import namespace="http://schemas.microsoft.com/office/infopath/2007/PartnerControls"/>
    <xsd:element name="SharedWithUsers" ma:index="16"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Partagé avec détails" ma:internalName="SharedWithDetails" ma:readOnly="true">
      <xsd:simpleType>
        <xsd:restriction base="dms:Note">
          <xsd:maxLength value="255"/>
        </xsd:restriction>
      </xsd:simpleType>
    </xsd:element>
    <xsd:element name="TaxCatchAll" ma:index="22" nillable="true" ma:displayName="Taxonomy Catch All Column" ma:hidden="true" ma:list="{d0519279-afa0-4ad1-ad7d-5b6157afc9fe}" ma:internalName="TaxCatchAll" ma:showField="CatchAllData" ma:web="ada32706-2fe3-47f6-933d-4c5ffaeaed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a29f275-95d5-4c98-a418-22eb01667c78">
      <Terms xmlns="http://schemas.microsoft.com/office/infopath/2007/PartnerControls"/>
    </lcf76f155ced4ddcb4097134ff3c332f>
    <TaxCatchAll xmlns="ada32706-2fe3-47f6-933d-4c5ffaeaed01" xsi:nil="true"/>
  </documentManagement>
</p:properties>
</file>

<file path=customXml/itemProps1.xml><?xml version="1.0" encoding="utf-8"?>
<ds:datastoreItem xmlns:ds="http://schemas.openxmlformats.org/officeDocument/2006/customXml" ds:itemID="{ABB1C3A3-DA08-4496-AAA3-C46D2D0E622D}">
  <ds:schemaRefs>
    <ds:schemaRef ds:uri="http://schemas.microsoft.com/sharepoint/v3/contenttype/forms"/>
  </ds:schemaRefs>
</ds:datastoreItem>
</file>

<file path=customXml/itemProps2.xml><?xml version="1.0" encoding="utf-8"?>
<ds:datastoreItem xmlns:ds="http://schemas.openxmlformats.org/officeDocument/2006/customXml" ds:itemID="{3D129AD3-783B-4D81-BDBA-5F7ABDB251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29f275-95d5-4c98-a418-22eb01667c78"/>
    <ds:schemaRef ds:uri="ada32706-2fe3-47f6-933d-4c5ffaeaed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E69BFA9-AA6F-4330-A349-317C94F368A9}">
  <ds:schemaRefs>
    <ds:schemaRef ds:uri="http://purl.org/dc/terms/"/>
    <ds:schemaRef ds:uri="http://www.w3.org/XML/1998/namespace"/>
    <ds:schemaRef ds:uri="http://purl.org/dc/elements/1.1/"/>
    <ds:schemaRef ds:uri="http://schemas.microsoft.com/office/2006/metadata/properties"/>
    <ds:schemaRef ds:uri="efdd9ced-6a5a-490a-9d4a-b9c31806fdd6"/>
    <ds:schemaRef ds:uri="http://schemas.microsoft.com/office/2006/documentManagement/types"/>
    <ds:schemaRef ds:uri="79c8c5aa-4813-4bf1-ac1a-fc46f8d32968"/>
    <ds:schemaRef ds:uri="http://schemas.microsoft.com/office/infopath/2007/PartnerControls"/>
    <ds:schemaRef ds:uri="http://schemas.openxmlformats.org/package/2006/metadata/core-properties"/>
    <ds:schemaRef ds:uri="http://purl.org/dc/dcmitype/"/>
    <ds:schemaRef ds:uri="0a29f275-95d5-4c98-a418-22eb01667c78"/>
    <ds:schemaRef ds:uri="ada32706-2fe3-47f6-933d-4c5ffaeaed0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Objectifs Maths 2023-2024</vt:lpstr>
      <vt:lpstr>Items sous domaines Maths </vt:lpstr>
      <vt:lpstr>Remédiation</vt:lpstr>
      <vt:lpstr>Aide1</vt:lpstr>
      <vt:lpstr>Aide2</vt:lpstr>
      <vt:lpstr>Aide3</vt:lpstr>
      <vt:lpstr>A1 CPI S1</vt:lpstr>
      <vt:lpstr>A1 CPI S2</vt:lpstr>
      <vt:lpstr>A2 CPI S3 </vt:lpstr>
      <vt:lpstr>A3 CI S5</vt:lpstr>
      <vt:lpstr>A3 CI S6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DESCHAMPS Guillaume</dc:creator>
  <cp:keywords/>
  <dc:description/>
  <cp:lastModifiedBy>GAME AMÉLIE</cp:lastModifiedBy>
  <cp:revision/>
  <dcterms:created xsi:type="dcterms:W3CDTF">2021-09-27T08:16:08Z</dcterms:created>
  <dcterms:modified xsi:type="dcterms:W3CDTF">2023-10-01T09:51:18Z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0x010100955B3BA0DFE3FF4688BF2FE59D2D1E93</vt:lpwstr>
  </property>
  <property fmtid="{D5CDD505-2E9C-101B-9397-08002B2CF9AE}" pid="3" name="MediaServiceImageTags">
    <vt:lpwstr/>
  </property>
</Properties>
</file>