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eli\Documents\1ere année\"/>
    </mc:Choice>
  </mc:AlternateContent>
  <xr:revisionPtr revIDLastSave="0" documentId="8_{BC86E00C-B9C9-4D0E-99A3-5A593E9AE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</calcChain>
</file>

<file path=xl/sharedStrings.xml><?xml version="1.0" encoding="utf-8"?>
<sst xmlns="http://schemas.openxmlformats.org/spreadsheetml/2006/main" count="635" uniqueCount="205">
  <si>
    <t>Temps de jeu</t>
  </si>
  <si>
    <t>Performance</t>
  </si>
  <si>
    <t>Par 90 minutes</t>
  </si>
  <si>
    <t>Attendu</t>
  </si>
  <si>
    <t>Joueur</t>
  </si>
  <si>
    <t>Nation</t>
  </si>
  <si>
    <t>Pos</t>
  </si>
  <si>
    <t>Ã‚ge</t>
  </si>
  <si>
    <t>MJ</t>
  </si>
  <si>
    <t>Titulaire</t>
  </si>
  <si>
    <t>Min</t>
  </si>
  <si>
    <t>Buts</t>
  </si>
  <si>
    <t>PD</t>
  </si>
  <si>
    <t>B-PÃ©nM</t>
  </si>
  <si>
    <t>PÃ©nM</t>
  </si>
  <si>
    <t>PÃ©nT</t>
  </si>
  <si>
    <t>CJ</t>
  </si>
  <si>
    <t>CR</t>
  </si>
  <si>
    <t>B+PD</t>
  </si>
  <si>
    <t>B+PD-PÃ©nM</t>
  </si>
  <si>
    <t>xG</t>
  </si>
  <si>
    <t>npxG</t>
  </si>
  <si>
    <t>xA</t>
  </si>
  <si>
    <t>npxG+xA</t>
  </si>
  <si>
    <t>xG+xA</t>
  </si>
  <si>
    <t>Matchs</t>
  </si>
  <si>
    <t>Allan Saint-Maximin</t>
  </si>
  <si>
    <t>fr FRA</t>
  </si>
  <si>
    <t>AT,MT</t>
  </si>
  <si>
    <t>31.2</t>
  </si>
  <si>
    <t>0.16</t>
  </si>
  <si>
    <t>0.32</t>
  </si>
  <si>
    <t>5.1</t>
  </si>
  <si>
    <t>5.8</t>
  </si>
  <si>
    <t>10.9</t>
  </si>
  <si>
    <t>0.19</t>
  </si>
  <si>
    <t>0.35</t>
  </si>
  <si>
    <t>Joelinton</t>
  </si>
  <si>
    <t>br BRA</t>
  </si>
  <si>
    <t>MT,AT</t>
  </si>
  <si>
    <t>28.4</t>
  </si>
  <si>
    <t>0.14</t>
  </si>
  <si>
    <t>0.04</t>
  </si>
  <si>
    <t>0.18</t>
  </si>
  <si>
    <t>4.1</t>
  </si>
  <si>
    <t>1.8</t>
  </si>
  <si>
    <t>6.0</t>
  </si>
  <si>
    <t>0.15</t>
  </si>
  <si>
    <t>0.06</t>
  </si>
  <si>
    <t>0.21</t>
  </si>
  <si>
    <t>Martin DÃºbravka</t>
  </si>
  <si>
    <t>sk SVK</t>
  </si>
  <si>
    <t>GB</t>
  </si>
  <si>
    <t>26.0</t>
  </si>
  <si>
    <t>0.00</t>
  </si>
  <si>
    <t>0.0</t>
  </si>
  <si>
    <t>0.1</t>
  </si>
  <si>
    <t>Fabian SchÃ¤r</t>
  </si>
  <si>
    <t>ch SUI</t>
  </si>
  <si>
    <t>DF</t>
  </si>
  <si>
    <t>24.0</t>
  </si>
  <si>
    <t>0.08</t>
  </si>
  <si>
    <t>0.17</t>
  </si>
  <si>
    <t>1.3</t>
  </si>
  <si>
    <t>0.6</t>
  </si>
  <si>
    <t>2.0</t>
  </si>
  <si>
    <t>0.03</t>
  </si>
  <si>
    <t>Joe Willock</t>
  </si>
  <si>
    <t>eng ENG</t>
  </si>
  <si>
    <t>MT</t>
  </si>
  <si>
    <t>22.6</t>
  </si>
  <si>
    <t>0.09</t>
  </si>
  <si>
    <t>3.6</t>
  </si>
  <si>
    <t>1.2</t>
  </si>
  <si>
    <t>4.8</t>
  </si>
  <si>
    <t>0.05</t>
  </si>
  <si>
    <t>Jamaal Lascelles</t>
  </si>
  <si>
    <t>22.9</t>
  </si>
  <si>
    <t>1.1</t>
  </si>
  <si>
    <t>0.3</t>
  </si>
  <si>
    <t>0.01</t>
  </si>
  <si>
    <t>Jonjo Shelvey</t>
  </si>
  <si>
    <t>22.0</t>
  </si>
  <si>
    <t>0.9</t>
  </si>
  <si>
    <t>0.8</t>
  </si>
  <si>
    <t>1.7</t>
  </si>
  <si>
    <t>Miguel AlmirÃ³n</t>
  </si>
  <si>
    <t>py PAR</t>
  </si>
  <si>
    <t>19.1</t>
  </si>
  <si>
    <t>2.1</t>
  </si>
  <si>
    <t>0.7</t>
  </si>
  <si>
    <t>2.7</t>
  </si>
  <si>
    <t>0.11</t>
  </si>
  <si>
    <t>Emil Krafth</t>
  </si>
  <si>
    <t>se SWE</t>
  </si>
  <si>
    <t>18.2</t>
  </si>
  <si>
    <t>0.2</t>
  </si>
  <si>
    <t>1.0</t>
  </si>
  <si>
    <t>Ryan Fraser</t>
  </si>
  <si>
    <t>sct SCO</t>
  </si>
  <si>
    <t>16.3</t>
  </si>
  <si>
    <t>0.12</t>
  </si>
  <si>
    <t>0.31</t>
  </si>
  <si>
    <t>2.8</t>
  </si>
  <si>
    <t>2.2</t>
  </si>
  <si>
    <t>Dan Burn</t>
  </si>
  <si>
    <t>16.0</t>
  </si>
  <si>
    <t>0.5</t>
  </si>
  <si>
    <t>Matt Targett</t>
  </si>
  <si>
    <t>1.6</t>
  </si>
  <si>
    <t>1.9</t>
  </si>
  <si>
    <t>0.02</t>
  </si>
  <si>
    <t>0.10</t>
  </si>
  <si>
    <t>Callum Wilson</t>
  </si>
  <si>
    <t>AT</t>
  </si>
  <si>
    <t>15.4</t>
  </si>
  <si>
    <t>0.52</t>
  </si>
  <si>
    <t>0.39</t>
  </si>
  <si>
    <t>6.5</t>
  </si>
  <si>
    <t>5.0</t>
  </si>
  <si>
    <t>5.5</t>
  </si>
  <si>
    <t>0.42</t>
  </si>
  <si>
    <t>0.46</t>
  </si>
  <si>
    <t>0.36</t>
  </si>
  <si>
    <t>Sean Longstaff</t>
  </si>
  <si>
    <t>0.07</t>
  </si>
  <si>
    <t>Chris Wood</t>
  </si>
  <si>
    <t>nz NZL</t>
  </si>
  <si>
    <t>14.7</t>
  </si>
  <si>
    <t>2.9</t>
  </si>
  <si>
    <t>3.1</t>
  </si>
  <si>
    <t>0.26</t>
  </si>
  <si>
    <t>Javier Manquillo</t>
  </si>
  <si>
    <t>es ESP</t>
  </si>
  <si>
    <t>14.0</t>
  </si>
  <si>
    <t>Matt Ritchie</t>
  </si>
  <si>
    <t>14.9</t>
  </si>
  <si>
    <t>0.13</t>
  </si>
  <si>
    <t>0.4</t>
  </si>
  <si>
    <t>Jacob Murphy</t>
  </si>
  <si>
    <t>AT,DF</t>
  </si>
  <si>
    <t>16.4</t>
  </si>
  <si>
    <t>Ciaran Clark</t>
  </si>
  <si>
    <t>ie IRL</t>
  </si>
  <si>
    <t>11.3</t>
  </si>
  <si>
    <t>Isaac Hayden</t>
  </si>
  <si>
    <t>MT,DF</t>
  </si>
  <si>
    <t>11.1</t>
  </si>
  <si>
    <t>Bruno GuimarÃ£es</t>
  </si>
  <si>
    <t>11.5</t>
  </si>
  <si>
    <t>0.44</t>
  </si>
  <si>
    <t>4.7</t>
  </si>
  <si>
    <t>0.25</t>
  </si>
  <si>
    <t>0.41</t>
  </si>
  <si>
    <t>Karl Darlow</t>
  </si>
  <si>
    <t>8.0</t>
  </si>
  <si>
    <t>Federico FernÃ¡ndez</t>
  </si>
  <si>
    <t>ar ARG</t>
  </si>
  <si>
    <t>Kieran Trippier</t>
  </si>
  <si>
    <t>Freddie Woodman</t>
  </si>
  <si>
    <t>4.0</t>
  </si>
  <si>
    <t>Jamal Lewis</t>
  </si>
  <si>
    <t>nir NIR</t>
  </si>
  <si>
    <t>Paul Dummett</t>
  </si>
  <si>
    <t>wls WAL</t>
  </si>
  <si>
    <t>Jeff Hendrick</t>
  </si>
  <si>
    <t>1.25</t>
  </si>
  <si>
    <t>Dwight Gayle</t>
  </si>
  <si>
    <t>0.71</t>
  </si>
  <si>
    <t>1.19</t>
  </si>
  <si>
    <t>1.89</t>
  </si>
  <si>
    <t>Elliot Anderson</t>
  </si>
  <si>
    <t>Lucas De Bolle</t>
  </si>
  <si>
    <t>Mark Gillespie</t>
  </si>
  <si>
    <t>Joe White</t>
  </si>
  <si>
    <t>Total de l'Ã©quipe</t>
  </si>
  <si>
    <t>27.5</t>
  </si>
  <si>
    <t>38.0</t>
  </si>
  <si>
    <t>1.08</t>
  </si>
  <si>
    <t>0.61</t>
  </si>
  <si>
    <t>1.68</t>
  </si>
  <si>
    <t>1.00</t>
  </si>
  <si>
    <t>1.61</t>
  </si>
  <si>
    <t>40.3</t>
  </si>
  <si>
    <t>25.9</t>
  </si>
  <si>
    <t>63.9</t>
  </si>
  <si>
    <t>1.06</t>
  </si>
  <si>
    <t>0.68</t>
  </si>
  <si>
    <t>1.74</t>
  </si>
  <si>
    <t>Total adversaire</t>
  </si>
  <si>
    <t>26.8</t>
  </si>
  <si>
    <t>1.58</t>
  </si>
  <si>
    <t>1.13</t>
  </si>
  <si>
    <t>2.71</t>
  </si>
  <si>
    <t>1.45</t>
  </si>
  <si>
    <t>2.58</t>
  </si>
  <si>
    <t>55.4</t>
  </si>
  <si>
    <t>51.5</t>
  </si>
  <si>
    <t>39.2</t>
  </si>
  <si>
    <t>90.7</t>
  </si>
  <si>
    <t>1.46</t>
  </si>
  <si>
    <t>1.03</t>
  </si>
  <si>
    <t>2.49</t>
  </si>
  <si>
    <t>1.35</t>
  </si>
  <si>
    <t>2.39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</si>
</sst>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/>
    <xf numFmtId="0" fontId="16" fillId="0" borderId="0" xfId="0" applyFont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"/>
  <sheetViews>
    <sheetView tabSelected="1" workbookViewId="0">
      <selection activeCell="I40" sqref="I40"/>
    </sheetView>
  </sheetViews>
  <sheetFormatPr baseColWidth="10" defaultColWidth="9.109375" defaultRowHeight="14.4" x14ac:dyDescent="0.3"/>
  <cols>
    <col min="1" max="1" width="19.5546875" bestFit="1" customWidth="1"/>
    <col min="2" max="2" width="8.44140625" bestFit="1" customWidth="1"/>
    <col min="3" max="3" width="6.5546875" bestFit="1" customWidth="1"/>
    <col min="4" max="4" width="5" bestFit="1" customWidth="1"/>
    <col min="5" max="5" width="3.5546875" bestFit="1" customWidth="1"/>
    <col min="6" max="6" width="8.44140625" bestFit="1" customWidth="1"/>
    <col min="7" max="7" width="6" bestFit="1" customWidth="1"/>
    <col min="8" max="8" width="4.5546875" bestFit="1" customWidth="1"/>
    <col min="9" max="9" width="4.88671875" bestFit="1" customWidth="1"/>
    <col min="10" max="10" width="3.44140625" bestFit="1" customWidth="1"/>
    <col min="11" max="11" width="10.109375" bestFit="1" customWidth="1"/>
    <col min="12" max="12" width="8.33203125" bestFit="1" customWidth="1"/>
    <col min="13" max="13" width="7.44140625" bestFit="1" customWidth="1"/>
    <col min="14" max="14" width="3" bestFit="1" customWidth="1"/>
    <col min="15" max="15" width="3.33203125" bestFit="1" customWidth="1"/>
    <col min="16" max="16" width="4.88671875" bestFit="1" customWidth="1"/>
    <col min="17" max="17" width="4.5546875" bestFit="1" customWidth="1"/>
    <col min="18" max="18" width="5.5546875" bestFit="1" customWidth="1"/>
    <col min="19" max="19" width="10.109375" bestFit="1" customWidth="1"/>
    <col min="20" max="20" width="13.5546875" bestFit="1" customWidth="1"/>
    <col min="21" max="21" width="4.5546875" bestFit="1" customWidth="1"/>
    <col min="22" max="22" width="5.6640625" bestFit="1" customWidth="1"/>
    <col min="23" max="23" width="4.5546875" bestFit="1" customWidth="1"/>
    <col min="24" max="24" width="9" bestFit="1" customWidth="1"/>
    <col min="25" max="26" width="4.5546875" bestFit="1" customWidth="1"/>
    <col min="27" max="27" width="6.6640625" bestFit="1" customWidth="1"/>
    <col min="28" max="28" width="5.6640625" bestFit="1" customWidth="1"/>
    <col min="29" max="29" width="9" bestFit="1" customWidth="1"/>
    <col min="30" max="30" width="7.44140625" bestFit="1" customWidth="1"/>
  </cols>
  <sheetData>
    <row r="1" spans="1:30" ht="15" customHeight="1" x14ac:dyDescent="0.3">
      <c r="A1" s="4"/>
      <c r="B1" s="4"/>
      <c r="C1" s="4"/>
      <c r="D1" s="4"/>
      <c r="E1" s="1"/>
      <c r="F1" s="4" t="s">
        <v>0</v>
      </c>
      <c r="G1" s="4"/>
      <c r="H1" s="4"/>
      <c r="I1" s="4" t="s">
        <v>1</v>
      </c>
      <c r="J1" s="4"/>
      <c r="K1" s="4"/>
      <c r="L1" s="4"/>
      <c r="M1" s="4"/>
      <c r="N1" s="4"/>
      <c r="O1" s="4"/>
      <c r="P1" s="4" t="s">
        <v>2</v>
      </c>
      <c r="Q1" s="4"/>
      <c r="R1" s="4"/>
      <c r="S1" s="4"/>
      <c r="T1" s="4"/>
      <c r="U1" s="4" t="s">
        <v>3</v>
      </c>
      <c r="V1" s="4"/>
      <c r="W1" s="4"/>
      <c r="X1" s="4"/>
      <c r="Y1" s="4" t="s">
        <v>2</v>
      </c>
      <c r="Z1" s="4"/>
      <c r="AA1" s="4"/>
      <c r="AB1" s="4"/>
      <c r="AC1" s="4"/>
      <c r="AD1" s="1"/>
    </row>
    <row r="2" spans="1:30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>
        <v>90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11</v>
      </c>
      <c r="Q2" s="1" t="s">
        <v>12</v>
      </c>
      <c r="R2" s="1" t="s">
        <v>18</v>
      </c>
      <c r="S2" s="1" t="s">
        <v>13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20</v>
      </c>
      <c r="Z2" s="1" t="s">
        <v>22</v>
      </c>
      <c r="AA2" s="1" t="s">
        <v>24</v>
      </c>
      <c r="AB2" s="1" t="s">
        <v>21</v>
      </c>
      <c r="AC2" s="1" t="s">
        <v>23</v>
      </c>
      <c r="AD2" s="1" t="s">
        <v>25</v>
      </c>
    </row>
    <row r="3" spans="1:30" x14ac:dyDescent="0.3">
      <c r="A3" s="1" t="s">
        <v>26</v>
      </c>
      <c r="B3" s="2" t="s">
        <v>27</v>
      </c>
      <c r="C3" s="2" t="s">
        <v>28</v>
      </c>
      <c r="D3" s="2">
        <v>24</v>
      </c>
      <c r="E3" s="2">
        <v>35</v>
      </c>
      <c r="F3" s="2">
        <v>31</v>
      </c>
      <c r="G3" s="2">
        <v>2.8039999999999998</v>
      </c>
      <c r="H3" s="2" t="s">
        <v>29</v>
      </c>
      <c r="I3" s="2">
        <v>5</v>
      </c>
      <c r="J3" s="2">
        <v>5</v>
      </c>
      <c r="K3" s="2">
        <v>5</v>
      </c>
      <c r="L3" s="2">
        <v>0</v>
      </c>
      <c r="M3" s="2">
        <v>0</v>
      </c>
      <c r="N3" s="2">
        <v>6</v>
      </c>
      <c r="O3" s="2">
        <v>0</v>
      </c>
      <c r="P3" s="2" t="s">
        <v>30</v>
      </c>
      <c r="Q3" s="2" t="s">
        <v>30</v>
      </c>
      <c r="R3" s="2" t="s">
        <v>31</v>
      </c>
      <c r="S3" s="2" t="s">
        <v>30</v>
      </c>
      <c r="T3" s="2" t="s">
        <v>31</v>
      </c>
      <c r="U3" s="2" t="s">
        <v>32</v>
      </c>
      <c r="V3" s="2" t="s">
        <v>32</v>
      </c>
      <c r="W3" s="2" t="s">
        <v>33</v>
      </c>
      <c r="X3" s="2" t="s">
        <v>34</v>
      </c>
      <c r="Y3" s="2" t="s">
        <v>30</v>
      </c>
      <c r="Z3" s="2" t="s">
        <v>35</v>
      </c>
      <c r="AA3" s="2" t="s">
        <v>36</v>
      </c>
      <c r="AB3" s="2" t="s">
        <v>30</v>
      </c>
      <c r="AC3" s="2" t="s">
        <v>36</v>
      </c>
      <c r="AD3" s="2" t="s">
        <v>25</v>
      </c>
    </row>
    <row r="4" spans="1:30" x14ac:dyDescent="0.3">
      <c r="A4" s="1" t="s">
        <v>37</v>
      </c>
      <c r="B4" s="2" t="s">
        <v>38</v>
      </c>
      <c r="C4" s="2" t="s">
        <v>39</v>
      </c>
      <c r="D4" s="2">
        <v>24</v>
      </c>
      <c r="E4" s="2">
        <v>35</v>
      </c>
      <c r="F4" s="2">
        <v>30</v>
      </c>
      <c r="G4" s="2">
        <v>2.5579999999999998</v>
      </c>
      <c r="H4" s="2" t="s">
        <v>40</v>
      </c>
      <c r="I4" s="2">
        <v>4</v>
      </c>
      <c r="J4" s="2">
        <v>1</v>
      </c>
      <c r="K4" s="2">
        <v>4</v>
      </c>
      <c r="L4" s="2">
        <v>0</v>
      </c>
      <c r="M4" s="2">
        <v>0</v>
      </c>
      <c r="N4" s="2">
        <v>8</v>
      </c>
      <c r="O4" s="2">
        <v>0</v>
      </c>
      <c r="P4" s="2" t="s">
        <v>41</v>
      </c>
      <c r="Q4" s="2" t="s">
        <v>42</v>
      </c>
      <c r="R4" s="2" t="s">
        <v>43</v>
      </c>
      <c r="S4" s="2" t="s">
        <v>41</v>
      </c>
      <c r="T4" s="2" t="s">
        <v>43</v>
      </c>
      <c r="U4" s="2" t="s">
        <v>44</v>
      </c>
      <c r="V4" s="2" t="s">
        <v>44</v>
      </c>
      <c r="W4" s="2" t="s">
        <v>45</v>
      </c>
      <c r="X4" s="2" t="s">
        <v>46</v>
      </c>
      <c r="Y4" s="2" t="s">
        <v>47</v>
      </c>
      <c r="Z4" s="2" t="s">
        <v>48</v>
      </c>
      <c r="AA4" s="2" t="s">
        <v>49</v>
      </c>
      <c r="AB4" s="2" t="s">
        <v>47</v>
      </c>
      <c r="AC4" s="2" t="s">
        <v>49</v>
      </c>
      <c r="AD4" s="2" t="s">
        <v>25</v>
      </c>
    </row>
    <row r="5" spans="1:30" x14ac:dyDescent="0.3">
      <c r="A5" s="1" t="s">
        <v>50</v>
      </c>
      <c r="B5" s="2" t="s">
        <v>51</v>
      </c>
      <c r="C5" s="2" t="s">
        <v>52</v>
      </c>
      <c r="D5" s="2">
        <v>32</v>
      </c>
      <c r="E5" s="2">
        <v>26</v>
      </c>
      <c r="F5" s="2">
        <v>26</v>
      </c>
      <c r="G5" s="2">
        <v>2.34</v>
      </c>
      <c r="H5" s="2" t="s">
        <v>53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 t="s">
        <v>54</v>
      </c>
      <c r="Q5" s="2" t="s">
        <v>54</v>
      </c>
      <c r="R5" s="2" t="s">
        <v>54</v>
      </c>
      <c r="S5" s="2" t="s">
        <v>54</v>
      </c>
      <c r="T5" s="2" t="s">
        <v>54</v>
      </c>
      <c r="U5" s="2" t="s">
        <v>55</v>
      </c>
      <c r="V5" s="2" t="s">
        <v>55</v>
      </c>
      <c r="W5" s="2" t="s">
        <v>56</v>
      </c>
      <c r="X5" s="2" t="s">
        <v>56</v>
      </c>
      <c r="Y5" s="2" t="s">
        <v>54</v>
      </c>
      <c r="Z5" s="2" t="s">
        <v>54</v>
      </c>
      <c r="AA5" s="2" t="s">
        <v>54</v>
      </c>
      <c r="AB5" s="2" t="s">
        <v>54</v>
      </c>
      <c r="AC5" s="2" t="s">
        <v>54</v>
      </c>
      <c r="AD5" s="2" t="s">
        <v>25</v>
      </c>
    </row>
    <row r="6" spans="1:30" x14ac:dyDescent="0.3">
      <c r="A6" s="1" t="s">
        <v>57</v>
      </c>
      <c r="B6" s="2" t="s">
        <v>58</v>
      </c>
      <c r="C6" s="2" t="s">
        <v>59</v>
      </c>
      <c r="D6" s="2">
        <v>29</v>
      </c>
      <c r="E6" s="2">
        <v>25</v>
      </c>
      <c r="F6" s="2">
        <v>25</v>
      </c>
      <c r="G6" s="2">
        <v>2.1579999999999999</v>
      </c>
      <c r="H6" s="2" t="s">
        <v>60</v>
      </c>
      <c r="I6" s="2">
        <v>2</v>
      </c>
      <c r="J6" s="2">
        <v>2</v>
      </c>
      <c r="K6" s="2">
        <v>2</v>
      </c>
      <c r="L6" s="2">
        <v>0</v>
      </c>
      <c r="M6" s="2">
        <v>0</v>
      </c>
      <c r="N6" s="2">
        <v>4</v>
      </c>
      <c r="O6" s="2">
        <v>0</v>
      </c>
      <c r="P6" s="2" t="s">
        <v>61</v>
      </c>
      <c r="Q6" s="2" t="s">
        <v>61</v>
      </c>
      <c r="R6" s="2" t="s">
        <v>62</v>
      </c>
      <c r="S6" s="2" t="s">
        <v>61</v>
      </c>
      <c r="T6" s="2" t="s">
        <v>62</v>
      </c>
      <c r="U6" s="2" t="s">
        <v>63</v>
      </c>
      <c r="V6" s="2" t="s">
        <v>63</v>
      </c>
      <c r="W6" s="2" t="s">
        <v>64</v>
      </c>
      <c r="X6" s="2" t="s">
        <v>65</v>
      </c>
      <c r="Y6" s="2" t="s">
        <v>48</v>
      </c>
      <c r="Z6" s="2" t="s">
        <v>66</v>
      </c>
      <c r="AA6" s="2" t="s">
        <v>61</v>
      </c>
      <c r="AB6" s="2" t="s">
        <v>48</v>
      </c>
      <c r="AC6" s="2" t="s">
        <v>61</v>
      </c>
      <c r="AD6" s="2" t="s">
        <v>25</v>
      </c>
    </row>
    <row r="7" spans="1:30" x14ac:dyDescent="0.3">
      <c r="A7" s="1" t="s">
        <v>67</v>
      </c>
      <c r="B7" s="2" t="s">
        <v>68</v>
      </c>
      <c r="C7" s="2" t="s">
        <v>69</v>
      </c>
      <c r="D7" s="2">
        <v>21</v>
      </c>
      <c r="E7" s="2">
        <v>29</v>
      </c>
      <c r="F7" s="2">
        <v>24</v>
      </c>
      <c r="G7" s="2">
        <v>2.0379999999999998</v>
      </c>
      <c r="H7" s="2" t="s">
        <v>70</v>
      </c>
      <c r="I7" s="2">
        <v>2</v>
      </c>
      <c r="J7" s="2">
        <v>0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 t="s">
        <v>71</v>
      </c>
      <c r="Q7" s="2" t="s">
        <v>54</v>
      </c>
      <c r="R7" s="2" t="s">
        <v>71</v>
      </c>
      <c r="S7" s="2" t="s">
        <v>71</v>
      </c>
      <c r="T7" s="2" t="s">
        <v>71</v>
      </c>
      <c r="U7" s="2" t="s">
        <v>72</v>
      </c>
      <c r="V7" s="2" t="s">
        <v>72</v>
      </c>
      <c r="W7" s="2" t="s">
        <v>73</v>
      </c>
      <c r="X7" s="2" t="s">
        <v>74</v>
      </c>
      <c r="Y7" s="2" t="s">
        <v>30</v>
      </c>
      <c r="Z7" s="2" t="s">
        <v>75</v>
      </c>
      <c r="AA7" s="2" t="s">
        <v>49</v>
      </c>
      <c r="AB7" s="2" t="s">
        <v>30</v>
      </c>
      <c r="AC7" s="2" t="s">
        <v>49</v>
      </c>
      <c r="AD7" s="2" t="s">
        <v>25</v>
      </c>
    </row>
    <row r="8" spans="1:30" x14ac:dyDescent="0.3">
      <c r="A8" s="1" t="s">
        <v>76</v>
      </c>
      <c r="B8" s="2" t="s">
        <v>68</v>
      </c>
      <c r="C8" s="2" t="s">
        <v>59</v>
      </c>
      <c r="D8" s="2">
        <v>27</v>
      </c>
      <c r="E8" s="2">
        <v>26</v>
      </c>
      <c r="F8" s="2">
        <v>22</v>
      </c>
      <c r="G8" s="2">
        <v>2.0579999999999998</v>
      </c>
      <c r="H8" s="2" t="s">
        <v>77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5</v>
      </c>
      <c r="O8" s="2">
        <v>0</v>
      </c>
      <c r="P8" s="2" t="s">
        <v>42</v>
      </c>
      <c r="Q8" s="2" t="s">
        <v>54</v>
      </c>
      <c r="R8" s="2" t="s">
        <v>42</v>
      </c>
      <c r="S8" s="2" t="s">
        <v>42</v>
      </c>
      <c r="T8" s="2" t="s">
        <v>42</v>
      </c>
      <c r="U8" s="2" t="s">
        <v>78</v>
      </c>
      <c r="V8" s="2" t="s">
        <v>78</v>
      </c>
      <c r="W8" s="2" t="s">
        <v>79</v>
      </c>
      <c r="X8" s="2" t="s">
        <v>63</v>
      </c>
      <c r="Y8" s="2" t="s">
        <v>75</v>
      </c>
      <c r="Z8" s="2" t="s">
        <v>80</v>
      </c>
      <c r="AA8" s="2" t="s">
        <v>48</v>
      </c>
      <c r="AB8" s="2" t="s">
        <v>75</v>
      </c>
      <c r="AC8" s="2" t="s">
        <v>48</v>
      </c>
      <c r="AD8" s="2" t="s">
        <v>25</v>
      </c>
    </row>
    <row r="9" spans="1:30" x14ac:dyDescent="0.3">
      <c r="A9" s="1" t="s">
        <v>81</v>
      </c>
      <c r="B9" s="2" t="s">
        <v>68</v>
      </c>
      <c r="C9" s="2" t="s">
        <v>69</v>
      </c>
      <c r="D9" s="2">
        <v>29</v>
      </c>
      <c r="E9" s="2">
        <v>24</v>
      </c>
      <c r="F9" s="2">
        <v>22</v>
      </c>
      <c r="G9" s="2">
        <v>1.9830000000000001</v>
      </c>
      <c r="H9" s="2" t="s">
        <v>82</v>
      </c>
      <c r="I9" s="2">
        <v>2</v>
      </c>
      <c r="J9" s="2">
        <v>1</v>
      </c>
      <c r="K9" s="2">
        <v>2</v>
      </c>
      <c r="L9" s="2">
        <v>0</v>
      </c>
      <c r="M9" s="2">
        <v>0</v>
      </c>
      <c r="N9" s="2">
        <v>7</v>
      </c>
      <c r="O9" s="2">
        <v>1</v>
      </c>
      <c r="P9" s="2" t="s">
        <v>71</v>
      </c>
      <c r="Q9" s="2" t="s">
        <v>75</v>
      </c>
      <c r="R9" s="2" t="s">
        <v>41</v>
      </c>
      <c r="S9" s="2" t="s">
        <v>71</v>
      </c>
      <c r="T9" s="2" t="s">
        <v>41</v>
      </c>
      <c r="U9" s="2" t="s">
        <v>83</v>
      </c>
      <c r="V9" s="2" t="s">
        <v>83</v>
      </c>
      <c r="W9" s="2" t="s">
        <v>84</v>
      </c>
      <c r="X9" s="2" t="s">
        <v>85</v>
      </c>
      <c r="Y9" s="2" t="s">
        <v>42</v>
      </c>
      <c r="Z9" s="2" t="s">
        <v>42</v>
      </c>
      <c r="AA9" s="2" t="s">
        <v>61</v>
      </c>
      <c r="AB9" s="2" t="s">
        <v>42</v>
      </c>
      <c r="AC9" s="2" t="s">
        <v>61</v>
      </c>
      <c r="AD9" s="2" t="s">
        <v>25</v>
      </c>
    </row>
    <row r="10" spans="1:30" x14ac:dyDescent="0.3">
      <c r="A10" s="1" t="s">
        <v>86</v>
      </c>
      <c r="B10" s="2" t="s">
        <v>87</v>
      </c>
      <c r="C10" s="2" t="s">
        <v>39</v>
      </c>
      <c r="D10" s="2">
        <v>27</v>
      </c>
      <c r="E10" s="2">
        <v>30</v>
      </c>
      <c r="F10" s="2">
        <v>19</v>
      </c>
      <c r="G10" s="2">
        <v>1.716</v>
      </c>
      <c r="H10" s="2" t="s">
        <v>88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2</v>
      </c>
      <c r="O10" s="2">
        <v>0</v>
      </c>
      <c r="P10" s="2" t="s">
        <v>75</v>
      </c>
      <c r="Q10" s="2" t="s">
        <v>54</v>
      </c>
      <c r="R10" s="2" t="s">
        <v>75</v>
      </c>
      <c r="S10" s="2" t="s">
        <v>75</v>
      </c>
      <c r="T10" s="2" t="s">
        <v>75</v>
      </c>
      <c r="U10" s="2" t="s">
        <v>89</v>
      </c>
      <c r="V10" s="2" t="s">
        <v>89</v>
      </c>
      <c r="W10" s="2" t="s">
        <v>90</v>
      </c>
      <c r="X10" s="2" t="s">
        <v>91</v>
      </c>
      <c r="Y10" s="2" t="s">
        <v>92</v>
      </c>
      <c r="Z10" s="2" t="s">
        <v>66</v>
      </c>
      <c r="AA10" s="2" t="s">
        <v>41</v>
      </c>
      <c r="AB10" s="2" t="s">
        <v>92</v>
      </c>
      <c r="AC10" s="2" t="s">
        <v>41</v>
      </c>
      <c r="AD10" s="2" t="s">
        <v>25</v>
      </c>
    </row>
    <row r="11" spans="1:30" x14ac:dyDescent="0.3">
      <c r="A11" s="1" t="s">
        <v>93</v>
      </c>
      <c r="B11" s="2" t="s">
        <v>94</v>
      </c>
      <c r="C11" s="2" t="s">
        <v>59</v>
      </c>
      <c r="D11" s="2">
        <v>26</v>
      </c>
      <c r="E11" s="2">
        <v>20</v>
      </c>
      <c r="F11" s="2">
        <v>18</v>
      </c>
      <c r="G11" s="2">
        <v>1.6339999999999999</v>
      </c>
      <c r="H11" s="2" t="s">
        <v>95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5</v>
      </c>
      <c r="O11" s="2">
        <v>0</v>
      </c>
      <c r="P11" s="2" t="s">
        <v>54</v>
      </c>
      <c r="Q11" s="2" t="s">
        <v>48</v>
      </c>
      <c r="R11" s="2" t="s">
        <v>48</v>
      </c>
      <c r="S11" s="2" t="s">
        <v>54</v>
      </c>
      <c r="T11" s="2" t="s">
        <v>48</v>
      </c>
      <c r="U11" s="2" t="s">
        <v>96</v>
      </c>
      <c r="V11" s="2" t="s">
        <v>96</v>
      </c>
      <c r="W11" s="2" t="s">
        <v>84</v>
      </c>
      <c r="X11" s="2" t="s">
        <v>97</v>
      </c>
      <c r="Y11" s="2" t="s">
        <v>80</v>
      </c>
      <c r="Z11" s="2" t="s">
        <v>42</v>
      </c>
      <c r="AA11" s="2" t="s">
        <v>48</v>
      </c>
      <c r="AB11" s="2" t="s">
        <v>80</v>
      </c>
      <c r="AC11" s="2" t="s">
        <v>48</v>
      </c>
      <c r="AD11" s="2" t="s">
        <v>25</v>
      </c>
    </row>
    <row r="12" spans="1:30" x14ac:dyDescent="0.3">
      <c r="A12" s="1" t="s">
        <v>98</v>
      </c>
      <c r="B12" s="2" t="s">
        <v>99</v>
      </c>
      <c r="C12" s="2" t="s">
        <v>28</v>
      </c>
      <c r="D12" s="2">
        <v>27</v>
      </c>
      <c r="E12" s="2">
        <v>27</v>
      </c>
      <c r="F12" s="2">
        <v>18</v>
      </c>
      <c r="G12" s="2">
        <v>1.4650000000000001</v>
      </c>
      <c r="H12" s="2" t="s">
        <v>100</v>
      </c>
      <c r="I12" s="2">
        <v>2</v>
      </c>
      <c r="J12" s="2">
        <v>3</v>
      </c>
      <c r="K12" s="2">
        <v>2</v>
      </c>
      <c r="L12" s="2">
        <v>0</v>
      </c>
      <c r="M12" s="2">
        <v>0</v>
      </c>
      <c r="N12" s="2">
        <v>3</v>
      </c>
      <c r="O12" s="2">
        <v>0</v>
      </c>
      <c r="P12" s="2" t="s">
        <v>101</v>
      </c>
      <c r="Q12" s="2" t="s">
        <v>43</v>
      </c>
      <c r="R12" s="2" t="s">
        <v>102</v>
      </c>
      <c r="S12" s="2" t="s">
        <v>101</v>
      </c>
      <c r="T12" s="2" t="s">
        <v>102</v>
      </c>
      <c r="U12" s="2" t="s">
        <v>103</v>
      </c>
      <c r="V12" s="2" t="s">
        <v>103</v>
      </c>
      <c r="W12" s="2" t="s">
        <v>104</v>
      </c>
      <c r="X12" s="2" t="s">
        <v>32</v>
      </c>
      <c r="Y12" s="2" t="s">
        <v>62</v>
      </c>
      <c r="Z12" s="2" t="s">
        <v>41</v>
      </c>
      <c r="AA12" s="2" t="s">
        <v>102</v>
      </c>
      <c r="AB12" s="2" t="s">
        <v>62</v>
      </c>
      <c r="AC12" s="2" t="s">
        <v>102</v>
      </c>
      <c r="AD12" s="2" t="s">
        <v>25</v>
      </c>
    </row>
    <row r="13" spans="1:30" x14ac:dyDescent="0.3">
      <c r="A13" s="1" t="s">
        <v>105</v>
      </c>
      <c r="B13" s="2" t="s">
        <v>68</v>
      </c>
      <c r="C13" s="2" t="s">
        <v>59</v>
      </c>
      <c r="D13" s="2">
        <v>29</v>
      </c>
      <c r="E13" s="2">
        <v>16</v>
      </c>
      <c r="F13" s="2">
        <v>16</v>
      </c>
      <c r="G13" s="2">
        <v>1.44</v>
      </c>
      <c r="H13" s="2" t="s">
        <v>106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4</v>
      </c>
      <c r="O13" s="2">
        <v>0</v>
      </c>
      <c r="P13" s="2" t="s">
        <v>54</v>
      </c>
      <c r="Q13" s="2" t="s">
        <v>48</v>
      </c>
      <c r="R13" s="2" t="s">
        <v>48</v>
      </c>
      <c r="S13" s="2" t="s">
        <v>54</v>
      </c>
      <c r="T13" s="2" t="s">
        <v>48</v>
      </c>
      <c r="U13" s="2" t="s">
        <v>107</v>
      </c>
      <c r="V13" s="2" t="s">
        <v>107</v>
      </c>
      <c r="W13" s="2" t="s">
        <v>56</v>
      </c>
      <c r="X13" s="2" t="s">
        <v>64</v>
      </c>
      <c r="Y13" s="2" t="s">
        <v>66</v>
      </c>
      <c r="Z13" s="2" t="s">
        <v>80</v>
      </c>
      <c r="AA13" s="2" t="s">
        <v>42</v>
      </c>
      <c r="AB13" s="2" t="s">
        <v>66</v>
      </c>
      <c r="AC13" s="2" t="s">
        <v>42</v>
      </c>
      <c r="AD13" s="2" t="s">
        <v>25</v>
      </c>
    </row>
    <row r="14" spans="1:30" x14ac:dyDescent="0.3">
      <c r="A14" s="1" t="s">
        <v>108</v>
      </c>
      <c r="B14" s="2" t="s">
        <v>68</v>
      </c>
      <c r="C14" s="2" t="s">
        <v>59</v>
      </c>
      <c r="D14" s="2">
        <v>25</v>
      </c>
      <c r="E14" s="2">
        <v>16</v>
      </c>
      <c r="F14" s="2">
        <v>16</v>
      </c>
      <c r="G14" s="2">
        <v>1.44</v>
      </c>
      <c r="H14" s="2" t="s">
        <v>106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 t="s">
        <v>54</v>
      </c>
      <c r="Q14" s="2" t="s">
        <v>54</v>
      </c>
      <c r="R14" s="2" t="s">
        <v>54</v>
      </c>
      <c r="S14" s="2" t="s">
        <v>54</v>
      </c>
      <c r="T14" s="2" t="s">
        <v>54</v>
      </c>
      <c r="U14" s="2" t="s">
        <v>79</v>
      </c>
      <c r="V14" s="2" t="s">
        <v>79</v>
      </c>
      <c r="W14" s="2" t="s">
        <v>109</v>
      </c>
      <c r="X14" s="2" t="s">
        <v>110</v>
      </c>
      <c r="Y14" s="2" t="s">
        <v>111</v>
      </c>
      <c r="Z14" s="2" t="s">
        <v>112</v>
      </c>
      <c r="AA14" s="2" t="s">
        <v>101</v>
      </c>
      <c r="AB14" s="2" t="s">
        <v>111</v>
      </c>
      <c r="AC14" s="2" t="s">
        <v>101</v>
      </c>
      <c r="AD14" s="2" t="s">
        <v>25</v>
      </c>
    </row>
    <row r="15" spans="1:30" x14ac:dyDescent="0.3">
      <c r="A15" s="1" t="s">
        <v>113</v>
      </c>
      <c r="B15" s="2" t="s">
        <v>68</v>
      </c>
      <c r="C15" s="2" t="s">
        <v>114</v>
      </c>
      <c r="D15" s="2">
        <v>29</v>
      </c>
      <c r="E15" s="2">
        <v>18</v>
      </c>
      <c r="F15" s="2">
        <v>16</v>
      </c>
      <c r="G15" s="2">
        <v>1.3859999999999999</v>
      </c>
      <c r="H15" s="2" t="s">
        <v>115</v>
      </c>
      <c r="I15" s="2">
        <v>8</v>
      </c>
      <c r="J15" s="2">
        <v>0</v>
      </c>
      <c r="K15" s="2">
        <v>6</v>
      </c>
      <c r="L15" s="2">
        <v>2</v>
      </c>
      <c r="M15" s="2">
        <v>2</v>
      </c>
      <c r="N15" s="2">
        <v>4</v>
      </c>
      <c r="O15" s="2">
        <v>0</v>
      </c>
      <c r="P15" s="2" t="s">
        <v>116</v>
      </c>
      <c r="Q15" s="2" t="s">
        <v>54</v>
      </c>
      <c r="R15" s="2" t="s">
        <v>116</v>
      </c>
      <c r="S15" s="2" t="s">
        <v>117</v>
      </c>
      <c r="T15" s="2" t="s">
        <v>117</v>
      </c>
      <c r="U15" s="2" t="s">
        <v>118</v>
      </c>
      <c r="V15" s="2" t="s">
        <v>119</v>
      </c>
      <c r="W15" s="2" t="s">
        <v>64</v>
      </c>
      <c r="X15" s="2" t="s">
        <v>120</v>
      </c>
      <c r="Y15" s="2" t="s">
        <v>121</v>
      </c>
      <c r="Z15" s="2" t="s">
        <v>42</v>
      </c>
      <c r="AA15" s="2" t="s">
        <v>122</v>
      </c>
      <c r="AB15" s="2" t="s">
        <v>31</v>
      </c>
      <c r="AC15" s="2" t="s">
        <v>123</v>
      </c>
      <c r="AD15" s="2" t="s">
        <v>25</v>
      </c>
    </row>
    <row r="16" spans="1:30" x14ac:dyDescent="0.3">
      <c r="A16" s="1" t="s">
        <v>124</v>
      </c>
      <c r="B16" s="2" t="s">
        <v>68</v>
      </c>
      <c r="C16" s="2" t="s">
        <v>69</v>
      </c>
      <c r="D16" s="2">
        <v>23</v>
      </c>
      <c r="E16" s="2">
        <v>24</v>
      </c>
      <c r="F16" s="2">
        <v>15</v>
      </c>
      <c r="G16" s="2">
        <v>1.464</v>
      </c>
      <c r="H16" s="2" t="s">
        <v>100</v>
      </c>
      <c r="I16" s="2">
        <v>1</v>
      </c>
      <c r="J16" s="2">
        <v>1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 t="s">
        <v>48</v>
      </c>
      <c r="Q16" s="2" t="s">
        <v>48</v>
      </c>
      <c r="R16" s="2" t="s">
        <v>101</v>
      </c>
      <c r="S16" s="2" t="s">
        <v>48</v>
      </c>
      <c r="T16" s="2" t="s">
        <v>101</v>
      </c>
      <c r="U16" s="2" t="s">
        <v>73</v>
      </c>
      <c r="V16" s="2" t="s">
        <v>73</v>
      </c>
      <c r="W16" s="2" t="s">
        <v>90</v>
      </c>
      <c r="X16" s="2" t="s">
        <v>110</v>
      </c>
      <c r="Y16" s="2" t="s">
        <v>125</v>
      </c>
      <c r="Z16" s="2" t="s">
        <v>42</v>
      </c>
      <c r="AA16" s="2" t="s">
        <v>101</v>
      </c>
      <c r="AB16" s="2" t="s">
        <v>125</v>
      </c>
      <c r="AC16" s="2" t="s">
        <v>101</v>
      </c>
      <c r="AD16" s="2" t="s">
        <v>25</v>
      </c>
    </row>
    <row r="17" spans="1:30" x14ac:dyDescent="0.3">
      <c r="A17" s="1" t="s">
        <v>126</v>
      </c>
      <c r="B17" s="2" t="s">
        <v>127</v>
      </c>
      <c r="C17" s="2" t="s">
        <v>114</v>
      </c>
      <c r="D17" s="2">
        <v>29</v>
      </c>
      <c r="E17" s="2">
        <v>17</v>
      </c>
      <c r="F17" s="2">
        <v>15</v>
      </c>
      <c r="G17" s="2">
        <v>1.327</v>
      </c>
      <c r="H17" s="2" t="s">
        <v>128</v>
      </c>
      <c r="I17" s="2">
        <v>2</v>
      </c>
      <c r="J17" s="2">
        <v>0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  <c r="P17" s="2" t="s">
        <v>41</v>
      </c>
      <c r="Q17" s="2" t="s">
        <v>54</v>
      </c>
      <c r="R17" s="2" t="s">
        <v>41</v>
      </c>
      <c r="S17" s="2" t="s">
        <v>125</v>
      </c>
      <c r="T17" s="2" t="s">
        <v>125</v>
      </c>
      <c r="U17" s="2" t="s">
        <v>129</v>
      </c>
      <c r="V17" s="2" t="s">
        <v>89</v>
      </c>
      <c r="W17" s="2" t="s">
        <v>97</v>
      </c>
      <c r="X17" s="2" t="s">
        <v>130</v>
      </c>
      <c r="Y17" s="2" t="s">
        <v>35</v>
      </c>
      <c r="Z17" s="2" t="s">
        <v>125</v>
      </c>
      <c r="AA17" s="2" t="s">
        <v>131</v>
      </c>
      <c r="AB17" s="2" t="s">
        <v>41</v>
      </c>
      <c r="AC17" s="2" t="s">
        <v>49</v>
      </c>
      <c r="AD17" s="2" t="s">
        <v>25</v>
      </c>
    </row>
    <row r="18" spans="1:30" x14ac:dyDescent="0.3">
      <c r="A18" s="1" t="s">
        <v>132</v>
      </c>
      <c r="B18" s="2" t="s">
        <v>133</v>
      </c>
      <c r="C18" s="2" t="s">
        <v>59</v>
      </c>
      <c r="D18" s="2">
        <v>27</v>
      </c>
      <c r="E18" s="2">
        <v>19</v>
      </c>
      <c r="F18" s="2">
        <v>15</v>
      </c>
      <c r="G18" s="2">
        <v>1.2569999999999999</v>
      </c>
      <c r="H18" s="2" t="s">
        <v>134</v>
      </c>
      <c r="I18" s="2">
        <v>1</v>
      </c>
      <c r="J18" s="2">
        <v>2</v>
      </c>
      <c r="K18" s="2">
        <v>1</v>
      </c>
      <c r="L18" s="2">
        <v>0</v>
      </c>
      <c r="M18" s="2">
        <v>0</v>
      </c>
      <c r="N18" s="2">
        <v>5</v>
      </c>
      <c r="O18" s="2">
        <v>0</v>
      </c>
      <c r="P18" s="2" t="s">
        <v>125</v>
      </c>
      <c r="Q18" s="2" t="s">
        <v>41</v>
      </c>
      <c r="R18" s="2" t="s">
        <v>49</v>
      </c>
      <c r="S18" s="2" t="s">
        <v>125</v>
      </c>
      <c r="T18" s="2" t="s">
        <v>49</v>
      </c>
      <c r="U18" s="2" t="s">
        <v>107</v>
      </c>
      <c r="V18" s="2" t="s">
        <v>107</v>
      </c>
      <c r="W18" s="2" t="s">
        <v>79</v>
      </c>
      <c r="X18" s="2" t="s">
        <v>84</v>
      </c>
      <c r="Y18" s="2" t="s">
        <v>66</v>
      </c>
      <c r="Z18" s="2" t="s">
        <v>111</v>
      </c>
      <c r="AA18" s="2" t="s">
        <v>48</v>
      </c>
      <c r="AB18" s="2" t="s">
        <v>66</v>
      </c>
      <c r="AC18" s="2" t="s">
        <v>48</v>
      </c>
      <c r="AD18" s="2" t="s">
        <v>25</v>
      </c>
    </row>
    <row r="19" spans="1:30" x14ac:dyDescent="0.3">
      <c r="A19" s="1" t="s">
        <v>135</v>
      </c>
      <c r="B19" s="2" t="s">
        <v>99</v>
      </c>
      <c r="C19" s="2" t="s">
        <v>59</v>
      </c>
      <c r="D19" s="2">
        <v>31</v>
      </c>
      <c r="E19" s="2">
        <v>18</v>
      </c>
      <c r="F19" s="2">
        <v>14</v>
      </c>
      <c r="G19" s="2">
        <v>1.337</v>
      </c>
      <c r="H19" s="2" t="s">
        <v>136</v>
      </c>
      <c r="I19" s="2">
        <v>0</v>
      </c>
      <c r="J19" s="2">
        <v>2</v>
      </c>
      <c r="K19" s="2">
        <v>0</v>
      </c>
      <c r="L19" s="2">
        <v>0</v>
      </c>
      <c r="M19" s="2">
        <v>0</v>
      </c>
      <c r="N19" s="2">
        <v>5</v>
      </c>
      <c r="O19" s="2">
        <v>0</v>
      </c>
      <c r="P19" s="2" t="s">
        <v>54</v>
      </c>
      <c r="Q19" s="2" t="s">
        <v>137</v>
      </c>
      <c r="R19" s="2" t="s">
        <v>137</v>
      </c>
      <c r="S19" s="2" t="s">
        <v>54</v>
      </c>
      <c r="T19" s="2" t="s">
        <v>137</v>
      </c>
      <c r="U19" s="2" t="s">
        <v>138</v>
      </c>
      <c r="V19" s="2" t="s">
        <v>138</v>
      </c>
      <c r="W19" s="2" t="s">
        <v>109</v>
      </c>
      <c r="X19" s="2" t="s">
        <v>89</v>
      </c>
      <c r="Y19" s="2" t="s">
        <v>66</v>
      </c>
      <c r="Z19" s="2" t="s">
        <v>92</v>
      </c>
      <c r="AA19" s="2" t="s">
        <v>41</v>
      </c>
      <c r="AB19" s="2" t="s">
        <v>66</v>
      </c>
      <c r="AC19" s="2" t="s">
        <v>41</v>
      </c>
      <c r="AD19" s="2" t="s">
        <v>25</v>
      </c>
    </row>
    <row r="20" spans="1:30" x14ac:dyDescent="0.3">
      <c r="A20" s="1" t="s">
        <v>139</v>
      </c>
      <c r="B20" s="2" t="s">
        <v>68</v>
      </c>
      <c r="C20" s="2" t="s">
        <v>140</v>
      </c>
      <c r="D20" s="2">
        <v>26</v>
      </c>
      <c r="E20" s="2">
        <v>33</v>
      </c>
      <c r="F20" s="2">
        <v>13</v>
      </c>
      <c r="G20" s="2">
        <v>1.4730000000000001</v>
      </c>
      <c r="H20" s="2" t="s">
        <v>141</v>
      </c>
      <c r="I20" s="2">
        <v>1</v>
      </c>
      <c r="J20" s="2">
        <v>2</v>
      </c>
      <c r="K20" s="2">
        <v>1</v>
      </c>
      <c r="L20" s="2">
        <v>0</v>
      </c>
      <c r="M20" s="2">
        <v>0</v>
      </c>
      <c r="N20" s="2">
        <v>4</v>
      </c>
      <c r="O20" s="2">
        <v>0</v>
      </c>
      <c r="P20" s="2" t="s">
        <v>48</v>
      </c>
      <c r="Q20" s="2" t="s">
        <v>101</v>
      </c>
      <c r="R20" s="2" t="s">
        <v>43</v>
      </c>
      <c r="S20" s="2" t="s">
        <v>48</v>
      </c>
      <c r="T20" s="2" t="s">
        <v>43</v>
      </c>
      <c r="U20" s="2" t="s">
        <v>129</v>
      </c>
      <c r="V20" s="2" t="s">
        <v>129</v>
      </c>
      <c r="W20" s="2" t="s">
        <v>89</v>
      </c>
      <c r="X20" s="2" t="s">
        <v>119</v>
      </c>
      <c r="Y20" s="2" t="s">
        <v>43</v>
      </c>
      <c r="Z20" s="2" t="s">
        <v>137</v>
      </c>
      <c r="AA20" s="2" t="s">
        <v>102</v>
      </c>
      <c r="AB20" s="2" t="s">
        <v>43</v>
      </c>
      <c r="AC20" s="2" t="s">
        <v>102</v>
      </c>
      <c r="AD20" s="2" t="s">
        <v>25</v>
      </c>
    </row>
    <row r="21" spans="1:30" x14ac:dyDescent="0.3">
      <c r="A21" s="1" t="s">
        <v>142</v>
      </c>
      <c r="B21" s="2" t="s">
        <v>143</v>
      </c>
      <c r="C21" s="2" t="s">
        <v>59</v>
      </c>
      <c r="D21" s="2">
        <v>31</v>
      </c>
      <c r="E21" s="2">
        <v>13</v>
      </c>
      <c r="F21" s="2">
        <v>12</v>
      </c>
      <c r="G21" s="2">
        <v>1.014</v>
      </c>
      <c r="H21" s="2" t="s">
        <v>144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2</v>
      </c>
      <c r="O21" s="2">
        <v>1</v>
      </c>
      <c r="P21" s="2" t="s">
        <v>54</v>
      </c>
      <c r="Q21" s="2" t="s">
        <v>71</v>
      </c>
      <c r="R21" s="2" t="s">
        <v>71</v>
      </c>
      <c r="S21" s="2" t="s">
        <v>54</v>
      </c>
      <c r="T21" s="2" t="s">
        <v>71</v>
      </c>
      <c r="U21" s="2" t="s">
        <v>84</v>
      </c>
      <c r="V21" s="2" t="s">
        <v>84</v>
      </c>
      <c r="W21" s="2" t="s">
        <v>79</v>
      </c>
      <c r="X21" s="2" t="s">
        <v>78</v>
      </c>
      <c r="Y21" s="2" t="s">
        <v>125</v>
      </c>
      <c r="Z21" s="2" t="s">
        <v>66</v>
      </c>
      <c r="AA21" s="2" t="s">
        <v>112</v>
      </c>
      <c r="AB21" s="2" t="s">
        <v>125</v>
      </c>
      <c r="AC21" s="2" t="s">
        <v>112</v>
      </c>
      <c r="AD21" s="2" t="s">
        <v>25</v>
      </c>
    </row>
    <row r="22" spans="1:30" x14ac:dyDescent="0.3">
      <c r="A22" s="1" t="s">
        <v>145</v>
      </c>
      <c r="B22" s="2" t="s">
        <v>68</v>
      </c>
      <c r="C22" s="2" t="s">
        <v>146</v>
      </c>
      <c r="D22" s="2">
        <v>26</v>
      </c>
      <c r="E22" s="2">
        <v>14</v>
      </c>
      <c r="F22" s="2">
        <v>12</v>
      </c>
      <c r="G22" s="2">
        <v>1.002</v>
      </c>
      <c r="H22" s="2" t="s">
        <v>147</v>
      </c>
      <c r="I22" s="2">
        <v>1</v>
      </c>
      <c r="J22" s="2">
        <v>0</v>
      </c>
      <c r="K22" s="2">
        <v>1</v>
      </c>
      <c r="L22" s="2">
        <v>0</v>
      </c>
      <c r="M22" s="2">
        <v>0</v>
      </c>
      <c r="N22" s="2">
        <v>5</v>
      </c>
      <c r="O22" s="2">
        <v>0</v>
      </c>
      <c r="P22" s="2" t="s">
        <v>71</v>
      </c>
      <c r="Q22" s="2" t="s">
        <v>54</v>
      </c>
      <c r="R22" s="2" t="s">
        <v>71</v>
      </c>
      <c r="S22" s="2" t="s">
        <v>71</v>
      </c>
      <c r="T22" s="2" t="s">
        <v>71</v>
      </c>
      <c r="U22" s="2" t="s">
        <v>138</v>
      </c>
      <c r="V22" s="2" t="s">
        <v>138</v>
      </c>
      <c r="W22" s="2" t="s">
        <v>56</v>
      </c>
      <c r="X22" s="2" t="s">
        <v>107</v>
      </c>
      <c r="Y22" s="2" t="s">
        <v>42</v>
      </c>
      <c r="Z22" s="2" t="s">
        <v>80</v>
      </c>
      <c r="AA22" s="2" t="s">
        <v>75</v>
      </c>
      <c r="AB22" s="2" t="s">
        <v>42</v>
      </c>
      <c r="AC22" s="2" t="s">
        <v>75</v>
      </c>
      <c r="AD22" s="2" t="s">
        <v>25</v>
      </c>
    </row>
    <row r="23" spans="1:30" x14ac:dyDescent="0.3">
      <c r="A23" s="1" t="s">
        <v>148</v>
      </c>
      <c r="B23" s="2" t="s">
        <v>38</v>
      </c>
      <c r="C23" s="2" t="s">
        <v>69</v>
      </c>
      <c r="D23" s="2">
        <v>23</v>
      </c>
      <c r="E23" s="2">
        <v>17</v>
      </c>
      <c r="F23" s="2">
        <v>11</v>
      </c>
      <c r="G23" s="2">
        <v>1.034</v>
      </c>
      <c r="H23" s="2" t="s">
        <v>149</v>
      </c>
      <c r="I23" s="2">
        <v>5</v>
      </c>
      <c r="J23" s="2">
        <v>1</v>
      </c>
      <c r="K23" s="2">
        <v>5</v>
      </c>
      <c r="L23" s="2">
        <v>0</v>
      </c>
      <c r="M23" s="2">
        <v>0</v>
      </c>
      <c r="N23" s="2">
        <v>4</v>
      </c>
      <c r="O23" s="2">
        <v>0</v>
      </c>
      <c r="P23" s="2" t="s">
        <v>150</v>
      </c>
      <c r="Q23" s="2" t="s">
        <v>71</v>
      </c>
      <c r="R23" s="2" t="s">
        <v>116</v>
      </c>
      <c r="S23" s="2" t="s">
        <v>150</v>
      </c>
      <c r="T23" s="2" t="s">
        <v>116</v>
      </c>
      <c r="U23" s="2" t="s">
        <v>129</v>
      </c>
      <c r="V23" s="2" t="s">
        <v>129</v>
      </c>
      <c r="W23" s="2" t="s">
        <v>45</v>
      </c>
      <c r="X23" s="2" t="s">
        <v>151</v>
      </c>
      <c r="Y23" s="2" t="s">
        <v>152</v>
      </c>
      <c r="Z23" s="2" t="s">
        <v>30</v>
      </c>
      <c r="AA23" s="2" t="s">
        <v>153</v>
      </c>
      <c r="AB23" s="2" t="s">
        <v>152</v>
      </c>
      <c r="AC23" s="2" t="s">
        <v>153</v>
      </c>
      <c r="AD23" s="2" t="s">
        <v>25</v>
      </c>
    </row>
    <row r="24" spans="1:30" x14ac:dyDescent="0.3">
      <c r="A24" s="1" t="s">
        <v>154</v>
      </c>
      <c r="B24" s="2" t="s">
        <v>68</v>
      </c>
      <c r="C24" s="2" t="s">
        <v>52</v>
      </c>
      <c r="D24" s="2">
        <v>30</v>
      </c>
      <c r="E24" s="2">
        <v>8</v>
      </c>
      <c r="F24" s="2">
        <v>8</v>
      </c>
      <c r="G24" s="2">
        <v>720</v>
      </c>
      <c r="H24" s="2" t="s">
        <v>155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 t="s">
        <v>54</v>
      </c>
      <c r="Q24" s="2" t="s">
        <v>54</v>
      </c>
      <c r="R24" s="2" t="s">
        <v>54</v>
      </c>
      <c r="S24" s="2" t="s">
        <v>54</v>
      </c>
      <c r="T24" s="2" t="s">
        <v>54</v>
      </c>
      <c r="U24" s="2" t="s">
        <v>55</v>
      </c>
      <c r="V24" s="2" t="s">
        <v>55</v>
      </c>
      <c r="W24" s="2" t="s">
        <v>55</v>
      </c>
      <c r="X24" s="2" t="s">
        <v>55</v>
      </c>
      <c r="Y24" s="2" t="s">
        <v>54</v>
      </c>
      <c r="Z24" s="2" t="s">
        <v>54</v>
      </c>
      <c r="AA24" s="2" t="s">
        <v>54</v>
      </c>
      <c r="AB24" s="2" t="s">
        <v>54</v>
      </c>
      <c r="AC24" s="2" t="s">
        <v>54</v>
      </c>
      <c r="AD24" s="2" t="s">
        <v>25</v>
      </c>
    </row>
    <row r="25" spans="1:30" x14ac:dyDescent="0.3">
      <c r="A25" s="1" t="s">
        <v>156</v>
      </c>
      <c r="B25" s="2" t="s">
        <v>157</v>
      </c>
      <c r="C25" s="2" t="s">
        <v>59</v>
      </c>
      <c r="D25" s="2">
        <v>32</v>
      </c>
      <c r="E25" s="2">
        <v>7</v>
      </c>
      <c r="F25" s="2">
        <v>5</v>
      </c>
      <c r="G25" s="2">
        <v>523</v>
      </c>
      <c r="H25" s="2" t="s">
        <v>33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 t="s">
        <v>54</v>
      </c>
      <c r="Q25" s="2" t="s">
        <v>54</v>
      </c>
      <c r="R25" s="2" t="s">
        <v>54</v>
      </c>
      <c r="S25" s="2" t="s">
        <v>54</v>
      </c>
      <c r="T25" s="2" t="s">
        <v>54</v>
      </c>
      <c r="U25" s="2" t="s">
        <v>138</v>
      </c>
      <c r="V25" s="2" t="s">
        <v>138</v>
      </c>
      <c r="W25" s="2" t="s">
        <v>79</v>
      </c>
      <c r="X25" s="2" t="s">
        <v>84</v>
      </c>
      <c r="Y25" s="2" t="s">
        <v>125</v>
      </c>
      <c r="Z25" s="2" t="s">
        <v>48</v>
      </c>
      <c r="AA25" s="2" t="s">
        <v>137</v>
      </c>
      <c r="AB25" s="2" t="s">
        <v>125</v>
      </c>
      <c r="AC25" s="2" t="s">
        <v>137</v>
      </c>
      <c r="AD25" s="2" t="s">
        <v>25</v>
      </c>
    </row>
    <row r="26" spans="1:30" x14ac:dyDescent="0.3">
      <c r="A26" s="1" t="s">
        <v>158</v>
      </c>
      <c r="B26" s="2" t="s">
        <v>68</v>
      </c>
      <c r="C26" s="2" t="s">
        <v>59</v>
      </c>
      <c r="D26" s="2">
        <v>30</v>
      </c>
      <c r="E26" s="2">
        <v>6</v>
      </c>
      <c r="F26" s="2">
        <v>5</v>
      </c>
      <c r="G26" s="2">
        <v>429</v>
      </c>
      <c r="H26" s="2" t="s">
        <v>74</v>
      </c>
      <c r="I26" s="2">
        <v>2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0</v>
      </c>
      <c r="P26" s="2" t="s">
        <v>121</v>
      </c>
      <c r="Q26" s="2" t="s">
        <v>54</v>
      </c>
      <c r="R26" s="2" t="s">
        <v>121</v>
      </c>
      <c r="S26" s="2" t="s">
        <v>121</v>
      </c>
      <c r="T26" s="2" t="s">
        <v>121</v>
      </c>
      <c r="U26" s="2" t="s">
        <v>56</v>
      </c>
      <c r="V26" s="2" t="s">
        <v>56</v>
      </c>
      <c r="W26" s="2" t="s">
        <v>138</v>
      </c>
      <c r="X26" s="2" t="s">
        <v>64</v>
      </c>
      <c r="Y26" s="2" t="s">
        <v>66</v>
      </c>
      <c r="Z26" s="2" t="s">
        <v>71</v>
      </c>
      <c r="AA26" s="2" t="s">
        <v>101</v>
      </c>
      <c r="AB26" s="2" t="s">
        <v>66</v>
      </c>
      <c r="AC26" s="2" t="s">
        <v>101</v>
      </c>
      <c r="AD26" s="2" t="s">
        <v>25</v>
      </c>
    </row>
    <row r="27" spans="1:30" x14ac:dyDescent="0.3">
      <c r="A27" s="1" t="s">
        <v>159</v>
      </c>
      <c r="B27" s="2" t="s">
        <v>68</v>
      </c>
      <c r="C27" s="2" t="s">
        <v>52</v>
      </c>
      <c r="D27" s="2">
        <v>24</v>
      </c>
      <c r="E27" s="2">
        <v>4</v>
      </c>
      <c r="F27" s="2">
        <v>4</v>
      </c>
      <c r="G27" s="2">
        <v>360</v>
      </c>
      <c r="H27" s="2" t="s">
        <v>160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 t="s">
        <v>54</v>
      </c>
      <c r="Q27" s="2" t="s">
        <v>54</v>
      </c>
      <c r="R27" s="2" t="s">
        <v>54</v>
      </c>
      <c r="S27" s="2" t="s">
        <v>54</v>
      </c>
      <c r="T27" s="2" t="s">
        <v>54</v>
      </c>
      <c r="U27" s="2" t="s">
        <v>55</v>
      </c>
      <c r="V27" s="2" t="s">
        <v>55</v>
      </c>
      <c r="W27" s="2" t="s">
        <v>55</v>
      </c>
      <c r="X27" s="2" t="s">
        <v>55</v>
      </c>
      <c r="Y27" s="2" t="s">
        <v>54</v>
      </c>
      <c r="Z27" s="2" t="s">
        <v>54</v>
      </c>
      <c r="AA27" s="2" t="s">
        <v>54</v>
      </c>
      <c r="AB27" s="2" t="s">
        <v>54</v>
      </c>
      <c r="AC27" s="2" t="s">
        <v>54</v>
      </c>
      <c r="AD27" s="2" t="s">
        <v>25</v>
      </c>
    </row>
    <row r="28" spans="1:30" x14ac:dyDescent="0.3">
      <c r="A28" s="1" t="s">
        <v>161</v>
      </c>
      <c r="B28" s="2" t="s">
        <v>162</v>
      </c>
      <c r="C28" s="2" t="s">
        <v>59</v>
      </c>
      <c r="D28" s="2">
        <v>23</v>
      </c>
      <c r="E28" s="2">
        <v>5</v>
      </c>
      <c r="F28" s="2">
        <v>4</v>
      </c>
      <c r="G28" s="2">
        <v>262</v>
      </c>
      <c r="H28" s="2" t="s">
        <v>129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 t="s">
        <v>54</v>
      </c>
      <c r="Q28" s="2" t="s">
        <v>54</v>
      </c>
      <c r="R28" s="2" t="s">
        <v>54</v>
      </c>
      <c r="S28" s="2" t="s">
        <v>54</v>
      </c>
      <c r="T28" s="2" t="s">
        <v>54</v>
      </c>
      <c r="U28" s="2" t="s">
        <v>55</v>
      </c>
      <c r="V28" s="2" t="s">
        <v>55</v>
      </c>
      <c r="W28" s="2" t="s">
        <v>55</v>
      </c>
      <c r="X28" s="2" t="s">
        <v>55</v>
      </c>
      <c r="Y28" s="2" t="s">
        <v>54</v>
      </c>
      <c r="Z28" s="2" t="s">
        <v>80</v>
      </c>
      <c r="AA28" s="2" t="s">
        <v>80</v>
      </c>
      <c r="AB28" s="2" t="s">
        <v>54</v>
      </c>
      <c r="AC28" s="2" t="s">
        <v>80</v>
      </c>
      <c r="AD28" s="2" t="s">
        <v>25</v>
      </c>
    </row>
    <row r="29" spans="1:30" x14ac:dyDescent="0.3">
      <c r="A29" s="1" t="s">
        <v>163</v>
      </c>
      <c r="B29" s="2" t="s">
        <v>164</v>
      </c>
      <c r="C29" s="2" t="s">
        <v>59</v>
      </c>
      <c r="D29" s="2">
        <v>29</v>
      </c>
      <c r="E29" s="2">
        <v>3</v>
      </c>
      <c r="F29" s="2">
        <v>2</v>
      </c>
      <c r="G29" s="2">
        <v>198</v>
      </c>
      <c r="H29" s="2" t="s">
        <v>104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2</v>
      </c>
      <c r="O29" s="2">
        <v>0</v>
      </c>
      <c r="P29" s="2" t="s">
        <v>54</v>
      </c>
      <c r="Q29" s="2" t="s">
        <v>54</v>
      </c>
      <c r="R29" s="2" t="s">
        <v>54</v>
      </c>
      <c r="S29" s="2" t="s">
        <v>54</v>
      </c>
      <c r="T29" s="2" t="s">
        <v>54</v>
      </c>
      <c r="U29" s="2" t="s">
        <v>55</v>
      </c>
      <c r="V29" s="2" t="s">
        <v>55</v>
      </c>
      <c r="W29" s="2" t="s">
        <v>55</v>
      </c>
      <c r="X29" s="2" t="s">
        <v>55</v>
      </c>
      <c r="Y29" s="2" t="s">
        <v>54</v>
      </c>
      <c r="Z29" s="2" t="s">
        <v>54</v>
      </c>
      <c r="AA29" s="2" t="s">
        <v>54</v>
      </c>
      <c r="AB29" s="2" t="s">
        <v>54</v>
      </c>
      <c r="AC29" s="2" t="s">
        <v>54</v>
      </c>
      <c r="AD29" s="2" t="s">
        <v>25</v>
      </c>
    </row>
    <row r="30" spans="1:30" x14ac:dyDescent="0.3">
      <c r="A30" s="1" t="s">
        <v>165</v>
      </c>
      <c r="B30" s="2" t="s">
        <v>143</v>
      </c>
      <c r="C30" s="2" t="s">
        <v>69</v>
      </c>
      <c r="D30" s="2">
        <v>29</v>
      </c>
      <c r="E30" s="2">
        <v>3</v>
      </c>
      <c r="F30" s="2">
        <v>0</v>
      </c>
      <c r="G30" s="2">
        <v>72</v>
      </c>
      <c r="H30" s="2" t="s">
        <v>84</v>
      </c>
      <c r="I30" s="2">
        <v>1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 t="s">
        <v>166</v>
      </c>
      <c r="Q30" s="2" t="s">
        <v>54</v>
      </c>
      <c r="R30" s="2" t="s">
        <v>166</v>
      </c>
      <c r="S30" s="2" t="s">
        <v>166</v>
      </c>
      <c r="T30" s="2" t="s">
        <v>166</v>
      </c>
      <c r="U30" s="2" t="s">
        <v>55</v>
      </c>
      <c r="V30" s="2" t="s">
        <v>55</v>
      </c>
      <c r="W30" s="2" t="s">
        <v>55</v>
      </c>
      <c r="X30" s="2" t="s">
        <v>56</v>
      </c>
      <c r="Y30" s="2" t="s">
        <v>42</v>
      </c>
      <c r="Z30" s="2" t="s">
        <v>48</v>
      </c>
      <c r="AA30" s="2" t="s">
        <v>112</v>
      </c>
      <c r="AB30" s="2" t="s">
        <v>42</v>
      </c>
      <c r="AC30" s="2" t="s">
        <v>112</v>
      </c>
      <c r="AD30" s="2" t="s">
        <v>25</v>
      </c>
    </row>
    <row r="31" spans="1:30" x14ac:dyDescent="0.3">
      <c r="A31" s="1" t="s">
        <v>167</v>
      </c>
      <c r="B31" s="2" t="s">
        <v>68</v>
      </c>
      <c r="C31" s="2" t="s">
        <v>114</v>
      </c>
      <c r="D31" s="2">
        <v>30</v>
      </c>
      <c r="E31" s="2">
        <v>8</v>
      </c>
      <c r="F31" s="2">
        <v>0</v>
      </c>
      <c r="G31" s="2">
        <v>38</v>
      </c>
      <c r="H31" s="2" t="s">
        <v>138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 t="s">
        <v>54</v>
      </c>
      <c r="Q31" s="2" t="s">
        <v>54</v>
      </c>
      <c r="R31" s="2" t="s">
        <v>54</v>
      </c>
      <c r="S31" s="2" t="s">
        <v>54</v>
      </c>
      <c r="T31" s="2" t="s">
        <v>54</v>
      </c>
      <c r="U31" s="2" t="s">
        <v>79</v>
      </c>
      <c r="V31" s="2" t="s">
        <v>79</v>
      </c>
      <c r="W31" s="2" t="s">
        <v>107</v>
      </c>
      <c r="X31" s="2" t="s">
        <v>84</v>
      </c>
      <c r="Y31" s="2" t="s">
        <v>168</v>
      </c>
      <c r="Z31" s="2" t="s">
        <v>169</v>
      </c>
      <c r="AA31" s="2" t="s">
        <v>170</v>
      </c>
      <c r="AB31" s="2" t="s">
        <v>168</v>
      </c>
      <c r="AC31" s="2" t="s">
        <v>170</v>
      </c>
      <c r="AD31" s="2" t="s">
        <v>25</v>
      </c>
    </row>
    <row r="32" spans="1:30" x14ac:dyDescent="0.3">
      <c r="A32" s="1" t="s">
        <v>171</v>
      </c>
      <c r="B32" s="2" t="s">
        <v>99</v>
      </c>
      <c r="C32" s="2" t="s">
        <v>69</v>
      </c>
      <c r="D32" s="2">
        <v>18</v>
      </c>
      <c r="E32" s="2">
        <v>0</v>
      </c>
      <c r="F32" s="2">
        <v>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 t="s">
        <v>25</v>
      </c>
    </row>
    <row r="33" spans="1:30" x14ac:dyDescent="0.3">
      <c r="A33" s="1" t="s">
        <v>172</v>
      </c>
      <c r="B33" s="2" t="s">
        <v>68</v>
      </c>
      <c r="C33" s="2" t="s">
        <v>69</v>
      </c>
      <c r="D33" s="2">
        <v>18</v>
      </c>
      <c r="E33" s="2">
        <v>0</v>
      </c>
      <c r="F33" s="2">
        <v>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s">
        <v>25</v>
      </c>
    </row>
    <row r="34" spans="1:30" x14ac:dyDescent="0.3">
      <c r="A34" s="1" t="s">
        <v>173</v>
      </c>
      <c r="B34" s="2" t="s">
        <v>68</v>
      </c>
      <c r="C34" s="2" t="s">
        <v>52</v>
      </c>
      <c r="D34" s="2">
        <v>29</v>
      </c>
      <c r="E34" s="2">
        <v>0</v>
      </c>
      <c r="F34" s="2">
        <v>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s">
        <v>25</v>
      </c>
    </row>
    <row r="35" spans="1:30" x14ac:dyDescent="0.3">
      <c r="A35" s="1" t="s">
        <v>174</v>
      </c>
      <c r="B35" s="2" t="s">
        <v>68</v>
      </c>
      <c r="C35" s="2" t="s">
        <v>69</v>
      </c>
      <c r="D35" s="2">
        <v>18</v>
      </c>
      <c r="E35" s="2">
        <v>0</v>
      </c>
      <c r="F35" s="2">
        <v>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s">
        <v>25</v>
      </c>
    </row>
    <row r="36" spans="1:30" x14ac:dyDescent="0.3">
      <c r="A36" s="1" t="s">
        <v>175</v>
      </c>
      <c r="B36" s="2"/>
      <c r="C36" s="2"/>
      <c r="D36" s="2" t="s">
        <v>176</v>
      </c>
      <c r="E36" s="2">
        <v>38</v>
      </c>
      <c r="F36" s="2">
        <v>418</v>
      </c>
      <c r="G36" s="2">
        <v>3.42</v>
      </c>
      <c r="H36" s="2" t="s">
        <v>177</v>
      </c>
      <c r="I36" s="2">
        <v>41</v>
      </c>
      <c r="J36" s="2">
        <v>23</v>
      </c>
      <c r="K36" s="2">
        <v>38</v>
      </c>
      <c r="L36" s="2">
        <v>3</v>
      </c>
      <c r="M36" s="2">
        <v>3</v>
      </c>
      <c r="N36" s="2">
        <v>81</v>
      </c>
      <c r="O36" s="2">
        <v>2</v>
      </c>
      <c r="P36" s="2" t="s">
        <v>178</v>
      </c>
      <c r="Q36" s="2" t="s">
        <v>179</v>
      </c>
      <c r="R36" s="2" t="s">
        <v>180</v>
      </c>
      <c r="S36" s="2" t="s">
        <v>181</v>
      </c>
      <c r="T36" s="2" t="s">
        <v>182</v>
      </c>
      <c r="U36" s="2" t="s">
        <v>183</v>
      </c>
      <c r="V36" s="2" t="s">
        <v>177</v>
      </c>
      <c r="W36" s="2" t="s">
        <v>184</v>
      </c>
      <c r="X36" s="2" t="s">
        <v>185</v>
      </c>
      <c r="Y36" s="2" t="s">
        <v>186</v>
      </c>
      <c r="Z36" s="2" t="s">
        <v>187</v>
      </c>
      <c r="AA36" s="2" t="s">
        <v>188</v>
      </c>
      <c r="AB36" s="2" t="s">
        <v>181</v>
      </c>
      <c r="AC36" s="2" t="s">
        <v>180</v>
      </c>
      <c r="AD36" s="2"/>
    </row>
    <row r="37" spans="1:30" x14ac:dyDescent="0.3">
      <c r="A37" s="1" t="s">
        <v>189</v>
      </c>
      <c r="B37" s="2"/>
      <c r="C37" s="2"/>
      <c r="D37" s="2" t="s">
        <v>190</v>
      </c>
      <c r="E37" s="2">
        <v>38</v>
      </c>
      <c r="F37" s="2">
        <v>418</v>
      </c>
      <c r="G37" s="2">
        <v>3.42</v>
      </c>
      <c r="H37" s="2" t="s">
        <v>177</v>
      </c>
      <c r="I37" s="2">
        <v>60</v>
      </c>
      <c r="J37" s="2">
        <v>43</v>
      </c>
      <c r="K37" s="2">
        <v>55</v>
      </c>
      <c r="L37" s="2">
        <v>5</v>
      </c>
      <c r="M37" s="2">
        <v>6</v>
      </c>
      <c r="N37" s="2">
        <v>75</v>
      </c>
      <c r="O37" s="2">
        <v>3</v>
      </c>
      <c r="P37" s="2" t="s">
        <v>191</v>
      </c>
      <c r="Q37" s="2" t="s">
        <v>192</v>
      </c>
      <c r="R37" s="2" t="s">
        <v>193</v>
      </c>
      <c r="S37" s="2" t="s">
        <v>194</v>
      </c>
      <c r="T37" s="2" t="s">
        <v>195</v>
      </c>
      <c r="U37" s="2" t="s">
        <v>196</v>
      </c>
      <c r="V37" s="2" t="s">
        <v>197</v>
      </c>
      <c r="W37" s="2" t="s">
        <v>198</v>
      </c>
      <c r="X37" s="2" t="s">
        <v>199</v>
      </c>
      <c r="Y37" s="2" t="s">
        <v>200</v>
      </c>
      <c r="Z37" s="2" t="s">
        <v>201</v>
      </c>
      <c r="AA37" s="2" t="s">
        <v>202</v>
      </c>
      <c r="AB37" s="2" t="s">
        <v>203</v>
      </c>
      <c r="AC37" s="2" t="s">
        <v>204</v>
      </c>
      <c r="AD37" s="2"/>
    </row>
    <row r="40" spans="1:30" x14ac:dyDescent="0.3">
      <c r="B40" s="3">
        <f>COUNTIF(B3:B35,"eng ENG")</f>
        <v>16</v>
      </c>
      <c r="E40" s="3"/>
      <c r="I40" s="3"/>
    </row>
  </sheetData>
  <mergeCells count="6">
    <mergeCell ref="Y1:AC1"/>
    <mergeCell ref="A1:D1"/>
    <mergeCell ref="F1:H1"/>
    <mergeCell ref="I1:O1"/>
    <mergeCell ref="P1:T1"/>
    <mergeCell ref="U1:X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DESCHAMPS Guillaume</dc:creator>
  <cp:lastModifiedBy>GAME AMÉLIE</cp:lastModifiedBy>
  <dcterms:created xsi:type="dcterms:W3CDTF">2022-09-14T14:28:31Z</dcterms:created>
  <dcterms:modified xsi:type="dcterms:W3CDTF">2023-12-07T10:51:50Z</dcterms:modified>
</cp:coreProperties>
</file>